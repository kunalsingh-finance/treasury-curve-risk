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7248c61f5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92b072c5e54eb5"/>
    <x:sheet xmlns:r="http://schemas.openxmlformats.org/officeDocument/2006/relationships" name="Risk" sheetId="2" r:id="R6b24521872504785"/>
    <x:sheet xmlns:r="http://schemas.openxmlformats.org/officeDocument/2006/relationships" name="Inputs" sheetId="3" r:id="R42f503bba13b4a4d"/>
    <x:sheet xmlns:r="http://schemas.openxmlformats.org/officeDocument/2006/relationships" name="Ledger" sheetId="4" r:id="R2ad74e7c9e8d454d"/>
    <x:sheet xmlns:r="http://schemas.openxmlformats.org/officeDocument/2006/relationships" name="Audit" sheetId="5" r:id="Ra95a250be062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mm/dd/yy"/>
    <x:numFmt numFmtId="201" formatCode="&quot;$&quot;#,##0;(&quot;$&quot;#,##0);&quot;-&quot;"/>
    <x:numFmt numFmtId="202" formatCode="0.00&quot;x&quot;"/>
    <x:numFmt numFmtId="203" formatCode="0.0%;(0.0%);&quot;-&quot;"/>
    <x:numFmt numFmtId="204" formatCode="mm/dd/yy hh:mm"/>
    <x:numFmt numFmtId="205" formatCode="0.000%"/>
    <x:numFmt numFmtId="206" formatCode="0.0000"/>
    <x:numFmt numFmtId="207" formatCode="0.000000;(0.000000);&quot;-&quot;"/>
    <x:numFmt numFmtId="208" formatCode="0.000000"/>
    <x:numFmt numFmtId="209" formatCode="#,##0.00;(#,##0.00);&quot;-&quot;"/>
    <x:numFmt numFmtId="210" formatCode="0.00E+00"/>
    <x:numFmt numFmtId="211" formatCode="#,##0"/>
  </x:numFmts>
  <x:fonts count="10">
    <x:font>
      <x:sz val="11"/>
      <x:name val="Carlito"/>
    </x:font>
    <x:font>
      <x:sz val="10"/>
      <x:color rgb="FF172D46"/>
      <x:name val="Arial"/>
    </x:font>
    <x:font>
      <x:b/>
      <x:sz val="16"/>
      <x:color rgb="FF172D46"/>
      <x:name val="Arial"/>
    </x:font>
    <x:font>
      <x:i/>
      <x:sz val="10"/>
      <x:color rgb="FF697586"/>
      <x:name val="Arial"/>
    </x:font>
    <x:font>
      <x:b/>
      <x:sz val="10"/>
      <x:color rgb="FF172D46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8000"/>
      <x:name val="Arial"/>
    </x:font>
    <x:font>
      <x:b/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172D46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6">
    <x:border/>
    <x:border>
      <x:bottom style="thin">
        <x:color rgb="FF37687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172D46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7" fontId="6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208" fontId="1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9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horizontal="center" vertical="center" wrapText="1"/>
    </x:xf>
    <x:xf numFmtId="209" fontId="8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9" fontId="9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9" fontId="9" fillId="0" borderId="5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9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10" fontId="1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201" fontId="9" fillId="0" borderId="5" xfId="0" applyNumberFormat="1" applyFont="1" applyFill="1" applyBorder="1" applyAlignment="1">
      <x:alignment vertical="center"/>
    </x:xf>
    <x:xf numFmtId="208" fontId="8" fillId="0" borderId="0" xfId="0" applyNumberFormat="1" applyFont="1" applyFill="1" applyBorder="1" applyAlignment="1">
      <x:alignment vertical="center"/>
    </x:xf>
    <x:xf numFmtId="208" fontId="7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8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2e1c6984c4431" /><Relationship Type="http://schemas.openxmlformats.org/officeDocument/2006/relationships/theme" Target="/xl/theme/theme1.xml" Id="R13e4fb9719af42aa" /><Relationship Type="http://schemas.microsoft.com/office/2022/11/relationships/FeaturePropertyBag" Target="/xl/featurePropertyBag/featurePropertyBag.xml" Id="Recf681b9e1a74c6c" /><Relationship Type="http://schemas.openxmlformats.org/officeDocument/2006/relationships/sharedStrings" Target="/xl/sharedStrings.xml" Id="R3f2e2ae833554d32" /><Relationship Type="http://schemas.openxmlformats.org/officeDocument/2006/relationships/worksheet" Target="/xl/worksheets/sheet1.xml" Id="R0992b072c5e54eb5" /><Relationship Type="http://schemas.openxmlformats.org/officeDocument/2006/relationships/worksheet" Target="/xl/worksheets/sheet2.xml" Id="R6b24521872504785" /><Relationship Type="http://schemas.openxmlformats.org/officeDocument/2006/relationships/worksheet" Target="/xl/worksheets/sheet3.xml" Id="R42f503bba13b4a4d" /><Relationship Type="http://schemas.openxmlformats.org/officeDocument/2006/relationships/worksheet" Target="/xl/worksheets/sheet4.xml" Id="R2ad74e7c9e8d454d" /><Relationship Type="http://schemas.openxmlformats.org/officeDocument/2006/relationships/worksheet" Target="/xl/worksheets/sheet5.xml" Id="Ra95a250be0624f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D46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2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2"/>
      <x:c r="B2" s="2"/>
      <x:c r="C2" s="3" t="str">
        <x:v>Treasury portfolio risk pack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1" customHeight="1">
      <x:c r="A4" s="2"/>
      <x:c r="B4" s="2"/>
      <x:c r="C4" s="2" t="str">
        <x:v>Curve date</x:v>
      </x:c>
      <x:c r="D4" s="49" t="n">
        <x:f>'Inputs'!D4</x:f>
        <x:v>46290</x:v>
      </x:c>
      <x:c r="E4" s="2"/>
      <x:c r="F4" s="7" t="str">
        <x:v>Actual Treasury terms. Hypothetical holdings. Curve-implied marks.</x:v>
      </x:c>
      <x:c r="G4" s="2"/>
      <x:c r="H4" s="2"/>
      <x:c r="I4" s="2"/>
      <x:c r="J4" s="2"/>
      <x:c r="K4" s="2"/>
      <x:c r="L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/>
      <x:c r="B6" s="2"/>
      <x:c r="C6" s="9" t="str">
        <x:v>Live portfolio valuation</x:v>
      </x:c>
      <x:c r="D6" s="9"/>
      <x:c r="E6" s="9"/>
      <x:c r="F6" s="9"/>
      <x:c r="G6" s="9"/>
      <x:c r="H6" s="2"/>
      <x:c r="I6" s="2"/>
      <x:c r="J6" s="2"/>
      <x:c r="K6" s="2"/>
      <x:c r="L6" s="2"/>
    </x:row>
    <x:row r="7" ht="28" customHeight="1">
      <x:c r="A7" s="2"/>
      <x:c r="B7" s="2"/>
      <x:c r="C7" s="13" t="str">
        <x:v>CUSIP</x:v>
      </x:c>
      <x:c r="D7" s="14" t="str">
        <x:v>Face (USD)</x:v>
      </x:c>
      <x:c r="E7" s="14" t="str">
        <x:v>Clean PV (USD)</x:v>
      </x:c>
      <x:c r="F7" s="14" t="str">
        <x:v>Accrued (USD)</x:v>
      </x:c>
      <x:c r="G7" s="15" t="str">
        <x:v>Dirty PV (USD)</x:v>
      </x:c>
      <x:c r="H7" s="2"/>
      <x:c r="I7" s="2"/>
      <x:c r="J7" s="2"/>
      <x:c r="K7" s="2"/>
      <x:c r="L7" s="2"/>
    </x:row>
    <x:row r="8" ht="21" customHeight="1">
      <x:c r="A8" s="2"/>
      <x:c r="B8" s="2"/>
      <x:c r="C8" s="20" t="str">
        <x:f>'Inputs'!C10</x:f>
        <x:v>91282CKZ3</x:v>
      </x:c>
      <x:c r="D8" s="32" t="n">
        <x:f>'Inputs'!E10</x:f>
        <x:v>2000000</x:v>
      </x:c>
      <x:c r="E8" s="32" t="n">
        <x:f>D8*'Inputs'!I10/100</x:f>
        <x:v>1997584.0447184145</x:v>
      </x:c>
      <x:c r="F8" s="32" t="n">
        <x:f>D8*'Inputs'!J10/100</x:f>
        <x:v>17119.565217391304</x:v>
      </x:c>
      <x:c r="G8" s="32" t="n">
        <x:f>D8*'Inputs'!H10/100</x:f>
        <x:v>2014703.609935806</x:v>
      </x:c>
      <x:c r="H8" s="2"/>
      <x:c r="I8" s="2"/>
      <x:c r="J8" s="2"/>
      <x:c r="K8" s="2"/>
      <x:c r="L8" s="2"/>
    </x:row>
    <x:row r="9" ht="21" customHeight="1">
      <x:c r="A9" s="2"/>
      <x:c r="B9" s="2"/>
      <x:c r="C9" s="20" t="str">
        <x:f>'Inputs'!C11</x:f>
        <x:v>91282CLJ8</x:v>
      </x:c>
      <x:c r="D9" s="32" t="n">
        <x:f>'Inputs'!E11</x:f>
        <x:v>4000000</x:v>
      </x:c>
      <x:c r="E9" s="32" t="n">
        <x:f>D9*'Inputs'!I11/100</x:f>
        <x:v>3782917.269088552</x:v>
      </x:c>
      <x:c r="F9" s="32" t="n">
        <x:f>D9*'Inputs'!J11/100</x:f>
        <x:v>10359.116022099448</x:v>
      </x:c>
      <x:c r="G9" s="32" t="n">
        <x:f>D9*'Inputs'!H11/100</x:f>
        <x:v>3793276.385110651</x:v>
      </x:c>
      <x:c r="H9" s="2"/>
      <x:c r="I9" s="2"/>
      <x:c r="J9" s="2"/>
      <x:c r="K9" s="2"/>
      <x:c r="L9" s="2"/>
    </x:row>
    <x:row r="10" ht="21" customHeight="1">
      <x:c r="A10" s="2"/>
      <x:c r="B10" s="2"/>
      <x:c r="C10" s="20" t="str">
        <x:f>'Inputs'!C12</x:f>
        <x:v>91282CKQ3</x:v>
      </x:c>
      <x:c r="D10" s="32" t="n">
        <x:f>'Inputs'!E12</x:f>
        <x:v>6000000</x:v>
      </x:c>
      <x:c r="E10" s="32" t="n">
        <x:f>D10*'Inputs'!I12/100</x:f>
        <x:v>5734502.68215402</x:v>
      </x:c>
      <x:c r="F10" s="32" t="n">
        <x:f>D10*'Inputs'!J12/100</x:f>
        <x:v>94870.92391304347</x:v>
      </x:c>
      <x:c r="G10" s="32" t="n">
        <x:f>D10*'Inputs'!H12/100</x:f>
        <x:v>5829373.606067064</x:v>
      </x:c>
      <x:c r="H10" s="2"/>
      <x:c r="I10" s="2"/>
      <x:c r="J10" s="2"/>
      <x:c r="K10" s="2"/>
      <x:c r="L10" s="2"/>
    </x:row>
    <x:row r="11" ht="21" customHeight="1">
      <x:c r="A11" s="2"/>
      <x:c r="B11" s="2"/>
      <x:c r="C11" s="41" t="str">
        <x:v>Total</x:v>
      </x:c>
      <x:c r="D11" s="52" t="n">
        <x:f>SUM(D8:D10)</x:f>
        <x:v>12000000</x:v>
      </x:c>
      <x:c r="E11" s="52" t="n">
        <x:f>SUM(E8:E10)</x:f>
        <x:v>11515003.995960986</x:v>
      </x:c>
      <x:c r="F11" s="52" t="n">
        <x:f>SUM(F8:F10)</x:f>
        <x:v>122349.60515253423</x:v>
      </x:c>
      <x:c r="G11" s="52" t="n">
        <x:f>SUM(G8:G10)</x:f>
        <x:v>11637353.60111352</x:v>
      </x:c>
      <x:c r="H11" s="2"/>
      <x:c r="I11" s="2"/>
      <x:c r="J11" s="2"/>
      <x:c r="K11" s="2"/>
      <x:c r="L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9" t="str">
        <x:v>Live hedge risk</x:v>
      </x:c>
      <x:c r="D14" s="9"/>
      <x:c r="E14" s="9"/>
      <x:c r="F14" s="9"/>
      <x:c r="G14" s="9"/>
      <x:c r="H14" s="2"/>
      <x:c r="I14" s="2"/>
      <x:c r="J14" s="2"/>
      <x:c r="K14" s="2"/>
      <x:c r="L14" s="2"/>
    </x:row>
    <x:row r="15" ht="21" customHeight="1">
      <x:c r="A15" s="2"/>
      <x:c r="B15" s="2"/>
      <x:c r="C15" s="2" t="str">
        <x:v>Target parallel DV01</x:v>
      </x:c>
      <x:c r="D15" s="33" t="n">
        <x:f>'Risk'!D20</x:f>
        <x:v>5631.160907518478</x:v>
      </x:c>
      <x:c r="E15" s="2"/>
      <x:c r="F15" s="2"/>
      <x:c r="G15" s="2"/>
      <x:c r="H15" s="2"/>
      <x:c r="I15" s="2"/>
      <x:c r="J15" s="2"/>
      <x:c r="K15" s="2"/>
      <x:c r="L15" s="2"/>
    </x:row>
    <x:row r="16" ht="21" customHeight="1">
      <x:c r="A16" s="2"/>
      <x:c r="B16" s="2"/>
      <x:c r="C16" s="2" t="str">
        <x:v>Residual parallel DV01</x:v>
      </x:c>
      <x:c r="D16" s="33" t="n">
        <x:f>'Risk'!D22</x:f>
        <x:v>9.094947017729282e-13</x:v>
      </x:c>
      <x:c r="E16" s="2"/>
      <x:c r="F16" s="2"/>
      <x:c r="G16" s="2"/>
      <x:c r="H16" s="2"/>
      <x:c r="I16" s="2"/>
      <x:c r="J16" s="2"/>
      <x:c r="K16" s="2"/>
      <x:c r="L16" s="2"/>
    </x:row>
    <x:row r="17" ht="21" customHeight="1">
      <x:c r="A17" s="2"/>
      <x:c r="B17" s="2"/>
      <x:c r="C17" s="2" t="str">
        <x:v>Gross hedge face</x:v>
      </x:c>
      <x:c r="D17" s="33" t="n">
        <x:f>'Risk'!D23</x:f>
        <x:v>12338035.664763479</x:v>
      </x:c>
      <x:c r="E17" s="2"/>
      <x:c r="F17" s="2"/>
      <x:c r="G17" s="2"/>
      <x:c r="H17" s="2"/>
      <x:c r="I17" s="2"/>
      <x:c r="J17" s="2"/>
      <x:c r="K17" s="2"/>
      <x:c r="L17" s="2"/>
    </x:row>
    <x:row r="18" ht="21" customHeight="1">
      <x:c r="A18" s="2"/>
      <x:c r="B18" s="2"/>
      <x:c r="C18" s="2" t="str">
        <x:v>Residual step standard deviation</x:v>
      </x:c>
      <x:c r="D18" s="33" t="n">
        <x:f>'Risk'!D37</x:f>
        <x:v>2459.115657081237</x:v>
      </x:c>
      <x:c r="E18" s="2"/>
      <x:c r="F18" s="2"/>
      <x:c r="G18" s="2"/>
      <x:c r="H18" s="2"/>
      <x:c r="I18" s="2"/>
      <x:c r="J18" s="2"/>
      <x:c r="K18" s="2"/>
      <x:c r="L18" s="2"/>
    </x:row>
    <x:row r="19" ht="21" customHeight="1">
      <x:c r="A19" s="2"/>
      <x:c r="B19" s="2"/>
      <x:c r="C19" s="2" t="str">
        <x:v>Forecast variance reduction</x:v>
      </x:c>
      <x:c r="D19" s="22" t="n">
        <x:f>'Risk'!D34</x:f>
        <x:v>0.9898670750628782</x:v>
      </x:c>
      <x:c r="E19" s="2"/>
      <x:c r="F19" s="2"/>
      <x:c r="G19" s="2"/>
      <x:c r="H19" s="2"/>
      <x:c r="I19" s="2"/>
      <x:c r="J19" s="2"/>
      <x:c r="K19" s="2"/>
      <x:c r="L19" s="2"/>
    </x:row>
    <x:row r="20" ht="21" customHeight="1">
      <x:c r="A20" s="2"/>
      <x:c r="B20" s="2"/>
      <x:c r="C20" s="2" t="str">
        <x:v>Gross limit excess</x:v>
      </x:c>
      <x:c r="D20" s="33" t="n">
        <x:f>'Risk'!D27</x:f>
        <x:v>0</x:v>
      </x:c>
      <x:c r="E20" s="2"/>
      <x:c r="F20" s="2"/>
      <x:c r="G20" s="2"/>
      <x:c r="H20" s="2"/>
      <x:c r="I20" s="2"/>
      <x:c r="J20" s="2"/>
      <x:c r="K20" s="2"/>
      <x:c r="L20" s="2"/>
    </x:row>
    <x:row r="21" ht="21" customHeight="1">
      <x:c r="A21" s="2"/>
      <x:c r="B21" s="2"/>
      <x:c r="C21" s="2" t="str">
        <x:v>Single-position limit excess</x:v>
      </x:c>
      <x:c r="D21" s="33" t="n">
        <x:f>'Risk'!D28</x:f>
        <x:v>0</x:v>
      </x:c>
      <x:c r="E21" s="2"/>
      <x:c r="F21" s="2"/>
      <x:c r="G21" s="2"/>
      <x:c r="H21" s="2"/>
      <x:c r="I21" s="2"/>
      <x:c r="J21" s="2"/>
      <x:c r="K21" s="2"/>
      <x:c r="L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9" t="str">
        <x:v>Frozen 2022 and 2023 model wealth</x:v>
      </x:c>
      <x:c r="D24" s="9"/>
      <x:c r="E24" s="9"/>
      <x:c r="F24" s="9"/>
      <x:c r="G24" s="9"/>
      <x:c r="H24" s="9"/>
      <x:c r="I24" s="9"/>
      <x:c r="J24" s="9"/>
      <x:c r="K24" s="9"/>
      <x:c r="L24" s="2"/>
    </x:row>
    <x:row r="25" ht="35" customHeight="1">
      <x:c r="A25" s="2"/>
      <x:c r="B25" s="2"/>
      <x:c r="C25" s="45" t="str">
        <x:v>Year</x:v>
      </x:c>
      <x:c r="D25" s="30" t="str">
        <x:v>Method</x:v>
      </x:c>
      <x:c r="E25" s="30" t="str">
        <x:v>Net P&amp;L (USD)</x:v>
      </x:c>
      <x:c r="F25" s="30" t="str">
        <x:v>Wealth change</x:v>
      </x:c>
      <x:c r="G25" s="30" t="str">
        <x:v>Max drawdown</x:v>
      </x:c>
      <x:c r="H25" s="30" t="str">
        <x:v>Transaction cost</x:v>
      </x:c>
      <x:c r="I25" s="30" t="str">
        <x:v>Funding cost</x:v>
      </x:c>
      <x:c r="J25" s="30" t="str">
        <x:v>Collateral exceptions</x:v>
      </x:c>
      <x:c r="K25" s="29" t="str">
        <x:v>Financing gaps</x:v>
      </x:c>
      <x:c r="L25" s="2"/>
    </x:row>
    <x:row r="26" ht="21" customHeight="1">
      <x:c r="A26" s="2"/>
      <x:c r="B26" s="2"/>
      <x:c r="C26" s="20" t="n">
        <x:f>'Ledger'!C2007</x:f>
        <x:v>2022</x:v>
      </x:c>
      <x:c r="D26" s="20" t="str">
        <x:f>'Ledger'!D2007</x:f>
        <x:v>unhedged</x:v>
      </x:c>
      <x:c r="E26" s="32" t="n">
        <x:f>'Ledger'!I2007</x:f>
        <x:v>-1214411.3951079194</x:v>
      </x:c>
      <x:c r="F26" s="22" t="n">
        <x:f>'Ledger'!J2007</x:f>
        <x:v>-0.09379727168813289</x:v>
      </x:c>
      <x:c r="G26" s="22" t="n">
        <x:f>'Ledger'!K2007</x:f>
        <x:v>-0.11708384953617279</x:v>
      </x:c>
      <x:c r="H26" s="32" t="n">
        <x:f>'Ledger'!L2007</x:f>
        <x:v>1174.7193167256753</x:v>
      </x:c>
      <x:c r="I26" s="32" t="n">
        <x:f>'Ledger'!M2007</x:f>
        <x:v>0</x:v>
      </x:c>
      <x:c r="J26" s="20" t="n">
        <x:f>'Ledger'!N2007</x:f>
        <x:v>0</x:v>
      </x:c>
      <x:c r="K26" s="20" t="n">
        <x:f>'Ledger'!O2007</x:f>
        <x:v>0</x:v>
      </x:c>
      <x:c r="L26" s="2"/>
    </x:row>
    <x:row r="27" ht="21" customHeight="1">
      <x:c r="A27" s="2"/>
      <x:c r="B27" s="2"/>
      <x:c r="C27" s="20" t="n">
        <x:f>'Ledger'!C2008</x:f>
        <x:v>2022</x:v>
      </x:c>
      <x:c r="D27" s="20" t="str">
        <x:f>'Ledger'!D2008</x:f>
        <x:v>duration</x:v>
      </x:c>
      <x:c r="E27" s="32" t="n">
        <x:f>'Ledger'!I2008</x:f>
        <x:v>131665.74672116898</x:v>
      </x:c>
      <x:c r="F27" s="22" t="n">
        <x:f>'Ledger'!J2008</x:f>
        <x:v>0.010169443293249814</x:v>
      </x:c>
      <x:c r="G27" s="22" t="n">
        <x:f>'Ledger'!K2008</x:f>
        <x:v>-0.006002412988397876</x:v>
      </x:c>
      <x:c r="H27" s="32" t="n">
        <x:f>'Ledger'!L2008</x:f>
        <x:v>2020.2166044244252</x:v>
      </x:c>
      <x:c r="I27" s="32" t="n">
        <x:f>'Ledger'!M2008</x:f>
        <x:v>0</x:v>
      </x:c>
      <x:c r="J27" s="20" t="n">
        <x:f>'Ledger'!N2008</x:f>
        <x:v>0</x:v>
      </x:c>
      <x:c r="K27" s="20" t="n">
        <x:f>'Ledger'!O2008</x:f>
        <x:v>0</x:v>
      </x:c>
      <x:c r="L27" s="2"/>
    </x:row>
    <x:row r="28" ht="21" customHeight="1">
      <x:c r="A28" s="2"/>
      <x:c r="B28" s="2"/>
      <x:c r="C28" s="20" t="n">
        <x:f>'Ledger'!C2009</x:f>
        <x:v>2022</x:v>
      </x:c>
      <x:c r="D28" s="20" t="str">
        <x:f>'Ledger'!D2009</x:f>
        <x:v>unweighted</x:v>
      </x:c>
      <x:c r="E28" s="32" t="n">
        <x:f>'Ledger'!I2009</x:f>
        <x:v>167666.11664209515</x:v>
      </x:c>
      <x:c r="F28" s="22" t="n">
        <x:f>'Ledger'!J2009</x:f>
        <x:v>0.0129499973064525</x:v>
      </x:c>
      <x:c r="G28" s="22" t="n">
        <x:f>'Ledger'!K2009</x:f>
        <x:v>-0.002014611392539001</x:v>
      </x:c>
      <x:c r="H28" s="32" t="n">
        <x:f>'Ledger'!L2009</x:f>
        <x:v>2354.485312553004</x:v>
      </x:c>
      <x:c r="I28" s="32" t="n">
        <x:f>'Ledger'!M2009</x:f>
        <x:v>0</x:v>
      </x:c>
      <x:c r="J28" s="20" t="n">
        <x:f>'Ledger'!N2009</x:f>
        <x:v>0</x:v>
      </x:c>
      <x:c r="K28" s="20" t="n">
        <x:f>'Ledger'!O2009</x:f>
        <x:v>0</x:v>
      </x:c>
      <x:c r="L28" s="2"/>
    </x:row>
    <x:row r="29" ht="21" customHeight="1">
      <x:c r="A29" s="2"/>
      <x:c r="B29" s="2"/>
      <x:c r="C29" s="20" t="n">
        <x:f>'Ledger'!C2010</x:f>
        <x:v>2022</x:v>
      </x:c>
      <x:c r="D29" s="20" t="str">
        <x:f>'Ledger'!D2010</x:f>
        <x:v>constrained</x:v>
      </x:c>
      <x:c r="E29" s="32" t="n">
        <x:f>'Ledger'!I2010</x:f>
        <x:v>260770.18606672995</x:v>
      </x:c>
      <x:c r="F29" s="22" t="n">
        <x:f>'Ledger'!J2010</x:f>
        <x:v>0.02014105935533685</x:v>
      </x:c>
      <x:c r="G29" s="22" t="n">
        <x:f>'Ledger'!K2010</x:f>
        <x:v>-0.0001819970453025288</x:v>
      </x:c>
      <x:c r="H29" s="32" t="n">
        <x:f>'Ledger'!L2010</x:f>
        <x:v>2425.773114277156</x:v>
      </x:c>
      <x:c r="I29" s="32" t="n">
        <x:f>'Ledger'!M2010</x:f>
        <x:v>0</x:v>
      </x:c>
      <x:c r="J29" s="20" t="n">
        <x:f>'Ledger'!N2010</x:f>
        <x:v>0</x:v>
      </x:c>
      <x:c r="K29" s="20" t="n">
        <x:f>'Ledger'!O2010</x:f>
        <x:v>0</x:v>
      </x:c>
      <x:c r="L29" s="2"/>
    </x:row>
    <x:row r="30" ht="21" customHeight="1">
      <x:c r="A30" s="2"/>
      <x:c r="B30" s="2"/>
      <x:c r="C30" s="20" t="n">
        <x:f>'Ledger'!C2011</x:f>
        <x:v>2023</x:v>
      </x:c>
      <x:c r="D30" s="20" t="str">
        <x:f>'Ledger'!D2011</x:f>
        <x:v>unhedged</x:v>
      </x:c>
      <x:c r="E30" s="32" t="n">
        <x:f>'Ledger'!I2011</x:f>
        <x:v>416898.8094596807</x:v>
      </x:c>
      <x:c r="F30" s="22" t="n">
        <x:f>'Ledger'!J2011</x:f>
        <x:v>0.03585087286752792</x:v>
      </x:c>
      <x:c r="G30" s="22" t="n">
        <x:f>'Ledger'!K2011</x:f>
        <x:v>-0.04700637065293478</x:v>
      </x:c>
      <x:c r="H30" s="32" t="n">
        <x:f>'Ledger'!L2011</x:f>
        <x:v>1042.869342122179</x:v>
      </x:c>
      <x:c r="I30" s="32" t="n">
        <x:f>'Ledger'!M2011</x:f>
        <x:v>0</x:v>
      </x:c>
      <x:c r="J30" s="20" t="n">
        <x:f>'Ledger'!N2011</x:f>
        <x:v>0</x:v>
      </x:c>
      <x:c r="K30" s="20" t="n">
        <x:f>'Ledger'!O2011</x:f>
        <x:v>0</x:v>
      </x:c>
      <x:c r="L30" s="2"/>
    </x:row>
    <x:row r="31" ht="21" customHeight="1">
      <x:c r="A31" s="2"/>
      <x:c r="B31" s="2"/>
      <x:c r="C31" s="20" t="n">
        <x:f>'Ledger'!C2012</x:f>
        <x:v>2023</x:v>
      </x:c>
      <x:c r="D31" s="20" t="str">
        <x:f>'Ledger'!D2012</x:f>
        <x:v>duration</x:v>
      </x:c>
      <x:c r="E31" s="32" t="n">
        <x:f>'Ledger'!I2012</x:f>
        <x:v>335615.6520994585</x:v>
      </x:c>
      <x:c r="F31" s="22" t="n">
        <x:f>'Ledger'!J2012</x:f>
        <x:v>0.02886099408958332</x:v>
      </x:c>
      <x:c r="G31" s="22" t="n">
        <x:f>'Ledger'!K2012</x:f>
        <x:v>-0.00197208822742323</x:v>
      </x:c>
      <x:c r="H31" s="32" t="n">
        <x:f>'Ledger'!L2012</x:f>
        <x:v>1748.1034567624336</x:v>
      </x:c>
      <x:c r="I31" s="32" t="n">
        <x:f>'Ledger'!M2012</x:f>
        <x:v>0</x:v>
      </x:c>
      <x:c r="J31" s="20" t="n">
        <x:f>'Ledger'!N2012</x:f>
        <x:v>0</x:v>
      </x:c>
      <x:c r="K31" s="20" t="n">
        <x:f>'Ledger'!O2012</x:f>
        <x:v>0</x:v>
      </x:c>
      <x:c r="L31" s="2"/>
    </x:row>
    <x:row r="32" ht="21" customHeight="1">
      <x:c r="A32" s="2"/>
      <x:c r="B32" s="2"/>
      <x:c r="C32" s="20" t="n">
        <x:f>'Ledger'!C2013</x:f>
        <x:v>2023</x:v>
      </x:c>
      <x:c r="D32" s="20" t="str">
        <x:f>'Ledger'!D2013</x:f>
        <x:v>unweighted</x:v>
      </x:c>
      <x:c r="E32" s="32" t="n">
        <x:f>'Ledger'!I2013</x:f>
        <x:v>244383.7332627084</x:v>
      </x:c>
      <x:c r="F32" s="22" t="n">
        <x:f>'Ledger'!J2013</x:f>
        <x:v>0.021015579688146237</x:v>
      </x:c>
      <x:c r="G32" s="22" t="n">
        <x:f>'Ledger'!K2013</x:f>
        <x:v>-0.0001875107295273848</x:v>
      </x:c>
      <x:c r="H32" s="32" t="n">
        <x:f>'Ledger'!L2013</x:f>
        <x:v>2359.6687749452235</x:v>
      </x:c>
      <x:c r="I32" s="32" t="n">
        <x:f>'Ledger'!M2013</x:f>
        <x:v>0</x:v>
      </x:c>
      <x:c r="J32" s="20" t="n">
        <x:f>'Ledger'!N2013</x:f>
        <x:v>0</x:v>
      </x:c>
      <x:c r="K32" s="20" t="n">
        <x:f>'Ledger'!O2013</x:f>
        <x:v>0</x:v>
      </x:c>
      <x:c r="L32" s="2"/>
    </x:row>
    <x:row r="33" ht="21" customHeight="1">
      <x:c r="A33" s="2"/>
      <x:c r="B33" s="2"/>
      <x:c r="C33" s="20" t="n">
        <x:f>'Ledger'!C2014</x:f>
        <x:v>2023</x:v>
      </x:c>
      <x:c r="D33" s="20" t="str">
        <x:f>'Ledger'!D2014</x:f>
        <x:v>constrained</x:v>
      </x:c>
      <x:c r="E33" s="32" t="n">
        <x:f>'Ledger'!I2014</x:f>
        <x:v>224788.65357120708</x:v>
      </x:c>
      <x:c r="F33" s="22" t="n">
        <x:f>'Ledger'!J2014</x:f>
        <x:v>0.019330516802599586</x:v>
      </x:c>
      <x:c r="G33" s="22" t="n">
        <x:f>'Ledger'!K2014</x:f>
        <x:v>-0.0001799447428899592</x:v>
      </x:c>
      <x:c r="H33" s="32" t="n">
        <x:f>'Ledger'!L2014</x:f>
        <x:v>2235.87682307701</x:v>
      </x:c>
      <x:c r="I33" s="32" t="n">
        <x:f>'Ledger'!M2014</x:f>
        <x:v>0</x:v>
      </x:c>
      <x:c r="J33" s="20" t="n">
        <x:f>'Ledger'!N2014</x:f>
        <x:v>0</x:v>
      </x:c>
      <x:c r="K33" s="20" t="n">
        <x:f>'Ledger'!O2014</x:f>
        <x:v>0</x:v>
      </x:c>
      <x:c r="L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1" customHeight="1">
      <x:c r="A36" s="2"/>
      <x:c r="B36" s="2"/>
      <x:c r="C36" s="7" t="str">
        <x:v>Faces and hedge positions update current value, exposure and limit formulas. Python regeneration is required to reoptimize.</x:v>
      </x:c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1" customHeight="1">
      <x:c r="A37" s="2"/>
      <x:c r="B37" s="2"/>
      <x:c r="C37" s="7" t="str">
        <x:v>Historical results include dated coupons, principal, cash, funding and costs under the displayed assumptions.</x:v>
      </x:c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1" customHeight="1">
      <x:c r="A38" s="2"/>
      <x:c r="B38" s="2"/>
      <x:c r="C38" s="7" t="str">
        <x:v>Fitted GSW curve prices are not market quotes. Current source vintage includes revisions to historical observations.</x:v>
      </x:c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conditionalFormatting sqref="D20:D21">
    <x:cfRule type="expression" dxfId="2" priority="1">
      <x:formula>D20&gt;0.01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76875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3" hidden="0" customWidth="1"/>
    <x:col min="12" max="12" width="23" hidden="0" customWidth="1"/>
    <x:col min="13" max="13" width="3" hidden="0" customWidth="1"/>
    <x:col min="14" max="14" width="25" hidden="0" customWidth="1"/>
    <x:col min="15" max="15" width="2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2"/>
      <x:c r="B2" s="2"/>
      <x:c r="C2" s="3" t="str">
        <x:v>Key-rate exposure and variance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1" customHeight="1">
      <x:c r="A4" s="2"/>
      <x:c r="B4" s="2"/>
      <x:c r="C4" s="7" t="str">
        <x:v>DV01 is dollar loss for a +1 bp yield change. Residual exposure includes the signed hedge positions.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3" customHeight="1">
      <x:c r="A7" s="2"/>
      <x:c r="B7" s="2"/>
      <x:c r="C7" s="13" t="str">
        <x:v>Node (years)</x:v>
      </x:c>
      <x:c r="D7" s="14" t="str">
        <x:v>Target DV01</x:v>
      </x:c>
      <x:c r="E7" s="14" t="str">
        <x:v>91282CNM9</x:v>
      </x:c>
      <x:c r="F7" s="14" t="str">
        <x:v>91282CLM1</x:v>
      </x:c>
      <x:c r="G7" s="14" t="str">
        <x:v>91282CNT4</x:v>
      </x:c>
      <x:c r="H7" s="14" t="str">
        <x:v>912810UN6</x:v>
      </x:c>
      <x:c r="I7" s="14" t="str">
        <x:v>912810UM8</x:v>
      </x:c>
      <x:c r="J7" s="14" t="str">
        <x:v>Residual DV01</x:v>
      </x:c>
      <x:c r="K7" s="30" t="str">
        <x:v>Covariance × residual</x:v>
      </x:c>
      <x:c r="L7" s="30" t="str">
        <x:v>Variance contribution</x:v>
      </x:c>
      <x:c r="M7" s="35"/>
      <x:c r="N7" s="30" t="str">
        <x:v>Covariance × target</x:v>
      </x:c>
      <x:c r="O7" s="29" t="str">
        <x:v>Target variance contribution</x:v>
      </x:c>
    </x:row>
    <x:row r="8" ht="21" customHeight="1">
      <x:c r="A8" s="2"/>
      <x:c r="B8" s="2"/>
      <x:c r="C8" s="2" t="n">
        <x:v>0.5</x:v>
      </x:c>
      <x:c r="D8" s="36" t="n">
        <x:f>'Inputs'!D43*'Inputs'!$E$10/100+'Inputs'!E43*'Inputs'!$E$11/100+'Inputs'!F43*'Inputs'!$E$12/100</x:f>
        <x:v>75.57774120286354</x:v>
      </x:c>
      <x:c r="E8" s="36" t="n">
        <x:f>'Inputs'!H43*'Inputs'!$E$24/100</x:f>
        <x:v>-2.049618551880046</x:v>
      </x:c>
      <x:c r="F8" s="36" t="n">
        <x:f>'Inputs'!I43*'Inputs'!$E$25/100</x:f>
        <x:v>-4.319458933897332</x:v>
      </x:c>
      <x:c r="G8" s="36" t="n">
        <x:f>'Inputs'!J43*'Inputs'!$E$26/100</x:f>
        <x:v>-6.426239116226424</x:v>
      </x:c>
      <x:c r="H8" s="36" t="n">
        <x:f>'Inputs'!K43*'Inputs'!$E$27/100</x:f>
        <x:v>0.6799996230570031</x:v>
      </x:c>
      <x:c r="I8" s="36" t="n">
        <x:f>'Inputs'!L43*'Inputs'!$E$28/100</x:f>
        <x:v>-0.15750534511901707</x:v>
      </x:c>
      <x:c r="J8" s="33" t="n">
        <x:f>SUM(D8:I8)</x:f>
        <x:v>63.30491887879771</x:v>
      </x:c>
      <x:c r="K8" s="36" t="n">
        <x:f>SUMPRODUCT('Inputs'!D$59:D$67,$J$8:$J$16)</x:f>
        <x:v>888.0901644025005</x:v>
      </x:c>
      <x:c r="L8" s="33" t="n">
        <x:f>J8*K8</x:f>
        <x:v>56220.47581455841</x:v>
      </x:c>
      <x:c r="M8" s="37"/>
      <x:c r="N8" s="36" t="n">
        <x:f>SUMPRODUCT('Inputs'!D$59:D$67,$D$8:$D$16)</x:f>
        <x:v>49625.643045242614</x:v>
      </x:c>
      <x:c r="O8" s="33" t="n">
        <x:f>D8*N8</x:f>
        <x:v>3750594.007099031</x:v>
      </x:c>
    </x:row>
    <x:row r="9" ht="21" customHeight="1">
      <x:c r="A9" s="2"/>
      <x:c r="B9" s="2"/>
      <x:c r="C9" s="2" t="n">
        <x:v>1</x:v>
      </x:c>
      <x:c r="D9" s="36" t="n">
        <x:f>'Inputs'!D44*'Inputs'!$E$10/100+'Inputs'!E44*'Inputs'!$E$11/100+'Inputs'!F44*'Inputs'!$E$12/100</x:f>
        <x:v>129.9023296898838</x:v>
      </x:c>
      <x:c r="E9" s="36" t="n">
        <x:f>'Inputs'!H44*'Inputs'!$E$24/100</x:f>
        <x:v>-60.085760043825054</x:v>
      </x:c>
      <x:c r="F9" s="36" t="n">
        <x:f>'Inputs'!I44*'Inputs'!$E$25/100</x:f>
        <x:v>-14.194464912951053</x:v>
      </x:c>
      <x:c r="G9" s="36" t="n">
        <x:f>'Inputs'!J44*'Inputs'!$E$26/100</x:f>
        <x:v>-18.42955366107643</x:v>
      </x:c>
      <x:c r="H9" s="36" t="n">
        <x:f>'Inputs'!K44*'Inputs'!$E$27/100</x:f>
        <x:v>1.9501436713297937</x:v>
      </x:c>
      <x:c r="I9" s="36" t="n">
        <x:f>'Inputs'!L44*'Inputs'!$E$28/100</x:f>
        <x:v>-0.45170326801694993</x:v>
      </x:c>
      <x:c r="J9" s="33" t="n">
        <x:f>SUM(D9:I9)</x:f>
        <x:v>38.690991475344106</x:v>
      </x:c>
      <x:c r="K9" s="36" t="n">
        <x:f>SUMPRODUCT('Inputs'!E$59:E$67,$J$8:$J$16)</x:f>
        <x:v>326.0689552882368</x:v>
      </x:c>
      <x:c r="L9" s="33" t="n">
        <x:f>J9*K9</x:f>
        <x:v>12615.931169431527</x:v>
      </x:c>
      <x:c r="M9" s="37"/>
      <x:c r="N9" s="36" t="n">
        <x:f>SUMPRODUCT('Inputs'!E$59:E$67,$D$8:$D$16)</x:f>
        <x:v>64656.86838966955</x:v>
      </x:c>
      <x:c r="O9" s="33" t="n">
        <x:f>D9*N9</x:f>
        <x:v>8399077.83427028</x:v>
      </x:c>
    </x:row>
    <x:row r="10" ht="21" customHeight="1">
      <x:c r="A10" s="2"/>
      <x:c r="B10" s="2"/>
      <x:c r="C10" s="2" t="n">
        <x:v>2</x:v>
      </x:c>
      <x:c r="D10" s="36" t="n">
        <x:f>'Inputs'!D45*'Inputs'!$E$10/100+'Inputs'!E45*'Inputs'!$E$11/100+'Inputs'!F45*'Inputs'!$E$12/100</x:f>
        <x:v>74.59444404958049</x:v>
      </x:c>
      <x:c r="E10" s="36" t="n">
        <x:f>'Inputs'!H45*'Inputs'!$E$24/100</x:f>
        <x:v>-240.0534786806381</x:v>
      </x:c>
      <x:c r="F10" s="36" t="n">
        <x:f>'Inputs'!I45*'Inputs'!$E$25/100</x:f>
        <x:v>-30.98013681659522</x:v>
      </x:c>
      <x:c r="G10" s="36" t="n">
        <x:f>'Inputs'!J45*'Inputs'!$E$26/100</x:f>
        <x:v>-40.36637579623367</x:v>
      </x:c>
      <x:c r="H10" s="36" t="n">
        <x:f>'Inputs'!K45*'Inputs'!$E$27/100</x:f>
        <x:v>4.271412848239146</x:v>
      </x:c>
      <x:c r="I10" s="36" t="n">
        <x:f>'Inputs'!L45*'Inputs'!$E$28/100</x:f>
        <x:v>-0.9893687172699162</x:v>
      </x:c>
      <x:c r="J10" s="33" t="n">
        <x:f>SUM(D10:I10)</x:f>
        <x:v>-233.52350311291727</x:v>
      </x:c>
      <x:c r="K10" s="36" t="n">
        <x:f>SUMPRODUCT('Inputs'!F$59:F$67,$J$8:$J$16)</x:f>
        <x:v>-445.58010159341165</x:v>
      </x:c>
      <x:c r="L10" s="33" t="n">
        <x:f>J10*K10</x:f>
        <x:v>104053.42624150305</x:v>
      </x:c>
      <x:c r="M10" s="37"/>
      <x:c r="N10" s="36" t="n">
        <x:f>SUMPRODUCT('Inputs'!F$59:F$67,$D$8:$D$16)</x:f>
        <x:v>85104.24752384264</x:v>
      </x:c>
      <x:c r="O10" s="33" t="n">
        <x:f>D10*N10</x:f>
        <x:v>6348304.030298929</x:v>
      </x:c>
    </x:row>
    <x:row r="11" ht="21" customHeight="1">
      <x:c r="A11" s="2"/>
      <x:c r="B11" s="2"/>
      <x:c r="C11" s="2" t="n">
        <x:v>3</x:v>
      </x:c>
      <x:c r="D11" s="36" t="n">
        <x:f>'Inputs'!D46*'Inputs'!$E$10/100+'Inputs'!E46*'Inputs'!$E$11/100+'Inputs'!F46*'Inputs'!$E$12/100</x:f>
        <x:v>220.69002263350512</x:v>
      </x:c>
      <x:c r="E11" s="36" t="n">
        <x:f>'Inputs'!H46*'Inputs'!$E$24/100</x:f>
        <x:v>0</x:v>
      </x:c>
      <x:c r="F11" s="36" t="n">
        <x:f>'Inputs'!I46*'Inputs'!$E$25/100</x:f>
        <x:v>-72.82500259089493</x:v>
      </x:c>
      <x:c r="G11" s="36" t="n">
        <x:f>'Inputs'!J46*'Inputs'!$E$26/100</x:f>
        <x:v>-94.18410526645928</x:v>
      </x:c>
      <x:c r="H11" s="36" t="n">
        <x:f>'Inputs'!K46*'Inputs'!$E$27/100</x:f>
        <x:v>9.966195612019039</x:v>
      </x:c>
      <x:c r="I11" s="36" t="n">
        <x:f>'Inputs'!L46*'Inputs'!$E$28/100</x:f>
        <x:v>-2.308426396388297</x:v>
      </x:c>
      <x:c r="J11" s="33" t="n">
        <x:f>SUM(D11:I11)</x:f>
        <x:v>61.338683991781636</x:v>
      </x:c>
      <x:c r="K11" s="36" t="n">
        <x:f>SUMPRODUCT('Inputs'!G$59:G$67,$J$8:$J$16)</x:f>
        <x:v>124.91053958997986</x:v>
      </x:c>
      <x:c r="L11" s="33" t="n">
        <x:f>J11*K11</x:f>
        <x:v>7661.848115152704</x:v>
      </x:c>
      <x:c r="M11" s="37"/>
      <x:c r="N11" s="36" t="n">
        <x:f>SUMPRODUCT('Inputs'!G$59:G$67,$D$8:$D$16)</x:f>
        <x:v>97348.40280983284</x:v>
      </x:c>
      <x:c r="O11" s="33" t="n">
        <x:f>D11*N11</x:f>
        <x:v>21483821.219437584</x:v>
      </x:c>
    </x:row>
    <x:row r="12" ht="21" customHeight="1">
      <x:c r="A12" s="2"/>
      <x:c r="B12" s="2"/>
      <x:c r="C12" s="2" t="n">
        <x:v>5</x:v>
      </x:c>
      <x:c r="D12" s="36" t="n">
        <x:f>'Inputs'!D47*'Inputs'!$E$10/100+'Inputs'!E47*'Inputs'!$E$11/100+'Inputs'!F47*'Inputs'!$E$12/100</x:f>
        <x:v>1767.7902508491172</x:v>
      </x:c>
      <x:c r="E12" s="36" t="n">
        <x:f>'Inputs'!H47*'Inputs'!$E$24/100</x:f>
        <x:v>0</x:v>
      </x:c>
      <x:c r="F12" s="36" t="n">
        <x:f>'Inputs'!I47*'Inputs'!$E$25/100</x:f>
        <x:v>-1919.706131378467</x:v>
      </x:c>
      <x:c r="G12" s="36" t="n">
        <x:f>'Inputs'!J47*'Inputs'!$E$26/100</x:f>
        <x:v>-173.2235679240391</x:v>
      </x:c>
      <x:c r="H12" s="36" t="n">
        <x:f>'Inputs'!K47*'Inputs'!$E$27/100</x:f>
        <x:v>18.329844060841516</x:v>
      </x:c>
      <x:c r="I12" s="36" t="n">
        <x:f>'Inputs'!L47*'Inputs'!$E$28/100</x:f>
        <x:v>-4.245661786995694</x:v>
      </x:c>
      <x:c r="J12" s="33" t="n">
        <x:f>SUM(D12:I12)</x:f>
        <x:v>-311.0552661795431</x:v>
      </x:c>
      <x:c r="K12" s="36" t="n">
        <x:f>SUMPRODUCT('Inputs'!H$59:H$67,$J$8:$J$16)</x:f>
        <x:v>-324.7328747555807</x:v>
      </x:c>
      <x:c r="L12" s="33" t="n">
        <x:f>J12*K12</x:f>
        <x:v>101009.87079434539</x:v>
      </x:c>
      <x:c r="M12" s="37"/>
      <x:c r="N12" s="36" t="n">
        <x:f>SUMPRODUCT('Inputs'!H$59:H$67,$D$8:$D$16)</x:f>
        <x:v>109365.651227352</x:v>
      </x:c>
      <x:c r="O12" s="33" t="n">
        <x:f>D12*N12</x:f>
        <x:v>193335532.01747766</x:v>
      </x:c>
    </x:row>
    <x:row r="13" ht="21" customHeight="1">
      <x:c r="A13" s="2"/>
      <x:c r="B13" s="2"/>
      <x:c r="C13" s="2" t="n">
        <x:v>7</x:v>
      </x:c>
      <x:c r="D13" s="36" t="n">
        <x:f>'Inputs'!D48*'Inputs'!$E$10/100+'Inputs'!E48*'Inputs'!$E$11/100+'Inputs'!F48*'Inputs'!$E$12/100</x:f>
        <x:v>2677.822662020617</x:v>
      </x:c>
      <x:c r="E13" s="36" t="n">
        <x:f>'Inputs'!H48*'Inputs'!$E$24/100</x:f>
        <x:v>0</x:v>
      </x:c>
      <x:c r="F13" s="36" t="n">
        <x:f>'Inputs'!I48*'Inputs'!$E$25/100</x:f>
        <x:v>-15.538435029618741</x:v>
      </x:c>
      <x:c r="G13" s="36" t="n">
        <x:f>'Inputs'!J48*'Inputs'!$E$26/100</x:f>
        <x:v>-1362.1709070950199</x:v>
      </x:c>
      <x:c r="H13" s="36" t="n">
        <x:f>'Inputs'!K48*'Inputs'!$E$27/100</x:f>
        <x:v>29.791297622214078</x:v>
      </x:c>
      <x:c r="I13" s="36" t="n">
        <x:f>'Inputs'!L48*'Inputs'!$E$28/100</x:f>
        <x:v>-6.9004282567801685</x:v>
      </x:c>
      <x:c r="J13" s="33" t="n">
        <x:f>SUM(D13:I13)</x:f>
        <x:v>1323.0041892614126</x:v>
      </x:c>
      <x:c r="K13" s="36" t="n">
        <x:f>SUMPRODUCT('Inputs'!I$59:I$67,$J$8:$J$16)</x:f>
        <x:v>2389.6497851993863</x:v>
      </x:c>
      <x:c r="L13" s="33" t="n">
        <x:f>J13*K13</x:f>
        <x:v>3161516.676686423</x:v>
      </x:c>
      <x:c r="M13" s="37"/>
      <x:c r="N13" s="36" t="n">
        <x:f>SUMPRODUCT('Inputs'!I$59:I$67,$D$8:$D$16)</x:f>
        <x:v>110359.50055489947</x:v>
      </x:c>
      <x:c r="O13" s="33" t="n">
        <x:f>D13*N13</x:f>
        <x:v>295523171.5551866</x:v>
      </x:c>
    </x:row>
    <x:row r="14" ht="21" customHeight="1">
      <x:c r="A14" s="2"/>
      <x:c r="B14" s="2"/>
      <x:c r="C14" s="2" t="n">
        <x:v>10</x:v>
      </x:c>
      <x:c r="D14" s="36" t="n">
        <x:f>'Inputs'!D49*'Inputs'!$E$10/100+'Inputs'!E49*'Inputs'!$E$11/100+'Inputs'!F49*'Inputs'!$E$12/100</x:f>
        <x:v>684.7832826808542</x:v>
      </x:c>
      <x:c r="E14" s="36" t="n">
        <x:f>'Inputs'!H49*'Inputs'!$E$24/100</x:f>
        <x:v>0</x:v>
      </x:c>
      <x:c r="F14" s="36" t="n">
        <x:f>'Inputs'!I49*'Inputs'!$E$25/100</x:f>
        <x:v>0</x:v>
      </x:c>
      <x:c r="G14" s="36" t="n">
        <x:f>'Inputs'!J49*'Inputs'!$E$26/100</x:f>
        <x:v>-1968.0690025036754</x:v>
      </x:c>
      <x:c r="H14" s="36" t="n">
        <x:f>'Inputs'!K49*'Inputs'!$E$27/100</x:f>
        <x:v>130.4570528062309</x:v>
      </x:c>
      <x:c r="I14" s="36" t="n">
        <x:f>'Inputs'!L49*'Inputs'!$E$28/100</x:f>
        <x:v>-22.217278596442924</x:v>
      </x:c>
      <x:c r="J14" s="33" t="n">
        <x:f>SUM(D14:I14)</x:f>
        <x:v>-1175.0459456130332</x:v>
      </x:c>
      <x:c r="K14" s="36" t="n">
        <x:f>SUMPRODUCT('Inputs'!J$59:J$67,$J$8:$J$16)</x:f>
        <x:v>-2155.069581769878</x:v>
      </x:c>
      <x:c r="L14" s="33" t="n">
        <x:f>J14*K14</x:f>
        <x:v>2532305.77457267</x:v>
      </x:c>
      <x:c r="M14" s="37"/>
      <x:c r="N14" s="36" t="n">
        <x:f>SUMPRODUCT('Inputs'!J$59:J$67,$D$8:$D$16)</x:f>
        <x:v>99230.84713646589</x:v>
      </x:c>
      <x:c r="O14" s="33" t="n">
        <x:f>D14*N14</x:f>
        <x:v>67951625.24531116</x:v>
      </x:c>
    </x:row>
    <x:row r="15" ht="21" customHeight="1">
      <x:c r="A15" s="2"/>
      <x:c r="B15" s="2"/>
      <x:c r="C15" s="2" t="n">
        <x:v>20</x:v>
      </x:c>
      <x:c r="D15" s="36" t="n">
        <x:f>'Inputs'!D50*'Inputs'!$E$10/100+'Inputs'!E50*'Inputs'!$E$11/100+'Inputs'!F50*'Inputs'!$E$12/100</x:f>
        <x:v>0</x:v>
      </x:c>
      <x:c r="E15" s="36" t="n">
        <x:f>'Inputs'!H50*'Inputs'!$E$24/100</x:f>
        <x:v>0</x:v>
      </x:c>
      <x:c r="F15" s="36" t="n">
        <x:f>'Inputs'!I50*'Inputs'!$E$25/100</x:f>
        <x:v>0</x:v>
      </x:c>
      <x:c r="G15" s="36" t="n">
        <x:f>'Inputs'!J50*'Inputs'!$E$26/100</x:f>
        <x:v>0</x:v>
      </x:c>
      <x:c r="H15" s="36" t="n">
        <x:f>'Inputs'!K50*'Inputs'!$E$27/100</x:f>
        <x:v>349.38937237987693</x:v>
      </x:c>
      <x:c r="I15" s="36" t="n">
        <x:f>'Inputs'!L50*'Inputs'!$E$28/100</x:f>
        <x:v>-42.38978282707101</x:v>
      </x:c>
      <x:c r="J15" s="33" t="n">
        <x:f>SUM(D15:I15)</x:f>
        <x:v>306.9995895528059</x:v>
      </x:c>
      <x:c r="K15" s="36" t="n">
        <x:f>SUMPRODUCT('Inputs'!K$59:K$67,$J$8:$J$16)</x:f>
        <x:v>174.81752126580375</x:v>
      </x:c>
      <x:c r="L15" s="33" t="n">
        <x:f>J15*K15</x:f>
        <x:v>53668.907275240665</x:v>
      </x:c>
      <x:c r="M15" s="37"/>
      <x:c r="N15" s="36" t="n">
        <x:f>SUMPRODUCT('Inputs'!K$59:K$67,$D$8:$D$16)</x:f>
        <x:v>72572.94515122405</x:v>
      </x:c>
      <x:c r="O15" s="33" t="n">
        <x:f>D15*N15</x:f>
        <x:v>0</x:v>
      </x:c>
    </x:row>
    <x:row r="16" ht="21" customHeight="1">
      <x:c r="A16" s="2"/>
      <x:c r="B16" s="2"/>
      <x:c r="C16" s="2" t="n">
        <x:v>30</x:v>
      </x:c>
      <x:c r="D16" s="36" t="n">
        <x:f>'Inputs'!D51*'Inputs'!$E$10/100+'Inputs'!E51*'Inputs'!$E$11/100+'Inputs'!F51*'Inputs'!$E$12/100</x:f>
        <x:v>0</x:v>
      </x:c>
      <x:c r="E16" s="36" t="n">
        <x:f>'Inputs'!H51*'Inputs'!$E$24/100</x:f>
        <x:v>0</x:v>
      </x:c>
      <x:c r="F16" s="36" t="n">
        <x:f>'Inputs'!I51*'Inputs'!$E$25/100</x:f>
        <x:v>0</x:v>
      </x:c>
      <x:c r="G16" s="36" t="n">
        <x:f>'Inputs'!J51*'Inputs'!$E$26/100</x:f>
        <x:v>0</x:v>
      </x:c>
      <x:c r="H16" s="36" t="n">
        <x:f>'Inputs'!K51*'Inputs'!$E$27/100</x:f>
        <x:v>0</x:v>
      </x:c>
      <x:c r="I16" s="36" t="n">
        <x:f>'Inputs'!L51*'Inputs'!$E$28/100</x:f>
        <x:v>-73.71356536297225</x:v>
      </x:c>
      <x:c r="J16" s="33" t="n">
        <x:f>SUM(D16:I16)</x:f>
        <x:v>-73.71356536297225</x:v>
      </x:c>
      <x:c r="K16" s="36" t="n">
        <x:f>SUMPRODUCT('Inputs'!L$59:L$67,$J$8:$J$16)</x:f>
        <x:v>-246.85964032746233</x:v>
      </x:c>
      <x:c r="L16" s="33" t="n">
        <x:f>J16*K16</x:f>
        <x:v>18196.904232758214</x:v>
      </x:c>
      <x:c r="M16" s="37"/>
      <x:c r="N16" s="36" t="n">
        <x:f>SUMPRODUCT('Inputs'!L$59:L$67,$D$8:$D$16)</x:f>
        <x:v>67204.69037742788</x:v>
      </x:c>
      <x:c r="O16" s="33" t="n">
        <x:f>D16*N16</x:f>
        <x:v>0</x:v>
      </x:c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3" customHeight="1">
      <x:c r="A19" s="2"/>
      <x:c r="B19" s="2"/>
      <x:c r="C19" s="9" t="str">
        <x:v>Risk and position totals</x:v>
      </x:c>
      <x:c r="D19" s="9"/>
      <x:c r="E19" s="9"/>
      <x:c r="F19" s="9"/>
      <x:c r="G19" s="9"/>
      <x:c r="H19" s="9"/>
      <x:c r="I19" s="9"/>
      <x:c r="J19" s="9"/>
      <x:c r="K19" s="2"/>
      <x:c r="L19" s="2"/>
      <x:c r="M19" s="2"/>
      <x:c r="N19" s="2"/>
      <x:c r="O19" s="2"/>
    </x:row>
    <x:row r="20" ht="21" customHeight="1">
      <x:c r="A20" s="2"/>
      <x:c r="B20" s="2"/>
      <x:c r="C20" s="2" t="str">
        <x:v>Target parallel DV01</x:v>
      </x:c>
      <x:c r="D20" s="36" t="n">
        <x:f>'Inputs'!D54*'Inputs'!E10/100+'Inputs'!E54*'Inputs'!E11/100+'Inputs'!F54*'Inputs'!E12/100</x:f>
        <x:v>5631.160907518478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1" customHeight="1">
      <x:c r="A21" s="2"/>
      <x:c r="B21" s="2"/>
      <x:c r="C21" s="2" t="str">
        <x:v>Hedge parallel DV01</x:v>
      </x:c>
      <x:c r="D21" s="36" t="n">
        <x:f>'Inputs'!H54*'Inputs'!E24/100+'Inputs'!I54*'Inputs'!E25/100+'Inputs'!J54*'Inputs'!E26/100+'Inputs'!K54*'Inputs'!E27/100+'Inputs'!L54*'Inputs'!E28/100</x:f>
        <x:v>-5631.160907518477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1" customHeight="1">
      <x:c r="A22" s="2"/>
      <x:c r="B22" s="2"/>
      <x:c r="C22" s="41" t="str">
        <x:v>Residual parallel DV01</x:v>
      </x:c>
      <x:c r="D22" s="42" t="n">
        <x:f>SUM(D20:D21)</x:f>
        <x:v>9.094947017729282e-13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1" customHeight="1">
      <x:c r="A23" s="2"/>
      <x:c r="B23" s="2"/>
      <x:c r="C23" s="2" t="str">
        <x:v>Gross hedge face</x:v>
      </x:c>
      <x:c r="D23" s="36" t="n">
        <x:f>SUM('Inputs'!J24:J28)</x:f>
        <x:v>12338035.664763479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1" customHeight="1">
      <x:c r="A24" s="2"/>
      <x:c r="B24" s="2"/>
      <x:c r="C24" s="2" t="str">
        <x:v>Gross face limit</x:v>
      </x:c>
      <x:c r="D24" s="36" t="n">
        <x:f>'Inputs'!D19</x:f>
        <x:v>24000000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1" customHeight="1">
      <x:c r="A25" s="2"/>
      <x:c r="B25" s="2"/>
      <x:c r="C25" s="2" t="str">
        <x:v>Largest absolute hedge face</x:v>
      </x:c>
      <x:c r="D25" s="36" t="n">
        <x:f>MAX('Inputs'!J24:J28)</x:f>
        <x:v>5255725.085535594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1" customHeight="1">
      <x:c r="A26" s="2"/>
      <x:c r="B26" s="2"/>
      <x:c r="C26" s="2" t="str">
        <x:v>Single-position limit</x:v>
      </x:c>
      <x:c r="D26" s="36" t="n">
        <x:f>'Inputs'!D20</x:f>
        <x:v>18000000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1" customHeight="1">
      <x:c r="A27" s="2"/>
      <x:c r="B27" s="2"/>
      <x:c r="C27" s="2" t="str">
        <x:v>Gross limit excess</x:v>
      </x:c>
      <x:c r="D27" s="33" t="n">
        <x:f>MAX(0,D23-D24)</x:f>
        <x:v>0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1" customHeight="1">
      <x:c r="A28" s="2"/>
      <x:c r="B28" s="2"/>
      <x:c r="C28" s="2" t="str">
        <x:v>Single-position limit excess</x:v>
      </x:c>
      <x:c r="D28" s="33" t="n">
        <x:f>MAX(0,D25-D26)</x:f>
        <x:v>0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3" customHeight="1">
      <x:c r="A31" s="2"/>
      <x:c r="B31" s="2"/>
      <x:c r="C31" s="9" t="str">
        <x:v>Frozen-window variance sensitivity</x:v>
      </x:c>
      <x:c r="D31" s="9"/>
      <x:c r="E31" s="9"/>
      <x:c r="F31" s="9"/>
      <x:c r="G31" s="9"/>
      <x:c r="H31" s="9"/>
      <x:c r="I31" s="9"/>
      <x:c r="J31" s="9"/>
      <x:c r="K31" s="2"/>
      <x:c r="L31" s="2"/>
      <x:c r="M31" s="2"/>
      <x:c r="N31" s="2"/>
      <x:c r="O31" s="2"/>
    </x:row>
    <x:row r="32" ht="21" customHeight="1">
      <x:c r="A32" s="2"/>
      <x:c r="B32" s="2"/>
      <x:c r="C32" s="2" t="str">
        <x:v>Target variance (USD squared)</x:v>
      </x:c>
      <x:c r="D32" s="33" t="n">
        <x:f>SUM(O8:O16)</x:f>
        <x:v>596792125.9090812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1" customHeight="1">
      <x:c r="A33" s="2"/>
      <x:c r="B33" s="2"/>
      <x:c r="C33" s="41" t="str">
        <x:v>Residual variance (USD squared)</x:v>
      </x:c>
      <x:c r="D33" s="42" t="n">
        <x:f>SUM(L8:L16)</x:f>
        <x:v>6047249.814902083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1" customHeight="1">
      <x:c r="A34" s="2"/>
      <x:c r="B34" s="2"/>
      <x:c r="C34" s="39" t="str">
        <x:v>Variance reduction</x:v>
      </x:c>
      <x:c r="D34" s="43" t="n">
        <x:f>IF(D32=0,"n.a.",1-D33/D32)</x:f>
        <x:v>0.9898670750628782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1" customHeight="1">
      <x:c r="A35" s="2"/>
      <x:c r="B35" s="2"/>
      <x:c r="C35" s="2" t="str">
        <x:v>Covariance multiplier</x:v>
      </x:c>
      <x:c r="D35" s="38" t="n">
        <x:f>'Inputs'!D18</x:f>
        <x:v>1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21" customHeight="1">
      <x:c r="A36" s="2"/>
      <x:c r="B36" s="2"/>
      <x:c r="C36" s="2" t="str">
        <x:v>Target step standard deviation</x:v>
      </x:c>
      <x:c r="D36" s="33" t="n">
        <x:f>IF(D35&lt;0,"n.a.",SQRT(MAX(0,D32*D35)))</x:f>
        <x:v>24429.32921529122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1" customHeight="1">
      <x:c r="A37" s="2"/>
      <x:c r="B37" s="2"/>
      <x:c r="C37" s="2" t="str">
        <x:v>Residual step standard deviation</x:v>
      </x:c>
      <x:c r="D37" s="33" t="n">
        <x:f>IF(D35&lt;0,"n.a.",SQRT(MAX(0,D33*D35)))</x:f>
        <x:v>2459.115657081237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1" customHeight="1">
      <x:c r="A39" s="2"/>
      <x:c r="B39" s="2"/>
      <x:c r="C39" s="7" t="str">
        <x:v>Variance uses the frozen shrunk covariance and linear key-rate exposure. The multiplier scales covariance, not positions.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1" customHeight="1">
      <x:c r="A40" s="2"/>
      <x:c r="B40" s="2"/>
      <x:c r="C40" s="7" t="str">
        <x:v>The observation step can include weekends and holidays. This is a model forecast, not a daily return estimate.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</x:sheetData>
  <x:conditionalFormatting sqref="D27:D28">
    <x:cfRule type="expression" dxfId="0" priority="1">
      <x:formula>D27&gt;0.01</x:formula>
    </x:cfRule>
  </x:conditionalFormatting>
  <x:conditionalFormatting sqref="D35:D35">
    <x:cfRule type="expression" dxfId="1" priority="2">
      <x:formula>D35&lt;0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EA6B8"/>
  </x:sheetPr>
  <x:sheetViews>
    <x:sheetView showGridLines="0" workbookViewId="0">
      <x:pane xSplit="4" ySplit="9" topLeftCell="E10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9" hidden="0" customWidth="1"/>
    <x:col min="4" max="4" width="3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00" hidden="0" customWidth="1"/>
    <x:col min="14" max="14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2"/>
      <x:c r="B2" s="2"/>
      <x:c r="C2" s="3" t="str">
        <x:v>Portfolio and risk inputs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1" customHeight="1">
      <x:c r="A4" s="2"/>
      <x:c r="B4" s="2"/>
      <x:c r="C4" s="2" t="str">
        <x:v>Curve valuation date</x:v>
      </x:c>
      <x:c r="D4" s="5" t="n">
        <x:v>46290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1" customHeight="1">
      <x:c r="A5" s="2"/>
      <x:c r="B5" s="2"/>
      <x:c r="C5" s="2" t="str">
        <x:v>Fitted continuous zero curve</x:v>
      </x:c>
      <x:c r="D5" s="2"/>
      <x:c r="E5" s="2"/>
      <x:c r="F5" s="2"/>
      <x:c r="G5" s="2"/>
      <x:c r="H5" s="2"/>
      <x:c r="I5" s="2"/>
      <x:c r="J5" s="2"/>
      <x:c r="K5" s="2"/>
      <x:c r="L5" s="2"/>
      <x:c r="M5" s="2" t="str">
        <x:v>https://www.federalreserve.gov/data/nominal-yield-curve.htm</x:v>
      </x:c>
      <x:c r="N5" s="2"/>
    </x:row>
    <x:row r="6" ht="21" customHeight="1">
      <x:c r="A6" s="2"/>
      <x:c r="B6" s="2"/>
      <x:c r="C6" s="7" t="str">
        <x:v>Blue numbers are inputs. Amber faces are editable. Prices and risk vectors remain fixed at the curve date.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3" customHeight="1">
      <x:c r="A8" s="2"/>
      <x:c r="B8" s="2"/>
      <x:c r="C8" s="9" t="str">
        <x:v>Target holdings and curve-implied prices</x:v>
      </x:c>
      <x:c r="D8" s="9"/>
      <x:c r="E8" s="9"/>
      <x:c r="F8" s="9"/>
      <x:c r="G8" s="9"/>
      <x:c r="H8" s="9"/>
      <x:c r="I8" s="9"/>
      <x:c r="J8" s="9"/>
      <x:c r="K8" s="9"/>
      <x:c r="L8" s="2"/>
      <x:c r="M8" s="2"/>
      <x:c r="N8" s="2"/>
    </x:row>
    <x:row r="9" ht="28" customHeight="1">
      <x:c r="A9" s="2"/>
      <x:c r="B9" s="2"/>
      <x:c r="C9" s="13" t="str">
        <x:v>CUSIP</x:v>
      </x:c>
      <x:c r="D9" s="14" t="str">
        <x:v>Security</x:v>
      </x:c>
      <x:c r="E9" s="14" t="str">
        <x:v>Face (USD)</x:v>
      </x:c>
      <x:c r="F9" s="14" t="str">
        <x:v>Coupon</x:v>
      </x:c>
      <x:c r="G9" s="14" t="str">
        <x:v>Maturity</x:v>
      </x:c>
      <x:c r="H9" s="14" t="str">
        <x:v>Dirty / 100</x:v>
      </x:c>
      <x:c r="I9" s="14" t="str">
        <x:v>Clean / 100</x:v>
      </x:c>
      <x:c r="J9" s="14" t="str">
        <x:v>Accrued / 100</x:v>
      </x:c>
      <x:c r="K9" s="15" t="str">
        <x:v>Price basis</x:v>
      </x:c>
      <x:c r="L9" s="2"/>
      <x:c r="M9" s="2"/>
      <x:c r="N9" s="2"/>
    </x:row>
    <x:row r="10" ht="21" customHeight="1">
      <x:c r="A10" s="2"/>
      <x:c r="B10" s="2"/>
      <x:c r="C10" s="2" t="str">
        <x:v>91282CKZ3</x:v>
      </x:c>
      <x:c r="D10" s="2" t="str">
        <x:v>3-Year Note target</x:v>
      </x:c>
      <x:c r="E10" s="18" t="n">
        <x:v>2000000</x:v>
      </x:c>
      <x:c r="F10" s="24" t="n">
        <x:v>0.04375</x:v>
      </x:c>
      <x:c r="G10" s="25" t="n">
        <x:v>46583</x:v>
      </x:c>
      <x:c r="H10" s="26" t="n">
        <x:v>100.73518049679029</x:v>
      </x:c>
      <x:c r="I10" s="26" t="n">
        <x:v>99.87920223592073</x:v>
      </x:c>
      <x:c r="J10" s="26" t="n">
        <x:v>0.8559782608695652</x:v>
      </x:c>
      <x:c r="K10" s="2" t="str">
        <x:v>GSW fitted curve</x:v>
      </x:c>
      <x:c r="L10" s="2"/>
      <x:c r="M10" s="2" t="str">
        <x:v>https://www.treasurydirect.gov/instit/annceresult/press/preanre/2024/R_20240709_3.pdf</x:v>
      </x:c>
      <x:c r="N10" s="2"/>
    </x:row>
    <x:row r="11" ht="21" customHeight="1">
      <x:c r="A11" s="2"/>
      <x:c r="B11" s="2"/>
      <x:c r="C11" s="2" t="str">
        <x:v>91282CLJ8</x:v>
      </x:c>
      <x:c r="D11" s="2" t="str">
        <x:v>7-Year Note target</x:v>
      </x:c>
      <x:c r="E11" s="18" t="n">
        <x:v>4000000</x:v>
      </x:c>
      <x:c r="F11" s="24" t="n">
        <x:v>0.0375</x:v>
      </x:c>
      <x:c r="G11" s="25" t="n">
        <x:v>48091</x:v>
      </x:c>
      <x:c r="H11" s="26" t="n">
        <x:v>94.83190962776628</x:v>
      </x:c>
      <x:c r="I11" s="26" t="n">
        <x:v>94.5729317272138</x:v>
      </x:c>
      <x:c r="J11" s="26" t="n">
        <x:v>0.2589779005524862</x:v>
      </x:c>
      <x:c r="K11" s="2" t="str">
        <x:v>GSW fitted curve</x:v>
      </x:c>
      <x:c r="L11" s="2"/>
      <x:c r="M11" s="2" t="str">
        <x:v>https://www.treasurydirect.gov/instit/annceresult/press/preanre/2024/R_20240829_3.pdf</x:v>
      </x:c>
      <x:c r="N11" s="2"/>
    </x:row>
    <x:row r="12" ht="21" customHeight="1">
      <x:c r="A12" s="2"/>
      <x:c r="B12" s="2"/>
      <x:c r="C12" s="2" t="str">
        <x:v>91282CKQ3</x:v>
      </x:c>
      <x:c r="D12" s="2" t="str">
        <x:v>10-Year Note target</x:v>
      </x:c>
      <x:c r="E12" s="18" t="n">
        <x:v>6000000</x:v>
      </x:c>
      <x:c r="F12" s="24" t="n">
        <x:v>0.04375</x:v>
      </x:c>
      <x:c r="G12" s="25" t="n">
        <x:v>49079</x:v>
      </x:c>
      <x:c r="H12" s="26" t="n">
        <x:v>97.1562267677844</x:v>
      </x:c>
      <x:c r="I12" s="26" t="n">
        <x:v>95.575044702567</x:v>
      </x:c>
      <x:c r="J12" s="26" t="n">
        <x:v>1.5811820652173914</x:v>
      </x:c>
      <x:c r="K12" s="2" t="str">
        <x:v>GSW fitted curve</x:v>
      </x:c>
      <x:c r="L12" s="2"/>
      <x:c r="M12" s="2" t="str">
        <x:v>https://www.treasurydirect.gov/instit/annceresult/press/preanre/2024/R_20240508_2.pdf</x:v>
      </x:c>
      <x:c r="N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1" customHeight="1">
      <x:c r="A14" s="2"/>
      <x:c r="B14" s="2"/>
      <x:c r="C14" s="7" t="str">
        <x:v>Actual Treasury terms. Holdings are hypothetical. Source links document terms, not current market prices.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3" customHeight="1">
      <x:c r="A17" s="2"/>
      <x:c r="B17" s="2"/>
      <x:c r="C17" s="9" t="str">
        <x:v>Position controls</x:v>
      </x:c>
      <x:c r="D17" s="9"/>
      <x:c r="E17" s="9"/>
      <x:c r="F17" s="9"/>
      <x:c r="G17" s="9"/>
      <x:c r="H17" s="9"/>
      <x:c r="I17" s="9"/>
      <x:c r="J17" s="9"/>
      <x:c r="K17" s="9"/>
      <x:c r="L17" s="2"/>
      <x:c r="M17" s="2"/>
      <x:c r="N17" s="2"/>
    </x:row>
    <x:row r="18" ht="21" customHeight="1">
      <x:c r="A18" s="2"/>
      <x:c r="B18" s="2"/>
      <x:c r="C18" s="2" t="str">
        <x:v>Covariance multiplier</x:v>
      </x:c>
      <x:c r="D18" s="19" t="n">
        <x:v>1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1" customHeight="1">
      <x:c r="A19" s="2"/>
      <x:c r="B19" s="2"/>
      <x:c r="C19" s="2" t="str">
        <x:v>Gross hedge face limit</x:v>
      </x:c>
      <x:c r="D19" s="18" t="n">
        <x:v>24000000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1" customHeight="1">
      <x:c r="A20" s="2"/>
      <x:c r="B20" s="2"/>
      <x:c r="C20" s="2" t="str">
        <x:v>Single hedge face limit</x:v>
      </x:c>
      <x:c r="D20" s="18" t="n">
        <x:v>18000000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3" customHeight="1">
      <x:c r="A22" s="2"/>
      <x:c r="B22" s="2"/>
      <x:c r="C22" s="9" t="str">
        <x:v>Constrained hedge positions</x:v>
      </x:c>
      <x:c r="D22" s="9"/>
      <x:c r="E22" s="9"/>
      <x:c r="F22" s="9"/>
      <x:c r="G22" s="9"/>
      <x:c r="H22" s="9"/>
      <x:c r="I22" s="9"/>
      <x:c r="J22" s="9"/>
      <x:c r="K22" s="9"/>
      <x:c r="L22" s="2"/>
      <x:c r="M22" s="2"/>
      <x:c r="N22" s="2"/>
    </x:row>
    <x:row r="23" ht="28" customHeight="1">
      <x:c r="A23" s="2"/>
      <x:c r="B23" s="2"/>
      <x:c r="C23" s="13" t="str">
        <x:v>CUSIP</x:v>
      </x:c>
      <x:c r="D23" s="14" t="str">
        <x:v>Security</x:v>
      </x:c>
      <x:c r="E23" s="14" t="str">
        <x:v>Signed face (USD)</x:v>
      </x:c>
      <x:c r="F23" s="14" t="str">
        <x:v>Coupon</x:v>
      </x:c>
      <x:c r="G23" s="14" t="str">
        <x:v>Maturity</x:v>
      </x:c>
      <x:c r="H23" s="14" t="str">
        <x:v>Dirty / 100</x:v>
      </x:c>
      <x:c r="I23" s="14" t="str">
        <x:v>Position units</x:v>
      </x:c>
      <x:c r="J23" s="14" t="str">
        <x:v>Absolute face</x:v>
      </x:c>
      <x:c r="K23" s="15" t="str">
        <x:v>Price basis</x:v>
      </x:c>
      <x:c r="L23" s="2"/>
      <x:c r="M23" s="2"/>
      <x:c r="N23" s="2"/>
    </x:row>
    <x:row r="24" ht="21" customHeight="1">
      <x:c r="A24" s="2"/>
      <x:c r="B24" s="2"/>
      <x:c r="C24" s="2" t="str">
        <x:v>91282CNM9</x:v>
      </x:c>
      <x:c r="D24" s="2" t="str">
        <x:v>3-Year Note (2Y remaining)</x:v>
      </x:c>
      <x:c r="E24" s="18" t="n">
        <x:v>-1738731.0976602342</x:v>
      </x:c>
      <x:c r="F24" s="24" t="n">
        <x:v>0.03875</x:v>
      </x:c>
      <x:c r="G24" s="25" t="n">
        <x:v>46949</x:v>
      </x:c>
      <x:c r="H24" s="26" t="n">
        <x:v>99.09849931734321</x:v>
      </x:c>
      <x:c r="I24" s="33" t="n">
        <x:f>E24/100</x:f>
        <x:v>-17387.31097660234</x:v>
      </x:c>
      <x:c r="J24" s="32" t="n">
        <x:f>ABS(E24)</x:f>
        <x:v>1738731.0976602342</x:v>
      </x:c>
      <x:c r="K24" s="2" t="str">
        <x:v>GSW fitted curve</x:v>
      </x:c>
      <x:c r="L24" s="2"/>
      <x:c r="M24" s="2" t="str">
        <x:v>https://www.treasurydirect.gov/instit/annceresult/press/preanre/2025/R_20250708_3.pdf</x:v>
      </x:c>
      <x:c r="N24" s="2"/>
    </x:row>
    <x:row r="25" ht="21" customHeight="1">
      <x:c r="A25" s="2"/>
      <x:c r="B25" s="2"/>
      <x:c r="C25" s="2" t="str">
        <x:v>91282CLM1</x:v>
      </x:c>
      <x:c r="D25" s="2" t="str">
        <x:v>7-Year Note (5Y remaining)</x:v>
      </x:c>
      <x:c r="E25" s="18" t="n">
        <x:v>-4743482.396706494</x:v>
      </x:c>
      <x:c r="F25" s="24" t="n">
        <x:v>0.03625</x:v>
      </x:c>
      <x:c r="G25" s="25" t="n">
        <x:v>48121</x:v>
      </x:c>
      <x:c r="H25" s="26" t="n">
        <x:v>95.72487194510204</x:v>
      </x:c>
      <x:c r="I25" s="33" t="n">
        <x:f>E25/100</x:f>
        <x:v>-47434.823967064935</x:v>
      </x:c>
      <x:c r="J25" s="32" t="n">
        <x:f>ABS(E25)</x:f>
        <x:v>4743482.396706494</x:v>
      </x:c>
      <x:c r="K25" s="2" t="str">
        <x:v>GSW fitted curve</x:v>
      </x:c>
      <x:c r="L25" s="2"/>
      <x:c r="M25" s="2" t="str">
        <x:v>https://www.treasurydirect.gov/instit/annceresult/press/preanre/2024/R_20240926_3.pdf</x:v>
      </x:c>
      <x:c r="N25" s="2"/>
    </x:row>
    <x:row r="26" ht="21" customHeight="1">
      <x:c r="A26" s="2"/>
      <x:c r="B26" s="2"/>
      <x:c r="C26" s="2" t="str">
        <x:v>91282CNT4</x:v>
      </x:c>
      <x:c r="D26" s="2" t="str">
        <x:v>10-Year Note</x:v>
      </x:c>
      <x:c r="E26" s="18" t="n">
        <x:v>-5255725.085535594</x:v>
      </x:c>
      <x:c r="F26" s="24" t="n">
        <x:v>0.0425</x:v>
      </x:c>
      <x:c r="G26" s="25" t="n">
        <x:v>49536</x:v>
      </x:c>
      <x:c r="H26" s="26" t="n">
        <x:v>94.18020056948716</x:v>
      </x:c>
      <x:c r="I26" s="33" t="n">
        <x:f>E26/100</x:f>
        <x:v>-52557.250855355946</x:v>
      </x:c>
      <x:c r="J26" s="32" t="n">
        <x:f>ABS(E26)</x:f>
        <x:v>5255725.085535594</x:v>
      </x:c>
      <x:c r="K26" s="2" t="str">
        <x:v>GSW fitted curve</x:v>
      </x:c>
      <x:c r="L26" s="2"/>
      <x:c r="M26" s="2" t="str">
        <x:v>https://www.treasurydirect.gov/instit/annceresult/press/preanre/2025/R_20250806_2.pdf</x:v>
      </x:c>
      <x:c r="N26" s="2"/>
    </x:row>
    <x:row r="27" ht="21" customHeight="1">
      <x:c r="A27" s="2"/>
      <x:c r="B27" s="2"/>
      <x:c r="C27" s="2" t="str">
        <x:v>912810UN6</x:v>
      </x:c>
      <x:c r="D27" s="2" t="str">
        <x:v>20-Year Bond</x:v>
      </x:c>
      <x:c r="E27" s="18" t="n">
        <x:v>484840.3330647613</x:v>
      </x:c>
      <x:c r="F27" s="24" t="n">
        <x:v>0.04875</x:v>
      </x:c>
      <x:c r="G27" s="25" t="n">
        <x:v>53189</x:v>
      </x:c>
      <x:c r="H27" s="26" t="n">
        <x:v>92.98093613076551</x:v>
      </x:c>
      <x:c r="I27" s="33" t="n">
        <x:f>E27/100</x:f>
        <x:v>4848.403330647613</x:v>
      </x:c>
      <x:c r="J27" s="32" t="n">
        <x:f>ABS(E27)</x:f>
        <x:v>484840.3330647613</x:v>
      </x:c>
      <x:c r="K27" s="2" t="str">
        <x:v>GSW fitted curve</x:v>
      </x:c>
      <x:c r="L27" s="2"/>
      <x:c r="M27" s="2" t="str">
        <x:v>https://www.treasurydirect.gov/instit/annceresult/press/preanre/2025/R_20250820_2.pdf</x:v>
      </x:c>
      <x:c r="N27" s="2"/>
    </x:row>
    <x:row r="28" ht="21" customHeight="1">
      <x:c r="A28" s="2"/>
      <x:c r="B28" s="2"/>
      <x:c r="C28" s="2" t="str">
        <x:v>912810UM8</x:v>
      </x:c>
      <x:c r="D28" s="2" t="str">
        <x:v>30-Year Bond</x:v>
      </x:c>
      <x:c r="E28" s="18" t="n">
        <x:v>-115256.75179639706</x:v>
      </x:c>
      <x:c r="F28" s="24" t="n">
        <x:v>0.0475</x:v>
      </x:c>
      <x:c r="G28" s="25" t="n">
        <x:v>56841</x:v>
      </x:c>
      <x:c r="H28" s="26" t="n">
        <x:v>89.24103797343408</x:v>
      </x:c>
      <x:c r="I28" s="33" t="n">
        <x:f>E28/100</x:f>
        <x:v>-1152.5675179639707</x:v>
      </x:c>
      <x:c r="J28" s="32" t="n">
        <x:f>ABS(E28)</x:f>
        <x:v>115256.75179639706</x:v>
      </x:c>
      <x:c r="K28" s="2" t="str">
        <x:v>GSW fitted curve</x:v>
      </x:c>
      <x:c r="L28" s="2"/>
      <x:c r="M28" s="2" t="str">
        <x:v>https://www.treasurydirect.gov/instit/annceresult/press/preanre/2025/R_20250807_3.pdf</x:v>
      </x:c>
      <x:c r="N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1" customHeight="1">
      <x:c r="A30" s="2"/>
      <x:c r="B30" s="2"/>
      <x:c r="C30" s="7" t="str">
        <x:v>Negative face is a short position. Editing faces changes exposure formulas and limits; it does not rerun the optimizer.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1" customHeight="1">
      <x:c r="A31" s="2"/>
      <x:c r="B31" s="2"/>
      <x:c r="C31" s="7" t="str">
        <x:v>Regenerate the Python release to reestimate covariance, optimize positions, reprice cash flows or rerun history.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9" t="str">
        <x:v>Frozen covariance window</x:v>
      </x:c>
      <x:c r="D34" s="9"/>
      <x:c r="E34" s="9"/>
      <x:c r="F34" s="9"/>
      <x:c r="G34" s="9"/>
      <x:c r="H34" s="9"/>
      <x:c r="I34" s="9"/>
      <x:c r="J34" s="9"/>
      <x:c r="K34" s="9"/>
      <x:c r="L34" s="9"/>
      <x:c r="M34" s="2"/>
      <x:c r="N34" s="2"/>
    </x:row>
    <x:row r="35" ht="21" customHeight="1">
      <x:c r="A35" s="2"/>
      <x:c r="B35" s="2"/>
      <x:c r="C35" s="2" t="str">
        <x:v>First level date</x:v>
      </x:c>
      <x:c r="D35" s="5" t="n">
        <x:v>45922</x:v>
      </x:c>
      <x:c r="E35" s="2"/>
      <x:c r="F35" s="7" t="str">
        <x:v>Successive observed curve changes, measured in squared basis points.</x:v>
      </x:c>
      <x:c r="G35" s="2"/>
      <x:c r="H35" s="2"/>
      <x:c r="I35" s="2"/>
      <x:c r="J35" s="2"/>
      <x:c r="K35" s="2"/>
      <x:c r="L35" s="2"/>
      <x:c r="M35" s="2"/>
      <x:c r="N35" s="2"/>
    </x:row>
    <x:row r="36" ht="21" customHeight="1">
      <x:c r="A36" s="2"/>
      <x:c r="B36" s="2"/>
      <x:c r="C36" s="2" t="str">
        <x:v>Last level date</x:v>
      </x:c>
      <x:c r="D36" s="5" t="n">
        <x:v>46289</x:v>
      </x:c>
      <x:c r="E36" s="2"/>
      <x:c r="F36" s="7" t="str">
        <x:v>Current revised source vintage. Frozen covariance is strictly before the decision date.</x:v>
      </x:c>
      <x:c r="G36" s="2"/>
      <x:c r="H36" s="2"/>
      <x:c r="I36" s="2"/>
      <x:c r="J36" s="2"/>
      <x:c r="K36" s="2"/>
      <x:c r="L36" s="2"/>
      <x:c r="M36" s="2"/>
      <x:c r="N36" s="2"/>
    </x:row>
    <x:row r="37" ht="21" customHeight="1">
      <x:c r="A37" s="2"/>
      <x:c r="B37" s="2"/>
      <x:c r="C37" s="2" t="str">
        <x:v>Observed changes</x:v>
      </x:c>
      <x:c r="D37" s="2" t="n">
        <x:v>252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1" customHeight="1">
      <x:c r="A38" s="2"/>
      <x:c r="B38" s="2"/>
      <x:c r="C38" s="2" t="str">
        <x:v>Shrinkage</x:v>
      </x:c>
      <x:c r="D38" s="21" t="n">
        <x:v>0.1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3" customHeight="1">
      <x:c r="A41" s="2"/>
      <x:c r="B41" s="2"/>
      <x:c r="C41" s="9" t="str">
        <x:v>Per-100 key-rate DV01 (USD per 1 bp)</x:v>
      </x:c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2"/>
    </x:row>
    <x:row r="42" ht="28" customHeight="1">
      <x:c r="A42" s="2"/>
      <x:c r="B42" s="2"/>
      <x:c r="C42" s="13" t="str">
        <x:v>Node (years)</x:v>
      </x:c>
      <x:c r="D42" s="14" t="str">
        <x:v>91282CKZ3</x:v>
      </x:c>
      <x:c r="E42" s="14" t="str">
        <x:v>91282CLJ8</x:v>
      </x:c>
      <x:c r="F42" s="15" t="str">
        <x:v>91282CKQ3</x:v>
      </x:c>
      <x:c r="G42" s="2"/>
      <x:c r="H42" s="13" t="str">
        <x:v>91282CNM9</x:v>
      </x:c>
      <x:c r="I42" s="14" t="str">
        <x:v>91282CLM1</x:v>
      </x:c>
      <x:c r="J42" s="14" t="str">
        <x:v>91282CNT4</x:v>
      </x:c>
      <x:c r="K42" s="14" t="str">
        <x:v>912810UN6</x:v>
      </x:c>
      <x:c r="L42" s="15" t="str">
        <x:v>912810UM8</x:v>
      </x:c>
      <x:c r="M42" s="2"/>
      <x:c r="N42" s="2"/>
    </x:row>
    <x:row r="43" ht="21" customHeight="1">
      <x:c r="A43" s="2"/>
      <x:c r="B43" s="2"/>
      <x:c r="C43" s="2" t="n">
        <x:v>0.5</x:v>
      </x:c>
      <x:c r="D43" s="27" t="n">
        <x:v>0.003188129543282514</x:v>
      </x:c>
      <x:c r="E43" s="27" t="n">
        <x:v>0.00010211199950305172</x:v>
      </x:c>
      <x:c r="F43" s="27" t="n">
        <x:v>0.00012884450595151975</x:v>
      </x:c>
      <x:c r="G43" s="2"/>
      <x:c r="H43" s="27" t="n">
        <x:v>0.00011788013423341681</x:v>
      </x:c>
      <x:c r="I43" s="27" t="n">
        <x:v>0.00009106092471000693</x:v>
      </x:c>
      <x:c r="J43" s="27" t="n">
        <x:v>0.0001222712187498587</x:v>
      </x:c>
      <x:c r="K43" s="27" t="n">
        <x:v>0.00014025228032465975</x:v>
      </x:c>
      <x:c r="L43" s="27" t="n">
        <x:v>0.00013665606800827845</x:v>
      </x:c>
      <x:c r="M43" s="2"/>
      <x:c r="N43" s="2"/>
    </x:row>
    <x:row r="44" ht="21" customHeight="1">
      <x:c r="A44" s="2"/>
      <x:c r="B44" s="2"/>
      <x:c r="C44" s="2" t="n">
        <x:v>1</x:v>
      </x:c>
      <x:c r="D44" s="27" t="n">
        <x:v>0.004791200270410911</x:v>
      </x:c>
      <x:c r="E44" s="27" t="n">
        <x:v>0.00030911759169782727</x:v>
      </x:c>
      <x:c r="F44" s="27" t="n">
        <x:v>0.0003618936768958747</x:v>
      </x:c>
      <x:c r="G44" s="2"/>
      <x:c r="H44" s="27" t="n">
        <x:v>0.0034557247020359227</x:v>
      </x:c>
      <x:c r="I44" s="27" t="n">
        <x:v>0.00029924143753135013</x:v>
      </x:c>
      <x:c r="J44" s="27" t="n">
        <x:v>0.000350656728826948</x:v>
      </x:c>
      <x:c r="K44" s="27" t="n">
        <x:v>0.0004022238948238055</x:v>
      </x:c>
      <x:c r="L44" s="27" t="n">
        <x:v>0.0003919104616230129</x:v>
      </x:c>
      <x:c r="M44" s="2"/>
      <x:c r="N44" s="2"/>
    </x:row>
    <x:row r="45" ht="21" customHeight="1">
      <x:c r="A45" s="2"/>
      <x:c r="B45" s="2"/>
      <x:c r="C45" s="2" t="n">
        <x:v>2</x:v>
      </x:c>
      <x:c r="D45" s="27" t="n">
        <x:v>0</x:v>
      </x:c>
      <x:c r="E45" s="27" t="n">
        <x:v>0.0006787778419621304</x:v>
      </x:c>
      <x:c r="F45" s="27" t="n">
        <x:v>0.0007907221728515879</x:v>
      </x:c>
      <x:c r="G45" s="2"/>
      <x:c r="H45" s="27" t="n">
        <x:v>0.013806245198217937</x:v>
      </x:c>
      <x:c r="I45" s="27" t="n">
        <x:v>0.0006531095559267897</x:v>
      </x:c>
      <x:c r="J45" s="27" t="n">
        <x:v>0.0007680458003278545</x:v>
      </x:c>
      <x:c r="K45" s="27" t="n">
        <x:v>0.000880993712144118</x:v>
      </x:c>
      <x:c r="L45" s="27" t="n">
        <x:v>0.0008584041297794442</x:v>
      </x:c>
      <x:c r="M45" s="2"/>
      <x:c r="N45" s="2"/>
    </x:row>
    <x:row r="46" ht="21" customHeight="1">
      <x:c r="A46" s="2"/>
      <x:c r="B46" s="2"/>
      <x:c r="C46" s="2" t="n">
        <x:v>3</x:v>
      </x:c>
      <x:c r="D46" s="27" t="n">
        <x:v>0</x:v>
      </x:c>
      <x:c r="E46" s="27" t="n">
        <x:v>0.002746221103841151</x:v>
      </x:c>
      <x:c r="F46" s="27" t="n">
        <x:v>0.001847352974664318</x:v>
      </x:c>
      <x:c r="G46" s="2"/>
      <x:c r="H46" s="27" t="n">
        <x:v>0</x:v>
      </x:c>
      <x:c r="I46" s="27" t="n">
        <x:v>0.0015352645272059817</x:v>
      </x:c>
      <x:c r="J46" s="27" t="n">
        <x:v>0.0017920287635604382</x:v>
      </x:c>
      <x:c r="K46" s="27" t="n">
        <x:v>0.0020555624052605026</x:v>
      </x:c>
      <x:c r="L46" s="27" t="n">
        <x:v>0.0020028556769204897</x:v>
      </x:c>
      <x:c r="M46" s="2"/>
      <x:c r="N46" s="2"/>
    </x:row>
    <x:row r="47" ht="21" customHeight="1">
      <x:c r="A47" s="2"/>
      <x:c r="B47" s="2"/>
      <x:c r="C47" s="2" t="n">
        <x:v>5</x:v>
      </x:c>
      <x:c r="D47" s="27" t="n">
        <x:v>0</x:v>
      </x:c>
      <x:c r="E47" s="27" t="n">
        <x:v>0.03911474650251279</x:v>
      </x:c>
      <x:c r="F47" s="27" t="n">
        <x:v>0.003386673179143429</x:v>
      </x:c>
      <x:c r="G47" s="2"/>
      <x:c r="H47" s="27" t="n">
        <x:v>0</x:v>
      </x:c>
      <x:c r="I47" s="27" t="n">
        <x:v>0.0404703964477946</x:v>
      </x:c>
      <x:c r="J47" s="27" t="n">
        <x:v>0.003295902375121784</x:v>
      </x:c>
      <x:c r="K47" s="27" t="n">
        <x:v>0.0037805939008777045</x:v>
      </x:c>
      <x:c r="L47" s="27" t="n">
        <x:v>0.003683655595722257</x:v>
      </x:c>
      <x:c r="M47" s="2"/>
      <x:c r="N47" s="2"/>
    </x:row>
    <x:row r="48" ht="21" customHeight="1">
      <x:c r="A48" s="2"/>
      <x:c r="B48" s="2"/>
      <x:c r="C48" s="2" t="n">
        <x:v>7</x:v>
      </x:c>
      <x:c r="D48" s="27" t="n">
        <x:v>0</x:v>
      </x:c>
      <x:c r="E48" s="27" t="n">
        <x:v>0</x:v>
      </x:c>
      <x:c r="F48" s="27" t="n">
        <x:v>0.044630377700343615</x:v>
      </x:c>
      <x:c r="G48" s="2"/>
      <x:c r="H48" s="27" t="n">
        <x:v>0</x:v>
      </x:c>
      <x:c r="I48" s="27" t="n">
        <x:v>0.0003275744217035026</x:v>
      </x:c>
      <x:c r="J48" s="27" t="n">
        <x:v>0.025917849296263284</x:v>
      </x:c>
      <x:c r="K48" s="27" t="n">
        <x:v>0.006144558443374137</x:v>
      </x:c>
      <x:c r="L48" s="27" t="n">
        <x:v>0.005987005662774436</x:v>
      </x:c>
      <x:c r="M48" s="2"/>
      <x:c r="N48" s="2"/>
    </x:row>
    <x:row r="49" ht="21" customHeight="1">
      <x:c r="A49" s="2"/>
      <x:c r="B49" s="2"/>
      <x:c r="C49" s="2" t="n">
        <x:v>10</x:v>
      </x:c>
      <x:c r="D49" s="27" t="n">
        <x:v>0</x:v>
      </x:c>
      <x:c r="E49" s="27" t="n">
        <x:v>0</x:v>
      </x:c>
      <x:c r="F49" s="27" t="n">
        <x:v>0.01141305471134757</x:v>
      </x:c>
      <x:c r="G49" s="2"/>
      <x:c r="H49" s="27" t="n">
        <x:v>0</x:v>
      </x:c>
      <x:c r="I49" s="27" t="n">
        <x:v>0</x:v>
      </x:c>
      <x:c r="J49" s="27" t="n">
        <x:v>0.037446193826234264</x:v>
      </x:c>
      <x:c r="K49" s="27" t="n">
        <x:v>0.02690721953381825</x:v>
      </x:c>
      <x:c r="L49" s="27" t="n">
        <x:v>0.019276335876348583</x:v>
      </x:c>
      <x:c r="M49" s="2"/>
      <x:c r="N49" s="2"/>
    </x:row>
    <x:row r="50" ht="21" customHeight="1">
      <x:c r="A50" s="2"/>
      <x:c r="B50" s="2"/>
      <x:c r="C50" s="2" t="n">
        <x:v>20</x:v>
      </x:c>
      <x:c r="D50" s="27" t="n">
        <x:v>0</x:v>
      </x:c>
      <x:c r="E50" s="27" t="n">
        <x:v>0</x:v>
      </x:c>
      <x:c r="F50" s="27" t="n">
        <x:v>0</x:v>
      </x:c>
      <x:c r="G50" s="2"/>
      <x:c r="H50" s="27" t="n">
        <x:v>0</x:v>
      </x:c>
      <x:c r="I50" s="27" t="n">
        <x:v>0</x:v>
      </x:c>
      <x:c r="J50" s="27" t="n">
        <x:v>0</x:v>
      </x:c>
      <x:c r="K50" s="27" t="n">
        <x:v>0.07206276964858205</x:v>
      </x:c>
      <x:c r="L50" s="27" t="n">
        <x:v>0.03677856799396295</x:v>
      </x:c>
      <x:c r="M50" s="2"/>
      <x:c r="N50" s="2"/>
    </x:row>
    <x:row r="51" ht="21" customHeight="1">
      <x:c r="A51" s="2"/>
      <x:c r="B51" s="2"/>
      <x:c r="C51" s="2" t="n">
        <x:v>30</x:v>
      </x:c>
      <x:c r="D51" s="27" t="n">
        <x:v>0</x:v>
      </x:c>
      <x:c r="E51" s="27" t="n">
        <x:v>0</x:v>
      </x:c>
      <x:c r="F51" s="27" t="n">
        <x:v>0</x:v>
      </x:c>
      <x:c r="G51" s="2"/>
      <x:c r="H51" s="27" t="n">
        <x:v>0</x:v>
      </x:c>
      <x:c r="I51" s="27" t="n">
        <x:v>0</x:v>
      </x:c>
      <x:c r="J51" s="27" t="n">
        <x:v>0</x:v>
      </x:c>
      <x:c r="K51" s="27" t="n">
        <x:v>0</x:v>
      </x:c>
      <x:c r="L51" s="27" t="n">
        <x:v>0.06395596285169347</x:v>
      </x:c>
      <x:c r="M51" s="2"/>
      <x:c r="N51" s="2"/>
    </x:row>
    <x:row r="52" ht="21" customHeight="1">
      <x:c r="A52" s="2"/>
      <x:c r="B52" s="2"/>
      <x:c r="C52" s="2"/>
      <x:c r="D52" s="28"/>
      <x:c r="E52" s="28"/>
      <x:c r="F52" s="28"/>
      <x:c r="G52" s="2"/>
      <x:c r="H52" s="28"/>
      <x:c r="I52" s="28"/>
      <x:c r="J52" s="28"/>
      <x:c r="K52" s="28"/>
      <x:c r="L52" s="28"/>
      <x:c r="M52" s="2"/>
      <x:c r="N52" s="2"/>
    </x:row>
    <x:row r="53" ht="21" customHeight="1">
      <x:c r="A53" s="2"/>
      <x:c r="B53" s="2"/>
      <x:c r="C53" s="2"/>
      <x:c r="D53" s="28"/>
      <x:c r="E53" s="28"/>
      <x:c r="F53" s="28"/>
      <x:c r="G53" s="2"/>
      <x:c r="H53" s="28"/>
      <x:c r="I53" s="28"/>
      <x:c r="J53" s="28"/>
      <x:c r="K53" s="28"/>
      <x:c r="L53" s="28"/>
      <x:c r="M53" s="2"/>
      <x:c r="N53" s="2"/>
    </x:row>
    <x:row r="54" ht="21" customHeight="1">
      <x:c r="A54" s="2"/>
      <x:c r="B54" s="2"/>
      <x:c r="C54" s="2" t="str">
        <x:v>Parallel / 100</x:v>
      </x:c>
      <x:c r="D54" s="27" t="n">
        <x:v>0.007979329819789882</x:v>
      </x:c>
      <x:c r="E54" s="27" t="n">
        <x:v>0.04295097521592339</x:v>
      </x:c>
      <x:c r="F54" s="27" t="n">
        <x:v>0.06255892170809574</x:v>
      </x:c>
      <x:c r="G54" s="2"/>
      <x:c r="H54" s="27" t="n">
        <x:v>0.01737985007760301</x:v>
      </x:c>
      <x:c r="I54" s="27" t="n">
        <x:v>0.04337664739072977</x:v>
      </x:c>
      <x:c r="J54" s="27" t="n">
        <x:v>0.06969295369410133</x:v>
      </x:c>
      <x:c r="K54" s="27" t="n">
        <x:v>0.11237419194485199</x:v>
      </x:c>
      <x:c r="L54" s="27" t="n">
        <x:v>0.13307139945723634</x:v>
      </x:c>
      <x:c r="M54" s="2"/>
      <x:c r="N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9" t="str">
        <x:v>Covariance matrix (bp squared per observed change)</x:v>
      </x:c>
      <x:c r="D57" s="9"/>
      <x:c r="E57" s="9"/>
      <x:c r="F57" s="9"/>
      <x:c r="G57" s="9"/>
      <x:c r="H57" s="9"/>
      <x:c r="I57" s="9"/>
      <x:c r="J57" s="9"/>
      <x:c r="K57" s="9"/>
      <x:c r="L57" s="9"/>
      <x:c r="M57" s="2"/>
      <x:c r="N57" s="2"/>
    </x:row>
    <x:row r="58" ht="28" customHeight="1">
      <x:c r="A58" s="2"/>
      <x:c r="B58" s="2"/>
      <x:c r="C58" s="13" t="str">
        <x:v>Node (years)</x:v>
      </x:c>
      <x:c r="D58" s="14" t="n">
        <x:v>0.5</x:v>
      </x:c>
      <x:c r="E58" s="14" t="n">
        <x:v>1</x:v>
      </x:c>
      <x:c r="F58" s="14" t="n">
        <x:v>2</x:v>
      </x:c>
      <x:c r="G58" s="14" t="n">
        <x:v>3</x:v>
      </x:c>
      <x:c r="H58" s="14" t="n">
        <x:v>5</x:v>
      </x:c>
      <x:c r="I58" s="14" t="n">
        <x:v>7</x:v>
      </x:c>
      <x:c r="J58" s="14" t="n">
        <x:v>10</x:v>
      </x:c>
      <x:c r="K58" s="14" t="n">
        <x:v>20</x:v>
      </x:c>
      <x:c r="L58" s="15" t="n">
        <x:v>30</x:v>
      </x:c>
      <x:c r="M58" s="2"/>
      <x:c r="N58" s="2"/>
    </x:row>
    <x:row r="59" ht="21" customHeight="1">
      <x:c r="A59" s="2"/>
      <x:c r="B59" s="2"/>
      <x:c r="C59" s="2" t="n">
        <x:v>0.5</x:v>
      </x:c>
      <x:c r="D59" s="26" t="n">
        <x:v>11.288890625445417</x:v>
      </x:c>
      <x:c r="E59" s="26" t="n">
        <x:v>8.632404259145085</x:v>
      </x:c>
      <x:c r="F59" s="26" t="n">
        <x:v>8.376663584983682</x:v>
      </x:c>
      <x:c r="G59" s="26" t="n">
        <x:v>8.853907445627788</x:v>
      </x:c>
      <x:c r="H59" s="26" t="n">
        <x:v>9.419071051041668</x:v>
      </x:c>
      <x:c r="I59" s="26" t="n">
        <x:v>8.838391287473039</x:v>
      </x:c>
      <x:c r="J59" s="26" t="n">
        <x:v>6.941870264731115</x:v>
      </x:c>
      <x:c r="K59" s="26" t="n">
        <x:v>3.0618169389992684</x:v>
      </x:c>
      <x:c r="L59" s="26" t="n">
        <x:v>3.9860330441448313</x:v>
      </x:c>
      <x:c r="M59" s="2"/>
      <x:c r="N59" s="2"/>
    </x:row>
    <x:row r="60" ht="21" customHeight="1">
      <x:c r="A60" s="2"/>
      <x:c r="B60" s="2"/>
      <x:c r="C60" s="2" t="n">
        <x:v>1</x:v>
      </x:c>
      <x:c r="D60" s="26" t="n">
        <x:v>8.632404259145085</x:v>
      </x:c>
      <x:c r="E60" s="26" t="n">
        <x:v>11.640513616940387</x:v>
      </x:c>
      <x:c r="F60" s="26" t="n">
        <x:v>11.526762466013396</x:v>
      </x:c>
      <x:c r="G60" s="26" t="n">
        <x:v>12.240105511758639</x:v>
      </x:c>
      <x:c r="H60" s="26" t="n">
        <x:v>12.270999792647089</x:v>
      </x:c>
      <x:c r="I60" s="26" t="n">
        <x:v>11.425816199753308</x:v>
      </x:c>
      <x:c r="J60" s="26" t="n">
        <x:v>9.699938873093958</x:v>
      </x:c>
      <x:c r="K60" s="26" t="n">
        <x:v>5.635441733740204</x:v>
      </x:c>
      <x:c r="L60" s="26" t="n">
        <x:v>4.903544764154432</x:v>
      </x:c>
      <x:c r="M60" s="2"/>
      <x:c r="N60" s="2"/>
    </x:row>
    <x:row r="61" ht="21" customHeight="1">
      <x:c r="A61" s="2"/>
      <x:c r="B61" s="2"/>
      <x:c r="C61" s="2" t="n">
        <x:v>2</x:v>
      </x:c>
      <x:c r="D61" s="26" t="n">
        <x:v>8.376663584983682</x:v>
      </x:c>
      <x:c r="E61" s="26" t="n">
        <x:v>11.526762466013396</x:v>
      </x:c>
      <x:c r="F61" s="26" t="n">
        <x:v>16.591551213268165</x:v>
      </x:c>
      <x:c r="G61" s="26" t="n">
        <x:v>16.11693833316022</x:v>
      </x:c>
      <x:c r="H61" s="26" t="n">
        <x:v>16.10748509534265</x:v>
      </x:c>
      <x:c r="I61" s="26" t="n">
        <x:v>15.128569233674556</x:v>
      </x:c>
      <x:c r="J61" s="26" t="n">
        <x:v>13.424742493477423</x:v>
      </x:c>
      <x:c r="K61" s="26" t="n">
        <x:v>8.946573411122019</x:v>
      </x:c>
      <x:c r="L61" s="26" t="n">
        <x:v>6.95486833613296</x:v>
      </x:c>
      <x:c r="M61" s="2"/>
      <x:c r="N61" s="2"/>
    </x:row>
    <x:row r="62" ht="21" customHeight="1">
      <x:c r="A62" s="2"/>
      <x:c r="B62" s="2"/>
      <x:c r="C62" s="2" t="n">
        <x:v>3</x:v>
      </x:c>
      <x:c r="D62" s="26" t="n">
        <x:v>8.853907445627788</x:v>
      </x:c>
      <x:c r="E62" s="26" t="n">
        <x:v>12.240105511758639</x:v>
      </x:c>
      <x:c r="F62" s="26" t="n">
        <x:v>16.11693833316022</x:v>
      </x:c>
      <x:c r="G62" s="26" t="n">
        <x:v>19.47708649863854</x:v>
      </x:c>
      <x:c r="H62" s="26" t="n">
        <x:v>18.25450315701627</x:v>
      </x:c>
      <x:c r="I62" s="26" t="n">
        <x:v>17.408502100327407</x:v>
      </x:c>
      <x:c r="J62" s="26" t="n">
        <x:v>15.627687864442779</x:v>
      </x:c>
      <x:c r="K62" s="26" t="n">
        <x:v>10.820095245195896</x:v>
      </x:c>
      <x:c r="L62" s="26" t="n">
        <x:v>8.845828124310215</x:v>
      </x:c>
      <x:c r="M62" s="2"/>
      <x:c r="N62" s="2"/>
    </x:row>
    <x:row r="63" ht="21" customHeight="1">
      <x:c r="A63" s="2"/>
      <x:c r="B63" s="2"/>
      <x:c r="C63" s="2" t="n">
        <x:v>5</x:v>
      </x:c>
      <x:c r="D63" s="26" t="n">
        <x:v>9.419071051041668</x:v>
      </x:c>
      <x:c r="E63" s="26" t="n">
        <x:v>12.270999792647089</x:v>
      </x:c>
      <x:c r="F63" s="26" t="n">
        <x:v>16.10748509534265</x:v>
      </x:c>
      <x:c r="G63" s="26" t="n">
        <x:v>18.25450315701627</x:v>
      </x:c>
      <x:c r="H63" s="26" t="n">
        <x:v>21.431101129407875</x:v>
      </x:c>
      <x:c r="I63" s="26" t="n">
        <x:v>19.363554770315428</x:v>
      </x:c>
      <x:c r="J63" s="26" t="n">
        <x:v>17.657812223002736</x:v>
      </x:c>
      <x:c r="K63" s="26" t="n">
        <x:v>12.681231646035513</x:v>
      </x:c>
      <x:c r="L63" s="26" t="n">
        <x:v>11.534021799442181</x:v>
      </x:c>
      <x:c r="M63" s="2"/>
      <x:c r="N63" s="2"/>
    </x:row>
    <x:row r="64" ht="21" customHeight="1">
      <x:c r="A64" s="2"/>
      <x:c r="B64" s="2"/>
      <x:c r="C64" s="2" t="n">
        <x:v>7</x:v>
      </x:c>
      <x:c r="D64" s="26" t="n">
        <x:v>8.838391287473039</x:v>
      </x:c>
      <x:c r="E64" s="26" t="n">
        <x:v>11.425816199753308</x:v>
      </x:c>
      <x:c r="F64" s="26" t="n">
        <x:v>15.128569233674556</x:v>
      </x:c>
      <x:c r="G64" s="26" t="n">
        <x:v>17.408502100327407</x:v>
      </x:c>
      <x:c r="H64" s="26" t="n">
        <x:v>19.363554770315428</x:v>
      </x:c>
      <x:c r="I64" s="26" t="n">
        <x:v>21.13296844364736</x:v>
      </x:c>
      <x:c r="J64" s="26" t="n">
        <x:v>18.131049609245572</x:v>
      </x:c>
      <x:c r="K64" s="26" t="n">
        <x:v>13.57846709926834</x:v>
      </x:c>
      <x:c r="L64" s="26" t="n">
        <x:v>12.840455182911775</x:v>
      </x:c>
      <x:c r="M64" s="2"/>
      <x:c r="N64" s="2"/>
    </x:row>
    <x:row r="65" ht="21" customHeight="1">
      <x:c r="A65" s="2"/>
      <x:c r="B65" s="2"/>
      <x:c r="C65" s="2" t="n">
        <x:v>10</x:v>
      </x:c>
      <x:c r="D65" s="26" t="n">
        <x:v>6.941870264731115</x:v>
      </x:c>
      <x:c r="E65" s="26" t="n">
        <x:v>9.699938873093958</x:v>
      </x:c>
      <x:c r="F65" s="26" t="n">
        <x:v>13.424742493477423</x:v>
      </x:c>
      <x:c r="G65" s="26" t="n">
        <x:v>15.627687864442779</x:v>
      </x:c>
      <x:c r="H65" s="26" t="n">
        <x:v>17.657812223002736</x:v>
      </x:c>
      <x:c r="I65" s="26" t="n">
        <x:v>18.131049609245572</x:v>
      </x:c>
      <x:c r="J65" s="26" t="n">
        <x:v>19.318260417443263</x:v>
      </x:c>
      <x:c r="K65" s="26" t="n">
        <x:v>14.275679414703276</x:v>
      </x:c>
      <x:c r="L65" s="26" t="n">
        <x:v>13.173918855228886</x:v>
      </x:c>
      <x:c r="M65" s="2"/>
      <x:c r="N65" s="2"/>
    </x:row>
    <x:row r="66" ht="21" customHeight="1">
      <x:c r="A66" s="2"/>
      <x:c r="B66" s="2"/>
      <x:c r="C66" s="2" t="n">
        <x:v>20</x:v>
      </x:c>
      <x:c r="D66" s="26" t="n">
        <x:v>3.0618169389992684</x:v>
      </x:c>
      <x:c r="E66" s="26" t="n">
        <x:v>5.635441733740204</x:v>
      </x:c>
      <x:c r="F66" s="26" t="n">
        <x:v>8.946573411122019</x:v>
      </x:c>
      <x:c r="G66" s="26" t="n">
        <x:v>10.820095245195896</x:v>
      </x:c>
      <x:c r="H66" s="26" t="n">
        <x:v>12.681231646035513</x:v>
      </x:c>
      <x:c r="I66" s="26" t="n">
        <x:v>13.57846709926834</x:v>
      </x:c>
      <x:c r="J66" s="26" t="n">
        <x:v>14.275679414703276</x:v>
      </x:c>
      <x:c r="K66" s="26" t="n">
        <x:v>15.734969112909909</x:v>
      </x:c>
      <x:c r="L66" s="26" t="n">
        <x:v>12.037966521940277</x:v>
      </x:c>
      <x:c r="M66" s="2"/>
      <x:c r="N66" s="2"/>
    </x:row>
    <x:row r="67" ht="21" customHeight="1">
      <x:c r="A67" s="2"/>
      <x:c r="B67" s="2"/>
      <x:c r="C67" s="2" t="n">
        <x:v>30</x:v>
      </x:c>
      <x:c r="D67" s="26" t="n">
        <x:v>3.9860330441448313</x:v>
      </x:c>
      <x:c r="E67" s="26" t="n">
        <x:v>4.903544764154432</x:v>
      </x:c>
      <x:c r="F67" s="26" t="n">
        <x:v>6.95486833613296</x:v>
      </x:c>
      <x:c r="G67" s="26" t="n">
        <x:v>8.845828124310215</x:v>
      </x:c>
      <x:c r="H67" s="26" t="n">
        <x:v>11.534021799442181</x:v>
      </x:c>
      <x:c r="I67" s="26" t="n">
        <x:v>12.840455182911775</x:v>
      </x:c>
      <x:c r="J67" s="26" t="n">
        <x:v>13.173918855228886</x:v>
      </x:c>
      <x:c r="K67" s="26" t="n">
        <x:v>12.037966521940277</x:v>
      </x:c>
      <x:c r="L67" s="26" t="n">
        <x:v>16.595764980081665</x:v>
      </x:c>
      <x:c r="M67" s="2"/>
      <x:c r="N67" s="2"/>
    </x:row>
    <x:row r="68" ht="21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1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9" t="str">
        <x:v>Principal components of the unshrunk sample covariance</x:v>
      </x:c>
      <x:c r="D70" s="9"/>
      <x:c r="E70" s="9"/>
      <x:c r="F70" s="9"/>
      <x:c r="G70" s="2"/>
      <x:c r="H70" s="2"/>
      <x:c r="I70" s="2"/>
      <x:c r="J70" s="2"/>
      <x:c r="K70" s="2"/>
      <x:c r="L70" s="2"/>
      <x:c r="M70" s="2"/>
      <x:c r="N70" s="2"/>
    </x:row>
    <x:row r="71" ht="30" customHeight="1">
      <x:c r="A71" s="2"/>
      <x:c r="B71" s="2"/>
      <x:c r="C71" s="13" t="str">
        <x:v>Component</x:v>
      </x:c>
      <x:c r="D71" s="14" t="str">
        <x:v>Eigenvalue</x:v>
      </x:c>
      <x:c r="E71" s="14" t="str">
        <x:v>Variance share</x:v>
      </x:c>
      <x:c r="F71" s="29" t="str">
        <x:v>Cumulative share</x:v>
      </x:c>
      <x:c r="G71" s="2"/>
      <x:c r="H71" s="2"/>
      <x:c r="I71" s="2"/>
      <x:c r="J71" s="2"/>
      <x:c r="K71" s="2"/>
      <x:c r="L71" s="2"/>
      <x:c r="M71" s="2"/>
      <x:c r="N71" s="2"/>
    </x:row>
    <x:row r="72" ht="21" customHeight="1">
      <x:c r="A72" s="2"/>
      <x:c r="B72" s="2"/>
      <x:c r="C72" s="2" t="n">
        <x:v>1</x:v>
      </x:c>
      <x:c r="D72" s="31" t="n">
        <x:v>126.20031930850631</x:v>
      </x:c>
      <x:c r="E72" s="21" t="n">
        <x:v>0.8237021621486422</x:v>
      </x:c>
      <x:c r="F72" s="22" t="n">
        <x:f>SUM($E$72:E72)</x:f>
        <x:v>0.8237021621486422</x:v>
      </x:c>
      <x:c r="G72" s="2"/>
      <x:c r="H72" s="2"/>
      <x:c r="I72" s="2"/>
      <x:c r="J72" s="2"/>
      <x:c r="K72" s="2"/>
      <x:c r="L72" s="2"/>
      <x:c r="M72" s="2"/>
      <x:c r="N72" s="2"/>
    </x:row>
    <x:row r="73" ht="21" customHeight="1">
      <x:c r="A73" s="2"/>
      <x:c r="B73" s="2"/>
      <x:c r="C73" s="2" t="n">
        <x:v>2</x:v>
      </x:c>
      <x:c r="D73" s="31" t="n">
        <x:v>18.46321551270517</x:v>
      </x:c>
      <x:c r="E73" s="21" t="n">
        <x:v>0.12050833643973609</x:v>
      </x:c>
      <x:c r="F73" s="22" t="n">
        <x:f>SUM($E$72:E73)</x:f>
        <x:v>0.9442104985883784</x:v>
      </x:c>
      <x:c r="G73" s="2"/>
      <x:c r="H73" s="2"/>
      <x:c r="I73" s="2"/>
      <x:c r="J73" s="2"/>
      <x:c r="K73" s="2"/>
      <x:c r="L73" s="2"/>
      <x:c r="M73" s="2"/>
      <x:c r="N73" s="2"/>
    </x:row>
    <x:row r="74" ht="21" customHeight="1">
      <x:c r="A74" s="2"/>
      <x:c r="B74" s="2"/>
      <x:c r="C74" s="2" t="n">
        <x:v>3</x:v>
      </x:c>
      <x:c r="D74" s="31" t="n">
        <x:v>5.586501922042918</x:v>
      </x:c>
      <x:c r="E74" s="21" t="n">
        <x:v>0.03646277392361664</x:v>
      </x:c>
      <x:c r="F74" s="22" t="n">
        <x:f>SUM($E$72:E74)</x:f>
        <x:v>0.980673272511995</x:v>
      </x:c>
      <x:c r="G74" s="2"/>
      <x:c r="H74" s="2"/>
      <x:c r="I74" s="2"/>
      <x:c r="J74" s="2"/>
      <x:c r="K74" s="2"/>
      <x:c r="L74" s="2"/>
      <x:c r="M74" s="2"/>
      <x:c r="N74" s="2"/>
    </x:row>
    <x:row r="75" ht="21" customHeight="1">
      <x:c r="A75" s="2"/>
      <x:c r="B75" s="2"/>
      <x:c r="C75" s="2" t="n">
        <x:v>4</x:v>
      </x:c>
      <x:c r="D75" s="31" t="n">
        <x:v>1.569801227869367</x:v>
      </x:c>
      <x:c r="E75" s="21" t="n">
        <x:v>0.010246001536482922</x:v>
      </x:c>
      <x:c r="F75" s="22" t="n">
        <x:f>SUM($E$72:E75)</x:f>
        <x:v>0.9909192740484779</x:v>
      </x:c>
      <x:c r="G75" s="2"/>
      <x:c r="H75" s="2"/>
      <x:c r="I75" s="2"/>
      <x:c r="J75" s="2"/>
      <x:c r="K75" s="2"/>
      <x:c r="L75" s="2"/>
      <x:c r="M75" s="2"/>
      <x:c r="N75" s="2"/>
    </x:row>
    <x:row r="76" ht="21" customHeight="1">
      <x:c r="A76" s="2"/>
      <x:c r="B76" s="2"/>
      <x:c r="C76" s="2" t="n">
        <x:v>5</x:v>
      </x:c>
      <x:c r="D76" s="31" t="n">
        <x:v>1.1779234360276545</x:v>
      </x:c>
      <x:c r="E76" s="21" t="n">
        <x:v>0.007688237925370592</x:v>
      </x:c>
      <x:c r="F76" s="22" t="n">
        <x:f>SUM($E$72:E76)</x:f>
        <x:v>0.9986075119738484</x:v>
      </x:c>
      <x:c r="G76" s="2"/>
      <x:c r="H76" s="2"/>
      <x:c r="I76" s="2"/>
      <x:c r="J76" s="2"/>
      <x:c r="K76" s="2"/>
      <x:c r="L76" s="2"/>
      <x:c r="M76" s="2"/>
      <x:c r="N76" s="2"/>
    </x:row>
    <x:row r="77" ht="21" customHeight="1">
      <x:c r="A77" s="2"/>
      <x:c r="B77" s="2"/>
      <x:c r="C77" s="2" t="n">
        <x:v>6</x:v>
      </x:c>
      <x:c r="D77" s="31" t="n">
        <x:v>0.20694669498820392</x:v>
      </x:c>
      <x:c r="E77" s="21" t="n">
        <x:v>0.0013507290714105937</x:v>
      </x:c>
      <x:c r="F77" s="22" t="n">
        <x:f>SUM($E$72:E77)</x:f>
        <x:v>0.999958241045259</x:v>
      </x:c>
      <x:c r="G77" s="2"/>
      <x:c r="H77" s="2"/>
      <x:c r="I77" s="2"/>
      <x:c r="J77" s="2"/>
      <x:c r="K77" s="2"/>
      <x:c r="L77" s="2"/>
      <x:c r="M77" s="2"/>
      <x:c r="N77" s="2"/>
    </x:row>
    <x:row r="78" ht="21" customHeight="1">
      <x:c r="A78" s="2"/>
      <x:c r="B78" s="2"/>
      <x:c r="C78" s="2" t="n">
        <x:v>7</x:v>
      </x:c>
      <x:c r="D78" s="31" t="n">
        <x:v>0.006347478300950828</x:v>
      </x:c>
      <x:c r="E78" s="21" t="n">
        <x:v>0.00004142962259789127</x:v>
      </x:c>
      <x:c r="F78" s="22" t="n">
        <x:f>SUM($E$72:E78)</x:f>
        <x:v>0.9999996706678569</x:v>
      </x:c>
      <x:c r="G78" s="2"/>
      <x:c r="H78" s="2"/>
      <x:c r="I78" s="2"/>
      <x:c r="J78" s="2"/>
      <x:c r="K78" s="2"/>
      <x:c r="L78" s="2"/>
      <x:c r="M78" s="2"/>
      <x:c r="N78" s="2"/>
    </x:row>
    <x:row r="79" ht="21" customHeight="1">
      <x:c r="A79" s="2"/>
      <x:c r="B79" s="2"/>
      <x:c r="C79" s="2" t="n">
        <x:v>8</x:v>
      </x:c>
      <x:c r="D79" s="31" t="n">
        <x:v>0.00004984436573570961</x:v>
      </x:c>
      <x:c r="E79" s="21" t="n">
        <x:v>3.253312832518668e-7</x:v>
      </x:c>
      <x:c r="F79" s="22" t="n">
        <x:f>SUM($E$72:E79)</x:f>
        <x:v>0.9999999959991401</x:v>
      </x:c>
      <x:c r="G79" s="2"/>
      <x:c r="H79" s="2"/>
      <x:c r="I79" s="2"/>
      <x:c r="J79" s="2"/>
      <x:c r="K79" s="2"/>
      <x:c r="L79" s="2"/>
      <x:c r="M79" s="2"/>
      <x:c r="N79" s="2"/>
    </x:row>
    <x:row r="80" ht="21" customHeight="1">
      <x:c r="A80" s="2"/>
      <x:c r="B80" s="2"/>
      <x:c r="C80" s="2" t="n">
        <x:v>9</x:v>
      </x:c>
      <x:c r="D80" s="31" t="n">
        <x:v>6.129761508975129e-7</x:v>
      </x:c>
      <x:c r="E80" s="21" t="n">
        <x:v>4.000859772831028e-9</x:v>
      </x:c>
      <x:c r="F80" s="22" t="n">
        <x:f>SUM($E$72:E80)</x:f>
        <x:v>0.9999999999999999</x:v>
      </x:c>
      <x:c r="G80" s="2"/>
      <x:c r="H80" s="2"/>
      <x:c r="I80" s="2"/>
      <x:c r="J80" s="2"/>
      <x:c r="K80" s="2"/>
      <x:c r="L80" s="2"/>
      <x:c r="M80" s="2"/>
      <x:c r="N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1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9" t="str">
        <x:v>Independent Treasury auction price inputs</x:v>
      </x:c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2"/>
    </x:row>
    <x:row r="84" ht="33" customHeight="1">
      <x:c r="A84" s="2"/>
      <x:c r="B84" s="2"/>
      <x:c r="C84" s="13" t="str">
        <x:v>CUSIP</x:v>
      </x:c>
      <x:c r="D84" s="14" t="str">
        <x:v>Settlement</x:v>
      </x:c>
      <x:c r="E84" s="30" t="str">
        <x:v>Official clean / 100</x:v>
      </x:c>
      <x:c r="F84" s="30" t="str">
        <x:v>Calculated clean / 100</x:v>
      </x:c>
      <x:c r="G84" s="30" t="str">
        <x:v>Accrued / 100</x:v>
      </x:c>
      <x:c r="H84" s="29" t="str">
        <x:v>Tolerance / 100</x:v>
      </x:c>
      <x:c r="I84" s="2"/>
      <x:c r="J84" s="2"/>
      <x:c r="K84" s="2"/>
      <x:c r="L84" s="2"/>
      <x:c r="M84" s="2"/>
      <x:c r="N84" s="2"/>
    </x:row>
    <x:row r="85" ht="21" customHeight="1">
      <x:c r="A85" s="2"/>
      <x:c r="B85" s="2"/>
      <x:c r="C85" s="2" t="str">
        <x:v>91282CKZ3</x:v>
      </x:c>
      <x:c r="D85" s="5" t="n">
        <x:v>45488</x:v>
      </x:c>
      <x:c r="E85" s="28" t="n">
        <x:v>99.933233</x:v>
      </x:c>
      <x:c r="F85" s="28" t="n">
        <x:v>99.93323304837858</x:v>
      </x:c>
      <x:c r="G85" s="28" t="n">
        <x:v>0</x:v>
      </x:c>
      <x:c r="H85" s="28" t="n">
        <x:v>0.000001</x:v>
      </x:c>
      <x:c r="I85" s="2"/>
      <x:c r="J85" s="2"/>
      <x:c r="K85" s="2"/>
      <x:c r="L85" s="2"/>
      <x:c r="M85" s="2" t="str">
        <x:v>https://www.treasurydirect.gov/instit/annceresult/press/preanre/2024/R_20240709_3.pdf</x:v>
      </x:c>
      <x:c r="N85" s="2"/>
    </x:row>
    <x:row r="86" ht="21" customHeight="1">
      <x:c r="A86" s="2"/>
      <x:c r="B86" s="2"/>
      <x:c r="C86" s="2" t="str">
        <x:v>91282CLJ8</x:v>
      </x:c>
      <x:c r="D86" s="5" t="n">
        <x:v>45538</x:v>
      </x:c>
      <x:c r="E86" s="28" t="n">
        <x:v>99.877512</x:v>
      </x:c>
      <x:c r="F86" s="28" t="n">
        <x:v>99.87751157572555</x:v>
      </x:c>
      <x:c r="G86" s="28" t="n">
        <x:v>0.031077348066298343</x:v>
      </x:c>
      <x:c r="H86" s="28" t="n">
        <x:v>0.000001</x:v>
      </x:c>
      <x:c r="I86" s="2"/>
      <x:c r="J86" s="2"/>
      <x:c r="K86" s="2"/>
      <x:c r="L86" s="2"/>
      <x:c r="M86" s="2" t="str">
        <x:v>https://www.treasurydirect.gov/instit/annceresult/press/preanre/2024/R_20240829_3.pdf</x:v>
      </x:c>
      <x:c r="N86" s="2"/>
    </x:row>
    <x:row r="87" ht="21" customHeight="1">
      <x:c r="A87" s="2"/>
      <x:c r="B87" s="2"/>
      <x:c r="C87" s="2" t="str">
        <x:v>91282CKQ3</x:v>
      </x:c>
      <x:c r="D87" s="5" t="n">
        <x:v>45427</x:v>
      </x:c>
      <x:c r="E87" s="28" t="n">
        <x:v>99.13726</x:v>
      </x:c>
      <x:c r="F87" s="28" t="n">
        <x:v>99.13725952221407</x:v>
      </x:c>
      <x:c r="G87" s="28" t="n">
        <x:v>0</x:v>
      </x:c>
      <x:c r="H87" s="28" t="n">
        <x:v>0.000001</x:v>
      </x:c>
      <x:c r="I87" s="2"/>
      <x:c r="J87" s="2"/>
      <x:c r="K87" s="2"/>
      <x:c r="L87" s="2"/>
      <x:c r="M87" s="2" t="str">
        <x:v>https://www.treasurydirect.gov/instit/annceresult/press/preanre/2024/R_20240508_2.pdf</x:v>
      </x:c>
      <x:c r="N87" s="2"/>
    </x:row>
    <x:row r="88" ht="21" customHeight="1">
      <x:c r="A88" s="2"/>
      <x:c r="B88" s="2"/>
      <x:c r="C88" s="2" t="str">
        <x:v>91282CNM9</x:v>
      </x:c>
      <x:c r="D88" s="5" t="n">
        <x:v>45853</x:v>
      </x:c>
      <x:c r="E88" s="28" t="n">
        <x:v>99.955106</x:v>
      </x:c>
      <x:c r="F88" s="28" t="n">
        <x:v>99.95510601705773</x:v>
      </x:c>
      <x:c r="G88" s="28" t="n">
        <x:v>0</x:v>
      </x:c>
      <x:c r="H88" s="28" t="n">
        <x:v>0.000001</x:v>
      </x:c>
      <x:c r="I88" s="2"/>
      <x:c r="J88" s="2"/>
      <x:c r="K88" s="2"/>
      <x:c r="L88" s="2"/>
      <x:c r="M88" s="2" t="str">
        <x:v>https://www.treasurydirect.gov/instit/annceresult/press/preanre/2025/R_20250708_3.pdf</x:v>
      </x:c>
      <x:c r="N88" s="2"/>
    </x:row>
    <x:row r="89" ht="21" customHeight="1">
      <x:c r="A89" s="2"/>
      <x:c r="B89" s="2"/>
      <x:c r="C89" s="2" t="str">
        <x:v>91282CLM1</x:v>
      </x:c>
      <x:c r="D89" s="5" t="n">
        <x:v>45565</x:v>
      </x:c>
      <x:c r="E89" s="28" t="n">
        <x:v>99.736649</x:v>
      </x:c>
      <x:c r="F89" s="28" t="n">
        <x:v>99.73664879313665</x:v>
      </x:c>
      <x:c r="G89" s="28" t="n">
        <x:v>0</x:v>
      </x:c>
      <x:c r="H89" s="28" t="n">
        <x:v>0.000001</x:v>
      </x:c>
      <x:c r="I89" s="2"/>
      <x:c r="J89" s="2"/>
      <x:c r="K89" s="2"/>
      <x:c r="L89" s="2"/>
      <x:c r="M89" s="2" t="str">
        <x:v>https://www.treasurydirect.gov/instit/annceresult/press/preanre/2024/R_20240926_3.pdf</x:v>
      </x:c>
      <x:c r="N89" s="2"/>
    </x:row>
    <x:row r="90" ht="21" customHeight="1">
      <x:c r="A90" s="2"/>
      <x:c r="B90" s="2"/>
      <x:c r="C90" s="2" t="str">
        <x:v>91282CNT4</x:v>
      </x:c>
      <x:c r="D90" s="5" t="n">
        <x:v>45884</x:v>
      </x:c>
      <x:c r="E90" s="28" t="n">
        <x:v>99.95962</x:v>
      </x:c>
      <x:c r="F90" s="28" t="n">
        <x:v>99.95961995990474</x:v>
      </x:c>
      <x:c r="G90" s="28" t="n">
        <x:v>0</x:v>
      </x:c>
      <x:c r="H90" s="28" t="n">
        <x:v>0.000001</x:v>
      </x:c>
      <x:c r="I90" s="2"/>
      <x:c r="J90" s="2"/>
      <x:c r="K90" s="2"/>
      <x:c r="L90" s="2"/>
      <x:c r="M90" s="2" t="str">
        <x:v>https://www.treasurydirect.gov/instit/annceresult/press/preanre/2025/R_20250806_2.pdf</x:v>
      </x:c>
      <x:c r="N90" s="2"/>
    </x:row>
    <x:row r="91" ht="21" customHeight="1">
      <x:c r="A91" s="2"/>
      <x:c r="B91" s="2"/>
      <x:c r="C91" s="2" t="str">
        <x:v>912810UN6</x:v>
      </x:c>
      <x:c r="D91" s="5" t="n">
        <x:v>45902</x:v>
      </x:c>
      <x:c r="E91" s="28" t="n">
        <x:v>99.982203</x:v>
      </x:c>
      <x:c r="F91" s="28" t="n">
        <x:v>99.98220294129263</x:v>
      </x:c>
      <x:c r="G91" s="28" t="n">
        <x:v>0.23845108695652173</x:v>
      </x:c>
      <x:c r="H91" s="28" t="n">
        <x:v>0.000001</x:v>
      </x:c>
      <x:c r="I91" s="2"/>
      <x:c r="J91" s="2"/>
      <x:c r="K91" s="2"/>
      <x:c r="L91" s="2"/>
      <x:c r="M91" s="2" t="str">
        <x:v>https://www.treasurydirect.gov/instit/annceresult/press/preanre/2025/R_20250820_2.pdf</x:v>
      </x:c>
      <x:c r="N91" s="2"/>
    </x:row>
    <x:row r="92" ht="21" customHeight="1">
      <x:c r="A92" s="2"/>
      <x:c r="B92" s="2"/>
      <x:c r="C92" s="2" t="str">
        <x:v>912810UM8</x:v>
      </x:c>
      <x:c r="D92" s="5" t="n">
        <x:v>45884</x:v>
      </x:c>
      <x:c r="E92" s="28" t="n">
        <x:v>99.005294</x:v>
      </x:c>
      <x:c r="F92" s="28" t="n">
        <x:v>99.00529364214644</x:v>
      </x:c>
      <x:c r="G92" s="28" t="n">
        <x:v>0</x:v>
      </x:c>
      <x:c r="H92" s="28" t="n">
        <x:v>0.000001</x:v>
      </x:c>
      <x:c r="I92" s="2"/>
      <x:c r="J92" s="2"/>
      <x:c r="K92" s="2"/>
      <x:c r="L92" s="2"/>
      <x:c r="M92" s="2" t="str">
        <x:v>https://www.treasurydirect.gov/instit/annceresult/press/preanre/2025/R_20250807_3.pdf</x:v>
      </x:c>
      <x:c r="N92" s="2"/>
    </x:row>
    <x:row r="93" ht="21" customHeight="1">
      <x:c r="A93" s="2"/>
      <x:c r="B93" s="2"/>
      <x:c r="C93" s="2" t="str">
        <x:v>91282CDD0</x:v>
      </x:c>
      <x:c r="D93" s="5" t="n">
        <x:v>44501</x:v>
      </x:c>
      <x:c r="E93" s="28" t="n">
        <x:v>99.789555</x:v>
      </x:c>
      <x:c r="F93" s="28" t="n">
        <x:v>99.7895553985925</x:v>
      </x:c>
      <x:c r="G93" s="28" t="n">
        <x:v>0.0010359116022099447</x:v>
      </x:c>
      <x:c r="H93" s="28" t="n">
        <x:v>0.000001</x:v>
      </x:c>
      <x:c r="I93" s="2"/>
      <x:c r="J93" s="2"/>
      <x:c r="K93" s="2"/>
      <x:c r="L93" s="2"/>
      <x:c r="M93" s="2" t="str">
        <x:v>https://www.treasurydirect.gov/instit/annceresult/press/preanre/2021/R_20211026_2.pdf</x:v>
      </x:c>
      <x:c r="N93" s="2"/>
    </x:row>
    <x:row r="94" ht="21" customHeight="1">
      <x:c r="A94" s="2"/>
      <x:c r="B94" s="2"/>
      <x:c r="C94" s="2" t="str">
        <x:v>91282CDG3</x:v>
      </x:c>
      <x:c r="D94" s="5" t="n">
        <x:v>44501</x:v>
      </x:c>
      <x:c r="E94" s="28" t="n">
        <x:v>99.84504</x:v>
      </x:c>
      <x:c r="F94" s="28" t="n">
        <x:v>99.84504036737037</x:v>
      </x:c>
      <x:c r="G94" s="28" t="n">
        <x:v>0.003107734806629834</x:v>
      </x:c>
      <x:c r="H94" s="28" t="n">
        <x:v>0.000001</x:v>
      </x:c>
      <x:c r="I94" s="2"/>
      <x:c r="J94" s="2"/>
      <x:c r="K94" s="2"/>
      <x:c r="L94" s="2"/>
      <x:c r="M94" s="2" t="str">
        <x:v>https://www.treasurydirect.gov/instit/annceresult/press/preanre/2021/R_20211027_3.pdf</x:v>
      </x:c>
      <x:c r="N94" s="2"/>
    </x:row>
    <x:row r="95" ht="21" customHeight="1">
      <x:c r="A95" s="2"/>
      <x:c r="B95" s="2"/>
      <x:c r="C95" s="2" t="str">
        <x:v>91282CCS8</x:v>
      </x:c>
      <x:c r="D95" s="5" t="n">
        <x:v>44424</x:v>
      </x:c>
      <x:c r="E95" s="28" t="n">
        <x:v>99.16051</x:v>
      </x:c>
      <x:c r="F95" s="28" t="n">
        <x:v>99.16051030903306</x:v>
      </x:c>
      <x:c r="G95" s="28" t="n">
        <x:v>0.0033967391304347825</x:v>
      </x:c>
      <x:c r="H95" s="28" t="n">
        <x:v>0.000001</x:v>
      </x:c>
      <x:c r="I95" s="2"/>
      <x:c r="J95" s="2"/>
      <x:c r="K95" s="2"/>
      <x:c r="L95" s="2"/>
      <x:c r="M95" s="2" t="str">
        <x:v>https://www.treasurydirect.gov/instit/annceresult/press/preanre/2021/R_20210811_2.pdf</x:v>
      </x:c>
      <x:c r="N95" s="2"/>
    </x:row>
    <x:row r="96" ht="21" customHeight="1">
      <x:c r="A96" s="2"/>
      <x:c r="B96" s="2"/>
      <x:c r="C96" s="2" t="str">
        <x:v>91282CDM0</x:v>
      </x:c>
      <x:c r="D96" s="5" t="n">
        <x:v>44530</x:v>
      </x:c>
      <x:c r="E96" s="28" t="n">
        <x:v>99.755904</x:v>
      </x:c>
      <x:c r="F96" s="28" t="n">
        <x:v>99.75590385477098</x:v>
      </x:c>
      <x:c r="G96" s="28" t="n">
        <x:v>0</x:v>
      </x:c>
      <x:c r="H96" s="28" t="n">
        <x:v>0.000001</x:v>
      </x:c>
      <x:c r="I96" s="2"/>
      <x:c r="J96" s="2"/>
      <x:c r="K96" s="2"/>
      <x:c r="L96" s="2"/>
      <x:c r="M96" s="2" t="str">
        <x:v>https://www.treasurydirect.gov/instit/annceresult/press/preanre/2021/R_20211122_2.pdf</x:v>
      </x:c>
      <x:c r="N96" s="2"/>
    </x:row>
    <x:row r="97" ht="21" customHeight="1">
      <x:c r="A97" s="2"/>
      <x:c r="B97" s="2"/>
      <x:c r="C97" s="2" t="str">
        <x:v>91282CDK4</x:v>
      </x:c>
      <x:c r="D97" s="5" t="n">
        <x:v>44530</x:v>
      </x:c>
      <x:c r="E97" s="28" t="n">
        <x:v>99.667191</x:v>
      </x:c>
      <x:c r="F97" s="28" t="n">
        <x:v>99.66719084001461</x:v>
      </x:c>
      <x:c r="G97" s="28" t="n">
        <x:v>0</x:v>
      </x:c>
      <x:c r="H97" s="28" t="n">
        <x:v>0.000001</x:v>
      </x:c>
      <x:c r="I97" s="2"/>
      <x:c r="J97" s="2"/>
      <x:c r="K97" s="2"/>
      <x:c r="L97" s="2"/>
      <x:c r="M97" s="2" t="str">
        <x:v>https://www.treasurydirect.gov/instit/annceresult/press/preanre/2021/R_20211122_4.pdf</x:v>
      </x:c>
      <x:c r="N97" s="2"/>
    </x:row>
    <x:row r="98" ht="21" customHeight="1">
      <x:c r="A98" s="2"/>
      <x:c r="B98" s="2"/>
      <x:c r="C98" s="2" t="str">
        <x:v>91282CDJ7</x:v>
      </x:c>
      <x:c r="D98" s="5" t="n">
        <x:v>44515</x:v>
      </x:c>
      <x:c r="E98" s="28" t="n">
        <x:v>99.35965</x:v>
      </x:c>
      <x:c r="F98" s="28" t="n">
        <x:v>99.35965042931693</x:v>
      </x:c>
      <x:c r="G98" s="28" t="n">
        <x:v>0</x:v>
      </x:c>
      <x:c r="H98" s="28" t="n">
        <x:v>0.000001</x:v>
      </x:c>
      <x:c r="I98" s="2"/>
      <x:c r="J98" s="2"/>
      <x:c r="K98" s="2"/>
      <x:c r="L98" s="2"/>
      <x:c r="M98" s="2" t="str">
        <x:v>https://www.treasurydirect.gov/instit/annceresult/press/preanre/2021/R_20211109_1.pdf</x:v>
      </x:c>
      <x:c r="N98" s="2"/>
    </x:row>
    <x:row r="99" ht="21" customHeight="1">
      <x:c r="A99" s="2"/>
      <x:c r="B99" s="2"/>
      <x:c r="C99" s="2" t="str">
        <x:v>912810TC2</x:v>
      </x:c>
      <x:c r="D99" s="5" t="n">
        <x:v>44530</x:v>
      </x:c>
      <x:c r="E99" s="28" t="n">
        <x:v>98.940421</x:v>
      </x:c>
      <x:c r="F99" s="28" t="n">
        <x:v>98.9404211084565</x:v>
      </x:c>
      <x:c r="G99" s="28" t="n">
        <x:v>0.08287292817679558</x:v>
      </x:c>
      <x:c r="H99" s="28" t="n">
        <x:v>0.000001</x:v>
      </x:c>
      <x:c r="I99" s="2"/>
      <x:c r="J99" s="2"/>
      <x:c r="K99" s="2"/>
      <x:c r="L99" s="2"/>
      <x:c r="M99" s="2" t="str">
        <x:v>https://www.treasurydirect.gov/instit/annceresult/press/preanre/2021/R_20211117_3.pdf</x:v>
      </x:c>
      <x:c r="N99" s="2"/>
    </x:row>
    <x:row r="100" ht="21" customHeight="1">
      <x:c r="A100" s="2"/>
      <x:c r="B100" s="2"/>
      <x:c r="C100" s="2" t="str">
        <x:v>912810TB4</x:v>
      </x:c>
      <x:c r="D100" s="5" t="n">
        <x:v>44515</x:v>
      </x:c>
      <x:c r="E100" s="28" t="n">
        <x:v>98.526943</x:v>
      </x:c>
      <x:c r="F100" s="28" t="n">
        <x:v>98.52694262602252</x:v>
      </x:c>
      <x:c r="G100" s="28" t="n">
        <x:v>0</x:v>
      </x:c>
      <x:c r="H100" s="28" t="n">
        <x:v>0.000001</x:v>
      </x:c>
      <x:c r="I100" s="2"/>
      <x:c r="J100" s="2"/>
      <x:c r="K100" s="2"/>
      <x:c r="L100" s="2"/>
      <x:c r="M100" s="2" t="str">
        <x:v>https://www.treasurydirect.gov/instit/annceresult/press/preanre/2021/R_20211110_4.pdf</x:v>
      </x:c>
      <x:c r="N100" s="2"/>
    </x:row>
    <x:row r="101" ht="21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 ht="21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 ht="21" customHeight="1">
      <x:c r="A103" s="2"/>
      <x:c r="B103" s="2"/>
      <x:c r="C103" s="7" t="str">
        <x:v>Auction YTM validation uses Treasury Appendix B simple first-period interest and semiannual full periods.</x:v>
      </x:c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 ht="21" customHeight="1">
      <x:c r="A104" s="2"/>
      <x:c r="B104" s="2"/>
      <x:c r="C104" s="7" t="str">
        <x:v>Auction prices validate the independent convention implementation. They do not validate latest curve-implied market marks.</x:v>
      </x:c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 ht="23" customHeight="1">
      <x:c r="A107" s="2"/>
      <x:c r="B107" s="2"/>
      <x:c r="C107" s="9" t="str">
        <x:v>Curve source snapshot</x:v>
      </x:c>
      <x:c r="D107" s="9"/>
      <x:c r="E107" s="9"/>
      <x:c r="F107" s="9"/>
      <x:c r="G107" s="9"/>
      <x:c r="H107" s="9"/>
      <x:c r="I107" s="9"/>
      <x:c r="J107" s="9"/>
      <x:c r="K107" s="9"/>
      <x:c r="L107" s="9"/>
      <x:c r="M107" s="2"/>
      <x:c r="N107" s="2"/>
    </x:row>
    <x:row r="108" ht="21" customHeight="1">
      <x:c r="A108" s="2"/>
      <x:c r="B108" s="2"/>
      <x:c r="C108" s="2" t="str">
        <x:v>Vintage</x:v>
      </x:c>
      <x:c r="D108" s="2" t="str">
        <x:v>Downloaded current vintage; historical observations may be revised.</x:v>
      </x:c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 ht="21" customHeight="1">
      <x:c r="A109" s="2"/>
      <x:c r="B109" s="2"/>
      <x:c r="C109" s="2" t="str">
        <x:v>Captured (UTC)</x:v>
      </x:c>
      <x:c r="D109" s="23" t="n">
        <x:v>46297.24069982639</x:v>
      </x:c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 ht="21" customHeight="1">
      <x:c r="A110" s="2"/>
      <x:c r="B110" s="2"/>
      <x:c r="C110" s="2" t="str">
        <x:v>Bytes</x:v>
      </x:c>
      <x:c r="D110" s="2" t="n">
        <x:v>16650134</x:v>
      </x:c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 ht="21" customHeight="1">
      <x:c r="A111" s="2"/>
      <x:c r="B111" s="2"/>
      <x:c r="C111" s="2" t="str">
        <x:v>SHA-256</x:v>
      </x:c>
      <x:c r="D111" s="2" t="str">
        <x:v>379cae673092e64aea0baa58796b276ebc5c9c7f2c342d66e7b1fe1e52fd0421</x:v>
      </x:c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 ht="21" customHeight="1">
      <x:c r="A112" s="2"/>
      <x:c r="B112" s="2"/>
      <x:c r="C112" s="2" t="str">
        <x:v>Source URL</x:v>
      </x:c>
      <x:c r="D112" s="2" t="str">
        <x:v>https://www.federalreserve.gov/data/yield-curve-tables/feds200628.csv</x:v>
      </x:c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 ht="23" customHeight="1">
      <x:c r="A115" s="2"/>
      <x:c r="B115" s="2"/>
      <x:c r="C115" s="9" t="str">
        <x:v>Frozen ledger funding and execution assumptions</x:v>
      </x:c>
      <x:c r="D115" s="9"/>
      <x:c r="E115" s="9"/>
      <x:c r="F115" s="9"/>
      <x:c r="G115" s="9"/>
      <x:c r="H115" s="9"/>
      <x:c r="I115" s="9"/>
      <x:c r="J115" s="9"/>
      <x:c r="K115" s="9"/>
      <x:c r="L115" s="9"/>
      <x:c r="M115" s="2"/>
      <x:c r="N115" s="2"/>
    </x:row>
    <x:row r="116" ht="34" customHeight="1">
      <x:c r="A116" s="2"/>
      <x:c r="B116" s="2"/>
      <x:c r="C116" s="45" t="str">
        <x:v>Year</x:v>
      </x:c>
      <x:c r="D116" s="30" t="str">
        <x:v>Cash rate</x:v>
      </x:c>
      <x:c r="E116" s="30" t="str">
        <x:v>Funding rate</x:v>
      </x:c>
      <x:c r="F116" s="30" t="str">
        <x:v>Trading cost (bp)</x:v>
      </x:c>
      <x:c r="G116" s="30" t="str">
        <x:v>Short margin</x:v>
      </x:c>
      <x:c r="H116" s="30" t="str">
        <x:v>Long haircut</x:v>
      </x:c>
      <x:c r="I116" s="30" t="str">
        <x:v>Unsecured limit</x:v>
      </x:c>
      <x:c r="J116" s="29" t="str">
        <x:v>Day-count basis</x:v>
      </x:c>
      <x:c r="K116" s="2"/>
      <x:c r="L116" s="2"/>
      <x:c r="M116" s="2"/>
      <x:c r="N116" s="2"/>
    </x:row>
    <x:row r="117" ht="21" customHeight="1">
      <x:c r="A117" s="2"/>
      <x:c r="B117" s="2"/>
      <x:c r="C117" s="2" t="n">
        <x:v>2022</x:v>
      </x:c>
      <x:c r="D117" s="21" t="n">
        <x:v>0.02</x:v>
      </x:c>
      <x:c r="E117" s="21" t="n">
        <x:v>0.05</x:v>
      </x:c>
      <x:c r="F117" s="2" t="n">
        <x:v>1</x:v>
      </x:c>
      <x:c r="G117" s="21" t="n">
        <x:v>0.02</x:v>
      </x:c>
      <x:c r="H117" s="21" t="n">
        <x:v>0</x:v>
      </x:c>
      <x:c r="I117" s="2" t="n">
        <x:v>0</x:v>
      </x:c>
      <x:c r="J117" s="2" t="n">
        <x:v>365</x:v>
      </x:c>
      <x:c r="K117" s="2"/>
      <x:c r="L117" s="2"/>
      <x:c r="M117" s="2"/>
      <x:c r="N117" s="2"/>
    </x:row>
    <x:row r="118" ht="21" customHeight="1">
      <x:c r="A118" s="2"/>
      <x:c r="B118" s="2"/>
      <x:c r="C118" s="2" t="n">
        <x:v>2023</x:v>
      </x:c>
      <x:c r="D118" s="21" t="n">
        <x:v>0.02</x:v>
      </x:c>
      <x:c r="E118" s="21" t="n">
        <x:v>0.05</x:v>
      </x:c>
      <x:c r="F118" s="2" t="n">
        <x:v>1</x:v>
      </x:c>
      <x:c r="G118" s="21" t="n">
        <x:v>0.02</x:v>
      </x:c>
      <x:c r="H118" s="21" t="n">
        <x:v>0</x:v>
      </x:c>
      <x:c r="I118" s="2" t="n">
        <x:v>0</x:v>
      </x:c>
      <x:c r="J118" s="2" t="n">
        <x:v>365</x:v>
      </x:c>
      <x:c r="K118" s="2"/>
      <x:c r="L118" s="2"/>
      <x:c r="M118" s="2"/>
      <x:c r="N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 ht="21" customHeight="1">
      <x:c r="A120" s="2"/>
      <x:c r="B120" s="2"/>
      <x:c r="C120" s="7" t="str">
        <x:v>Assumed funding and execution. Revised fitted curves. Historical model wealth is not realized trading performance.</x:v>
      </x:c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 ht="21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 ht="21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 ht="21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</x:row>
    <x:row r="2" ht="30" customHeight="1">
      <x:c r="A2" s="2"/>
      <x:c r="B2" s="2"/>
      <x:c r="C2" s="3" t="str">
        <x:v>Dated cash and financing ledger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</x:row>
    <x:row r="4" ht="21" customHeight="1">
      <x:c r="A4" s="2"/>
      <x:c r="B4" s="2"/>
      <x:c r="C4" s="7" t="str">
        <x:v>Frozen Python export. Excel face edits do not rerun this history. Regenerate the release for new holdings, funding or hedges.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</x:row>
    <x:row r="5" ht="21" customHeight="1">
      <x:c r="A5" s="2"/>
      <x:c r="B5" s="2"/>
      <x:c r="C5" s="7" t="str">
        <x:v>Year summaries are presented on Summary. Funding assumptions are on Inputs. Monthly decisions use strictly prior curves.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</x:row>
    <x:row r="6" ht="52" customHeight="1">
      <x:c r="A6" s="2"/>
      <x:c r="B6" s="2"/>
      <x:c r="C6" s="45" t="str">
        <x:v>period</x:v>
      </x:c>
      <x:c r="D6" s="30" t="str">
        <x:v>date</x:v>
      </x:c>
      <x:c r="E6" s="30" t="str">
        <x:v>method</x:v>
      </x:c>
      <x:c r="F6" s="30" t="str">
        <x:v>cash</x:v>
      </x:c>
      <x:c r="G6" s="30" t="str">
        <x:v>dirty pv</x:v>
      </x:c>
      <x:c r="H6" s="30" t="str">
        <x:v>accrued pv</x:v>
      </x:c>
      <x:c r="I6" s="30" t="str">
        <x:v>clean pv</x:v>
      </x:c>
      <x:c r="J6" s="30" t="str">
        <x:v>long dirty value</x:v>
      </x:c>
      <x:c r="K6" s="30" t="str">
        <x:v>short dirty value</x:v>
      </x:c>
      <x:c r="L6" s="30" t="str">
        <x:v>wealth</x:v>
      </x:c>
      <x:c r="M6" s="30" t="str">
        <x:v>coupon cash</x:v>
      </x:c>
      <x:c r="N6" s="30" t="str">
        <x:v>principal cash</x:v>
      </x:c>
      <x:c r="O6" s="30" t="str">
        <x:v>cash interest</x:v>
      </x:c>
      <x:c r="P6" s="30" t="str">
        <x:v>funding cost</x:v>
      </x:c>
      <x:c r="Q6" s="30" t="str">
        <x:v>transaction cost</x:v>
      </x:c>
      <x:c r="R6" s="30" t="str">
        <x:v>trade cash</x:v>
      </x:c>
      <x:c r="S6" s="30" t="str">
        <x:v>gross dirty turnover</x:v>
      </x:c>
      <x:c r="T6" s="30" t="str">
        <x:v>external cash</x:v>
      </x:c>
      <x:c r="U6" s="30" t="str">
        <x:v>cumulative coupon cash</x:v>
      </x:c>
      <x:c r="V6" s="30" t="str">
        <x:v>cumulative principal cash</x:v>
      </x:c>
      <x:c r="W6" s="30" t="str">
        <x:v>cumulative cash interest</x:v>
      </x:c>
      <x:c r="X6" s="30" t="str">
        <x:v>cumulative funding cost</x:v>
      </x:c>
      <x:c r="Y6" s="30" t="str">
        <x:v>cumulative transaction cost</x:v>
      </x:c>
      <x:c r="Z6" s="30" t="str">
        <x:v>short collateral reserve</x:v>
      </x:c>
      <x:c r="AA6" s="30" t="str">
        <x:v>long haircut reserve</x:v>
      </x:c>
      <x:c r="AB6" s="30" t="str">
        <x:v>required collateral</x:v>
      </x:c>
      <x:c r="AC6" s="30" t="str">
        <x:v>free cash</x:v>
      </x:c>
      <x:c r="AD6" s="30" t="str">
        <x:v>financing gap</x:v>
      </x:c>
      <x:c r="AE6" s="30" t="str">
        <x:v>collateral shortfall</x:v>
      </x:c>
      <x:c r="AF6" s="30" t="str">
        <x:v>collateral breach</x:v>
      </x:c>
      <x:c r="AG6" s="30" t="str">
        <x:v>financing breach</x:v>
      </x:c>
      <x:c r="AH6" s="30" t="str">
        <x:v>cash roll residual</x:v>
      </x:c>
      <x:c r="AI6" s="30" t="str">
        <x:v>audit tolerance</x:v>
      </x:c>
      <x:c r="AJ6" s="29" t="str">
        <x:v>audit status</x:v>
      </x:c>
    </x:row>
    <x:row r="7" ht="21" customHeight="1">
      <x:c r="A7" s="2"/>
      <x:c r="B7" s="2"/>
      <x:c r="C7" s="2" t="str">
        <x:v>2022</x:v>
      </x:c>
      <x:c r="D7" s="5" t="n">
        <x:v>44564</x:v>
      </x:c>
      <x:c r="E7" s="2" t="str">
        <x:v>unhedged</x:v>
      </x:c>
      <x:c r="F7" s="37" t="n">
        <x:v>1198825.2806832744</x:v>
      </x:c>
      <x:c r="G7" s="37" t="n">
        <x:v>11747193.167256752</x:v>
      </x:c>
      <x:c r="H7" s="37" t="n">
        <x:v>38018.180999279364</x:v>
      </x:c>
      <x:c r="I7" s="37" t="n">
        <x:v>11709174.986257473</x:v>
      </x:c>
      <x:c r="J7" s="37" t="n">
        <x:v>11747193.167256752</x:v>
      </x:c>
      <x:c r="K7" s="37" t="n">
        <x:v>0</x:v>
      </x:c>
      <x:c r="L7" s="37" t="n">
        <x:v>12946018.447940025</x:v>
      </x:c>
      <x:c r="M7" s="37" t="n">
        <x:v>0</x:v>
      </x:c>
      <x:c r="N7" s="37" t="n">
        <x:v>0</x:v>
      </x:c>
      <x:c r="O7" s="37" t="n">
        <x:v>0</x:v>
      </x:c>
      <x:c r="P7" s="37" t="n">
        <x:v>0</x:v>
      </x:c>
      <x:c r="Q7" s="37" t="n">
        <x:v>1174.7193167256753</x:v>
      </x:c>
      <x:c r="R7" s="37" t="n">
        <x:v>-11747193.167256752</x:v>
      </x:c>
      <x:c r="S7" s="37" t="n">
        <x:v>11747193.167256752</x:v>
      </x:c>
      <x:c r="T7" s="37" t="n">
        <x:v>12947193.167256752</x:v>
      </x:c>
      <x:c r="U7" s="37" t="n">
        <x:v>0</x:v>
      </x:c>
      <x:c r="V7" s="37" t="n">
        <x:v>0</x:v>
      </x:c>
      <x:c r="W7" s="37" t="n">
        <x:v>0</x:v>
      </x:c>
      <x:c r="X7" s="37" t="n">
        <x:v>0</x:v>
      </x:c>
      <x:c r="Y7" s="37" t="n">
        <x:v>1174.7193167256753</x:v>
      </x:c>
      <x:c r="Z7" s="37" t="n">
        <x:v>0</x:v>
      </x:c>
      <x:c r="AA7" s="37" t="n">
        <x:v>0</x:v>
      </x:c>
      <x:c r="AB7" s="37" t="n">
        <x:v>0</x:v>
      </x:c>
      <x:c r="AC7" s="37" t="n">
        <x:v>1198825.2806832744</x:v>
      </x:c>
      <x:c r="AD7" s="37" t="n">
        <x:v>0</x:v>
      </x:c>
      <x:c r="AE7" s="37" t="n">
        <x:v>0</x:v>
      </x:c>
      <x:c r="AF7" s="47" t="b">
        <x:v>0</x:v>
      </x:c>
      <x:c r="AG7" s="47" t="b">
        <x:v>0</x:v>
      </x:c>
      <x:c r="AH7" s="48" t="n">
        <x:v>-8.751612767810002e-10</x:v>
      </x:c>
      <x:c r="AI7" s="48" t="n">
        <x:v>1.1920928955078125e-7</x:v>
      </x:c>
      <x:c r="AJ7" s="37" t="str">
        <x:v>passed</x:v>
      </x:c>
    </x:row>
    <x:row r="8" ht="21" customHeight="1">
      <x:c r="A8" s="2"/>
      <x:c r="B8" s="2"/>
      <x:c r="C8" s="2" t="str">
        <x:v>2022</x:v>
      </x:c>
      <x:c r="D8" s="5" t="n">
        <x:v>44564</x:v>
      </x:c>
      <x:c r="E8" s="2" t="str">
        <x:v>duration</x:v>
      </x:c>
      <x:c r="F8" s="37" t="n">
        <x:v>9257627.837403174</x:v>
      </x:c>
      <x:c r="G8" s="37" t="n">
        <x:v>3687584.6496850946</x:v>
      </x:c>
      <x:c r="H8" s="37" t="n">
        <x:v>22589.22504698601</x:v>
      </x:c>
      <x:c r="I8" s="37" t="n">
        <x:v>3664995.424638109</x:v>
      </x:c>
      <x:c r="J8" s="37" t="n">
        <x:v>11747193.167256752</x:v>
      </x:c>
      <x:c r="K8" s="37" t="n">
        <x:v>8059608.517571657</x:v>
      </x:c>
      <x:c r="L8" s="37" t="n">
        <x:v>12945212.487088269</x:v>
      </x:c>
      <x:c r="M8" s="37" t="n">
        <x:v>0</x:v>
      </x:c>
      <x:c r="N8" s="37" t="n">
        <x:v>0</x:v>
      </x:c>
      <x:c r="O8" s="37" t="n">
        <x:v>0</x:v>
      </x:c>
      <x:c r="P8" s="37" t="n">
        <x:v>0</x:v>
      </x:c>
      <x:c r="Q8" s="37" t="n">
        <x:v>1980.6801684828408</x:v>
      </x:c>
      <x:c r="R8" s="37" t="n">
        <x:v>-3687584.6496850946</x:v>
      </x:c>
      <x:c r="S8" s="37" t="n">
        <x:v>19806801.684828408</x:v>
      </x:c>
      <x:c r="T8" s="37" t="n">
        <x:v>12947193.167256752</x:v>
      </x:c>
      <x:c r="U8" s="37" t="n">
        <x:v>0</x:v>
      </x:c>
      <x:c r="V8" s="37" t="n">
        <x:v>0</x:v>
      </x:c>
      <x:c r="W8" s="37" t="n">
        <x:v>0</x:v>
      </x:c>
      <x:c r="X8" s="37" t="n">
        <x:v>0</x:v>
      </x:c>
      <x:c r="Y8" s="37" t="n">
        <x:v>1980.6801684828408</x:v>
      </x:c>
      <x:c r="Z8" s="37" t="n">
        <x:v>8220800.6879230905</x:v>
      </x:c>
      <x:c r="AA8" s="37" t="n">
        <x:v>0</x:v>
      </x:c>
      <x:c r="AB8" s="37" t="n">
        <x:v>8220800.6879230905</x:v>
      </x:c>
      <x:c r="AC8" s="37" t="n">
        <x:v>1036827.149480084</x:v>
      </x:c>
      <x:c r="AD8" s="37" t="n">
        <x:v>0</x:v>
      </x:c>
      <x:c r="AE8" s="37" t="n">
        <x:v>0</x:v>
      </x:c>
      <x:c r="AF8" s="47" t="b">
        <x:v>0</x:v>
      </x:c>
      <x:c r="AG8" s="47" t="b">
        <x:v>0</x:v>
      </x:c>
      <x:c r="AH8" s="48" t="n">
        <x:v>-9.981704351957887e-11</x:v>
      </x:c>
      <x:c r="AI8" s="48" t="n">
        <x:v>1.1920928955078125e-7</x:v>
      </x:c>
      <x:c r="AJ8" s="37" t="str">
        <x:v>passed</x:v>
      </x:c>
    </x:row>
    <x:row r="9" ht="21" customHeight="1">
      <x:c r="A9" s="2"/>
      <x:c r="B9" s="2"/>
      <x:c r="C9" s="2" t="str">
        <x:v>2022</x:v>
      </x:c>
      <x:c r="D9" s="5" t="n">
        <x:v>44564</x:v>
      </x:c>
      <x:c r="E9" s="2" t="str">
        <x:v>unweighted</x:v>
      </x:c>
      <x:c r="F9" s="37" t="n">
        <x:v>11948768.719853008</x:v>
      </x:c>
      <x:c r="G9" s="37" t="n">
        <x:v>996174.6262329157</x:v>
      </x:c>
      <x:c r="H9" s="37" t="n">
        <x:v>22761.47864902356</x:v>
      </x:c>
      <x:c r="I9" s="37" t="n">
        <x:v>973413.1475838921</x:v>
      </x:c>
      <x:c r="J9" s="37" t="n">
        <x:v>11747193.167256752</x:v>
      </x:c>
      <x:c r="K9" s="37" t="n">
        <x:v>10751018.541023836</x:v>
      </x:c>
      <x:c r="L9" s="37" t="n">
        <x:v>12944943.346085925</x:v>
      </x:c>
      <x:c r="M9" s="37" t="n">
        <x:v>0</x:v>
      </x:c>
      <x:c r="N9" s="37" t="n">
        <x:v>0</x:v>
      </x:c>
      <x:c r="O9" s="37" t="n">
        <x:v>0</x:v>
      </x:c>
      <x:c r="P9" s="37" t="n">
        <x:v>0</x:v>
      </x:c>
      <x:c r="Q9" s="37" t="n">
        <x:v>2249.8211708280587</x:v>
      </x:c>
      <x:c r="R9" s="37" t="n">
        <x:v>-996174.6262329157</x:v>
      </x:c>
      <x:c r="S9" s="37" t="n">
        <x:v>22498211.708280586</x:v>
      </x:c>
      <x:c r="T9" s="37" t="n">
        <x:v>12947193.167256752</x:v>
      </x:c>
      <x:c r="U9" s="37" t="n">
        <x:v>0</x:v>
      </x:c>
      <x:c r="V9" s="37" t="n">
        <x:v>0</x:v>
      </x:c>
      <x:c r="W9" s="37" t="n">
        <x:v>0</x:v>
      </x:c>
      <x:c r="X9" s="37" t="n">
        <x:v>0</x:v>
      </x:c>
      <x:c r="Y9" s="37" t="n">
        <x:v>2249.8211708280587</x:v>
      </x:c>
      <x:c r="Z9" s="37" t="n">
        <x:v>10966038.911844313</x:v>
      </x:c>
      <x:c r="AA9" s="37" t="n">
        <x:v>0</x:v>
      </x:c>
      <x:c r="AB9" s="37" t="n">
        <x:v>10966038.911844313</x:v>
      </x:c>
      <x:c r="AC9" s="37" t="n">
        <x:v>982729.808008695</x:v>
      </x:c>
      <x:c r="AD9" s="37" t="n">
        <x:v>0</x:v>
      </x:c>
      <x:c r="AE9" s="37" t="n">
        <x:v>0</x:v>
      </x:c>
      <x:c r="AF9" s="47" t="b">
        <x:v>0</x:v>
      </x:c>
      <x:c r="AG9" s="47" t="b">
        <x:v>0</x:v>
      </x:c>
      <x:c r="AH9" s="48" t="n">
        <x:v>-1.3005774235352874e-10</x:v>
      </x:c>
      <x:c r="AI9" s="48" t="n">
        <x:v>1.1920928955078125e-7</x:v>
      </x:c>
      <x:c r="AJ9" s="37" t="str">
        <x:v>passed</x:v>
      </x:c>
    </x:row>
    <x:row r="10" ht="21" customHeight="1">
      <x:c r="A10" s="2"/>
      <x:c r="B10" s="2"/>
      <x:c r="C10" s="2" t="str">
        <x:v>2022</x:v>
      </x:c>
      <x:c r="D10" s="5" t="n">
        <x:v>44564</x:v>
      </x:c>
      <x:c r="E10" s="2" t="str">
        <x:v>constrained</x:v>
      </x:c>
      <x:c r="F10" s="37" t="n">
        <x:v>13002663.56762699</x:v>
      </x:c>
      <x:c r="G10" s="37" t="n">
        <x:v>-57826.75127164162</x:v>
      </x:c>
      <x:c r="H10" s="37" t="n">
        <x:v>21614.447150997043</x:v>
      </x:c>
      <x:c r="I10" s="37" t="n">
        <x:v>-79441.19842263866</x:v>
      </x:c>
      <x:c r="J10" s="37" t="n">
        <x:v>11752841.131377084</x:v>
      </x:c>
      <x:c r="K10" s="37" t="n">
        <x:v>11810667.882648727</x:v>
      </x:c>
      <x:c r="L10" s="37" t="n">
        <x:v>12944836.81635535</x:v>
      </x:c>
      <x:c r="M10" s="37" t="n">
        <x:v>0</x:v>
      </x:c>
      <x:c r="N10" s="37" t="n">
        <x:v>0</x:v>
      </x:c>
      <x:c r="O10" s="37" t="n">
        <x:v>0</x:v>
      </x:c>
      <x:c r="P10" s="37" t="n">
        <x:v>0</x:v>
      </x:c>
      <x:c r="Q10" s="37" t="n">
        <x:v>2356.3509014025813</x:v>
      </x:c>
      <x:c r="R10" s="37" t="n">
        <x:v>57826.75127164162</x:v>
      </x:c>
      <x:c r="S10" s="37" t="n">
        <x:v>23563509.01402581</x:v>
      </x:c>
      <x:c r="T10" s="37" t="n">
        <x:v>12947193.167256752</x:v>
      </x:c>
      <x:c r="U10" s="37" t="n">
        <x:v>0</x:v>
      </x:c>
      <x:c r="V10" s="37" t="n">
        <x:v>0</x:v>
      </x:c>
      <x:c r="W10" s="37" t="n">
        <x:v>0</x:v>
      </x:c>
      <x:c r="X10" s="37" t="n">
        <x:v>0</x:v>
      </x:c>
      <x:c r="Y10" s="37" t="n">
        <x:v>2356.3509014025813</x:v>
      </x:c>
      <x:c r="Z10" s="37" t="n">
        <x:v>12046881.240301702</x:v>
      </x:c>
      <x:c r="AA10" s="37" t="n">
        <x:v>0</x:v>
      </x:c>
      <x:c r="AB10" s="37" t="n">
        <x:v>12046881.240301702</x:v>
      </x:c>
      <x:c r="AC10" s="37" t="n">
        <x:v>955782.3273252882</x:v>
      </x:c>
      <x:c r="AD10" s="37" t="n">
        <x:v>0</x:v>
      </x:c>
      <x:c r="AE10" s="37" t="n">
        <x:v>0</x:v>
      </x:c>
      <x:c r="AF10" s="47" t="b">
        <x:v>0</x:v>
      </x:c>
      <x:c r="AG10" s="47" t="b">
        <x:v>0</x:v>
      </x:c>
      <x:c r="AH10" s="48" t="n">
        <x:v>-6.866684998385608e-10</x:v>
      </x:c>
      <x:c r="AI10" s="48" t="n">
        <x:v>1.1920928955078125e-7</x:v>
      </x:c>
      <x:c r="AJ10" s="37" t="str">
        <x:v>passed</x:v>
      </x:c>
    </x:row>
    <x:row r="11" ht="21" customHeight="1">
      <x:c r="A11" s="2"/>
      <x:c r="B11" s="2"/>
      <x:c r="C11" s="2" t="str">
        <x:v>2022</x:v>
      </x:c>
      <x:c r="D11" s="5" t="n">
        <x:v>44565</x:v>
      </x:c>
      <x:c r="E11" s="2" t="str">
        <x:v>unhedged</x:v>
      </x:c>
      <x:c r="F11" s="37" t="n">
        <x:v>1198890.9697397503</x:v>
      </x:c>
      <x:c r="G11" s="37" t="n">
        <x:v>11732203.361822924</x:v>
      </x:c>
      <x:c r="H11" s="37" t="n">
        <x:v>38367.01297141484</x:v>
      </x:c>
      <x:c r="I11" s="37" t="n">
        <x:v>11693836.34885151</x:v>
      </x:c>
      <x:c r="J11" s="37" t="n">
        <x:v>11732203.361822924</x:v>
      </x:c>
      <x:c r="K11" s="37" t="n">
        <x:v>0</x:v>
      </x:c>
      <x:c r="L11" s="37" t="n">
        <x:v>12931094.331562674</x:v>
      </x:c>
      <x:c r="M11" s="37" t="n">
        <x:v>0</x:v>
      </x:c>
      <x:c r="N11" s="37" t="n">
        <x:v>0</x:v>
      </x:c>
      <x:c r="O11" s="37" t="n">
        <x:v>65.68905647587962</x:v>
      </x:c>
      <x:c r="P11" s="37" t="n">
        <x:v>0</x:v>
      </x:c>
      <x:c r="Q11" s="37" t="n">
        <x:v>0</x:v>
      </x:c>
      <x:c r="R11" s="37" t="n">
        <x:v>0</x:v>
      </x:c>
      <x:c r="S11" s="37" t="n">
        <x:v>0</x:v>
      </x:c>
      <x:c r="T11" s="37" t="n">
        <x:v>0</x:v>
      </x:c>
      <x:c r="U11" s="37" t="n">
        <x:v>0</x:v>
      </x:c>
      <x:c r="V11" s="37" t="n">
        <x:v>0</x:v>
      </x:c>
      <x:c r="W11" s="37" t="n">
        <x:v>65.68905647587962</x:v>
      </x:c>
      <x:c r="X11" s="37" t="n">
        <x:v>0</x:v>
      </x:c>
      <x:c r="Y11" s="37" t="n">
        <x:v>1174.7193167256753</x:v>
      </x:c>
      <x:c r="Z11" s="37" t="n">
        <x:v>0</x:v>
      </x:c>
      <x:c r="AA11" s="37" t="n">
        <x:v>0</x:v>
      </x:c>
      <x:c r="AB11" s="37" t="n">
        <x:v>0</x:v>
      </x:c>
      <x:c r="AC11" s="37" t="n">
        <x:v>1198890.9697397503</x:v>
      </x:c>
      <x:c r="AD11" s="37" t="n">
        <x:v>0</x:v>
      </x:c>
      <x:c r="AE11" s="37" t="n">
        <x:v>0</x:v>
      </x:c>
      <x:c r="AF11" s="47" t="b">
        <x:v>0</x:v>
      </x:c>
      <x:c r="AG11" s="47" t="b">
        <x:v>0</x:v>
      </x:c>
      <x:c r="AH11" s="48" t="n">
        <x:v>0</x:v>
      </x:c>
      <x:c r="AI11" s="48" t="n">
        <x:v>1.1920928955078125e-7</x:v>
      </x:c>
      <x:c r="AJ11" s="37" t="str">
        <x:v>passed</x:v>
      </x:c>
    </x:row>
    <x:row r="12" ht="21" customHeight="1">
      <x:c r="A12" s="2"/>
      <x:c r="B12" s="2"/>
      <x:c r="C12" s="2" t="str">
        <x:v>2022</x:v>
      </x:c>
      <x:c r="D12" s="5" t="n">
        <x:v>44565</x:v>
      </x:c>
      <x:c r="E12" s="2" t="str">
        <x:v>duration</x:v>
      </x:c>
      <x:c r="F12" s="37" t="n">
        <x:v>9258135.104681937</x:v>
      </x:c>
      <x:c r="G12" s="37" t="n">
        <x:v>3697165.503442131</x:v>
      </x:c>
      <x:c r="H12" s="37" t="n">
        <x:v>22623.180367033867</x:v>
      </x:c>
      <x:c r="I12" s="37" t="n">
        <x:v>3674542.323075097</x:v>
      </x:c>
      <x:c r="J12" s="37" t="n">
        <x:v>11732203.361822924</x:v>
      </x:c>
      <x:c r="K12" s="37" t="n">
        <x:v>8035037.858380793</x:v>
      </x:c>
      <x:c r="L12" s="37" t="n">
        <x:v>12955300.608124068</x:v>
      </x:c>
      <x:c r="M12" s="37" t="n">
        <x:v>0</x:v>
      </x:c>
      <x:c r="N12" s="37" t="n">
        <x:v>0</x:v>
      </x:c>
      <x:c r="O12" s="37" t="n">
        <x:v>507.26727876253426</x:v>
      </x:c>
      <x:c r="P12" s="37" t="n">
        <x:v>0</x:v>
      </x:c>
      <x:c r="Q12" s="37" t="n">
        <x:v>0</x:v>
      </x:c>
      <x:c r="R12" s="37" t="n">
        <x:v>0</x:v>
      </x:c>
      <x:c r="S12" s="37" t="n">
        <x:v>0</x:v>
      </x:c>
      <x:c r="T12" s="37" t="n">
        <x:v>0</x:v>
      </x:c>
      <x:c r="U12" s="37" t="n">
        <x:v>0</x:v>
      </x:c>
      <x:c r="V12" s="37" t="n">
        <x:v>0</x:v>
      </x:c>
      <x:c r="W12" s="37" t="n">
        <x:v>507.26727876253426</x:v>
      </x:c>
      <x:c r="X12" s="37" t="n">
        <x:v>0</x:v>
      </x:c>
      <x:c r="Y12" s="37" t="n">
        <x:v>1980.6801684828408</x:v>
      </x:c>
      <x:c r="Z12" s="37" t="n">
        <x:v>8195738.615548409</x:v>
      </x:c>
      <x:c r="AA12" s="37" t="n">
        <x:v>0</x:v>
      </x:c>
      <x:c r="AB12" s="37" t="n">
        <x:v>8195738.615548409</x:v>
      </x:c>
      <x:c r="AC12" s="37" t="n">
        <x:v>1062396.4891335284</x:v>
      </x:c>
      <x:c r="AD12" s="37" t="n">
        <x:v>0</x:v>
      </x:c>
      <x:c r="AE12" s="37" t="n">
        <x:v>0</x:v>
      </x:c>
      <x:c r="AF12" s="47" t="b">
        <x:v>0</x:v>
      </x:c>
      <x:c r="AG12" s="47" t="b">
        <x:v>0</x:v>
      </x:c>
      <x:c r="AH12" s="48" t="n">
        <x:v>0</x:v>
      </x:c>
      <x:c r="AI12" s="48" t="n">
        <x:v>1.1920928955078125e-7</x:v>
      </x:c>
      <x:c r="AJ12" s="37" t="str">
        <x:v>passed</x:v>
      </x:c>
    </x:row>
    <x:row r="13" ht="21" customHeight="1">
      <x:c r="A13" s="2"/>
      <x:c r="B13" s="2"/>
      <x:c r="C13" s="2" t="str">
        <x:v>2022</x:v>
      </x:c>
      <x:c r="D13" s="5" t="n">
        <x:v>44565</x:v>
      </x:c>
      <x:c r="E13" s="2" t="str">
        <x:v>unweighted</x:v>
      </x:c>
      <x:c r="F13" s="37" t="n">
        <x:v>11949423.446906151</x:v>
      </x:c>
      <x:c r="G13" s="37" t="n">
        <x:v>995717.0824986104</x:v>
      </x:c>
      <x:c r="H13" s="37" t="n">
        <x:v>22751.708766897216</x:v>
      </x:c>
      <x:c r="I13" s="37" t="n">
        <x:v>972965.3737317132</x:v>
      </x:c>
      <x:c r="J13" s="37" t="n">
        <x:v>11732203.361822924</x:v>
      </x:c>
      <x:c r="K13" s="37" t="n">
        <x:v>10736486.279324314</x:v>
      </x:c>
      <x:c r="L13" s="37" t="n">
        <x:v>12945140.529404761</x:v>
      </x:c>
      <x:c r="M13" s="37" t="n">
        <x:v>0</x:v>
      </x:c>
      <x:c r="N13" s="37" t="n">
        <x:v>0</x:v>
      </x:c>
      <x:c r="O13" s="37" t="n">
        <x:v>654.727053143084</x:v>
      </x:c>
      <x:c r="P13" s="37" t="n">
        <x:v>0</x:v>
      </x:c>
      <x:c r="Q13" s="37" t="n">
        <x:v>0</x:v>
      </x:c>
      <x:c r="R13" s="37" t="n">
        <x:v>0</x:v>
      </x:c>
      <x:c r="S13" s="37" t="n">
        <x:v>0</x:v>
      </x:c>
      <x:c r="T13" s="37" t="n">
        <x:v>0</x:v>
      </x:c>
      <x:c r="U13" s="37" t="n">
        <x:v>0</x:v>
      </x:c>
      <x:c r="V13" s="37" t="n">
        <x:v>0</x:v>
      </x:c>
      <x:c r="W13" s="37" t="n">
        <x:v>654.727053143084</x:v>
      </x:c>
      <x:c r="X13" s="37" t="n">
        <x:v>0</x:v>
      </x:c>
      <x:c r="Y13" s="37" t="n">
        <x:v>2249.8211708280587</x:v>
      </x:c>
      <x:c r="Z13" s="37" t="n">
        <x:v>10951216.0049108</x:v>
      </x:c>
      <x:c r="AA13" s="37" t="n">
        <x:v>0</x:v>
      </x:c>
      <x:c r="AB13" s="37" t="n">
        <x:v>10951216.0049108</x:v>
      </x:c>
      <x:c r="AC13" s="37" t="n">
        <x:v>998207.4419953506</x:v>
      </x:c>
      <x:c r="AD13" s="37" t="n">
        <x:v>0</x:v>
      </x:c>
      <x:c r="AE13" s="37" t="n">
        <x:v>0</x:v>
      </x:c>
      <x:c r="AF13" s="47" t="b">
        <x:v>0</x:v>
      </x:c>
      <x:c r="AG13" s="47" t="b">
        <x:v>0</x:v>
      </x:c>
      <x:c r="AH13" s="48" t="n">
        <x:v>0</x:v>
      </x:c>
      <x:c r="AI13" s="48" t="n">
        <x:v>1.1920928955078125e-7</x:v>
      </x:c>
      <x:c r="AJ13" s="37" t="str">
        <x:v>passed</x:v>
      </x:c>
    </x:row>
    <x:row r="14" ht="21" customHeight="1">
      <x:c r="A14" s="2"/>
      <x:c r="B14" s="2"/>
      <x:c r="C14" s="2" t="str">
        <x:v>2022</x:v>
      </x:c>
      <x:c r="D14" s="5" t="n">
        <x:v>44565</x:v>
      </x:c>
      <x:c r="E14" s="2" t="str">
        <x:v>constrained</x:v>
      </x:c>
      <x:c r="F14" s="37" t="n">
        <x:v>13003376.042343026</x:v>
      </x:c>
      <x:c r="G14" s="37" t="n">
        <x:v>-57881.387324759686</x:v>
      </x:c>
      <x:c r="H14" s="37" t="n">
        <x:v>21574.67035619354</x:v>
      </x:c>
      <x:c r="I14" s="37" t="n">
        <x:v>-79456.05768095322</x:v>
      </x:c>
      <x:c r="J14" s="37" t="n">
        <x:v>11737774.023982089</x:v>
      </x:c>
      <x:c r="K14" s="37" t="n">
        <x:v>11795655.411306849</x:v>
      </x:c>
      <x:c r="L14" s="37" t="n">
        <x:v>12945494.655018266</x:v>
      </x:c>
      <x:c r="M14" s="37" t="n">
        <x:v>0</x:v>
      </x:c>
      <x:c r="N14" s="37" t="n">
        <x:v>0</x:v>
      </x:c>
      <x:c r="O14" s="37" t="n">
        <x:v>712.4747160356492</x:v>
      </x:c>
      <x:c r="P14" s="37" t="n">
        <x:v>0</x:v>
      </x:c>
      <x:c r="Q14" s="37" t="n">
        <x:v>0</x:v>
      </x:c>
      <x:c r="R14" s="37" t="n">
        <x:v>0</x:v>
      </x:c>
      <x:c r="S14" s="37" t="n">
        <x:v>0</x:v>
      </x:c>
      <x:c r="T14" s="37" t="n">
        <x:v>0</x:v>
      </x:c>
      <x:c r="U14" s="37" t="n">
        <x:v>0</x:v>
      </x:c>
      <x:c r="V14" s="37" t="n">
        <x:v>0</x:v>
      </x:c>
      <x:c r="W14" s="37" t="n">
        <x:v>712.4747160356492</x:v>
      </x:c>
      <x:c r="X14" s="37" t="n">
        <x:v>0</x:v>
      </x:c>
      <x:c r="Y14" s="37" t="n">
        <x:v>2356.3509014025813</x:v>
      </x:c>
      <x:c r="Z14" s="37" t="n">
        <x:v>12031568.519532986</x:v>
      </x:c>
      <x:c r="AA14" s="37" t="n">
        <x:v>0</x:v>
      </x:c>
      <x:c r="AB14" s="37" t="n">
        <x:v>12031568.519532986</x:v>
      </x:c>
      <x:c r="AC14" s="37" t="n">
        <x:v>971807.52281004</x:v>
      </x:c>
      <x:c r="AD14" s="37" t="n">
        <x:v>0</x:v>
      </x:c>
      <x:c r="AE14" s="37" t="n">
        <x:v>0</x:v>
      </x:c>
      <x:c r="AF14" s="47" t="b">
        <x:v>0</x:v>
      </x:c>
      <x:c r="AG14" s="47" t="b">
        <x:v>0</x:v>
      </x:c>
      <x:c r="AH14" s="48" t="n">
        <x:v>0</x:v>
      </x:c>
      <x:c r="AI14" s="48" t="n">
        <x:v>1.1920928955078125e-7</x:v>
      </x:c>
      <x:c r="AJ14" s="37" t="str">
        <x:v>passed</x:v>
      </x:c>
    </x:row>
    <x:row r="15" ht="21" customHeight="1">
      <x:c r="A15" s="2"/>
      <x:c r="B15" s="2"/>
      <x:c r="C15" s="2" t="str">
        <x:v>2022</x:v>
      </x:c>
      <x:c r="D15" s="5" t="n">
        <x:v>44566</x:v>
      </x:c>
      <x:c r="E15" s="2" t="str">
        <x:v>unhedged</x:v>
      </x:c>
      <x:c r="F15" s="37" t="n">
        <x:v>1198956.6623956263</x:v>
      </x:c>
      <x:c r="G15" s="37" t="n">
        <x:v>11700240.287300684</x:v>
      </x:c>
      <x:c r="H15" s="37" t="n">
        <x:v>38715.84494355032</x:v>
      </x:c>
      <x:c r="I15" s="37" t="n">
        <x:v>11661524.442357134</x:v>
      </x:c>
      <x:c r="J15" s="37" t="n">
        <x:v>11700240.287300684</x:v>
      </x:c>
      <x:c r="K15" s="37" t="n">
        <x:v>0</x:v>
      </x:c>
      <x:c r="L15" s="37" t="n">
        <x:v>12899196.94969631</x:v>
      </x:c>
      <x:c r="M15" s="37" t="n">
        <x:v>0</x:v>
      </x:c>
      <x:c r="N15" s="37" t="n">
        <x:v>0</x:v>
      </x:c>
      <x:c r="O15" s="37" t="n">
        <x:v>65.69265587604605</x:v>
      </x:c>
      <x:c r="P15" s="37" t="n">
        <x:v>0</x:v>
      </x:c>
      <x:c r="Q15" s="37" t="n">
        <x:v>0</x:v>
      </x:c>
      <x:c r="R15" s="37" t="n">
        <x:v>0</x:v>
      </x:c>
      <x:c r="S15" s="37" t="n">
        <x:v>0</x:v>
      </x:c>
      <x:c r="T15" s="37" t="n">
        <x:v>0</x:v>
      </x:c>
      <x:c r="U15" s="37" t="n">
        <x:v>0</x:v>
      </x:c>
      <x:c r="V15" s="37" t="n">
        <x:v>0</x:v>
      </x:c>
      <x:c r="W15" s="37" t="n">
        <x:v>131.38171235192567</x:v>
      </x:c>
      <x:c r="X15" s="37" t="n">
        <x:v>0</x:v>
      </x:c>
      <x:c r="Y15" s="37" t="n">
        <x:v>1174.7193167256753</x:v>
      </x:c>
      <x:c r="Z15" s="37" t="n">
        <x:v>0</x:v>
      </x:c>
      <x:c r="AA15" s="37" t="n">
        <x:v>0</x:v>
      </x:c>
      <x:c r="AB15" s="37" t="n">
        <x:v>0</x:v>
      </x:c>
      <x:c r="AC15" s="37" t="n">
        <x:v>1198956.6623956263</x:v>
      </x:c>
      <x:c r="AD15" s="37" t="n">
        <x:v>0</x:v>
      </x:c>
      <x:c r="AE15" s="37" t="n">
        <x:v>0</x:v>
      </x:c>
      <x:c r="AF15" s="47" t="b">
        <x:v>0</x:v>
      </x:c>
      <x:c r="AG15" s="47" t="b">
        <x:v>0</x:v>
      </x:c>
      <x:c r="AH15" s="48" t="n">
        <x:v>0</x:v>
      </x:c>
      <x:c r="AI15" s="48" t="n">
        <x:v>1.1920928955078125e-7</x:v>
      </x:c>
      <x:c r="AJ15" s="37" t="str">
        <x:v>passed</x:v>
      </x:c>
    </x:row>
    <x:row r="16" ht="21" customHeight="1">
      <x:c r="A16" s="2"/>
      <x:c r="B16" s="2"/>
      <x:c r="C16" s="2" t="str">
        <x:v>2022</x:v>
      </x:c>
      <x:c r="D16" s="5" t="n">
        <x:v>44566</x:v>
      </x:c>
      <x:c r="E16" s="2" t="str">
        <x:v>duration</x:v>
      </x:c>
      <x:c r="F16" s="37" t="n">
        <x:v>9258642.399756165</x:v>
      </x:c>
      <x:c r="G16" s="37" t="n">
        <x:v>3690484.8090771046</x:v>
      </x:c>
      <x:c r="H16" s="37" t="n">
        <x:v>22657.135687081725</x:v>
      </x:c>
      <x:c r="I16" s="37" t="n">
        <x:v>3667827.673390023</x:v>
      </x:c>
      <x:c r="J16" s="37" t="n">
        <x:v>11700240.287300684</x:v>
      </x:c>
      <x:c r="K16" s="37" t="n">
        <x:v>8009755.478223579</x:v>
      </x:c>
      <x:c r="L16" s="37" t="n">
        <x:v>12949127.20883327</x:v>
      </x:c>
      <x:c r="M16" s="37" t="n">
        <x:v>0</x:v>
      </x:c>
      <x:c r="N16" s="37" t="n">
        <x:v>0</x:v>
      </x:c>
      <x:c r="O16" s="37" t="n">
        <x:v>507.29507422819734</x:v>
      </x:c>
      <x:c r="P16" s="37" t="n">
        <x:v>0</x:v>
      </x:c>
      <x:c r="Q16" s="37" t="n">
        <x:v>0</x:v>
      </x:c>
      <x:c r="R16" s="37" t="n">
        <x:v>0</x:v>
      </x:c>
      <x:c r="S16" s="37" t="n">
        <x:v>0</x:v>
      </x:c>
      <x:c r="T16" s="37" t="n">
        <x:v>0</x:v>
      </x:c>
      <x:c r="U16" s="37" t="n">
        <x:v>0</x:v>
      </x:c>
      <x:c r="V16" s="37" t="n">
        <x:v>0</x:v>
      </x:c>
      <x:c r="W16" s="37" t="n">
        <x:v>1014.5623529907316</x:v>
      </x:c>
      <x:c r="X16" s="37" t="n">
        <x:v>0</x:v>
      </x:c>
      <x:c r="Y16" s="37" t="n">
        <x:v>1980.6801684828408</x:v>
      </x:c>
      <x:c r="Z16" s="37" t="n">
        <x:v>8169950.587788051</x:v>
      </x:c>
      <x:c r="AA16" s="37" t="n">
        <x:v>0</x:v>
      </x:c>
      <x:c r="AB16" s="37" t="n">
        <x:v>8169950.587788051</x:v>
      </x:c>
      <x:c r="AC16" s="37" t="n">
        <x:v>1088691.8119681142</x:v>
      </x:c>
      <x:c r="AD16" s="37" t="n">
        <x:v>0</x:v>
      </x:c>
      <x:c r="AE16" s="37" t="n">
        <x:v>0</x:v>
      </x:c>
      <x:c r="AF16" s="47" t="b">
        <x:v>0</x:v>
      </x:c>
      <x:c r="AG16" s="47" t="b">
        <x:v>0</x:v>
      </x:c>
      <x:c r="AH16" s="48" t="n">
        <x:v>0</x:v>
      </x:c>
      <x:c r="AI16" s="48" t="n">
        <x:v>1.1920928955078125e-7</x:v>
      </x:c>
      <x:c r="AJ16" s="37" t="str">
        <x:v>passed</x:v>
      </x:c>
    </x:row>
    <x:row r="17" ht="21" customHeight="1">
      <x:c r="A17" s="2"/>
      <x:c r="B17" s="2"/>
      <x:c r="C17" s="2" t="str">
        <x:v>2022</x:v>
      </x:c>
      <x:c r="D17" s="5" t="n">
        <x:v>44566</x:v>
      </x:c>
      <x:c r="E17" s="2" t="str">
        <x:v>unweighted</x:v>
      </x:c>
      <x:c r="F17" s="37" t="n">
        <x:v>11950078.209834749</x:v>
      </x:c>
      <x:c r="G17" s="37" t="n">
        <x:v>993268.842264265</x:v>
      </x:c>
      <x:c r="H17" s="37" t="n">
        <x:v>22741.938884770872</x:v>
      </x:c>
      <x:c r="I17" s="37" t="n">
        <x:v>970526.9033794942</x:v>
      </x:c>
      <x:c r="J17" s="37" t="n">
        <x:v>11700240.287300684</x:v>
      </x:c>
      <x:c r="K17" s="37" t="n">
        <x:v>10706971.445036419</x:v>
      </x:c>
      <x:c r="L17" s="37" t="n">
        <x:v>12943347.052099014</x:v>
      </x:c>
      <x:c r="M17" s="37" t="n">
        <x:v>0</x:v>
      </x:c>
      <x:c r="N17" s="37" t="n">
        <x:v>0</x:v>
      </x:c>
      <x:c r="O17" s="37" t="n">
        <x:v>654.7629285976291</x:v>
      </x:c>
      <x:c r="P17" s="37" t="n">
        <x:v>0</x:v>
      </x:c>
      <x:c r="Q17" s="37" t="n">
        <x:v>0</x:v>
      </x:c>
      <x:c r="R17" s="37" t="n">
        <x:v>0</x:v>
      </x:c>
      <x:c r="S17" s="37" t="n">
        <x:v>0</x:v>
      </x:c>
      <x:c r="T17" s="37" t="n">
        <x:v>0</x:v>
      </x:c>
      <x:c r="U17" s="37" t="n">
        <x:v>0</x:v>
      </x:c>
      <x:c r="V17" s="37" t="n">
        <x:v>0</x:v>
      </x:c>
      <x:c r="W17" s="37" t="n">
        <x:v>1309.4899817407131</x:v>
      </x:c>
      <x:c r="X17" s="37" t="n">
        <x:v>0</x:v>
      </x:c>
      <x:c r="Y17" s="37" t="n">
        <x:v>2249.8211708280587</x:v>
      </x:c>
      <x:c r="Z17" s="37" t="n">
        <x:v>10921110.873937147</x:v>
      </x:c>
      <x:c r="AA17" s="37" t="n">
        <x:v>0</x:v>
      </x:c>
      <x:c r="AB17" s="37" t="n">
        <x:v>10921110.873937147</x:v>
      </x:c>
      <x:c r="AC17" s="37" t="n">
        <x:v>1028967.3358976021</x:v>
      </x:c>
      <x:c r="AD17" s="37" t="n">
        <x:v>0</x:v>
      </x:c>
      <x:c r="AE17" s="37" t="n">
        <x:v>0</x:v>
      </x:c>
      <x:c r="AF17" s="47" t="b">
        <x:v>0</x:v>
      </x:c>
      <x:c r="AG17" s="47" t="b">
        <x:v>0</x:v>
      </x:c>
      <x:c r="AH17" s="48" t="n">
        <x:v>0</x:v>
      </x:c>
      <x:c r="AI17" s="48" t="n">
        <x:v>1.1920928955078125e-7</x:v>
      </x:c>
      <x:c r="AJ17" s="37" t="str">
        <x:v>passed</x:v>
      </x:c>
    </x:row>
    <x:row r="18" ht="21" customHeight="1">
      <x:c r="A18" s="2"/>
      <x:c r="B18" s="2"/>
      <x:c r="C18" s="2" t="str">
        <x:v>2022</x:v>
      </x:c>
      <x:c r="D18" s="5" t="n">
        <x:v>44566</x:v>
      </x:c>
      <x:c r="E18" s="2" t="str">
        <x:v>constrained</x:v>
      </x:c>
      <x:c r="F18" s="37" t="n">
        <x:v>13004088.55609877</x:v>
      </x:c>
      <x:c r="G18" s="37" t="n">
        <x:v>-57834.60781852127</x:v>
      </x:c>
      <x:c r="H18" s="37" t="n">
        <x:v>21534.89356139003</x:v>
      </x:c>
      <x:c r="I18" s="37" t="n">
        <x:v>-79369.5013799113</x:v>
      </x:c>
      <x:c r="J18" s="37" t="n">
        <x:v>11705791.267523369</x:v>
      </x:c>
      <x:c r="K18" s="37" t="n">
        <x:v>11763625.87534189</x:v>
      </x:c>
      <x:c r="L18" s="37" t="n">
        <x:v>12946253.948280249</x:v>
      </x:c>
      <x:c r="M18" s="37" t="n">
        <x:v>0</x:v>
      </x:c>
      <x:c r="N18" s="37" t="n">
        <x:v>0</x:v>
      </x:c>
      <x:c r="O18" s="37" t="n">
        <x:v>712.5137557443231</x:v>
      </x:c>
      <x:c r="P18" s="37" t="n">
        <x:v>0</x:v>
      </x:c>
      <x:c r="Q18" s="37" t="n">
        <x:v>0</x:v>
      </x:c>
      <x:c r="R18" s="37" t="n">
        <x:v>0</x:v>
      </x:c>
      <x:c r="S18" s="37" t="n">
        <x:v>0</x:v>
      </x:c>
      <x:c r="T18" s="37" t="n">
        <x:v>0</x:v>
      </x:c>
      <x:c r="U18" s="37" t="n">
        <x:v>0</x:v>
      </x:c>
      <x:c r="V18" s="37" t="n">
        <x:v>0</x:v>
      </x:c>
      <x:c r="W18" s="37" t="n">
        <x:v>1424.9884717799723</x:v>
      </x:c>
      <x:c r="X18" s="37" t="n">
        <x:v>0</x:v>
      </x:c>
      <x:c r="Y18" s="37" t="n">
        <x:v>2356.3509014025813</x:v>
      </x:c>
      <x:c r="Z18" s="37" t="n">
        <x:v>11998898.392848728</x:v>
      </x:c>
      <x:c r="AA18" s="37" t="n">
        <x:v>0</x:v>
      </x:c>
      <x:c r="AB18" s="37" t="n">
        <x:v>11998898.392848728</x:v>
      </x:c>
      <x:c r="AC18" s="37" t="n">
        <x:v>1005190.1632500421</x:v>
      </x:c>
      <x:c r="AD18" s="37" t="n">
        <x:v>0</x:v>
      </x:c>
      <x:c r="AE18" s="37" t="n">
        <x:v>0</x:v>
      </x:c>
      <x:c r="AF18" s="47" t="b">
        <x:v>0</x:v>
      </x:c>
      <x:c r="AG18" s="47" t="b">
        <x:v>0</x:v>
      </x:c>
      <x:c r="AH18" s="48" t="n">
        <x:v>0</x:v>
      </x:c>
      <x:c r="AI18" s="48" t="n">
        <x:v>1.1920928955078125e-7</x:v>
      </x:c>
      <x:c r="AJ18" s="37" t="str">
        <x:v>passed</x:v>
      </x:c>
    </x:row>
    <x:row r="19" ht="21" customHeight="1">
      <x:c r="A19" s="2"/>
      <x:c r="B19" s="2"/>
      <x:c r="C19" s="2" t="str">
        <x:v>2022</x:v>
      </x:c>
      <x:c r="D19" s="5" t="n">
        <x:v>44567</x:v>
      </x:c>
      <x:c r="E19" s="2" t="str">
        <x:v>unhedged</x:v>
      </x:c>
      <x:c r="F19" s="37" t="n">
        <x:v>1199022.3586511004</x:v>
      </x:c>
      <x:c r="G19" s="37" t="n">
        <x:v>11677548.248688893</x:v>
      </x:c>
      <x:c r="H19" s="37" t="n">
        <x:v>39064.676915685806</x:v>
      </x:c>
      <x:c r="I19" s="37" t="n">
        <x:v>11638483.571773207</x:v>
      </x:c>
      <x:c r="J19" s="37" t="n">
        <x:v>11677548.248688893</x:v>
      </x:c>
      <x:c r="K19" s="37" t="n">
        <x:v>0</x:v>
      </x:c>
      <x:c r="L19" s="37" t="n">
        <x:v>12876570.607339993</x:v>
      </x:c>
      <x:c r="M19" s="37" t="n">
        <x:v>0</x:v>
      </x:c>
      <x:c r="N19" s="37" t="n">
        <x:v>0</x:v>
      </x:c>
      <x:c r="O19" s="37" t="n">
        <x:v>65.69625547411852</x:v>
      </x:c>
      <x:c r="P19" s="37" t="n">
        <x:v>0</x:v>
      </x:c>
      <x:c r="Q19" s="37" t="n">
        <x:v>0</x:v>
      </x:c>
      <x:c r="R19" s="37" t="n">
        <x:v>0</x:v>
      </x:c>
      <x:c r="S19" s="37" t="n">
        <x:v>0</x:v>
      </x:c>
      <x:c r="T19" s="37" t="n">
        <x:v>0</x:v>
      </x:c>
      <x:c r="U19" s="37" t="n">
        <x:v>0</x:v>
      </x:c>
      <x:c r="V19" s="37" t="n">
        <x:v>0</x:v>
      </x:c>
      <x:c r="W19" s="37" t="n">
        <x:v>197.0779678260442</x:v>
      </x:c>
      <x:c r="X19" s="37" t="n">
        <x:v>0</x:v>
      </x:c>
      <x:c r="Y19" s="37" t="n">
        <x:v>1174.7193167256753</x:v>
      </x:c>
      <x:c r="Z19" s="37" t="n">
        <x:v>0</x:v>
      </x:c>
      <x:c r="AA19" s="37" t="n">
        <x:v>0</x:v>
      </x:c>
      <x:c r="AB19" s="37" t="n">
        <x:v>0</x:v>
      </x:c>
      <x:c r="AC19" s="37" t="n">
        <x:v>1199022.3586511004</x:v>
      </x:c>
      <x:c r="AD19" s="37" t="n">
        <x:v>0</x:v>
      </x:c>
      <x:c r="AE19" s="37" t="n">
        <x:v>0</x:v>
      </x:c>
      <x:c r="AF19" s="47" t="b">
        <x:v>0</x:v>
      </x:c>
      <x:c r="AG19" s="47" t="b">
        <x:v>0</x:v>
      </x:c>
      <x:c r="AH19" s="48" t="n">
        <x:v>0</x:v>
      </x:c>
      <x:c r="AI19" s="48" t="n">
        <x:v>1.1920928955078125e-7</x:v>
      </x:c>
      <x:c r="AJ19" s="37" t="str">
        <x:v>passed</x:v>
      </x:c>
    </x:row>
    <x:row r="20" ht="21" customHeight="1">
      <x:c r="A20" s="2"/>
      <x:c r="B20" s="2"/>
      <x:c r="C20" s="2" t="str">
        <x:v>2022</x:v>
      </x:c>
      <x:c r="D20" s="5" t="n">
        <x:v>44567</x:v>
      </x:c>
      <x:c r="E20" s="2" t="str">
        <x:v>duration</x:v>
      </x:c>
      <x:c r="F20" s="37" t="n">
        <x:v>9259149.722627386</x:v>
      </x:c>
      <x:c r="G20" s="37" t="n">
        <x:v>3684166.5514630284</x:v>
      </x:c>
      <x:c r="H20" s="37" t="n">
        <x:v>22691.091007129588</x:v>
      </x:c>
      <x:c r="I20" s="37" t="n">
        <x:v>3661475.4604558987</x:v>
      </x:c>
      <x:c r="J20" s="37" t="n">
        <x:v>11677548.248688893</x:v>
      </x:c>
      <x:c r="K20" s="37" t="n">
        <x:v>7993381.697225866</x:v>
      </x:c>
      <x:c r="L20" s="37" t="n">
        <x:v>12943316.274090415</x:v>
      </x:c>
      <x:c r="M20" s="37" t="n">
        <x:v>0</x:v>
      </x:c>
      <x:c r="N20" s="37" t="n">
        <x:v>0</x:v>
      </x:c>
      <x:c r="O20" s="37" t="n">
        <x:v>507.32287122122943</x:v>
      </x:c>
      <x:c r="P20" s="37" t="n">
        <x:v>0</x:v>
      </x:c>
      <x:c r="Q20" s="37" t="n">
        <x:v>0</x:v>
      </x:c>
      <x:c r="R20" s="37" t="n">
        <x:v>0</x:v>
      </x:c>
      <x:c r="S20" s="37" t="n">
        <x:v>0</x:v>
      </x:c>
      <x:c r="T20" s="37" t="n">
        <x:v>0</x:v>
      </x:c>
      <x:c r="U20" s="37" t="n">
        <x:v>0</x:v>
      </x:c>
      <x:c r="V20" s="37" t="n">
        <x:v>0</x:v>
      </x:c>
      <x:c r="W20" s="37" t="n">
        <x:v>1521.885224211961</x:v>
      </x:c>
      <x:c r="X20" s="37" t="n">
        <x:v>0</x:v>
      </x:c>
      <x:c r="Y20" s="37" t="n">
        <x:v>1980.6801684828408</x:v>
      </x:c>
      <x:c r="Z20" s="37" t="n">
        <x:v>8153249.331170383</x:v>
      </x:c>
      <x:c r="AA20" s="37" t="n">
        <x:v>0</x:v>
      </x:c>
      <x:c r="AB20" s="37" t="n">
        <x:v>8153249.331170383</x:v>
      </x:c>
      <x:c r="AC20" s="37" t="n">
        <x:v>1105900.3914570035</x:v>
      </x:c>
      <x:c r="AD20" s="37" t="n">
        <x:v>0</x:v>
      </x:c>
      <x:c r="AE20" s="37" t="n">
        <x:v>0</x:v>
      </x:c>
      <x:c r="AF20" s="47" t="b">
        <x:v>0</x:v>
      </x:c>
      <x:c r="AG20" s="47" t="b">
        <x:v>0</x:v>
      </x:c>
      <x:c r="AH20" s="48" t="n">
        <x:v>0</x:v>
      </x:c>
      <x:c r="AI20" s="48" t="n">
        <x:v>1.1920928955078125e-7</x:v>
      </x:c>
      <x:c r="AJ20" s="37" t="str">
        <x:v>passed</x:v>
      </x:c>
    </x:row>
    <x:row r="21" ht="21" customHeight="1">
      <x:c r="A21" s="2"/>
      <x:c r="B21" s="2"/>
      <x:c r="C21" s="2" t="str">
        <x:v>2022</x:v>
      </x:c>
      <x:c r="D21" s="5" t="n">
        <x:v>44567</x:v>
      </x:c>
      <x:c r="E21" s="2" t="str">
        <x:v>unweighted</x:v>
      </x:c>
      <x:c r="F21" s="37" t="n">
        <x:v>11950733.00864077</x:v>
      </x:c>
      <x:c r="G21" s="37" t="n">
        <x:v>991359.6576548283</x:v>
      </x:c>
      <x:c r="H21" s="37" t="n">
        <x:v>22732.169002644532</x:v>
      </x:c>
      <x:c r="I21" s="37" t="n">
        <x:v>968627.4886521838</x:v>
      </x:c>
      <x:c r="J21" s="37" t="n">
        <x:v>11677548.248688893</x:v>
      </x:c>
      <x:c r="K21" s="37" t="n">
        <x:v>10686188.591034066</x:v>
      </x:c>
      <x:c r="L21" s="37" t="n">
        <x:v>12942092.666295597</x:v>
      </x:c>
      <x:c r="M21" s="37" t="n">
        <x:v>0</x:v>
      </x:c>
      <x:c r="N21" s="37" t="n">
        <x:v>0</x:v>
      </x:c>
      <x:c r="O21" s="37" t="n">
        <x:v>654.79880602099</x:v>
      </x:c>
      <x:c r="P21" s="37" t="n">
        <x:v>0</x:v>
      </x:c>
      <x:c r="Q21" s="37" t="n">
        <x:v>0</x:v>
      </x:c>
      <x:c r="R21" s="37" t="n">
        <x:v>0</x:v>
      </x:c>
      <x:c r="S21" s="37" t="n">
        <x:v>0</x:v>
      </x:c>
      <x:c r="T21" s="37" t="n">
        <x:v>0</x:v>
      </x:c>
      <x:c r="U21" s="37" t="n">
        <x:v>0</x:v>
      </x:c>
      <x:c r="V21" s="37" t="n">
        <x:v>0</x:v>
      </x:c>
      <x:c r="W21" s="37" t="n">
        <x:v>1964.2887877617031</x:v>
      </x:c>
      <x:c r="X21" s="37" t="n">
        <x:v>0</x:v>
      </x:c>
      <x:c r="Y21" s="37" t="n">
        <x:v>2249.8211708280587</x:v>
      </x:c>
      <x:c r="Z21" s="37" t="n">
        <x:v>10899912.362854747</x:v>
      </x:c>
      <x:c r="AA21" s="37" t="n">
        <x:v>0</x:v>
      </x:c>
      <x:c r="AB21" s="37" t="n">
        <x:v>10899912.362854747</x:v>
      </x:c>
      <x:c r="AC21" s="37" t="n">
        <x:v>1050820.6457860228</x:v>
      </x:c>
      <x:c r="AD21" s="37" t="n">
        <x:v>0</x:v>
      </x:c>
      <x:c r="AE21" s="37" t="n">
        <x:v>0</x:v>
      </x:c>
      <x:c r="AF21" s="47" t="b">
        <x:v>0</x:v>
      </x:c>
      <x:c r="AG21" s="47" t="b">
        <x:v>0</x:v>
      </x:c>
      <x:c r="AH21" s="48" t="n">
        <x:v>0</x:v>
      </x:c>
      <x:c r="AI21" s="48" t="n">
        <x:v>1.1920928955078125e-7</x:v>
      </x:c>
      <x:c r="AJ21" s="37" t="str">
        <x:v>passed</x:v>
      </x:c>
    </x:row>
    <x:row r="22" ht="21" customHeight="1">
      <x:c r="A22" s="2"/>
      <x:c r="B22" s="2"/>
      <x:c r="C22" s="2" t="str">
        <x:v>2022</x:v>
      </x:c>
      <x:c r="D22" s="5" t="n">
        <x:v>44567</x:v>
      </x:c>
      <x:c r="E22" s="2" t="str">
        <x:v>constrained</x:v>
      </x:c>
      <x:c r="F22" s="37" t="n">
        <x:v>13004801.108896367</x:v>
      </x:c>
      <x:c r="G22" s="37" t="n">
        <x:v>-57872.474748187975</x:v>
      </x:c>
      <x:c r="H22" s="37" t="n">
        <x:v>21495.116766586525</x:v>
      </x:c>
      <x:c r="I22" s="37" t="n">
        <x:v>-79367.5915147745</x:v>
      </x:c>
      <x:c r="J22" s="37" t="n">
        <x:v>11683113.788159732</x:v>
      </x:c>
      <x:c r="K22" s="37" t="n">
        <x:v>11740986.26290792</x:v>
      </x:c>
      <x:c r="L22" s="37" t="n">
        <x:v>12946928.634148179</x:v>
      </x:c>
      <x:c r="M22" s="37" t="n">
        <x:v>0</x:v>
      </x:c>
      <x:c r="N22" s="37" t="n">
        <x:v>0</x:v>
      </x:c>
      <x:c r="O22" s="37" t="n">
        <x:v>712.5527975969017</x:v>
      </x:c>
      <x:c r="P22" s="37" t="n">
        <x:v>0</x:v>
      </x:c>
      <x:c r="Q22" s="37" t="n">
        <x:v>0</x:v>
      </x:c>
      <x:c r="R22" s="37" t="n">
        <x:v>0</x:v>
      </x:c>
      <x:c r="S22" s="37" t="n">
        <x:v>0</x:v>
      </x:c>
      <x:c r="T22" s="37" t="n">
        <x:v>0</x:v>
      </x:c>
      <x:c r="U22" s="37" t="n">
        <x:v>0</x:v>
      </x:c>
      <x:c r="V22" s="37" t="n">
        <x:v>0</x:v>
      </x:c>
      <x:c r="W22" s="37" t="n">
        <x:v>2137.541269376874</x:v>
      </x:c>
      <x:c r="X22" s="37" t="n">
        <x:v>0</x:v>
      </x:c>
      <x:c r="Y22" s="37" t="n">
        <x:v>2356.3509014025813</x:v>
      </x:c>
      <x:c r="Z22" s="37" t="n">
        <x:v>11975805.988166079</x:v>
      </x:c>
      <x:c r="AA22" s="37" t="n">
        <x:v>0</x:v>
      </x:c>
      <x:c r="AB22" s="37" t="n">
        <x:v>11975805.988166079</x:v>
      </x:c>
      <x:c r="AC22" s="37" t="n">
        <x:v>1028995.1207302883</x:v>
      </x:c>
      <x:c r="AD22" s="37" t="n">
        <x:v>0</x:v>
      </x:c>
      <x:c r="AE22" s="37" t="n">
        <x:v>0</x:v>
      </x:c>
      <x:c r="AF22" s="47" t="b">
        <x:v>0</x:v>
      </x:c>
      <x:c r="AG22" s="47" t="b">
        <x:v>0</x:v>
      </x:c>
      <x:c r="AH22" s="48" t="n">
        <x:v>0</x:v>
      </x:c>
      <x:c r="AI22" s="48" t="n">
        <x:v>1.1920928955078125e-7</x:v>
      </x:c>
      <x:c r="AJ22" s="37" t="str">
        <x:v>passed</x:v>
      </x:c>
    </x:row>
    <x:row r="23" ht="21" customHeight="1">
      <x:c r="A23" s="2"/>
      <x:c r="B23" s="2"/>
      <x:c r="C23" s="2" t="str">
        <x:v>2022</x:v>
      </x:c>
      <x:c r="D23" s="5" t="n">
        <x:v>44568</x:v>
      </x:c>
      <x:c r="E23" s="2" t="str">
        <x:v>unhedged</x:v>
      </x:c>
      <x:c r="F23" s="37" t="n">
        <x:v>1199088.0585063691</x:v>
      </x:c>
      <x:c r="G23" s="37" t="n">
        <x:v>11647490.2506208</x:v>
      </x:c>
      <x:c r="H23" s="37" t="n">
        <x:v>39413.508887821285</x:v>
      </x:c>
      <x:c r="I23" s="37" t="n">
        <x:v>11608076.741732977</x:v>
      </x:c>
      <x:c r="J23" s="37" t="n">
        <x:v>11647490.2506208</x:v>
      </x:c>
      <x:c r="K23" s="37" t="n">
        <x:v>0</x:v>
      </x:c>
      <x:c r="L23" s="37" t="n">
        <x:v>12846578.309127169</x:v>
      </x:c>
      <x:c r="M23" s="37" t="n">
        <x:v>0</x:v>
      </x:c>
      <x:c r="N23" s="37" t="n">
        <x:v>0</x:v>
      </x:c>
      <x:c r="O23" s="37" t="n">
        <x:v>65.69985526870005</x:v>
      </x:c>
      <x:c r="P23" s="37" t="n">
        <x:v>0</x:v>
      </x:c>
      <x:c r="Q23" s="37" t="n">
        <x:v>0</x:v>
      </x:c>
      <x:c r="R23" s="37" t="n">
        <x:v>0</x:v>
      </x:c>
      <x:c r="S23" s="37" t="n">
        <x:v>0</x:v>
      </x:c>
      <x:c r="T23" s="37" t="n">
        <x:v>0</x:v>
      </x:c>
      <x:c r="U23" s="37" t="n">
        <x:v>0</x:v>
      </x:c>
      <x:c r="V23" s="37" t="n">
        <x:v>0</x:v>
      </x:c>
      <x:c r="W23" s="37" t="n">
        <x:v>262.77782309474424</x:v>
      </x:c>
      <x:c r="X23" s="37" t="n">
        <x:v>0</x:v>
      </x:c>
      <x:c r="Y23" s="37" t="n">
        <x:v>1174.7193167256753</x:v>
      </x:c>
      <x:c r="Z23" s="37" t="n">
        <x:v>0</x:v>
      </x:c>
      <x:c r="AA23" s="37" t="n">
        <x:v>0</x:v>
      </x:c>
      <x:c r="AB23" s="37" t="n">
        <x:v>0</x:v>
      </x:c>
      <x:c r="AC23" s="37" t="n">
        <x:v>1199088.0585063691</x:v>
      </x:c>
      <x:c r="AD23" s="37" t="n">
        <x:v>0</x:v>
      </x:c>
      <x:c r="AE23" s="37" t="n">
        <x:v>0</x:v>
      </x:c>
      <x:c r="AF23" s="47" t="b">
        <x:v>0</x:v>
      </x:c>
      <x:c r="AG23" s="47" t="b">
        <x:v>0</x:v>
      </x:c>
      <x:c r="AH23" s="48" t="n">
        <x:v>0</x:v>
      </x:c>
      <x:c r="AI23" s="48" t="n">
        <x:v>1.1920928955078125e-7</x:v>
      </x:c>
      <x:c r="AJ23" s="37" t="str">
        <x:v>passed</x:v>
      </x:c>
    </x:row>
    <x:row r="24" ht="21" customHeight="1">
      <x:c r="A24" s="2"/>
      <x:c r="B24" s="2"/>
      <x:c r="C24" s="2" t="str">
        <x:v>2022</x:v>
      </x:c>
      <x:c r="D24" s="5" t="n">
        <x:v>44568</x:v>
      </x:c>
      <x:c r="E24" s="2" t="str">
        <x:v>duration</x:v>
      </x:c>
      <x:c r="F24" s="37" t="n">
        <x:v>9259657.07329712</x:v>
      </x:c>
      <x:c r="G24" s="37" t="n">
        <x:v>3690702.2172509646</x:v>
      </x:c>
      <x:c r="H24" s="37" t="n">
        <x:v>22725.046327177446</x:v>
      </x:c>
      <x:c r="I24" s="37" t="n">
        <x:v>3667977.170923787</x:v>
      </x:c>
      <x:c r="J24" s="37" t="n">
        <x:v>11647490.2506208</x:v>
      </x:c>
      <x:c r="K24" s="37" t="n">
        <x:v>7956788.033369835</x:v>
      </x:c>
      <x:c r="L24" s="37" t="n">
        <x:v>12950359.290548086</x:v>
      </x:c>
      <x:c r="M24" s="37" t="n">
        <x:v>0</x:v>
      </x:c>
      <x:c r="N24" s="37" t="n">
        <x:v>0</x:v>
      </x:c>
      <x:c r="O24" s="37" t="n">
        <x:v>507.35066973418</x:v>
      </x:c>
      <x:c r="P24" s="37" t="n">
        <x:v>0</x:v>
      </x:c>
      <x:c r="Q24" s="37" t="n">
        <x:v>0</x:v>
      </x:c>
      <x:c r="R24" s="37" t="n">
        <x:v>0</x:v>
      </x:c>
      <x:c r="S24" s="37" t="n">
        <x:v>0</x:v>
      </x:c>
      <x:c r="T24" s="37" t="n">
        <x:v>0</x:v>
      </x:c>
      <x:c r="U24" s="37" t="n">
        <x:v>0</x:v>
      </x:c>
      <x:c r="V24" s="37" t="n">
        <x:v>0</x:v>
      </x:c>
      <x:c r="W24" s="37" t="n">
        <x:v>2029.235893946141</x:v>
      </x:c>
      <x:c r="X24" s="37" t="n">
        <x:v>0</x:v>
      </x:c>
      <x:c r="Y24" s="37" t="n">
        <x:v>1980.6801684828408</x:v>
      </x:c>
      <x:c r="Z24" s="37" t="n">
        <x:v>8115923.794037231</x:v>
      </x:c>
      <x:c r="AA24" s="37" t="n">
        <x:v>0</x:v>
      </x:c>
      <x:c r="AB24" s="37" t="n">
        <x:v>8115923.794037231</x:v>
      </x:c>
      <x:c r="AC24" s="37" t="n">
        <x:v>1143733.2792598894</x:v>
      </x:c>
      <x:c r="AD24" s="37" t="n">
        <x:v>0</x:v>
      </x:c>
      <x:c r="AE24" s="37" t="n">
        <x:v>0</x:v>
      </x:c>
      <x:c r="AF24" s="47" t="b">
        <x:v>0</x:v>
      </x:c>
      <x:c r="AG24" s="47" t="b">
        <x:v>0</x:v>
      </x:c>
      <x:c r="AH24" s="48" t="n">
        <x:v>0</x:v>
      </x:c>
      <x:c r="AI24" s="48" t="n">
        <x:v>1.1920928955078125e-7</x:v>
      </x:c>
      <x:c r="AJ24" s="37" t="str">
        <x:v>passed</x:v>
      </x:c>
    </x:row>
    <x:row r="25" ht="21" customHeight="1">
      <x:c r="A25" s="2"/>
      <x:c r="B25" s="2"/>
      <x:c r="C25" s="2" t="str">
        <x:v>2022</x:v>
      </x:c>
      <x:c r="D25" s="5" t="n">
        <x:v>44568</x:v>
      </x:c>
      <x:c r="E25" s="2" t="str">
        <x:v>unweighted</x:v>
      </x:c>
      <x:c r="F25" s="37" t="n">
        <x:v>11951387.843326176</x:v>
      </x:c>
      <x:c r="G25" s="37" t="n">
        <x:v>989430.7610276021</x:v>
      </x:c>
      <x:c r="H25" s="37" t="n">
        <x:v>22722.399120518185</x:v>
      </x:c>
      <x:c r="I25" s="37" t="n">
        <x:v>966708.3619070839</x:v>
      </x:c>
      <x:c r="J25" s="37" t="n">
        <x:v>11647490.2506208</x:v>
      </x:c>
      <x:c r="K25" s="37" t="n">
        <x:v>10658059.489593197</x:v>
      </x:c>
      <x:c r="L25" s="37" t="n">
        <x:v>12940818.604353778</x:v>
      </x:c>
      <x:c r="M25" s="37" t="n">
        <x:v>0</x:v>
      </x:c>
      <x:c r="N25" s="37" t="n">
        <x:v>0</x:v>
      </x:c>
      <x:c r="O25" s="37" t="n">
        <x:v>654.8346854057163</x:v>
      </x:c>
      <x:c r="P25" s="37" t="n">
        <x:v>0</x:v>
      </x:c>
      <x:c r="Q25" s="37" t="n">
        <x:v>0</x:v>
      </x:c>
      <x:c r="R25" s="37" t="n">
        <x:v>0</x:v>
      </x:c>
      <x:c r="S25" s="37" t="n">
        <x:v>0</x:v>
      </x:c>
      <x:c r="T25" s="37" t="n">
        <x:v>0</x:v>
      </x:c>
      <x:c r="U25" s="37" t="n">
        <x:v>0</x:v>
      </x:c>
      <x:c r="V25" s="37" t="n">
        <x:v>0</x:v>
      </x:c>
      <x:c r="W25" s="37" t="n">
        <x:v>2619.1234731674194</x:v>
      </x:c>
      <x:c r="X25" s="37" t="n">
        <x:v>0</x:v>
      </x:c>
      <x:c r="Y25" s="37" t="n">
        <x:v>2249.8211708280587</x:v>
      </x:c>
      <x:c r="Z25" s="37" t="n">
        <x:v>10871220.67938506</x:v>
      </x:c>
      <x:c r="AA25" s="37" t="n">
        <x:v>0</x:v>
      </x:c>
      <x:c r="AB25" s="37" t="n">
        <x:v>10871220.67938506</x:v>
      </x:c>
      <x:c r="AC25" s="37" t="n">
        <x:v>1080167.1639411151</x:v>
      </x:c>
      <x:c r="AD25" s="37" t="n">
        <x:v>0</x:v>
      </x:c>
      <x:c r="AE25" s="37" t="n">
        <x:v>0</x:v>
      </x:c>
      <x:c r="AF25" s="47" t="b">
        <x:v>0</x:v>
      </x:c>
      <x:c r="AG25" s="47" t="b">
        <x:v>0</x:v>
      </x:c>
      <x:c r="AH25" s="48" t="n">
        <x:v>0</x:v>
      </x:c>
      <x:c r="AI25" s="48" t="n">
        <x:v>1.1920928955078125e-7</x:v>
      </x:c>
      <x:c r="AJ25" s="37" t="str">
        <x:v>passed</x:v>
      </x:c>
    </x:row>
    <x:row r="26" ht="21" customHeight="1">
      <x:c r="A26" s="2"/>
      <x:c r="B26" s="2"/>
      <x:c r="C26" s="2" t="str">
        <x:v>2022</x:v>
      </x:c>
      <x:c r="D26" s="5" t="n">
        <x:v>44568</x:v>
      </x:c>
      <x:c r="E26" s="2" t="str">
        <x:v>constrained</x:v>
      </x:c>
      <x:c r="F26" s="37" t="n">
        <x:v>13005513.700737951</x:v>
      </x:c>
      <x:c r="G26" s="37" t="n">
        <x:v>-58266.992881500126</x:v>
      </x:c>
      <x:c r="H26" s="37" t="n">
        <x:v>21455.339971783014</x:v>
      </x:c>
      <x:c r="I26" s="37" t="n">
        <x:v>-79722.33285328314</x:v>
      </x:c>
      <x:c r="J26" s="37" t="n">
        <x:v>11653025.384117113</x:v>
      </x:c>
      <x:c r="K26" s="37" t="n">
        <x:v>11711292.376998615</x:v>
      </x:c>
      <x:c r="L26" s="37" t="n">
        <x:v>12947246.707856452</x:v>
      </x:c>
      <x:c r="M26" s="37" t="n">
        <x:v>0</x:v>
      </x:c>
      <x:c r="N26" s="37" t="n">
        <x:v>0</x:v>
      </x:c>
      <x:c r="O26" s="37" t="n">
        <x:v>712.5918415840715</x:v>
      </x:c>
      <x:c r="P26" s="37" t="n">
        <x:v>0</x:v>
      </x:c>
      <x:c r="Q26" s="37" t="n">
        <x:v>0</x:v>
      </x:c>
      <x:c r="R26" s="37" t="n">
        <x:v>0</x:v>
      </x:c>
      <x:c r="S26" s="37" t="n">
        <x:v>0</x:v>
      </x:c>
      <x:c r="T26" s="37" t="n">
        <x:v>0</x:v>
      </x:c>
      <x:c r="U26" s="37" t="n">
        <x:v>0</x:v>
      </x:c>
      <x:c r="V26" s="37" t="n">
        <x:v>0</x:v>
      </x:c>
      <x:c r="W26" s="37" t="n">
        <x:v>2850.1331109609455</x:v>
      </x:c>
      <x:c r="X26" s="37" t="n">
        <x:v>0</x:v>
      </x:c>
      <x:c r="Y26" s="37" t="n">
        <x:v>2356.3509014025813</x:v>
      </x:c>
      <x:c r="Z26" s="37" t="n">
        <x:v>11945518.224538587</x:v>
      </x:c>
      <x:c r="AA26" s="37" t="n">
        <x:v>0</x:v>
      </x:c>
      <x:c r="AB26" s="37" t="n">
        <x:v>11945518.224538587</x:v>
      </x:c>
      <x:c r="AC26" s="37" t="n">
        <x:v>1059995.4761993643</x:v>
      </x:c>
      <x:c r="AD26" s="37" t="n">
        <x:v>0</x:v>
      </x:c>
      <x:c r="AE26" s="37" t="n">
        <x:v>0</x:v>
      </x:c>
      <x:c r="AF26" s="47" t="b">
        <x:v>0</x:v>
      </x:c>
      <x:c r="AG26" s="47" t="b">
        <x:v>0</x:v>
      </x:c>
      <x:c r="AH26" s="48" t="n">
        <x:v>0</x:v>
      </x:c>
      <x:c r="AI26" s="48" t="n">
        <x:v>1.1920928955078125e-7</x:v>
      </x:c>
      <x:c r="AJ26" s="37" t="str">
        <x:v>passed</x:v>
      </x:c>
    </x:row>
    <x:row r="27" ht="21" customHeight="1">
      <x:c r="A27" s="2"/>
      <x:c r="B27" s="2"/>
      <x:c r="C27" s="2" t="str">
        <x:v>2022</x:v>
      </x:c>
      <x:c r="D27" s="5" t="n">
        <x:v>44571</x:v>
      </x:c>
      <x:c r="E27" s="2" t="str">
        <x:v>unhedged</x:v>
      </x:c>
      <x:c r="F27" s="37" t="n">
        <x:v>1199285.1796729164</x:v>
      </x:c>
      <x:c r="G27" s="37" t="n">
        <x:v>11639667.978207933</x:v>
      </x:c>
      <x:c r="H27" s="37" t="n">
        <x:v>40460.00480422772</x:v>
      </x:c>
      <x:c r="I27" s="37" t="n">
        <x:v>11599207.973403705</x:v>
      </x:c>
      <x:c r="J27" s="37" t="n">
        <x:v>11639667.978207933</x:v>
      </x:c>
      <x:c r="K27" s="37" t="n">
        <x:v>0</x:v>
      </x:c>
      <x:c r="L27" s="37" t="n">
        <x:v>12838953.15788085</x:v>
      </x:c>
      <x:c r="M27" s="37" t="n">
        <x:v>0</x:v>
      </x:c>
      <x:c r="N27" s="37" t="n">
        <x:v>0</x:v>
      </x:c>
      <x:c r="O27" s="37" t="n">
        <x:v>197.1211665472947</x:v>
      </x:c>
      <x:c r="P27" s="37" t="n">
        <x:v>0</x:v>
      </x:c>
      <x:c r="Q27" s="37" t="n">
        <x:v>0</x:v>
      </x:c>
      <x:c r="R27" s="37" t="n">
        <x:v>0</x:v>
      </x:c>
      <x:c r="S27" s="37" t="n">
        <x:v>0</x:v>
      </x:c>
      <x:c r="T27" s="37" t="n">
        <x:v>0</x:v>
      </x:c>
      <x:c r="U27" s="37" t="n">
        <x:v>0</x:v>
      </x:c>
      <x:c r="V27" s="37" t="n">
        <x:v>0</x:v>
      </x:c>
      <x:c r="W27" s="37" t="n">
        <x:v>459.89898964203894</x:v>
      </x:c>
      <x:c r="X27" s="37" t="n">
        <x:v>0</x:v>
      </x:c>
      <x:c r="Y27" s="37" t="n">
        <x:v>1174.7193167256753</x:v>
      </x:c>
      <x:c r="Z27" s="37" t="n">
        <x:v>0</x:v>
      </x:c>
      <x:c r="AA27" s="37" t="n">
        <x:v>0</x:v>
      </x:c>
      <x:c r="AB27" s="37" t="n">
        <x:v>0</x:v>
      </x:c>
      <x:c r="AC27" s="37" t="n">
        <x:v>1199285.1796729164</x:v>
      </x:c>
      <x:c r="AD27" s="37" t="n">
        <x:v>0</x:v>
      </x:c>
      <x:c r="AE27" s="37" t="n">
        <x:v>0</x:v>
      </x:c>
      <x:c r="AF27" s="47" t="b">
        <x:v>0</x:v>
      </x:c>
      <x:c r="AG27" s="47" t="b">
        <x:v>0</x:v>
      </x:c>
      <x:c r="AH27" s="48" t="n">
        <x:v>0</x:v>
      </x:c>
      <x:c r="AI27" s="48" t="n">
        <x:v>1.1920928955078125e-7</x:v>
      </x:c>
      <x:c r="AJ27" s="37" t="str">
        <x:v>passed</x:v>
      </x:c>
    </x:row>
    <x:row r="28" ht="21" customHeight="1">
      <x:c r="A28" s="2"/>
      <x:c r="B28" s="2"/>
      <x:c r="C28" s="2" t="str">
        <x:v>2022</x:v>
      </x:c>
      <x:c r="D28" s="5" t="n">
        <x:v>44571</x:v>
      </x:c>
      <x:c r="E28" s="2" t="str">
        <x:v>duration</x:v>
      </x:c>
      <x:c r="F28" s="37" t="n">
        <x:v>9261179.292112635</x:v>
      </x:c>
      <x:c r="G28" s="37" t="n">
        <x:v>3684305.5874757716</x:v>
      </x:c>
      <x:c r="H28" s="37" t="n">
        <x:v>22826.912287321025</x:v>
      </x:c>
      <x:c r="I28" s="37" t="n">
        <x:v>3661478.6751884506</x:v>
      </x:c>
      <x:c r="J28" s="37" t="n">
        <x:v>11639667.978207933</x:v>
      </x:c>
      <x:c r="K28" s="37" t="n">
        <x:v>7955362.390732161</x:v>
      </x:c>
      <x:c r="L28" s="37" t="n">
        <x:v>12945484.879588407</x:v>
      </x:c>
      <x:c r="M28" s="37" t="n">
        <x:v>0</x:v>
      </x:c>
      <x:c r="N28" s="37" t="n">
        <x:v>0</x:v>
      </x:c>
      <x:c r="O28" s="37" t="n">
        <x:v>1522.2188155148178</x:v>
      </x:c>
      <x:c r="P28" s="37" t="n">
        <x:v>0</x:v>
      </x:c>
      <x:c r="Q28" s="37" t="n">
        <x:v>0</x:v>
      </x:c>
      <x:c r="R28" s="37" t="n">
        <x:v>0</x:v>
      </x:c>
      <x:c r="S28" s="37" t="n">
        <x:v>0</x:v>
      </x:c>
      <x:c r="T28" s="37" t="n">
        <x:v>0</x:v>
      </x:c>
      <x:c r="U28" s="37" t="n">
        <x:v>0</x:v>
      </x:c>
      <x:c r="V28" s="37" t="n">
        <x:v>0</x:v>
      </x:c>
      <x:c r="W28" s="37" t="n">
        <x:v>3551.454709460959</x:v>
      </x:c>
      <x:c r="X28" s="37" t="n">
        <x:v>0</x:v>
      </x:c>
      <x:c r="Y28" s="37" t="n">
        <x:v>1980.6801684828408</x:v>
      </x:c>
      <x:c r="Z28" s="37" t="n">
        <x:v>8114469.638546804</x:v>
      </x:c>
      <x:c r="AA28" s="37" t="n">
        <x:v>0</x:v>
      </x:c>
      <x:c r="AB28" s="37" t="n">
        <x:v>8114469.638546804</x:v>
      </x:c>
      <x:c r="AC28" s="37" t="n">
        <x:v>1146709.6535658315</x:v>
      </x:c>
      <x:c r="AD28" s="37" t="n">
        <x:v>0</x:v>
      </x:c>
      <x:c r="AE28" s="37" t="n">
        <x:v>0</x:v>
      </x:c>
      <x:c r="AF28" s="47" t="b">
        <x:v>0</x:v>
      </x:c>
      <x:c r="AG28" s="47" t="b">
        <x:v>0</x:v>
      </x:c>
      <x:c r="AH28" s="48" t="n">
        <x:v>0</x:v>
      </x:c>
      <x:c r="AI28" s="48" t="n">
        <x:v>1.1920928955078125e-7</x:v>
      </x:c>
      <x:c r="AJ28" s="37" t="str">
        <x:v>passed</x:v>
      </x:c>
    </x:row>
    <x:row r="29" ht="21" customHeight="1">
      <x:c r="A29" s="2"/>
      <x:c r="B29" s="2"/>
      <x:c r="C29" s="2" t="str">
        <x:v>2022</x:v>
      </x:c>
      <x:c r="D29" s="5" t="n">
        <x:v>44571</x:v>
      </x:c>
      <x:c r="E29" s="2" t="str">
        <x:v>unweighted</x:v>
      </x:c>
      <x:c r="F29" s="37" t="n">
        <x:v>11953352.562678374</x:v>
      </x:c>
      <x:c r="G29" s="37" t="n">
        <x:v>988616.9824663729</x:v>
      </x:c>
      <x:c r="H29" s="37" t="n">
        <x:v>22693.089474139153</x:v>
      </x:c>
      <x:c r="I29" s="37" t="n">
        <x:v>965923.8929922337</x:v>
      </x:c>
      <x:c r="J29" s="37" t="n">
        <x:v>11639667.978207933</x:v>
      </x:c>
      <x:c r="K29" s="37" t="n">
        <x:v>10651050.99574156</x:v>
      </x:c>
      <x:c r="L29" s="37" t="n">
        <x:v>12941969.545144748</x:v>
      </x:c>
      <x:c r="M29" s="37" t="n">
        <x:v>0</x:v>
      </x:c>
      <x:c r="N29" s="37" t="n">
        <x:v>0</x:v>
      </x:c>
      <x:c r="O29" s="37" t="n">
        <x:v>1964.7193521987647</x:v>
      </x:c>
      <x:c r="P29" s="37" t="n">
        <x:v>0</x:v>
      </x:c>
      <x:c r="Q29" s="37" t="n">
        <x:v>0</x:v>
      </x:c>
      <x:c r="R29" s="37" t="n">
        <x:v>0</x:v>
      </x:c>
      <x:c r="S29" s="37" t="n">
        <x:v>0</x:v>
      </x:c>
      <x:c r="T29" s="37" t="n">
        <x:v>0</x:v>
      </x:c>
      <x:c r="U29" s="37" t="n">
        <x:v>0</x:v>
      </x:c>
      <x:c r="V29" s="37" t="n">
        <x:v>0</x:v>
      </x:c>
      <x:c r="W29" s="37" t="n">
        <x:v>4583.842825366184</x:v>
      </x:c>
      <x:c r="X29" s="37" t="n">
        <x:v>0</x:v>
      </x:c>
      <x:c r="Y29" s="37" t="n">
        <x:v>2249.8211708280587</x:v>
      </x:c>
      <x:c r="Z29" s="37" t="n">
        <x:v>10864072.015656391</x:v>
      </x:c>
      <x:c r="AA29" s="37" t="n">
        <x:v>0</x:v>
      </x:c>
      <x:c r="AB29" s="37" t="n">
        <x:v>10864072.015656391</x:v>
      </x:c>
      <x:c r="AC29" s="37" t="n">
        <x:v>1089280.5470219832</x:v>
      </x:c>
      <x:c r="AD29" s="37" t="n">
        <x:v>0</x:v>
      </x:c>
      <x:c r="AE29" s="37" t="n">
        <x:v>0</x:v>
      </x:c>
      <x:c r="AF29" s="47" t="b">
        <x:v>0</x:v>
      </x:c>
      <x:c r="AG29" s="47" t="b">
        <x:v>0</x:v>
      </x:c>
      <x:c r="AH29" s="48" t="n">
        <x:v>0</x:v>
      </x:c>
      <x:c r="AI29" s="48" t="n">
        <x:v>1.1920928955078125e-7</x:v>
      </x:c>
      <x:c r="AJ29" s="37" t="str">
        <x:v>passed</x:v>
      </x:c>
    </x:row>
    <x:row r="30" ht="21" customHeight="1">
      <x:c r="A30" s="2"/>
      <x:c r="B30" s="2"/>
      <x:c r="C30" s="2" t="str">
        <x:v>2022</x:v>
      </x:c>
      <x:c r="D30" s="5" t="n">
        <x:v>44571</x:v>
      </x:c>
      <x:c r="E30" s="2" t="str">
        <x:v>constrained</x:v>
      </x:c>
      <x:c r="F30" s="37" t="n">
        <x:v>13007651.710548034</x:v>
      </x:c>
      <x:c r="G30" s="37" t="n">
        <x:v>-58192.70686283338</x:v>
      </x:c>
      <x:c r="H30" s="37" t="n">
        <x:v>21336.00958737249</x:v>
      </x:c>
      <x:c r="I30" s="37" t="n">
        <x:v>-79528.71645020587</x:v>
      </x:c>
      <x:c r="J30" s="37" t="n">
        <x:v>11645208.512182446</x:v>
      </x:c>
      <x:c r="K30" s="37" t="n">
        <x:v>11703401.21904528</x:v>
      </x:c>
      <x:c r="L30" s="37" t="n">
        <x:v>12949459.0036852</x:v>
      </x:c>
      <x:c r="M30" s="37" t="n">
        <x:v>0</x:v>
      </x:c>
      <x:c r="N30" s="37" t="n">
        <x:v>0</x:v>
      </x:c>
      <x:c r="O30" s="37" t="n">
        <x:v>2138.0098100826144</x:v>
      </x:c>
      <x:c r="P30" s="37" t="n">
        <x:v>0</x:v>
      </x:c>
      <x:c r="Q30" s="37" t="n">
        <x:v>0</x:v>
      </x:c>
      <x:c r="R30" s="37" t="n">
        <x:v>0</x:v>
      </x:c>
      <x:c r="S30" s="37" t="n">
        <x:v>0</x:v>
      </x:c>
      <x:c r="T30" s="37" t="n">
        <x:v>0</x:v>
      </x:c>
      <x:c r="U30" s="37" t="n">
        <x:v>0</x:v>
      </x:c>
      <x:c r="V30" s="37" t="n">
        <x:v>0</x:v>
      </x:c>
      <x:c r="W30" s="37" t="n">
        <x:v>4988.14292104356</x:v>
      </x:c>
      <x:c r="X30" s="37" t="n">
        <x:v>0</x:v>
      </x:c>
      <x:c r="Y30" s="37" t="n">
        <x:v>2356.3509014025813</x:v>
      </x:c>
      <x:c r="Z30" s="37" t="n">
        <x:v>11937469.243426185</x:v>
      </x:c>
      <x:c r="AA30" s="37" t="n">
        <x:v>0</x:v>
      </x:c>
      <x:c r="AB30" s="37" t="n">
        <x:v>11937469.243426185</x:v>
      </x:c>
      <x:c r="AC30" s="37" t="n">
        <x:v>1070182.4671218488</x:v>
      </x:c>
      <x:c r="AD30" s="37" t="n">
        <x:v>0</x:v>
      </x:c>
      <x:c r="AE30" s="37" t="n">
        <x:v>0</x:v>
      </x:c>
      <x:c r="AF30" s="47" t="b">
        <x:v>0</x:v>
      </x:c>
      <x:c r="AG30" s="47" t="b">
        <x:v>0</x:v>
      </x:c>
      <x:c r="AH30" s="48" t="n">
        <x:v>0</x:v>
      </x:c>
      <x:c r="AI30" s="48" t="n">
        <x:v>1.1920928955078125e-7</x:v>
      </x:c>
      <x:c r="AJ30" s="37" t="str">
        <x:v>passed</x:v>
      </x:c>
    </x:row>
    <x:row r="31" ht="21" customHeight="1">
      <x:c r="A31" s="2"/>
      <x:c r="B31" s="2"/>
      <x:c r="C31" s="2" t="str">
        <x:v>2022</x:v>
      </x:c>
      <x:c r="D31" s="5" t="n">
        <x:v>44572</x:v>
      </x:c>
      <x:c r="E31" s="2" t="str">
        <x:v>unhedged</x:v>
      </x:c>
      <x:c r="F31" s="37" t="n">
        <x:v>1199350.893929337</x:v>
      </x:c>
      <x:c r="G31" s="37" t="n">
        <x:v>11654999.907199819</x:v>
      </x:c>
      <x:c r="H31" s="37" t="n">
        <x:v>40808.8367763632</x:v>
      </x:c>
      <x:c r="I31" s="37" t="n">
        <x:v>11614191.070423456</x:v>
      </x:c>
      <x:c r="J31" s="37" t="n">
        <x:v>11654999.907199819</x:v>
      </x:c>
      <x:c r="K31" s="37" t="n">
        <x:v>0</x:v>
      </x:c>
      <x:c r="L31" s="37" t="n">
        <x:v>12854350.801129155</x:v>
      </x:c>
      <x:c r="M31" s="37" t="n">
        <x:v>0</x:v>
      </x:c>
      <x:c r="N31" s="37" t="n">
        <x:v>0</x:v>
      </x:c>
      <x:c r="O31" s="37" t="n">
        <x:v>65.71425642049871</x:v>
      </x:c>
      <x:c r="P31" s="37" t="n">
        <x:v>0</x:v>
      </x:c>
      <x:c r="Q31" s="37" t="n">
        <x:v>0</x:v>
      </x:c>
      <x:c r="R31" s="37" t="n">
        <x:v>0</x:v>
      </x:c>
      <x:c r="S31" s="37" t="n">
        <x:v>0</x:v>
      </x:c>
      <x:c r="T31" s="37" t="n">
        <x:v>0</x:v>
      </x:c>
      <x:c r="U31" s="37" t="n">
        <x:v>0</x:v>
      </x:c>
      <x:c r="V31" s="37" t="n">
        <x:v>0</x:v>
      </x:c>
      <x:c r="W31" s="37" t="n">
        <x:v>525.6132460625377</x:v>
      </x:c>
      <x:c r="X31" s="37" t="n">
        <x:v>0</x:v>
      </x:c>
      <x:c r="Y31" s="37" t="n">
        <x:v>1174.7193167256753</x:v>
      </x:c>
      <x:c r="Z31" s="37" t="n">
        <x:v>0</x:v>
      </x:c>
      <x:c r="AA31" s="37" t="n">
        <x:v>0</x:v>
      </x:c>
      <x:c r="AB31" s="37" t="n">
        <x:v>0</x:v>
      </x:c>
      <x:c r="AC31" s="37" t="n">
        <x:v>1199350.893929337</x:v>
      </x:c>
      <x:c r="AD31" s="37" t="n">
        <x:v>0</x:v>
      </x:c>
      <x:c r="AE31" s="37" t="n">
        <x:v>0</x:v>
      </x:c>
      <x:c r="AF31" s="47" t="b">
        <x:v>0</x:v>
      </x:c>
      <x:c r="AG31" s="47" t="b">
        <x:v>0</x:v>
      </x:c>
      <x:c r="AH31" s="48" t="n">
        <x:v>0</x:v>
      </x:c>
      <x:c r="AI31" s="48" t="n">
        <x:v>1.1920928955078125e-7</x:v>
      </x:c>
      <x:c r="AJ31" s="37" t="str">
        <x:v>passed</x:v>
      </x:c>
    </x:row>
    <x:row r="32" ht="21" customHeight="1">
      <x:c r="A32" s="2"/>
      <x:c r="B32" s="2"/>
      <x:c r="C32" s="2" t="str">
        <x:v>2022</x:v>
      </x:c>
      <x:c r="D32" s="5" t="n">
        <x:v>44572</x:v>
      </x:c>
      <x:c r="E32" s="2" t="str">
        <x:v>duration</x:v>
      </x:c>
      <x:c r="F32" s="37" t="n">
        <x:v>9261686.753991656</x:v>
      </x:c>
      <x:c r="G32" s="37" t="n">
        <x:v>3683474.0490326555</x:v>
      </x:c>
      <x:c r="H32" s="37" t="n">
        <x:v>22860.867607368888</x:v>
      </x:c>
      <x:c r="I32" s="37" t="n">
        <x:v>3660613.1814252865</x:v>
      </x:c>
      <x:c r="J32" s="37" t="n">
        <x:v>11654999.907199819</x:v>
      </x:c>
      <x:c r="K32" s="37" t="n">
        <x:v>7971525.858167162</x:v>
      </x:c>
      <x:c r="L32" s="37" t="n">
        <x:v>12945160.80302431</x:v>
      </x:c>
      <x:c r="M32" s="37" t="n">
        <x:v>0</x:v>
      </x:c>
      <x:c r="N32" s="37" t="n">
        <x:v>0</x:v>
      </x:c>
      <x:c r="O32" s="37" t="n">
        <x:v>507.4618790205568</x:v>
      </x:c>
      <x:c r="P32" s="37" t="n">
        <x:v>0</x:v>
      </x:c>
      <x:c r="Q32" s="37" t="n">
        <x:v>0</x:v>
      </x:c>
      <x:c r="R32" s="37" t="n">
        <x:v>0</x:v>
      </x:c>
      <x:c r="S32" s="37" t="n">
        <x:v>0</x:v>
      </x:c>
      <x:c r="T32" s="37" t="n">
        <x:v>0</x:v>
      </x:c>
      <x:c r="U32" s="37" t="n">
        <x:v>0</x:v>
      </x:c>
      <x:c r="V32" s="37" t="n">
        <x:v>0</x:v>
      </x:c>
      <x:c r="W32" s="37" t="n">
        <x:v>4058.9165884815156</x:v>
      </x:c>
      <x:c r="X32" s="37" t="n">
        <x:v>0</x:v>
      </x:c>
      <x:c r="Y32" s="37" t="n">
        <x:v>1980.6801684828408</x:v>
      </x:c>
      <x:c r="Z32" s="37" t="n">
        <x:v>8130956.375330506</x:v>
      </x:c>
      <x:c r="AA32" s="37" t="n">
        <x:v>0</x:v>
      </x:c>
      <x:c r="AB32" s="37" t="n">
        <x:v>8130956.375330506</x:v>
      </x:c>
      <x:c r="AC32" s="37" t="n">
        <x:v>1130730.37866115</x:v>
      </x:c>
      <x:c r="AD32" s="37" t="n">
        <x:v>0</x:v>
      </x:c>
      <x:c r="AE32" s="37" t="n">
        <x:v>0</x:v>
      </x:c>
      <x:c r="AF32" s="47" t="b">
        <x:v>0</x:v>
      </x:c>
      <x:c r="AG32" s="47" t="b">
        <x:v>0</x:v>
      </x:c>
      <x:c r="AH32" s="48" t="n">
        <x:v>0</x:v>
      </x:c>
      <x:c r="AI32" s="48" t="n">
        <x:v>1.1920928955078125e-7</x:v>
      </x:c>
      <x:c r="AJ32" s="37" t="str">
        <x:v>passed</x:v>
      </x:c>
    </x:row>
    <x:row r="33" ht="21" customHeight="1">
      <x:c r="A33" s="2"/>
      <x:c r="B33" s="2"/>
      <x:c r="C33" s="2" t="str">
        <x:v>2022</x:v>
      </x:c>
      <x:c r="D33" s="5" t="n">
        <x:v>44572</x:v>
      </x:c>
      <x:c r="E33" s="2" t="str">
        <x:v>unweighted</x:v>
      </x:c>
      <x:c r="F33" s="37" t="n">
        <x:v>11954007.540900987</x:v>
      </x:c>
      <x:c r="G33" s="37" t="n">
        <x:v>989609.3428588916</x:v>
      </x:c>
      <x:c r="H33" s="37" t="n">
        <x:v>22683.319592012813</x:v>
      </x:c>
      <x:c r="I33" s="37" t="n">
        <x:v>966926.0232668788</x:v>
      </x:c>
      <x:c r="J33" s="37" t="n">
        <x:v>11654999.907199819</x:v>
      </x:c>
      <x:c r="K33" s="37" t="n">
        <x:v>10665390.564340927</x:v>
      </x:c>
      <x:c r="L33" s="37" t="n">
        <x:v>12943616.883759879</x:v>
      </x:c>
      <x:c r="M33" s="37" t="n">
        <x:v>0</x:v>
      </x:c>
      <x:c r="N33" s="37" t="n">
        <x:v>0</x:v>
      </x:c>
      <x:c r="O33" s="37" t="n">
        <x:v>654.9782226122916</x:v>
      </x:c>
      <x:c r="P33" s="37" t="n">
        <x:v>0</x:v>
      </x:c>
      <x:c r="Q33" s="37" t="n">
        <x:v>0</x:v>
      </x:c>
      <x:c r="R33" s="37" t="n">
        <x:v>0</x:v>
      </x:c>
      <x:c r="S33" s="37" t="n">
        <x:v>0</x:v>
      </x:c>
      <x:c r="T33" s="37" t="n">
        <x:v>0</x:v>
      </x:c>
      <x:c r="U33" s="37" t="n">
        <x:v>0</x:v>
      </x:c>
      <x:c r="V33" s="37" t="n">
        <x:v>0</x:v>
      </x:c>
      <x:c r="W33" s="37" t="n">
        <x:v>5238.821047978476</x:v>
      </x:c>
      <x:c r="X33" s="37" t="n">
        <x:v>0</x:v>
      </x:c>
      <x:c r="Y33" s="37" t="n">
        <x:v>2249.8211708280587</x:v>
      </x:c>
      <x:c r="Z33" s="37" t="n">
        <x:v>10878698.375627745</x:v>
      </x:c>
      <x:c r="AA33" s="37" t="n">
        <x:v>0</x:v>
      </x:c>
      <x:c r="AB33" s="37" t="n">
        <x:v>10878698.375627745</x:v>
      </x:c>
      <x:c r="AC33" s="37" t="n">
        <x:v>1075309.1652732417</x:v>
      </x:c>
      <x:c r="AD33" s="37" t="n">
        <x:v>0</x:v>
      </x:c>
      <x:c r="AE33" s="37" t="n">
        <x:v>0</x:v>
      </x:c>
      <x:c r="AF33" s="47" t="b">
        <x:v>0</x:v>
      </x:c>
      <x:c r="AG33" s="47" t="b">
        <x:v>0</x:v>
      </x:c>
      <x:c r="AH33" s="48" t="n">
        <x:v>0</x:v>
      </x:c>
      <x:c r="AI33" s="48" t="n">
        <x:v>1.1920928955078125e-7</x:v>
      </x:c>
      <x:c r="AJ33" s="37" t="str">
        <x:v>passed</x:v>
      </x:c>
    </x:row>
    <x:row r="34" ht="21" customHeight="1">
      <x:c r="A34" s="2"/>
      <x:c r="B34" s="2"/>
      <x:c r="C34" s="2" t="str">
        <x:v>2022</x:v>
      </x:c>
      <x:c r="D34" s="5" t="n">
        <x:v>44572</x:v>
      </x:c>
      <x:c r="E34" s="2" t="str">
        <x:v>constrained</x:v>
      </x:c>
      <x:c r="F34" s="37" t="n">
        <x:v>13008364.458586968</x:v>
      </x:c>
      <x:c r="G34" s="37" t="n">
        <x:v>-58133.966486777186</x:v>
      </x:c>
      <x:c r="H34" s="37" t="n">
        <x:v>21296.232792568982</x:v>
      </x:c>
      <x:c r="I34" s="37" t="n">
        <x:v>-79430.19927934617</x:v>
      </x:c>
      <x:c r="J34" s="37" t="n">
        <x:v>11660574.608090227</x:v>
      </x:c>
      <x:c r="K34" s="37" t="n">
        <x:v>11718708.574577006</x:v>
      </x:c>
      <x:c r="L34" s="37" t="n">
        <x:v>12950230.49210019</x:v>
      </x:c>
      <x:c r="M34" s="37" t="n">
        <x:v>0</x:v>
      </x:c>
      <x:c r="N34" s="37" t="n">
        <x:v>0</x:v>
      </x:c>
      <x:c r="O34" s="37" t="n">
        <x:v>712.7480389345437</x:v>
      </x:c>
      <x:c r="P34" s="37" t="n">
        <x:v>0</x:v>
      </x:c>
      <x:c r="Q34" s="37" t="n">
        <x:v>0</x:v>
      </x:c>
      <x:c r="R34" s="37" t="n">
        <x:v>0</x:v>
      </x:c>
      <x:c r="S34" s="37" t="n">
        <x:v>0</x:v>
      </x:c>
      <x:c r="T34" s="37" t="n">
        <x:v>0</x:v>
      </x:c>
      <x:c r="U34" s="37" t="n">
        <x:v>0</x:v>
      </x:c>
      <x:c r="V34" s="37" t="n">
        <x:v>0</x:v>
      </x:c>
      <x:c r="W34" s="37" t="n">
        <x:v>5700.890959978104</x:v>
      </x:c>
      <x:c r="X34" s="37" t="n">
        <x:v>0</x:v>
      </x:c>
      <x:c r="Y34" s="37" t="n">
        <x:v>2356.3509014025813</x:v>
      </x:c>
      <x:c r="Z34" s="37" t="n">
        <x:v>11953082.746068547</x:v>
      </x:c>
      <x:c r="AA34" s="37" t="n">
        <x:v>0</x:v>
      </x:c>
      <x:c r="AB34" s="37" t="n">
        <x:v>11953082.746068547</x:v>
      </x:c>
      <x:c r="AC34" s="37" t="n">
        <x:v>1055281.712518422</x:v>
      </x:c>
      <x:c r="AD34" s="37" t="n">
        <x:v>0</x:v>
      </x:c>
      <x:c r="AE34" s="37" t="n">
        <x:v>0</x:v>
      </x:c>
      <x:c r="AF34" s="47" t="b">
        <x:v>0</x:v>
      </x:c>
      <x:c r="AG34" s="47" t="b">
        <x:v>0</x:v>
      </x:c>
      <x:c r="AH34" s="48" t="n">
        <x:v>0</x:v>
      </x:c>
      <x:c r="AI34" s="48" t="n">
        <x:v>1.1920928955078125e-7</x:v>
      </x:c>
      <x:c r="AJ34" s="37" t="str">
        <x:v>passed</x:v>
      </x:c>
    </x:row>
    <x:row r="35" ht="21" customHeight="1">
      <x:c r="A35" s="2"/>
      <x:c r="B35" s="2"/>
      <x:c r="C35" s="2" t="str">
        <x:v>2022</x:v>
      </x:c>
      <x:c r="D35" s="5" t="n">
        <x:v>44573</x:v>
      </x:c>
      <x:c r="E35" s="2" t="str">
        <x:v>unhedged</x:v>
      </x:c>
      <x:c r="F35" s="37" t="n">
        <x:v>1199416.6117865385</x:v>
      </x:c>
      <x:c r="G35" s="37" t="n">
        <x:v>11663781.31820304</x:v>
      </x:c>
      <x:c r="H35" s="37" t="n">
        <x:v>41157.668748498676</x:v>
      </x:c>
      <x:c r="I35" s="37" t="n">
        <x:v>11622623.649454542</x:v>
      </x:c>
      <x:c r="J35" s="37" t="n">
        <x:v>11663781.31820304</x:v>
      </x:c>
      <x:c r="K35" s="37" t="n">
        <x:v>0</x:v>
      </x:c>
      <x:c r="L35" s="37" t="n">
        <x:v>12863197.929989578</x:v>
      </x:c>
      <x:c r="M35" s="37" t="n">
        <x:v>0</x:v>
      </x:c>
      <x:c r="N35" s="37" t="n">
        <x:v>0</x:v>
      </x:c>
      <x:c r="O35" s="37" t="n">
        <x:v>65.71785720158368</x:v>
      </x:c>
      <x:c r="P35" s="37" t="n">
        <x:v>0</x:v>
      </x:c>
      <x:c r="Q35" s="37" t="n">
        <x:v>0</x:v>
      </x:c>
      <x:c r="R35" s="37" t="n">
        <x:v>0</x:v>
      </x:c>
      <x:c r="S35" s="37" t="n">
        <x:v>0</x:v>
      </x:c>
      <x:c r="T35" s="37" t="n">
        <x:v>0</x:v>
      </x:c>
      <x:c r="U35" s="37" t="n">
        <x:v>0</x:v>
      </x:c>
      <x:c r="V35" s="37" t="n">
        <x:v>0</x:v>
      </x:c>
      <x:c r="W35" s="37" t="n">
        <x:v>591.3311032641213</x:v>
      </x:c>
      <x:c r="X35" s="37" t="n">
        <x:v>0</x:v>
      </x:c>
      <x:c r="Y35" s="37" t="n">
        <x:v>1174.7193167256753</x:v>
      </x:c>
      <x:c r="Z35" s="37" t="n">
        <x:v>0</x:v>
      </x:c>
      <x:c r="AA35" s="37" t="n">
        <x:v>0</x:v>
      </x:c>
      <x:c r="AB35" s="37" t="n">
        <x:v>0</x:v>
      </x:c>
      <x:c r="AC35" s="37" t="n">
        <x:v>1199416.6117865385</x:v>
      </x:c>
      <x:c r="AD35" s="37" t="n">
        <x:v>0</x:v>
      </x:c>
      <x:c r="AE35" s="37" t="n">
        <x:v>0</x:v>
      </x:c>
      <x:c r="AF35" s="47" t="b">
        <x:v>0</x:v>
      </x:c>
      <x:c r="AG35" s="47" t="b">
        <x:v>0</x:v>
      </x:c>
      <x:c r="AH35" s="48" t="n">
        <x:v>0</x:v>
      </x:c>
      <x:c r="AI35" s="48" t="n">
        <x:v>1.1920928955078125e-7</x:v>
      </x:c>
      <x:c r="AJ35" s="37" t="str">
        <x:v>passed</x:v>
      </x:c>
    </x:row>
    <x:row r="36" ht="21" customHeight="1">
      <x:c r="A36" s="2"/>
      <x:c r="B36" s="2"/>
      <x:c r="C36" s="2" t="str">
        <x:v>2022</x:v>
      </x:c>
      <x:c r="D36" s="5" t="n">
        <x:v>44573</x:v>
      </x:c>
      <x:c r="E36" s="2" t="str">
        <x:v>duration</x:v>
      </x:c>
      <x:c r="F36" s="37" t="n">
        <x:v>9262194.243676806</x:v>
      </x:c>
      <x:c r="G36" s="37" t="n">
        <x:v>3681876.974000084</x:v>
      </x:c>
      <x:c r="H36" s="37" t="n">
        <x:v>22894.822927416746</x:v>
      </x:c>
      <x:c r="I36" s="37" t="n">
        <x:v>3658982.1510726674</x:v>
      </x:c>
      <x:c r="J36" s="37" t="n">
        <x:v>11663781.31820304</x:v>
      </x:c>
      <x:c r="K36" s="37" t="n">
        <x:v>7981904.344202954</x:v>
      </x:c>
      <x:c r="L36" s="37" t="n">
        <x:v>12944071.21767689</x:v>
      </x:c>
      <x:c r="M36" s="37" t="n">
        <x:v>0</x:v>
      </x:c>
      <x:c r="N36" s="37" t="n">
        <x:v>0</x:v>
      </x:c>
      <x:c r="O36" s="37" t="n">
        <x:v>507.48968514986336</x:v>
      </x:c>
      <x:c r="P36" s="37" t="n">
        <x:v>0</x:v>
      </x:c>
      <x:c r="Q36" s="37" t="n">
        <x:v>0</x:v>
      </x:c>
      <x:c r="R36" s="37" t="n">
        <x:v>0</x:v>
      </x:c>
      <x:c r="S36" s="37" t="n">
        <x:v>0</x:v>
      </x:c>
      <x:c r="T36" s="37" t="n">
        <x:v>0</x:v>
      </x:c>
      <x:c r="U36" s="37" t="n">
        <x:v>0</x:v>
      </x:c>
      <x:c r="V36" s="37" t="n">
        <x:v>0</x:v>
      </x:c>
      <x:c r="W36" s="37" t="n">
        <x:v>4566.406273631379</x:v>
      </x:c>
      <x:c r="X36" s="37" t="n">
        <x:v>0</x:v>
      </x:c>
      <x:c r="Y36" s="37" t="n">
        <x:v>1980.6801684828408</x:v>
      </x:c>
      <x:c r="Z36" s="37" t="n">
        <x:v>8141542.431087013</x:v>
      </x:c>
      <x:c r="AA36" s="37" t="n">
        <x:v>0</x:v>
      </x:c>
      <x:c r="AB36" s="37" t="n">
        <x:v>8141542.431087013</x:v>
      </x:c>
      <x:c r="AC36" s="37" t="n">
        <x:v>1120651.8125897925</x:v>
      </x:c>
      <x:c r="AD36" s="37" t="n">
        <x:v>0</x:v>
      </x:c>
      <x:c r="AE36" s="37" t="n">
        <x:v>0</x:v>
      </x:c>
      <x:c r="AF36" s="47" t="b">
        <x:v>0</x:v>
      </x:c>
      <x:c r="AG36" s="47" t="b">
        <x:v>0</x:v>
      </x:c>
      <x:c r="AH36" s="48" t="n">
        <x:v>0</x:v>
      </x:c>
      <x:c r="AI36" s="48" t="n">
        <x:v>1.1920928955078125e-7</x:v>
      </x:c>
      <x:c r="AJ36" s="37" t="str">
        <x:v>passed</x:v>
      </x:c>
    </x:row>
    <x:row r="37" ht="21" customHeight="1">
      <x:c r="A37" s="2"/>
      <x:c r="B37" s="2"/>
      <x:c r="C37" s="2" t="str">
        <x:v>2022</x:v>
      </x:c>
      <x:c r="D37" s="5" t="n">
        <x:v>44573</x:v>
      </x:c>
      <x:c r="E37" s="2" t="str">
        <x:v>unweighted</x:v>
      </x:c>
      <x:c r="F37" s="37" t="n">
        <x:v>11954662.555012817</x:v>
      </x:c>
      <x:c r="G37" s="37" t="n">
        <x:v>990368.1494171503</x:v>
      </x:c>
      <x:c r="H37" s="37" t="n">
        <x:v>22673.549709886465</x:v>
      </x:c>
      <x:c r="I37" s="37" t="n">
        <x:v>967694.5997072639</x:v>
      </x:c>
      <x:c r="J37" s="37" t="n">
        <x:v>11663781.31820304</x:v>
      </x:c>
      <x:c r="K37" s="37" t="n">
        <x:v>10673413.168785889</x:v>
      </x:c>
      <x:c r="L37" s="37" t="n">
        <x:v>12945030.704429967</x:v>
      </x:c>
      <x:c r="M37" s="37" t="n">
        <x:v>0</x:v>
      </x:c>
      <x:c r="N37" s="37" t="n">
        <x:v>0</x:v>
      </x:c>
      <x:c r="O37" s="37" t="n">
        <x:v>655.0141118299216</x:v>
      </x:c>
      <x:c r="P37" s="37" t="n">
        <x:v>0</x:v>
      </x:c>
      <x:c r="Q37" s="37" t="n">
        <x:v>0</x:v>
      </x:c>
      <x:c r="R37" s="37" t="n">
        <x:v>0</x:v>
      </x:c>
      <x:c r="S37" s="37" t="n">
        <x:v>0</x:v>
      </x:c>
      <x:c r="T37" s="37" t="n">
        <x:v>0</x:v>
      </x:c>
      <x:c r="U37" s="37" t="n">
        <x:v>0</x:v>
      </x:c>
      <x:c r="V37" s="37" t="n">
        <x:v>0</x:v>
      </x:c>
      <x:c r="W37" s="37" t="n">
        <x:v>5893.835159808397</x:v>
      </x:c>
      <x:c r="X37" s="37" t="n">
        <x:v>0</x:v>
      </x:c>
      <x:c r="Y37" s="37" t="n">
        <x:v>2249.8211708280587</x:v>
      </x:c>
      <x:c r="Z37" s="37" t="n">
        <x:v>10886881.432161607</x:v>
      </x:c>
      <x:c r="AA37" s="37" t="n">
        <x:v>0</x:v>
      </x:c>
      <x:c r="AB37" s="37" t="n">
        <x:v>10886881.432161607</x:v>
      </x:c>
      <x:c r="AC37" s="37" t="n">
        <x:v>1067781.1228512097</x:v>
      </x:c>
      <x:c r="AD37" s="37" t="n">
        <x:v>0</x:v>
      </x:c>
      <x:c r="AE37" s="37" t="n">
        <x:v>0</x:v>
      </x:c>
      <x:c r="AF37" s="47" t="b">
        <x:v>0</x:v>
      </x:c>
      <x:c r="AG37" s="47" t="b">
        <x:v>0</x:v>
      </x:c>
      <x:c r="AH37" s="48" t="n">
        <x:v>0</x:v>
      </x:c>
      <x:c r="AI37" s="48" t="n">
        <x:v>1.1920928955078125e-7</x:v>
      </x:c>
      <x:c r="AJ37" s="37" t="str">
        <x:v>passed</x:v>
      </x:c>
    </x:row>
    <x:row r="38" ht="21" customHeight="1">
      <x:c r="A38" s="2"/>
      <x:c r="B38" s="2"/>
      <x:c r="C38" s="2" t="str">
        <x:v>2022</x:v>
      </x:c>
      <x:c r="D38" s="5" t="n">
        <x:v>44573</x:v>
      </x:c>
      <x:c r="E38" s="2" t="str">
        <x:v>constrained</x:v>
      </x:c>
      <x:c r="F38" s="37" t="n">
        <x:v>13009077.24568059</x:v>
      </x:c>
      <x:c r="G38" s="37" t="n">
        <x:v>-57798.04424033733</x:v>
      </x:c>
      <x:c r="H38" s="37" t="n">
        <x:v>21256.455997765475</x:v>
      </x:c>
      <x:c r="I38" s="37" t="n">
        <x:v>-79054.5002381028</x:v>
      </x:c>
      <x:c r="J38" s="37" t="n">
        <x:v>11669346.521318505</x:v>
      </x:c>
      <x:c r="K38" s="37" t="n">
        <x:v>11727144.565558843</x:v>
      </x:c>
      <x:c r="L38" s="37" t="n">
        <x:v>12951279.201440252</x:v>
      </x:c>
      <x:c r="M38" s="37" t="n">
        <x:v>0</x:v>
      </x:c>
      <x:c r="N38" s="37" t="n">
        <x:v>0</x:v>
      </x:c>
      <x:c r="O38" s="37" t="n">
        <x:v>712.7870936207473</x:v>
      </x:c>
      <x:c r="P38" s="37" t="n">
        <x:v>0</x:v>
      </x:c>
      <x:c r="Q38" s="37" t="n">
        <x:v>0</x:v>
      </x:c>
      <x:c r="R38" s="37" t="n">
        <x:v>0</x:v>
      </x:c>
      <x:c r="S38" s="37" t="n">
        <x:v>0</x:v>
      </x:c>
      <x:c r="T38" s="37" t="n">
        <x:v>0</x:v>
      </x:c>
      <x:c r="U38" s="37" t="n">
        <x:v>0</x:v>
      </x:c>
      <x:c r="V38" s="37" t="n">
        <x:v>0</x:v>
      </x:c>
      <x:c r="W38" s="37" t="n">
        <x:v>6413.678053598851</x:v>
      </x:c>
      <x:c r="X38" s="37" t="n">
        <x:v>0</x:v>
      </x:c>
      <x:c r="Y38" s="37" t="n">
        <x:v>2356.3509014025813</x:v>
      </x:c>
      <x:c r="Z38" s="37" t="n">
        <x:v>11961687.456870021</x:v>
      </x:c>
      <x:c r="AA38" s="37" t="n">
        <x:v>0</x:v>
      </x:c>
      <x:c r="AB38" s="37" t="n">
        <x:v>11961687.456870021</x:v>
      </x:c>
      <x:c r="AC38" s="37" t="n">
        <x:v>1047389.7888105679</x:v>
      </x:c>
      <x:c r="AD38" s="37" t="n">
        <x:v>0</x:v>
      </x:c>
      <x:c r="AE38" s="37" t="n">
        <x:v>0</x:v>
      </x:c>
      <x:c r="AF38" s="47" t="b">
        <x:v>0</x:v>
      </x:c>
      <x:c r="AG38" s="47" t="b">
        <x:v>0</x:v>
      </x:c>
      <x:c r="AH38" s="48" t="n">
        <x:v>0</x:v>
      </x:c>
      <x:c r="AI38" s="48" t="n">
        <x:v>1.1920928955078125e-7</x:v>
      </x:c>
      <x:c r="AJ38" s="37" t="str">
        <x:v>passed</x:v>
      </x:c>
    </x:row>
    <x:row r="39" ht="21" customHeight="1">
      <x:c r="A39" s="2"/>
      <x:c r="B39" s="2"/>
      <x:c r="C39" s="2" t="str">
        <x:v>2022</x:v>
      </x:c>
      <x:c r="D39" s="5" t="n">
        <x:v>44574</x:v>
      </x:c>
      <x:c r="E39" s="2" t="str">
        <x:v>unhedged</x:v>
      </x:c>
      <x:c r="F39" s="37" t="n">
        <x:v>1199482.3332447188</x:v>
      </x:c>
      <x:c r="G39" s="37" t="n">
        <x:v>11689036.87716049</x:v>
      </x:c>
      <x:c r="H39" s="37" t="n">
        <x:v>41506.50072063416</x:v>
      </x:c>
      <x:c r="I39" s="37" t="n">
        <x:v>11647530.376439855</x:v>
      </x:c>
      <x:c r="J39" s="37" t="n">
        <x:v>11689036.87716049</x:v>
      </x:c>
      <x:c r="K39" s="37" t="n">
        <x:v>0</x:v>
      </x:c>
      <x:c r="L39" s="37" t="n">
        <x:v>12888519.210405208</x:v>
      </x:c>
      <x:c r="M39" s="37" t="n">
        <x:v>0</x:v>
      </x:c>
      <x:c r="N39" s="37" t="n">
        <x:v>0</x:v>
      </x:c>
      <x:c r="O39" s="37" t="n">
        <x:v>65.72145818034187</x:v>
      </x:c>
      <x:c r="P39" s="37" t="n">
        <x:v>0</x:v>
      </x:c>
      <x:c r="Q39" s="37" t="n">
        <x:v>0</x:v>
      </x:c>
      <x:c r="R39" s="37" t="n">
        <x:v>0</x:v>
      </x:c>
      <x:c r="S39" s="37" t="n">
        <x:v>0</x:v>
      </x:c>
      <x:c r="T39" s="37" t="n">
        <x:v>0</x:v>
      </x:c>
      <x:c r="U39" s="37" t="n">
        <x:v>0</x:v>
      </x:c>
      <x:c r="V39" s="37" t="n">
        <x:v>0</x:v>
      </x:c>
      <x:c r="W39" s="37" t="n">
        <x:v>657.0525614444632</x:v>
      </x:c>
      <x:c r="X39" s="37" t="n">
        <x:v>0</x:v>
      </x:c>
      <x:c r="Y39" s="37" t="n">
        <x:v>1174.7193167256753</x:v>
      </x:c>
      <x:c r="Z39" s="37" t="n">
        <x:v>0</x:v>
      </x:c>
      <x:c r="AA39" s="37" t="n">
        <x:v>0</x:v>
      </x:c>
      <x:c r="AB39" s="37" t="n">
        <x:v>0</x:v>
      </x:c>
      <x:c r="AC39" s="37" t="n">
        <x:v>1199482.3332447188</x:v>
      </x:c>
      <x:c r="AD39" s="37" t="n">
        <x:v>0</x:v>
      </x:c>
      <x:c r="AE39" s="37" t="n">
        <x:v>0</x:v>
      </x:c>
      <x:c r="AF39" s="47" t="b">
        <x:v>0</x:v>
      </x:c>
      <x:c r="AG39" s="47" t="b">
        <x:v>0</x:v>
      </x:c>
      <x:c r="AH39" s="48" t="n">
        <x:v>0</x:v>
      </x:c>
      <x:c r="AI39" s="48" t="n">
        <x:v>1.1920928955078125e-7</x:v>
      </x:c>
      <x:c r="AJ39" s="37" t="str">
        <x:v>passed</x:v>
      </x:c>
    </x:row>
    <x:row r="40" ht="21" customHeight="1">
      <x:c r="A40" s="2"/>
      <x:c r="B40" s="2"/>
      <x:c r="C40" s="2" t="str">
        <x:v>2022</x:v>
      </x:c>
      <x:c r="D40" s="5" t="n">
        <x:v>44574</x:v>
      </x:c>
      <x:c r="E40" s="2" t="str">
        <x:v>duration</x:v>
      </x:c>
      <x:c r="F40" s="37" t="n">
        <x:v>9262701.761169612</x:v>
      </x:c>
      <x:c r="G40" s="37" t="n">
        <x:v>3681968.655906624</x:v>
      </x:c>
      <x:c r="H40" s="37" t="n">
        <x:v>22928.77824746461</x:v>
      </x:c>
      <x:c r="I40" s="37" t="n">
        <x:v>3659039.8776591597</x:v>
      </x:c>
      <x:c r="J40" s="37" t="n">
        <x:v>11689036.87716049</x:v>
      </x:c>
      <x:c r="K40" s="37" t="n">
        <x:v>8007068.2212538645</x:v>
      </x:c>
      <x:c r="L40" s="37" t="n">
        <x:v>12944670.417076237</x:v>
      </x:c>
      <x:c r="M40" s="37" t="n">
        <x:v>0</x:v>
      </x:c>
      <x:c r="N40" s="37" t="n">
        <x:v>0</x:v>
      </x:c>
      <x:c r="O40" s="37" t="n">
        <x:v>507.51749280653894</x:v>
      </x:c>
      <x:c r="P40" s="37" t="n">
        <x:v>0</x:v>
      </x:c>
      <x:c r="Q40" s="37" t="n">
        <x:v>0</x:v>
      </x:c>
      <x:c r="R40" s="37" t="n">
        <x:v>0</x:v>
      </x:c>
      <x:c r="S40" s="37" t="n">
        <x:v>0</x:v>
      </x:c>
      <x:c r="T40" s="37" t="n">
        <x:v>0</x:v>
      </x:c>
      <x:c r="U40" s="37" t="n">
        <x:v>0</x:v>
      </x:c>
      <x:c r="V40" s="37" t="n">
        <x:v>0</x:v>
      </x:c>
      <x:c r="W40" s="37" t="n">
        <x:v>5073.923766437918</x:v>
      </x:c>
      <x:c r="X40" s="37" t="n">
        <x:v>0</x:v>
      </x:c>
      <x:c r="Y40" s="37" t="n">
        <x:v>1980.6801684828408</x:v>
      </x:c>
      <x:c r="Z40" s="37" t="n">
        <x:v>8167209.585678942</x:v>
      </x:c>
      <x:c r="AA40" s="37" t="n">
        <x:v>0</x:v>
      </x:c>
      <x:c r="AB40" s="37" t="n">
        <x:v>8167209.585678942</x:v>
      </x:c>
      <x:c r="AC40" s="37" t="n">
        <x:v>1095492.1754906708</x:v>
      </x:c>
      <x:c r="AD40" s="37" t="n">
        <x:v>0</x:v>
      </x:c>
      <x:c r="AE40" s="37" t="n">
        <x:v>0</x:v>
      </x:c>
      <x:c r="AF40" s="47" t="b">
        <x:v>0</x:v>
      </x:c>
      <x:c r="AG40" s="47" t="b">
        <x:v>0</x:v>
      </x:c>
      <x:c r="AH40" s="48" t="n">
        <x:v>0</x:v>
      </x:c>
      <x:c r="AI40" s="48" t="n">
        <x:v>1.1920928955078125e-7</x:v>
      </x:c>
      <x:c r="AJ40" s="37" t="str">
        <x:v>passed</x:v>
      </x:c>
    </x:row>
    <x:row r="41" ht="21" customHeight="1">
      <x:c r="A41" s="2"/>
      <x:c r="B41" s="2"/>
      <x:c r="C41" s="2" t="str">
        <x:v>2022</x:v>
      </x:c>
      <x:c r="D41" s="5" t="n">
        <x:v>44574</x:v>
      </x:c>
      <x:c r="E41" s="2" t="str">
        <x:v>unweighted</x:v>
      </x:c>
      <x:c r="F41" s="37" t="n">
        <x:v>11955317.605015833</x:v>
      </x:c>
      <x:c r="G41" s="37" t="n">
        <x:v>992029.3262128423</x:v>
      </x:c>
      <x:c r="H41" s="37" t="n">
        <x:v>22663.779827760125</x:v>
      </x:c>
      <x:c r="I41" s="37" t="n">
        <x:v>969365.5463850822</x:v>
      </x:c>
      <x:c r="J41" s="37" t="n">
        <x:v>11689036.87716049</x:v>
      </x:c>
      <x:c r="K41" s="37" t="n">
        <x:v>10697007.550947646</x:v>
      </x:c>
      <x:c r="L41" s="37" t="n">
        <x:v>12947346.931228675</x:v>
      </x:c>
      <x:c r="M41" s="37" t="n">
        <x:v>0</x:v>
      </x:c>
      <x:c r="N41" s="37" t="n">
        <x:v>0</x:v>
      </x:c>
      <x:c r="O41" s="37" t="n">
        <x:v>655.0500030163676</x:v>
      </x:c>
      <x:c r="P41" s="37" t="n">
        <x:v>0</x:v>
      </x:c>
      <x:c r="Q41" s="37" t="n">
        <x:v>0</x:v>
      </x:c>
      <x:c r="R41" s="37" t="n">
        <x:v>0</x:v>
      </x:c>
      <x:c r="S41" s="37" t="n">
        <x:v>0</x:v>
      </x:c>
      <x:c r="T41" s="37" t="n">
        <x:v>0</x:v>
      </x:c>
      <x:c r="U41" s="37" t="n">
        <x:v>0</x:v>
      </x:c>
      <x:c r="V41" s="37" t="n">
        <x:v>0</x:v>
      </x:c>
      <x:c r="W41" s="37" t="n">
        <x:v>6548.885162824765</x:v>
      </x:c>
      <x:c r="X41" s="37" t="n">
        <x:v>0</x:v>
      </x:c>
      <x:c r="Y41" s="37" t="n">
        <x:v>2249.8211708280587</x:v>
      </x:c>
      <x:c r="Z41" s="37" t="n">
        <x:v>10910947.701966599</x:v>
      </x:c>
      <x:c r="AA41" s="37" t="n">
        <x:v>0</x:v>
      </x:c>
      <x:c r="AB41" s="37" t="n">
        <x:v>10910947.701966599</x:v>
      </x:c>
      <x:c r="AC41" s="37" t="n">
        <x:v>1044369.9030492343</x:v>
      </x:c>
      <x:c r="AD41" s="37" t="n">
        <x:v>0</x:v>
      </x:c>
      <x:c r="AE41" s="37" t="n">
        <x:v>0</x:v>
      </x:c>
      <x:c r="AF41" s="47" t="b">
        <x:v>0</x:v>
      </x:c>
      <x:c r="AG41" s="47" t="b">
        <x:v>0</x:v>
      </x:c>
      <x:c r="AH41" s="48" t="n">
        <x:v>0</x:v>
      </x:c>
      <x:c r="AI41" s="48" t="n">
        <x:v>1.1920928955078125e-7</x:v>
      </x:c>
      <x:c r="AJ41" s="37" t="str">
        <x:v>passed</x:v>
      </x:c>
    </x:row>
    <x:row r="42" ht="21" customHeight="1">
      <x:c r="A42" s="2"/>
      <x:c r="B42" s="2"/>
      <x:c r="C42" s="2" t="str">
        <x:v>2022</x:v>
      </x:c>
      <x:c r="D42" s="5" t="n">
        <x:v>44574</x:v>
      </x:c>
      <x:c r="E42" s="2" t="str">
        <x:v>constrained</x:v>
      </x:c>
      <x:c r="F42" s="37" t="n">
        <x:v>13009790.071831038</x:v>
      </x:c>
      <x:c r="G42" s="37" t="n">
        <x:v>-57781.82602939048</x:v>
      </x:c>
      <x:c r="H42" s="37" t="n">
        <x:v>21216.679202961972</x:v>
      </x:c>
      <x:c r="I42" s="37" t="n">
        <x:v>-78998.50523235246</x:v>
      </x:c>
      <x:c r="J42" s="37" t="n">
        <x:v>11694647.334079508</x:v>
      </x:c>
      <x:c r="K42" s="37" t="n">
        <x:v>11752429.160108898</x:v>
      </x:c>
      <x:c r="L42" s="37" t="n">
        <x:v>12952008.245801648</x:v>
      </x:c>
      <x:c r="M42" s="37" t="n">
        <x:v>0</x:v>
      </x:c>
      <x:c r="N42" s="37" t="n">
        <x:v>0</x:v>
      </x:c>
      <x:c r="O42" s="37" t="n">
        <x:v>712.8261504489928</x:v>
      </x:c>
      <x:c r="P42" s="37" t="n">
        <x:v>0</x:v>
      </x:c>
      <x:c r="Q42" s="37" t="n">
        <x:v>0</x:v>
      </x:c>
      <x:c r="R42" s="37" t="n">
        <x:v>0</x:v>
      </x:c>
      <x:c r="S42" s="37" t="n">
        <x:v>0</x:v>
      </x:c>
      <x:c r="T42" s="37" t="n">
        <x:v>0</x:v>
      </x:c>
      <x:c r="U42" s="37" t="n">
        <x:v>0</x:v>
      </x:c>
      <x:c r="V42" s="37" t="n">
        <x:v>0</x:v>
      </x:c>
      <x:c r="W42" s="37" t="n">
        <x:v>7126.504204047844</x:v>
      </x:c>
      <x:c r="X42" s="37" t="n">
        <x:v>0</x:v>
      </x:c>
      <x:c r="Y42" s="37" t="n">
        <x:v>2356.3509014025813</x:v>
      </x:c>
      <x:c r="Z42" s="37" t="n">
        <x:v>11987477.743311075</x:v>
      </x:c>
      <x:c r="AA42" s="37" t="n">
        <x:v>0</x:v>
      </x:c>
      <x:c r="AB42" s="37" t="n">
        <x:v>11987477.743311075</x:v>
      </x:c>
      <x:c r="AC42" s="37" t="n">
        <x:v>1022312.3285199627</x:v>
      </x:c>
      <x:c r="AD42" s="37" t="n">
        <x:v>0</x:v>
      </x:c>
      <x:c r="AE42" s="37" t="n">
        <x:v>0</x:v>
      </x:c>
      <x:c r="AF42" s="47" t="b">
        <x:v>0</x:v>
      </x:c>
      <x:c r="AG42" s="47" t="b">
        <x:v>0</x:v>
      </x:c>
      <x:c r="AH42" s="48" t="n">
        <x:v>0</x:v>
      </x:c>
      <x:c r="AI42" s="48" t="n">
        <x:v>1.1920928955078125e-7</x:v>
      </x:c>
      <x:c r="AJ42" s="37" t="str">
        <x:v>passed</x:v>
      </x:c>
    </x:row>
    <x:row r="43" ht="21" customHeight="1">
      <x:c r="A43" s="2"/>
      <x:c r="B43" s="2"/>
      <x:c r="C43" s="2" t="str">
        <x:v>2022</x:v>
      </x:c>
      <x:c r="D43" s="5" t="n">
        <x:v>44575</x:v>
      </x:c>
      <x:c r="E43" s="2" t="str">
        <x:v>unhedged</x:v>
      </x:c>
      <x:c r="F43" s="37" t="n">
        <x:v>1199548.0583040747</x:v>
      </x:c>
      <x:c r="G43" s="37" t="n">
        <x:v>11630159.330657456</x:v>
      </x:c>
      <x:c r="H43" s="37" t="n">
        <x:v>41855.33269276963</x:v>
      </x:c>
      <x:c r="I43" s="37" t="n">
        <x:v>11588303.997964686</x:v>
      </x:c>
      <x:c r="J43" s="37" t="n">
        <x:v>11630159.330657456</x:v>
      </x:c>
      <x:c r="K43" s="37" t="n">
        <x:v>0</x:v>
      </x:c>
      <x:c r="L43" s="37" t="n">
        <x:v>12829707.388961531</x:v>
      </x:c>
      <x:c r="M43" s="37" t="n">
        <x:v>0</x:v>
      </x:c>
      <x:c r="N43" s="37" t="n">
        <x:v>0</x:v>
      </x:c>
      <x:c r="O43" s="37" t="n">
        <x:v>65.72505935584195</x:v>
      </x:c>
      <x:c r="P43" s="37" t="n">
        <x:v>0</x:v>
      </x:c>
      <x:c r="Q43" s="37" t="n">
        <x:v>0</x:v>
      </x:c>
      <x:c r="R43" s="37" t="n">
        <x:v>0</x:v>
      </x:c>
      <x:c r="S43" s="37" t="n">
        <x:v>0</x:v>
      </x:c>
      <x:c r="T43" s="37" t="n">
        <x:v>0</x:v>
      </x:c>
      <x:c r="U43" s="37" t="n">
        <x:v>0</x:v>
      </x:c>
      <x:c r="V43" s="37" t="n">
        <x:v>0</x:v>
      </x:c>
      <x:c r="W43" s="37" t="n">
        <x:v>722.7776208003052</x:v>
      </x:c>
      <x:c r="X43" s="37" t="n">
        <x:v>0</x:v>
      </x:c>
      <x:c r="Y43" s="37" t="n">
        <x:v>1174.7193167256753</x:v>
      </x:c>
      <x:c r="Z43" s="37" t="n">
        <x:v>0</x:v>
      </x:c>
      <x:c r="AA43" s="37" t="n">
        <x:v>0</x:v>
      </x:c>
      <x:c r="AB43" s="37" t="n">
        <x:v>0</x:v>
      </x:c>
      <x:c r="AC43" s="37" t="n">
        <x:v>1199548.0583040747</x:v>
      </x:c>
      <x:c r="AD43" s="37" t="n">
        <x:v>0</x:v>
      </x:c>
      <x:c r="AE43" s="37" t="n">
        <x:v>0</x:v>
      </x:c>
      <x:c r="AF43" s="47" t="b">
        <x:v>0</x:v>
      </x:c>
      <x:c r="AG43" s="47" t="b">
        <x:v>0</x:v>
      </x:c>
      <x:c r="AH43" s="48" t="n">
        <x:v>0</x:v>
      </x:c>
      <x:c r="AI43" s="48" t="n">
        <x:v>1.1920928955078125e-7</x:v>
      </x:c>
      <x:c r="AJ43" s="37" t="str">
        <x:v>passed</x:v>
      </x:c>
    </x:row>
    <x:row r="44" ht="21" customHeight="1">
      <x:c r="A44" s="2"/>
      <x:c r="B44" s="2"/>
      <x:c r="C44" s="2" t="str">
        <x:v>2022</x:v>
      </x:c>
      <x:c r="D44" s="5" t="n">
        <x:v>44575</x:v>
      </x:c>
      <x:c r="E44" s="2" t="str">
        <x:v>duration</x:v>
      </x:c>
      <x:c r="F44" s="37" t="n">
        <x:v>9263209.306471594</x:v>
      </x:c>
      <x:c r="G44" s="37" t="n">
        <x:v>3680474.130077565</x:v>
      </x:c>
      <x:c r="H44" s="37" t="n">
        <x:v>22962.733567512463</x:v>
      </x:c>
      <x:c r="I44" s="37" t="n">
        <x:v>3657511.3965100525</x:v>
      </x:c>
      <x:c r="J44" s="37" t="n">
        <x:v>11630159.330657456</x:v>
      </x:c>
      <x:c r="K44" s="37" t="n">
        <x:v>7949685.200579892</x:v>
      </x:c>
      <x:c r="L44" s="37" t="n">
        <x:v>12943683.436549159</x:v>
      </x:c>
      <x:c r="M44" s="37" t="n">
        <x:v>0</x:v>
      </x:c>
      <x:c r="N44" s="37" t="n">
        <x:v>0</x:v>
      </x:c>
      <x:c r="O44" s="37" t="n">
        <x:v>507.5453019812703</x:v>
      </x:c>
      <x:c r="P44" s="37" t="n">
        <x:v>0</x:v>
      </x:c>
      <x:c r="Q44" s="37" t="n">
        <x:v>0</x:v>
      </x:c>
      <x:c r="R44" s="37" t="n">
        <x:v>0</x:v>
      </x:c>
      <x:c r="S44" s="37" t="n">
        <x:v>0</x:v>
      </x:c>
      <x:c r="T44" s="37" t="n">
        <x:v>0</x:v>
      </x:c>
      <x:c r="U44" s="37" t="n">
        <x:v>0</x:v>
      </x:c>
      <x:c r="V44" s="37" t="n">
        <x:v>0</x:v>
      </x:c>
      <x:c r="W44" s="37" t="n">
        <x:v>5581.469068419188</x:v>
      </x:c>
      <x:c r="X44" s="37" t="n">
        <x:v>0</x:v>
      </x:c>
      <x:c r="Y44" s="37" t="n">
        <x:v>1980.6801684828408</x:v>
      </x:c>
      <x:c r="Z44" s="37" t="n">
        <x:v>8108678.90459149</x:v>
      </x:c>
      <x:c r="AA44" s="37" t="n">
        <x:v>0</x:v>
      </x:c>
      <x:c r="AB44" s="37" t="n">
        <x:v>8108678.90459149</x:v>
      </x:c>
      <x:c r="AC44" s="37" t="n">
        <x:v>1154530.401880104</x:v>
      </x:c>
      <x:c r="AD44" s="37" t="n">
        <x:v>0</x:v>
      </x:c>
      <x:c r="AE44" s="37" t="n">
        <x:v>0</x:v>
      </x:c>
      <x:c r="AF44" s="47" t="b">
        <x:v>0</x:v>
      </x:c>
      <x:c r="AG44" s="47" t="b">
        <x:v>0</x:v>
      </x:c>
      <x:c r="AH44" s="48" t="n">
        <x:v>0</x:v>
      </x:c>
      <x:c r="AI44" s="48" t="n">
        <x:v>1.1920928955078125e-7</x:v>
      </x:c>
      <x:c r="AJ44" s="37" t="str">
        <x:v>passed</x:v>
      </x:c>
    </x:row>
    <x:row r="45" ht="21" customHeight="1">
      <x:c r="A45" s="2"/>
      <x:c r="B45" s="2"/>
      <x:c r="C45" s="2" t="str">
        <x:v>2022</x:v>
      </x:c>
      <x:c r="D45" s="5" t="n">
        <x:v>44575</x:v>
      </x:c>
      <x:c r="E45" s="2" t="str">
        <x:v>unweighted</x:v>
      </x:c>
      <x:c r="F45" s="37" t="n">
        <x:v>11955972.690911997</x:v>
      </x:c>
      <x:c r="G45" s="37" t="n">
        <x:v>988185.9625002755</x:v>
      </x:c>
      <x:c r="H45" s="37" t="n">
        <x:v>22654.009945633778</x:v>
      </x:c>
      <x:c r="I45" s="37" t="n">
        <x:v>965531.9525546416</x:v>
      </x:c>
      <x:c r="J45" s="37" t="n">
        <x:v>11630159.330657456</x:v>
      </x:c>
      <x:c r="K45" s="37" t="n">
        <x:v>10641973.368157182</x:v>
      </x:c>
      <x:c r="L45" s="37" t="n">
        <x:v>12944158.653412273</x:v>
      </x:c>
      <x:c r="M45" s="37" t="n">
        <x:v>0</x:v>
      </x:c>
      <x:c r="N45" s="37" t="n">
        <x:v>0</x:v>
      </x:c>
      <x:c r="O45" s="37" t="n">
        <x:v>655.0858961641788</x:v>
      </x:c>
      <x:c r="P45" s="37" t="n">
        <x:v>0</x:v>
      </x:c>
      <x:c r="Q45" s="37" t="n">
        <x:v>0</x:v>
      </x:c>
      <x:c r="R45" s="37" t="n">
        <x:v>0</x:v>
      </x:c>
      <x:c r="S45" s="37" t="n">
        <x:v>0</x:v>
      </x:c>
      <x:c r="T45" s="37" t="n">
        <x:v>0</x:v>
      </x:c>
      <x:c r="U45" s="37" t="n">
        <x:v>0</x:v>
      </x:c>
      <x:c r="V45" s="37" t="n">
        <x:v>0</x:v>
      </x:c>
      <x:c r="W45" s="37" t="n">
        <x:v>7203.971058988944</x:v>
      </x:c>
      <x:c r="X45" s="37" t="n">
        <x:v>0</x:v>
      </x:c>
      <x:c r="Y45" s="37" t="n">
        <x:v>2249.8211708280587</x:v>
      </x:c>
      <x:c r="Z45" s="37" t="n">
        <x:v>10854812.835520325</x:v>
      </x:c>
      <x:c r="AA45" s="37" t="n">
        <x:v>0</x:v>
      </x:c>
      <x:c r="AB45" s="37" t="n">
        <x:v>10854812.835520325</x:v>
      </x:c>
      <x:c r="AC45" s="37" t="n">
        <x:v>1101159.8553916719</x:v>
      </x:c>
      <x:c r="AD45" s="37" t="n">
        <x:v>0</x:v>
      </x:c>
      <x:c r="AE45" s="37" t="n">
        <x:v>0</x:v>
      </x:c>
      <x:c r="AF45" s="47" t="b">
        <x:v>0</x:v>
      </x:c>
      <x:c r="AG45" s="47" t="b">
        <x:v>0</x:v>
      </x:c>
      <x:c r="AH45" s="48" t="n">
        <x:v>0</x:v>
      </x:c>
      <x:c r="AI45" s="48" t="n">
        <x:v>1.1920928955078125e-7</x:v>
      </x:c>
      <x:c r="AJ45" s="37" t="str">
        <x:v>passed</x:v>
      </x:c>
    </x:row>
    <x:row r="46" ht="21" customHeight="1">
      <x:c r="A46" s="2"/>
      <x:c r="B46" s="2"/>
      <x:c r="C46" s="2" t="str">
        <x:v>2022</x:v>
      </x:c>
      <x:c r="D46" s="5" t="n">
        <x:v>44575</x:v>
      </x:c>
      <x:c r="E46" s="2" t="str">
        <x:v>constrained</x:v>
      </x:c>
      <x:c r="F46" s="37" t="n">
        <x:v>13010502.937040454</x:v>
      </x:c>
      <x:c r="G46" s="37" t="n">
        <x:v>-57636.68902352669</x:v>
      </x:c>
      <x:c r="H46" s="37" t="n">
        <x:v>21176.902408158458</x:v>
      </x:c>
      <x:c r="I46" s="37" t="n">
        <x:v>-78813.59143168514</x:v>
      </x:c>
      <x:c r="J46" s="37" t="n">
        <x:v>11635670.138216589</x:v>
      </x:c>
      <x:c r="K46" s="37" t="n">
        <x:v>11693306.827240115</x:v>
      </x:c>
      <x:c r="L46" s="37" t="n">
        <x:v>12952866.248016927</x:v>
      </x:c>
      <x:c r="M46" s="37" t="n">
        <x:v>0</x:v>
      </x:c>
      <x:c r="N46" s="37" t="n">
        <x:v>0</x:v>
      </x:c>
      <x:c r="O46" s="37" t="n">
        <x:v>712.865209415555</x:v>
      </x:c>
      <x:c r="P46" s="37" t="n">
        <x:v>0</x:v>
      </x:c>
      <x:c r="Q46" s="37" t="n">
        <x:v>0</x:v>
      </x:c>
      <x:c r="R46" s="37" t="n">
        <x:v>0</x:v>
      </x:c>
      <x:c r="S46" s="37" t="n">
        <x:v>0</x:v>
      </x:c>
      <x:c r="T46" s="37" t="n">
        <x:v>0</x:v>
      </x:c>
      <x:c r="U46" s="37" t="n">
        <x:v>0</x:v>
      </x:c>
      <x:c r="V46" s="37" t="n">
        <x:v>0</x:v>
      </x:c>
      <x:c r="W46" s="37" t="n">
        <x:v>7839.369413463399</x:v>
      </x:c>
      <x:c r="X46" s="37" t="n">
        <x:v>0</x:v>
      </x:c>
      <x:c r="Y46" s="37" t="n">
        <x:v>2356.3509014025813</x:v>
      </x:c>
      <x:c r="Z46" s="37" t="n">
        <x:v>11927172.963784918</x:v>
      </x:c>
      <x:c r="AA46" s="37" t="n">
        <x:v>0</x:v>
      </x:c>
      <x:c r="AB46" s="37" t="n">
        <x:v>11927172.963784918</x:v>
      </x:c>
      <x:c r="AC46" s="37" t="n">
        <x:v>1083329.9732555356</x:v>
      </x:c>
      <x:c r="AD46" s="37" t="n">
        <x:v>0</x:v>
      </x:c>
      <x:c r="AE46" s="37" t="n">
        <x:v>0</x:v>
      </x:c>
      <x:c r="AF46" s="47" t="b">
        <x:v>0</x:v>
      </x:c>
      <x:c r="AG46" s="47" t="b">
        <x:v>0</x:v>
      </x:c>
      <x:c r="AH46" s="48" t="n">
        <x:v>0</x:v>
      </x:c>
      <x:c r="AI46" s="48" t="n">
        <x:v>1.1920928955078125e-7</x:v>
      </x:c>
      <x:c r="AJ46" s="37" t="str">
        <x:v>passed</x:v>
      </x:c>
    </x:row>
    <x:row r="47" ht="21" customHeight="1">
      <x:c r="A47" s="2"/>
      <x:c r="B47" s="2"/>
      <x:c r="C47" s="2" t="str">
        <x:v>2022</x:v>
      </x:c>
      <x:c r="D47" s="5" t="n">
        <x:v>44579</x:v>
      </x:c>
      <x:c r="E47" s="2" t="str">
        <x:v>unhedged</x:v>
      </x:c>
      <x:c r="F47" s="37" t="n">
        <x:v>1199810.9945572033</x:v>
      </x:c>
      <x:c r="G47" s="37" t="n">
        <x:v>11568495.260178586</x:v>
      </x:c>
      <x:c r="H47" s="37" t="n">
        <x:v>43250.66058131155</x:v>
      </x:c>
      <x:c r="I47" s="37" t="n">
        <x:v>11525244.599597275</x:v>
      </x:c>
      <x:c r="J47" s="37" t="n">
        <x:v>11568495.260178586</x:v>
      </x:c>
      <x:c r="K47" s="37" t="n">
        <x:v>0</x:v>
      </x:c>
      <x:c r="L47" s="37" t="n">
        <x:v>12768306.25473579</x:v>
      </x:c>
      <x:c r="M47" s="37" t="n">
        <x:v>0</x:v>
      </x:c>
      <x:c r="N47" s="37" t="n">
        <x:v>0</x:v>
      </x:c>
      <x:c r="O47" s="37" t="n">
        <x:v>262.9362531285733</x:v>
      </x:c>
      <x:c r="P47" s="37" t="n">
        <x:v>0</x:v>
      </x:c>
      <x:c r="Q47" s="37" t="n">
        <x:v>0</x:v>
      </x:c>
      <x:c r="R47" s="37" t="n">
        <x:v>0</x:v>
      </x:c>
      <x:c r="S47" s="37" t="n">
        <x:v>0</x:v>
      </x:c>
      <x:c r="T47" s="37" t="n">
        <x:v>0</x:v>
      </x:c>
      <x:c r="U47" s="37" t="n">
        <x:v>0</x:v>
      </x:c>
      <x:c r="V47" s="37" t="n">
        <x:v>0</x:v>
      </x:c>
      <x:c r="W47" s="37" t="n">
        <x:v>985.7138739288785</x:v>
      </x:c>
      <x:c r="X47" s="37" t="n">
        <x:v>0</x:v>
      </x:c>
      <x:c r="Y47" s="37" t="n">
        <x:v>1174.7193167256753</x:v>
      </x:c>
      <x:c r="Z47" s="37" t="n">
        <x:v>0</x:v>
      </x:c>
      <x:c r="AA47" s="37" t="n">
        <x:v>0</x:v>
      </x:c>
      <x:c r="AB47" s="37" t="n">
        <x:v>0</x:v>
      </x:c>
      <x:c r="AC47" s="37" t="n">
        <x:v>1199810.9945572033</x:v>
      </x:c>
      <x:c r="AD47" s="37" t="n">
        <x:v>0</x:v>
      </x:c>
      <x:c r="AE47" s="37" t="n">
        <x:v>0</x:v>
      </x:c>
      <x:c r="AF47" s="47" t="b">
        <x:v>0</x:v>
      </x:c>
      <x:c r="AG47" s="47" t="b">
        <x:v>0</x:v>
      </x:c>
      <x:c r="AH47" s="48" t="n">
        <x:v>0</x:v>
      </x:c>
      <x:c r="AI47" s="48" t="n">
        <x:v>1.1920928955078125e-7</x:v>
      </x:c>
      <x:c r="AJ47" s="37" t="str">
        <x:v>passed</x:v>
      </x:c>
    </x:row>
    <x:row r="48" ht="21" customHeight="1">
      <x:c r="A48" s="2"/>
      <x:c r="B48" s="2"/>
      <x:c r="C48" s="2" t="str">
        <x:v>2022</x:v>
      </x:c>
      <x:c r="D48" s="5" t="n">
        <x:v>44579</x:v>
      </x:c>
      <x:c r="E48" s="2" t="str">
        <x:v>duration</x:v>
      </x:c>
      <x:c r="F48" s="37" t="n">
        <x:v>9265239.765801778</x:v>
      </x:c>
      <x:c r="G48" s="37" t="n">
        <x:v>3680673.311525599</x:v>
      </x:c>
      <x:c r="H48" s="37" t="n">
        <x:v>23098.5548477039</x:v>
      </x:c>
      <x:c r="I48" s="37" t="n">
        <x:v>3657574.7566778953</x:v>
      </x:c>
      <x:c r="J48" s="37" t="n">
        <x:v>11568495.260178586</x:v>
      </x:c>
      <x:c r="K48" s="37" t="n">
        <x:v>7887821.948652987</x:v>
      </x:c>
      <x:c r="L48" s="37" t="n">
        <x:v>12945913.077327378</x:v>
      </x:c>
      <x:c r="M48" s="37" t="n">
        <x:v>0</x:v>
      </x:c>
      <x:c r="N48" s="37" t="n">
        <x:v>0</x:v>
      </x:c>
      <x:c r="O48" s="37" t="n">
        <x:v>2030.4593301843852</x:v>
      </x:c>
      <x:c r="P48" s="37" t="n">
        <x:v>0</x:v>
      </x:c>
      <x:c r="Q48" s="37" t="n">
        <x:v>0</x:v>
      </x:c>
      <x:c r="R48" s="37" t="n">
        <x:v>0</x:v>
      </x:c>
      <x:c r="S48" s="37" t="n">
        <x:v>0</x:v>
      </x:c>
      <x:c r="T48" s="37" t="n">
        <x:v>0</x:v>
      </x:c>
      <x:c r="U48" s="37" t="n">
        <x:v>0</x:v>
      </x:c>
      <x:c r="V48" s="37" t="n">
        <x:v>0</x:v>
      </x:c>
      <x:c r="W48" s="37" t="n">
        <x:v>7611.928398603573</x:v>
      </x:c>
      <x:c r="X48" s="37" t="n">
        <x:v>0</x:v>
      </x:c>
      <x:c r="Y48" s="37" t="n">
        <x:v>1980.6801684828408</x:v>
      </x:c>
      <x:c r="Z48" s="37" t="n">
        <x:v>8045578.387626047</x:v>
      </x:c>
      <x:c r="AA48" s="37" t="n">
        <x:v>0</x:v>
      </x:c>
      <x:c r="AB48" s="37" t="n">
        <x:v>8045578.387626047</x:v>
      </x:c>
      <x:c r="AC48" s="37" t="n">
        <x:v>1219661.3781757308</x:v>
      </x:c>
      <x:c r="AD48" s="37" t="n">
        <x:v>0</x:v>
      </x:c>
      <x:c r="AE48" s="37" t="n">
        <x:v>0</x:v>
      </x:c>
      <x:c r="AF48" s="47" t="b">
        <x:v>0</x:v>
      </x:c>
      <x:c r="AG48" s="47" t="b">
        <x:v>0</x:v>
      </x:c>
      <x:c r="AH48" s="48" t="n">
        <x:v>0</x:v>
      </x:c>
      <x:c r="AI48" s="48" t="n">
        <x:v>1.1920928955078125e-7</x:v>
      </x:c>
      <x:c r="AJ48" s="37" t="str">
        <x:v>passed</x:v>
      </x:c>
    </x:row>
    <x:row r="49" ht="21" customHeight="1">
      <x:c r="A49" s="2"/>
      <x:c r="B49" s="2"/>
      <x:c r="C49" s="2" t="str">
        <x:v>2022</x:v>
      </x:c>
      <x:c r="D49" s="5" t="n">
        <x:v>44579</x:v>
      </x:c>
      <x:c r="E49" s="2" t="str">
        <x:v>unweighted</x:v>
      </x:c>
      <x:c r="F49" s="37" t="n">
        <x:v>11958593.393467508</x:v>
      </x:c>
      <x:c r="G49" s="37" t="n">
        <x:v>983831.7635280425</x:v>
      </x:c>
      <x:c r="H49" s="37" t="n">
        <x:v>22614.930417128402</x:v>
      </x:c>
      <x:c r="I49" s="37" t="n">
        <x:v>961216.8331109141</x:v>
      </x:c>
      <x:c r="J49" s="37" t="n">
        <x:v>11568495.260178586</x:v>
      </x:c>
      <x:c r="K49" s="37" t="n">
        <x:v>10584663.496650543</x:v>
      </x:c>
      <x:c r="L49" s="37" t="n">
        <x:v>12942425.15699555</x:v>
      </x:c>
      <x:c r="M49" s="37" t="n">
        <x:v>0</x:v>
      </x:c>
      <x:c r="N49" s="37" t="n">
        <x:v>0</x:v>
      </x:c>
      <x:c r="O49" s="37" t="n">
        <x:v>2620.702555511147</x:v>
      </x:c>
      <x:c r="P49" s="37" t="n">
        <x:v>0</x:v>
      </x:c>
      <x:c r="Q49" s="37" t="n">
        <x:v>0</x:v>
      </x:c>
      <x:c r="R49" s="37" t="n">
        <x:v>0</x:v>
      </x:c>
      <x:c r="S49" s="37" t="n">
        <x:v>0</x:v>
      </x:c>
      <x:c r="T49" s="37" t="n">
        <x:v>0</x:v>
      </x:c>
      <x:c r="U49" s="37" t="n">
        <x:v>0</x:v>
      </x:c>
      <x:c r="V49" s="37" t="n">
        <x:v>0</x:v>
      </x:c>
      <x:c r="W49" s="37" t="n">
        <x:v>9824.67361450009</x:v>
      </x:c>
      <x:c r="X49" s="37" t="n">
        <x:v>0</x:v>
      </x:c>
      <x:c r="Y49" s="37" t="n">
        <x:v>2249.8211708280587</x:v>
      </x:c>
      <x:c r="Z49" s="37" t="n">
        <x:v>10796356.766583554</x:v>
      </x:c>
      <x:c r="AA49" s="37" t="n">
        <x:v>0</x:v>
      </x:c>
      <x:c r="AB49" s="37" t="n">
        <x:v>10796356.766583554</x:v>
      </x:c>
      <x:c r="AC49" s="37" t="n">
        <x:v>1162236.6268839538</x:v>
      </x:c>
      <x:c r="AD49" s="37" t="n">
        <x:v>0</x:v>
      </x:c>
      <x:c r="AE49" s="37" t="n">
        <x:v>0</x:v>
      </x:c>
      <x:c r="AF49" s="47" t="b">
        <x:v>0</x:v>
      </x:c>
      <x:c r="AG49" s="47" t="b">
        <x:v>0</x:v>
      </x:c>
      <x:c r="AH49" s="48" t="n">
        <x:v>0</x:v>
      </x:c>
      <x:c r="AI49" s="48" t="n">
        <x:v>1.1920928955078125e-7</x:v>
      </x:c>
      <x:c r="AJ49" s="37" t="str">
        <x:v>passed</x:v>
      </x:c>
    </x:row>
    <x:row r="50" ht="21" customHeight="1">
      <x:c r="A50" s="2"/>
      <x:c r="B50" s="2"/>
      <x:c r="C50" s="2" t="str">
        <x:v>2022</x:v>
      </x:c>
      <x:c r="D50" s="5" t="n">
        <x:v>44579</x:v>
      </x:c>
      <x:c r="E50" s="2" t="str">
        <x:v>constrained</x:v>
      </x:c>
      <x:c r="F50" s="37" t="n">
        <x:v>13013354.788510598</x:v>
      </x:c>
      <x:c r="G50" s="37" t="n">
        <x:v>-58030.535659022295</x:v>
      </x:c>
      <x:c r="H50" s="37" t="n">
        <x:v>21017.79522894443</x:v>
      </x:c>
      <x:c r="I50" s="37" t="n">
        <x:v>-79048.33088796673</x:v>
      </x:c>
      <x:c r="J50" s="37" t="n">
        <x:v>11573939.517920109</x:v>
      </x:c>
      <x:c r="K50" s="37" t="n">
        <x:v>11631970.053579131</x:v>
      </x:c>
      <x:c r="L50" s="37" t="n">
        <x:v>12955324.252851576</x:v>
      </x:c>
      <x:c r="M50" s="37" t="n">
        <x:v>0</x:v>
      </x:c>
      <x:c r="N50" s="37" t="n">
        <x:v>0</x:v>
      </x:c>
      <x:c r="O50" s="37" t="n">
        <x:v>2851.8514701444656</x:v>
      </x:c>
      <x:c r="P50" s="37" t="n">
        <x:v>0</x:v>
      </x:c>
      <x:c r="Q50" s="37" t="n">
        <x:v>0</x:v>
      </x:c>
      <x:c r="R50" s="37" t="n">
        <x:v>0</x:v>
      </x:c>
      <x:c r="S50" s="37" t="n">
        <x:v>0</x:v>
      </x:c>
      <x:c r="T50" s="37" t="n">
        <x:v>0</x:v>
      </x:c>
      <x:c r="U50" s="37" t="n">
        <x:v>0</x:v>
      </x:c>
      <x:c r="V50" s="37" t="n">
        <x:v>0</x:v>
      </x:c>
      <x:c r="W50" s="37" t="n">
        <x:v>10691.220883607864</x:v>
      </x:c>
      <x:c r="X50" s="37" t="n">
        <x:v>0</x:v>
      </x:c>
      <x:c r="Y50" s="37" t="n">
        <x:v>2356.3509014025813</x:v>
      </x:c>
      <x:c r="Z50" s="37" t="n">
        <x:v>11864609.454650713</x:v>
      </x:c>
      <x:c r="AA50" s="37" t="n">
        <x:v>0</x:v>
      </x:c>
      <x:c r="AB50" s="37" t="n">
        <x:v>11864609.454650713</x:v>
      </x:c>
      <x:c r="AC50" s="37" t="n">
        <x:v>1148745.333859885</x:v>
      </x:c>
      <x:c r="AD50" s="37" t="n">
        <x:v>0</x:v>
      </x:c>
      <x:c r="AE50" s="37" t="n">
        <x:v>0</x:v>
      </x:c>
      <x:c r="AF50" s="47" t="b">
        <x:v>0</x:v>
      </x:c>
      <x:c r="AG50" s="47" t="b">
        <x:v>0</x:v>
      </x:c>
      <x:c r="AH50" s="48" t="n">
        <x:v>0</x:v>
      </x:c>
      <x:c r="AI50" s="48" t="n">
        <x:v>1.1920928955078125e-7</x:v>
      </x:c>
      <x:c r="AJ50" s="37" t="str">
        <x:v>passed</x:v>
      </x:c>
    </x:row>
    <x:row r="51" ht="21" customHeight="1">
      <x:c r="A51" s="2"/>
      <x:c r="B51" s="2"/>
      <x:c r="C51" s="2" t="str">
        <x:v>2022</x:v>
      </x:c>
      <x:c r="D51" s="5" t="n">
        <x:v>44580</x:v>
      </x:c>
      <x:c r="E51" s="2" t="str">
        <x:v>unhedged</x:v>
      </x:c>
      <x:c r="F51" s="37" t="n">
        <x:v>1199876.7376253982</x:v>
      </x:c>
      <x:c r="G51" s="37" t="n">
        <x:v>11592285.256085694</x:v>
      </x:c>
      <x:c r="H51" s="37" t="n">
        <x:v>43599.49255344703</x:v>
      </x:c>
      <x:c r="I51" s="37" t="n">
        <x:v>11548685.763532247</x:v>
      </x:c>
      <x:c r="J51" s="37" t="n">
        <x:v>11592285.256085694</x:v>
      </x:c>
      <x:c r="K51" s="37" t="n">
        <x:v>0</x:v>
      </x:c>
      <x:c r="L51" s="37" t="n">
        <x:v>12792161.993711092</x:v>
      </x:c>
      <x:c r="M51" s="37" t="n">
        <x:v>0</x:v>
      </x:c>
      <x:c r="N51" s="37" t="n">
        <x:v>0</x:v>
      </x:c>
      <x:c r="O51" s="37" t="n">
        <x:v>65.74306819494814</x:v>
      </x:c>
      <x:c r="P51" s="37" t="n">
        <x:v>0</x:v>
      </x:c>
      <x:c r="Q51" s="37" t="n">
        <x:v>0</x:v>
      </x:c>
      <x:c r="R51" s="37" t="n">
        <x:v>0</x:v>
      </x:c>
      <x:c r="S51" s="37" t="n">
        <x:v>0</x:v>
      </x:c>
      <x:c r="T51" s="37" t="n">
        <x:v>0</x:v>
      </x:c>
      <x:c r="U51" s="37" t="n">
        <x:v>0</x:v>
      </x:c>
      <x:c r="V51" s="37" t="n">
        <x:v>0</x:v>
      </x:c>
      <x:c r="W51" s="37" t="n">
        <x:v>1051.4569421238266</x:v>
      </x:c>
      <x:c r="X51" s="37" t="n">
        <x:v>0</x:v>
      </x:c>
      <x:c r="Y51" s="37" t="n">
        <x:v>1174.7193167256753</x:v>
      </x:c>
      <x:c r="Z51" s="37" t="n">
        <x:v>0</x:v>
      </x:c>
      <x:c r="AA51" s="37" t="n">
        <x:v>0</x:v>
      </x:c>
      <x:c r="AB51" s="37" t="n">
        <x:v>0</x:v>
      </x:c>
      <x:c r="AC51" s="37" t="n">
        <x:v>1199876.7376253982</x:v>
      </x:c>
      <x:c r="AD51" s="37" t="n">
        <x:v>0</x:v>
      </x:c>
      <x:c r="AE51" s="37" t="n">
        <x:v>0</x:v>
      </x:c>
      <x:c r="AF51" s="47" t="b">
        <x:v>0</x:v>
      </x:c>
      <x:c r="AG51" s="47" t="b">
        <x:v>0</x:v>
      </x:c>
      <x:c r="AH51" s="48" t="n">
        <x:v>0</x:v>
      </x:c>
      <x:c r="AI51" s="48" t="n">
        <x:v>1.1920928955078125e-7</x:v>
      </x:c>
      <x:c r="AJ51" s="37" t="str">
        <x:v>passed</x:v>
      </x:c>
    </x:row>
    <x:row r="52" ht="21" customHeight="1">
      <x:c r="A52" s="2"/>
      <x:c r="B52" s="2"/>
      <x:c r="C52" s="2" t="str">
        <x:v>2022</x:v>
      </x:c>
      <x:c r="D52" s="5" t="n">
        <x:v>44580</x:v>
      </x:c>
      <x:c r="E52" s="2" t="str">
        <x:v>duration</x:v>
      </x:c>
      <x:c r="F52" s="37" t="n">
        <x:v>9265747.450172508</x:v>
      </x:c>
      <x:c r="G52" s="37" t="n">
        <x:v>3678236.6661407785</x:v>
      </x:c>
      <x:c r="H52" s="37" t="n">
        <x:v>23132.510167751767</x:v>
      </x:c>
      <x:c r="I52" s="37" t="n">
        <x:v>3655104.1559730265</x:v>
      </x:c>
      <x:c r="J52" s="37" t="n">
        <x:v>11592285.256085694</x:v>
      </x:c>
      <x:c r="K52" s="37" t="n">
        <x:v>7914048.589944915</x:v>
      </x:c>
      <x:c r="L52" s="37" t="n">
        <x:v>12943984.116313286</x:v>
      </x:c>
      <x:c r="M52" s="37" t="n">
        <x:v>0</x:v>
      </x:c>
      <x:c r="N52" s="37" t="n">
        <x:v>0</x:v>
      </x:c>
      <x:c r="O52" s="37" t="n">
        <x:v>507.68437073007226</x:v>
      </x:c>
      <x:c r="P52" s="37" t="n">
        <x:v>0</x:v>
      </x:c>
      <x:c r="Q52" s="37" t="n">
        <x:v>0</x:v>
      </x:c>
      <x:c r="R52" s="37" t="n">
        <x:v>0</x:v>
      </x:c>
      <x:c r="S52" s="37" t="n">
        <x:v>0</x:v>
      </x:c>
      <x:c r="T52" s="37" t="n">
        <x:v>0</x:v>
      </x:c>
      <x:c r="U52" s="37" t="n">
        <x:v>0</x:v>
      </x:c>
      <x:c r="V52" s="37" t="n">
        <x:v>0</x:v>
      </x:c>
      <x:c r="W52" s="37" t="n">
        <x:v>8119.612769333646</x:v>
      </x:c>
      <x:c r="X52" s="37" t="n">
        <x:v>0</x:v>
      </x:c>
      <x:c r="Y52" s="37" t="n">
        <x:v>1980.6801684828408</x:v>
      </x:c>
      <x:c r="Z52" s="37" t="n">
        <x:v>8072329.561743814</x:v>
      </x:c>
      <x:c r="AA52" s="37" t="n">
        <x:v>0</x:v>
      </x:c>
      <x:c r="AB52" s="37" t="n">
        <x:v>8072329.561743814</x:v>
      </x:c>
      <x:c r="AC52" s="37" t="n">
        <x:v>1193417.8884286946</x:v>
      </x:c>
      <x:c r="AD52" s="37" t="n">
        <x:v>0</x:v>
      </x:c>
      <x:c r="AE52" s="37" t="n">
        <x:v>0</x:v>
      </x:c>
      <x:c r="AF52" s="47" t="b">
        <x:v>0</x:v>
      </x:c>
      <x:c r="AG52" s="47" t="b">
        <x:v>0</x:v>
      </x:c>
      <x:c r="AH52" s="48" t="n">
        <x:v>0</x:v>
      </x:c>
      <x:c r="AI52" s="48" t="n">
        <x:v>1.1920928955078125e-7</x:v>
      </x:c>
      <x:c r="AJ52" s="37" t="str">
        <x:v>passed</x:v>
      </x:c>
    </x:row>
    <x:row r="53" ht="21" customHeight="1">
      <x:c r="A53" s="2"/>
      <x:c r="B53" s="2"/>
      <x:c r="C53" s="2" t="str">
        <x:v>2022</x:v>
      </x:c>
      <x:c r="D53" s="5" t="n">
        <x:v>44580</x:v>
      </x:c>
      <x:c r="E53" s="2" t="str">
        <x:v>unweighted</x:v>
      </x:c>
      <x:c r="F53" s="37" t="n">
        <x:v>11959248.658858933</x:v>
      </x:c>
      <x:c r="G53" s="37" t="n">
        <x:v>985316.6019387776</x:v>
      </x:c>
      <x:c r="H53" s="37" t="n">
        <x:v>22605.16053500206</x:v>
      </x:c>
      <x:c r="I53" s="37" t="n">
        <x:v>962711.4414037756</x:v>
      </x:c>
      <x:c r="J53" s="37" t="n">
        <x:v>11592285.256085694</x:v>
      </x:c>
      <x:c r="K53" s="37" t="n">
        <x:v>10606968.654146915</x:v>
      </x:c>
      <x:c r="L53" s="37" t="n">
        <x:v>12944565.26079771</x:v>
      </x:c>
      <x:c r="M53" s="37" t="n">
        <x:v>0</x:v>
      </x:c>
      <x:c r="N53" s="37" t="n">
        <x:v>0</x:v>
      </x:c>
      <x:c r="O53" s="37" t="n">
        <x:v>655.2653914242983</x:v>
      </x:c>
      <x:c r="P53" s="37" t="n">
        <x:v>0</x:v>
      </x:c>
      <x:c r="Q53" s="37" t="n">
        <x:v>0</x:v>
      </x:c>
      <x:c r="R53" s="37" t="n">
        <x:v>0</x:v>
      </x:c>
      <x:c r="S53" s="37" t="n">
        <x:v>0</x:v>
      </x:c>
      <x:c r="T53" s="37" t="n">
        <x:v>0</x:v>
      </x:c>
      <x:c r="U53" s="37" t="n">
        <x:v>0</x:v>
      </x:c>
      <x:c r="V53" s="37" t="n">
        <x:v>0</x:v>
      </x:c>
      <x:c r="W53" s="37" t="n">
        <x:v>10479.939005924389</x:v>
      </x:c>
      <x:c r="X53" s="37" t="n">
        <x:v>0</x:v>
      </x:c>
      <x:c r="Y53" s="37" t="n">
        <x:v>2249.8211708280587</x:v>
      </x:c>
      <x:c r="Z53" s="37" t="n">
        <x:v>10819108.027229853</x:v>
      </x:c>
      <x:c r="AA53" s="37" t="n">
        <x:v>0</x:v>
      </x:c>
      <x:c r="AB53" s="37" t="n">
        <x:v>10819108.027229853</x:v>
      </x:c>
      <x:c r="AC53" s="37" t="n">
        <x:v>1140140.6316290796</x:v>
      </x:c>
      <x:c r="AD53" s="37" t="n">
        <x:v>0</x:v>
      </x:c>
      <x:c r="AE53" s="37" t="n">
        <x:v>0</x:v>
      </x:c>
      <x:c r="AF53" s="47" t="b">
        <x:v>0</x:v>
      </x:c>
      <x:c r="AG53" s="47" t="b">
        <x:v>0</x:v>
      </x:c>
      <x:c r="AH53" s="48" t="n">
        <x:v>0</x:v>
      </x:c>
      <x:c r="AI53" s="48" t="n">
        <x:v>1.1920928955078125e-7</x:v>
      </x:c>
      <x:c r="AJ53" s="37" t="str">
        <x:v>passed</x:v>
      </x:c>
    </x:row>
    <x:row r="54" ht="21" customHeight="1">
      <x:c r="A54" s="2"/>
      <x:c r="B54" s="2"/>
      <x:c r="C54" s="2" t="str">
        <x:v>2022</x:v>
      </x:c>
      <x:c r="D54" s="5" t="n">
        <x:v>44580</x:v>
      </x:c>
      <x:c r="E54" s="2" t="str">
        <x:v>constrained</x:v>
      </x:c>
      <x:c r="F54" s="37" t="n">
        <x:v>13014067.849046957</x:v>
      </x:c>
      <x:c r="G54" s="37" t="n">
        <x:v>-57943.29392316856</x:v>
      </x:c>
      <x:c r="H54" s="37" t="n">
        <x:v>20978.018434140922</x:v>
      </x:c>
      <x:c r="I54" s="37" t="n">
        <x:v>-78921.31235730948</x:v>
      </x:c>
      <x:c r="J54" s="37" t="n">
        <x:v>11597779.816287966</x:v>
      </x:c>
      <x:c r="K54" s="37" t="n">
        <x:v>11655723.110211136</x:v>
      </x:c>
      <x:c r="L54" s="37" t="n">
        <x:v>12956124.555123787</x:v>
      </x:c>
      <x:c r="M54" s="37" t="n">
        <x:v>0</x:v>
      </x:c>
      <x:c r="N54" s="37" t="n">
        <x:v>0</x:v>
      </x:c>
      <x:c r="O54" s="37" t="n">
        <x:v>713.0605363585055</x:v>
      </x:c>
      <x:c r="P54" s="37" t="n">
        <x:v>0</x:v>
      </x:c>
      <x:c r="Q54" s="37" t="n">
        <x:v>0</x:v>
      </x:c>
      <x:c r="R54" s="37" t="n">
        <x:v>0</x:v>
      </x:c>
      <x:c r="S54" s="37" t="n">
        <x:v>0</x:v>
      </x:c>
      <x:c r="T54" s="37" t="n">
        <x:v>0</x:v>
      </x:c>
      <x:c r="U54" s="37" t="n">
        <x:v>0</x:v>
      </x:c>
      <x:c r="V54" s="37" t="n">
        <x:v>0</x:v>
      </x:c>
      <x:c r="W54" s="37" t="n">
        <x:v>11404.28141996637</x:v>
      </x:c>
      <x:c r="X54" s="37" t="n">
        <x:v>0</x:v>
      </x:c>
      <x:c r="Y54" s="37" t="n">
        <x:v>2356.3509014025813</x:v>
      </x:c>
      <x:c r="Z54" s="37" t="n">
        <x:v>11888837.57241536</x:v>
      </x:c>
      <x:c r="AA54" s="37" t="n">
        <x:v>0</x:v>
      </x:c>
      <x:c r="AB54" s="37" t="n">
        <x:v>11888837.57241536</x:v>
      </x:c>
      <x:c r="AC54" s="37" t="n">
        <x:v>1125230.2766315974</x:v>
      </x:c>
      <x:c r="AD54" s="37" t="n">
        <x:v>0</x:v>
      </x:c>
      <x:c r="AE54" s="37" t="n">
        <x:v>0</x:v>
      </x:c>
      <x:c r="AF54" s="47" t="b">
        <x:v>0</x:v>
      </x:c>
      <x:c r="AG54" s="47" t="b">
        <x:v>0</x:v>
      </x:c>
      <x:c r="AH54" s="48" t="n">
        <x:v>0</x:v>
      </x:c>
      <x:c r="AI54" s="48" t="n">
        <x:v>1.1920928955078125e-7</x:v>
      </x:c>
      <x:c r="AJ54" s="37" t="str">
        <x:v>passed</x:v>
      </x:c>
    </x:row>
    <x:row r="55" ht="21" customHeight="1">
      <x:c r="A55" s="2"/>
      <x:c r="B55" s="2"/>
      <x:c r="C55" s="2" t="str">
        <x:v>2022</x:v>
      </x:c>
      <x:c r="D55" s="5" t="n">
        <x:v>44581</x:v>
      </x:c>
      <x:c r="E55" s="2" t="str">
        <x:v>unhedged</x:v>
      </x:c>
      <x:c r="F55" s="37" t="n">
        <x:v>1199942.4842959528</x:v>
      </x:c>
      <x:c r="G55" s="37" t="n">
        <x:v>11597363.020221576</x:v>
      </x:c>
      <x:c r="H55" s="37" t="n">
        <x:v>43948.32452558251</x:v>
      </x:c>
      <x:c r="I55" s="37" t="n">
        <x:v>11553414.695695994</x:v>
      </x:c>
      <x:c r="J55" s="37" t="n">
        <x:v>11597363.020221576</x:v>
      </x:c>
      <x:c r="K55" s="37" t="n">
        <x:v>0</x:v>
      </x:c>
      <x:c r="L55" s="37" t="n">
        <x:v>12797305.50451753</x:v>
      </x:c>
      <x:c r="M55" s="37" t="n">
        <x:v>0</x:v>
      </x:c>
      <x:c r="N55" s="37" t="n">
        <x:v>0</x:v>
      </x:c>
      <x:c r="O55" s="37" t="n">
        <x:v>65.74667055462487</x:v>
      </x:c>
      <x:c r="P55" s="37" t="n">
        <x:v>0</x:v>
      </x:c>
      <x:c r="Q55" s="37" t="n">
        <x:v>0</x:v>
      </x:c>
      <x:c r="R55" s="37" t="n">
        <x:v>0</x:v>
      </x:c>
      <x:c r="S55" s="37" t="n">
        <x:v>0</x:v>
      </x:c>
      <x:c r="T55" s="37" t="n">
        <x:v>0</x:v>
      </x:c>
      <x:c r="U55" s="37" t="n">
        <x:v>0</x:v>
      </x:c>
      <x:c r="V55" s="37" t="n">
        <x:v>0</x:v>
      </x:c>
      <x:c r="W55" s="37" t="n">
        <x:v>1117.2036126784515</x:v>
      </x:c>
      <x:c r="X55" s="37" t="n">
        <x:v>0</x:v>
      </x:c>
      <x:c r="Y55" s="37" t="n">
        <x:v>1174.7193167256753</x:v>
      </x:c>
      <x:c r="Z55" s="37" t="n">
        <x:v>0</x:v>
      </x:c>
      <x:c r="AA55" s="37" t="n">
        <x:v>0</x:v>
      </x:c>
      <x:c r="AB55" s="37" t="n">
        <x:v>0</x:v>
      </x:c>
      <x:c r="AC55" s="37" t="n">
        <x:v>1199942.4842959528</x:v>
      </x:c>
      <x:c r="AD55" s="37" t="n">
        <x:v>0</x:v>
      </x:c>
      <x:c r="AE55" s="37" t="n">
        <x:v>0</x:v>
      </x:c>
      <x:c r="AF55" s="47" t="b">
        <x:v>0</x:v>
      </x:c>
      <x:c r="AG55" s="47" t="b">
        <x:v>0</x:v>
      </x:c>
      <x:c r="AH55" s="48" t="n">
        <x:v>0</x:v>
      </x:c>
      <x:c r="AI55" s="48" t="n">
        <x:v>1.1920928955078125e-7</x:v>
      </x:c>
      <x:c r="AJ55" s="37" t="str">
        <x:v>passed</x:v>
      </x:c>
    </x:row>
    <x:row r="56" ht="21" customHeight="1">
      <x:c r="A56" s="2"/>
      <x:c r="B56" s="2"/>
      <x:c r="C56" s="2" t="str">
        <x:v>2022</x:v>
      </x:c>
      <x:c r="D56" s="5" t="n">
        <x:v>44581</x:v>
      </x:c>
      <x:c r="E56" s="2" t="str">
        <x:v>duration</x:v>
      </x:c>
      <x:c r="F56" s="37" t="n">
        <x:v>9266255.162361559</x:v>
      </x:c>
      <x:c r="G56" s="37" t="n">
        <x:v>3675971.106734078</x:v>
      </x:c>
      <x:c r="H56" s="37" t="n">
        <x:v>23166.465487799625</x:v>
      </x:c>
      <x:c r="I56" s="37" t="n">
        <x:v>3652804.6412462783</x:v>
      </x:c>
      <x:c r="J56" s="37" t="n">
        <x:v>11597363.020221576</x:v>
      </x:c>
      <x:c r="K56" s="37" t="n">
        <x:v>7921391.913487498</x:v>
      </x:c>
      <x:c r="L56" s="37" t="n">
        <x:v>12942226.269095637</x:v>
      </x:c>
      <x:c r="M56" s="37" t="n">
        <x:v>0</x:v>
      </x:c>
      <x:c r="N56" s="37" t="n">
        <x:v>0</x:v>
      </x:c>
      <x:c r="O56" s="37" t="n">
        <x:v>507.7121890503913</x:v>
      </x:c>
      <x:c r="P56" s="37" t="n">
        <x:v>0</x:v>
      </x:c>
      <x:c r="Q56" s="37" t="n">
        <x:v>0</x:v>
      </x:c>
      <x:c r="R56" s="37" t="n">
        <x:v>0</x:v>
      </x:c>
      <x:c r="S56" s="37" t="n">
        <x:v>0</x:v>
      </x:c>
      <x:c r="T56" s="37" t="n">
        <x:v>0</x:v>
      </x:c>
      <x:c r="U56" s="37" t="n">
        <x:v>0</x:v>
      </x:c>
      <x:c r="V56" s="37" t="n">
        <x:v>0</x:v>
      </x:c>
      <x:c r="W56" s="37" t="n">
        <x:v>8627.324958384037</x:v>
      </x:c>
      <x:c r="X56" s="37" t="n">
        <x:v>0</x:v>
      </x:c>
      <x:c r="Y56" s="37" t="n">
        <x:v>1980.6801684828408</x:v>
      </x:c>
      <x:c r="Z56" s="37" t="n">
        <x:v>8079819.751757247</x:v>
      </x:c>
      <x:c r="AA56" s="37" t="n">
        <x:v>0</x:v>
      </x:c>
      <x:c r="AB56" s="37" t="n">
        <x:v>8079819.751757247</x:v>
      </x:c>
      <x:c r="AC56" s="37" t="n">
        <x:v>1186435.4106043112</x:v>
      </x:c>
      <x:c r="AD56" s="37" t="n">
        <x:v>0</x:v>
      </x:c>
      <x:c r="AE56" s="37" t="n">
        <x:v>0</x:v>
      </x:c>
      <x:c r="AF56" s="47" t="b">
        <x:v>0</x:v>
      </x:c>
      <x:c r="AG56" s="47" t="b">
        <x:v>0</x:v>
      </x:c>
      <x:c r="AH56" s="48" t="n">
        <x:v>0</x:v>
      </x:c>
      <x:c r="AI56" s="48" t="n">
        <x:v>1.1920928955078125e-7</x:v>
      </x:c>
      <x:c r="AJ56" s="37" t="str">
        <x:v>passed</x:v>
      </x:c>
    </x:row>
    <x:row r="57" ht="21" customHeight="1">
      <x:c r="A57" s="2"/>
      <x:c r="B57" s="2"/>
      <x:c r="C57" s="2" t="str">
        <x:v>2022</x:v>
      </x:c>
      <x:c r="D57" s="5" t="n">
        <x:v>44581</x:v>
      </x:c>
      <x:c r="E57" s="2" t="str">
        <x:v>unweighted</x:v>
      </x:c>
      <x:c r="F57" s="37" t="n">
        <x:v>11959903.960155308</x:v>
      </x:c>
      <x:c r="G57" s="37" t="n">
        <x:v>985732.1682293527</x:v>
      </x:c>
      <x:c r="H57" s="37" t="n">
        <x:v>22595.390652875718</x:v>
      </x:c>
      <x:c r="I57" s="37" t="n">
        <x:v>963136.7775764769</x:v>
      </x:c>
      <x:c r="J57" s="37" t="n">
        <x:v>11597363.020221576</x:v>
      </x:c>
      <x:c r="K57" s="37" t="n">
        <x:v>10611630.851992223</x:v>
      </x:c>
      <x:c r="L57" s="37" t="n">
        <x:v>12945636.12838466</x:v>
      </x:c>
      <x:c r="M57" s="37" t="n">
        <x:v>0</x:v>
      </x:c>
      <x:c r="N57" s="37" t="n">
        <x:v>0</x:v>
      </x:c>
      <x:c r="O57" s="37" t="n">
        <x:v>655.3012963756919</x:v>
      </x:c>
      <x:c r="P57" s="37" t="n">
        <x:v>0</x:v>
      </x:c>
      <x:c r="Q57" s="37" t="n">
        <x:v>0</x:v>
      </x:c>
      <x:c r="R57" s="37" t="n">
        <x:v>0</x:v>
      </x:c>
      <x:c r="S57" s="37" t="n">
        <x:v>0</x:v>
      </x:c>
      <x:c r="T57" s="37" t="n">
        <x:v>0</x:v>
      </x:c>
      <x:c r="U57" s="37" t="n">
        <x:v>0</x:v>
      </x:c>
      <x:c r="V57" s="37" t="n">
        <x:v>0</x:v>
      </x:c>
      <x:c r="W57" s="37" t="n">
        <x:v>11135.24030230008</x:v>
      </x:c>
      <x:c r="X57" s="37" t="n">
        <x:v>0</x:v>
      </x:c>
      <x:c r="Y57" s="37" t="n">
        <x:v>2249.8211708280587</x:v>
      </x:c>
      <x:c r="Z57" s="37" t="n">
        <x:v>10823863.469032068</x:v>
      </x:c>
      <x:c r="AA57" s="37" t="n">
        <x:v>0</x:v>
      </x:c>
      <x:c r="AB57" s="37" t="n">
        <x:v>10823863.469032068</x:v>
      </x:c>
      <x:c r="AC57" s="37" t="n">
        <x:v>1136040.4911232404</x:v>
      </x:c>
      <x:c r="AD57" s="37" t="n">
        <x:v>0</x:v>
      </x:c>
      <x:c r="AE57" s="37" t="n">
        <x:v>0</x:v>
      </x:c>
      <x:c r="AF57" s="47" t="b">
        <x:v>0</x:v>
      </x:c>
      <x:c r="AG57" s="47" t="b">
        <x:v>0</x:v>
      </x:c>
      <x:c r="AH57" s="48" t="n">
        <x:v>0</x:v>
      </x:c>
      <x:c r="AI57" s="48" t="n">
        <x:v>1.1920928955078125e-7</x:v>
      </x:c>
      <x:c r="AJ57" s="37" t="str">
        <x:v>passed</x:v>
      </x:c>
    </x:row>
    <x:row r="58" ht="21" customHeight="1">
      <x:c r="A58" s="2"/>
      <x:c r="B58" s="2"/>
      <x:c r="C58" s="2" t="str">
        <x:v>2022</x:v>
      </x:c>
      <x:c r="D58" s="5" t="n">
        <x:v>44581</x:v>
      </x:c>
      <x:c r="E58" s="2" t="str">
        <x:v>constrained</x:v>
      </x:c>
      <x:c r="F58" s="37" t="n">
        <x:v>13014780.948655123</x:v>
      </x:c>
      <x:c r="G58" s="37" t="n">
        <x:v>-57663.162288646556</x:v>
      </x:c>
      <x:c r="H58" s="37" t="n">
        <x:v>20938.24163933741</x:v>
      </x:c>
      <x:c r="I58" s="37" t="n">
        <x:v>-78601.40392798396</x:v>
      </x:c>
      <x:c r="J58" s="37" t="n">
        <x:v>11602863.182240691</x:v>
      </x:c>
      <x:c r="K58" s="37" t="n">
        <x:v>11660526.344529336</x:v>
      </x:c>
      <x:c r="L58" s="37" t="n">
        <x:v>12957117.786366476</x:v>
      </x:c>
      <x:c r="M58" s="37" t="n">
        <x:v>0</x:v>
      </x:c>
      <x:c r="N58" s="37" t="n">
        <x:v>0</x:v>
      </x:c>
      <x:c r="O58" s="37" t="n">
        <x:v>713.0996081661433</x:v>
      </x:c>
      <x:c r="P58" s="37" t="n">
        <x:v>0</x:v>
      </x:c>
      <x:c r="Q58" s="37" t="n">
        <x:v>0</x:v>
      </x:c>
      <x:c r="R58" s="37" t="n">
        <x:v>0</x:v>
      </x:c>
      <x:c r="S58" s="37" t="n">
        <x:v>0</x:v>
      </x:c>
      <x:c r="T58" s="37" t="n">
        <x:v>0</x:v>
      </x:c>
      <x:c r="U58" s="37" t="n">
        <x:v>0</x:v>
      </x:c>
      <x:c r="V58" s="37" t="n">
        <x:v>0</x:v>
      </x:c>
      <x:c r="W58" s="37" t="n">
        <x:v>12117.381028132513</x:v>
      </x:c>
      <x:c r="X58" s="37" t="n">
        <x:v>0</x:v>
      </x:c>
      <x:c r="Y58" s="37" t="n">
        <x:v>2356.3509014025813</x:v>
      </x:c>
      <x:c r="Z58" s="37" t="n">
        <x:v>11893736.871419923</x:v>
      </x:c>
      <x:c r="AA58" s="37" t="n">
        <x:v>0</x:v>
      </x:c>
      <x:c r="AB58" s="37" t="n">
        <x:v>11893736.871419923</x:v>
      </x:c>
      <x:c r="AC58" s="37" t="n">
        <x:v>1121044.0772351995</x:v>
      </x:c>
      <x:c r="AD58" s="37" t="n">
        <x:v>0</x:v>
      </x:c>
      <x:c r="AE58" s="37" t="n">
        <x:v>0</x:v>
      </x:c>
      <x:c r="AF58" s="47" t="b">
        <x:v>0</x:v>
      </x:c>
      <x:c r="AG58" s="47" t="b">
        <x:v>0</x:v>
      </x:c>
      <x:c r="AH58" s="48" t="n">
        <x:v>0</x:v>
      </x:c>
      <x:c r="AI58" s="48" t="n">
        <x:v>1.1920928955078125e-7</x:v>
      </x:c>
      <x:c r="AJ58" s="37" t="str">
        <x:v>passed</x:v>
      </x:c>
    </x:row>
    <x:row r="59" ht="21" customHeight="1">
      <x:c r="A59" s="2"/>
      <x:c r="B59" s="2"/>
      <x:c r="C59" s="2" t="str">
        <x:v>2022</x:v>
      </x:c>
      <x:c r="D59" s="5" t="n">
        <x:v>44582</x:v>
      </x:c>
      <x:c r="E59" s="2" t="str">
        <x:v>unhedged</x:v>
      </x:c>
      <x:c r="F59" s="37" t="n">
        <x:v>1200008.2345690653</x:v>
      </x:c>
      <x:c r="G59" s="37" t="n">
        <x:v>11651155.006945563</x:v>
      </x:c>
      <x:c r="H59" s="37" t="n">
        <x:v>44297.156497717995</x:v>
      </x:c>
      <x:c r="I59" s="37" t="n">
        <x:v>11606857.850447845</x:v>
      </x:c>
      <x:c r="J59" s="37" t="n">
        <x:v>11651155.006945563</x:v>
      </x:c>
      <x:c r="K59" s="37" t="n">
        <x:v>0</x:v>
      </x:c>
      <x:c r="L59" s="37" t="n">
        <x:v>12851163.241514629</x:v>
      </x:c>
      <x:c r="M59" s="37" t="n">
        <x:v>0</x:v>
      </x:c>
      <x:c r="N59" s="37" t="n">
        <x:v>0</x:v>
      </x:c>
      <x:c r="O59" s="37" t="n">
        <x:v>65.75027311244048</x:v>
      </x:c>
      <x:c r="P59" s="37" t="n">
        <x:v>0</x:v>
      </x:c>
      <x:c r="Q59" s="37" t="n">
        <x:v>0</x:v>
      </x:c>
      <x:c r="R59" s="37" t="n">
        <x:v>0</x:v>
      </x:c>
      <x:c r="S59" s="37" t="n">
        <x:v>0</x:v>
      </x:c>
      <x:c r="T59" s="37" t="n">
        <x:v>0</x:v>
      </x:c>
      <x:c r="U59" s="37" t="n">
        <x:v>0</x:v>
      </x:c>
      <x:c r="V59" s="37" t="n">
        <x:v>0</x:v>
      </x:c>
      <x:c r="W59" s="37" t="n">
        <x:v>1182.953885790892</x:v>
      </x:c>
      <x:c r="X59" s="37" t="n">
        <x:v>0</x:v>
      </x:c>
      <x:c r="Y59" s="37" t="n">
        <x:v>1174.7193167256753</x:v>
      </x:c>
      <x:c r="Z59" s="37" t="n">
        <x:v>0</x:v>
      </x:c>
      <x:c r="AA59" s="37" t="n">
        <x:v>0</x:v>
      </x:c>
      <x:c r="AB59" s="37" t="n">
        <x:v>0</x:v>
      </x:c>
      <x:c r="AC59" s="37" t="n">
        <x:v>1200008.2345690653</x:v>
      </x:c>
      <x:c r="AD59" s="37" t="n">
        <x:v>0</x:v>
      </x:c>
      <x:c r="AE59" s="37" t="n">
        <x:v>0</x:v>
      </x:c>
      <x:c r="AF59" s="47" t="b">
        <x:v>0</x:v>
      </x:c>
      <x:c r="AG59" s="47" t="b">
        <x:v>0</x:v>
      </x:c>
      <x:c r="AH59" s="48" t="n">
        <x:v>0</x:v>
      </x:c>
      <x:c r="AI59" s="48" t="n">
        <x:v>1.1920928955078125e-7</x:v>
      </x:c>
      <x:c r="AJ59" s="37" t="str">
        <x:v>passed</x:v>
      </x:c>
    </x:row>
    <x:row r="60" ht="21" customHeight="1">
      <x:c r="A60" s="2"/>
      <x:c r="B60" s="2"/>
      <x:c r="C60" s="2" t="str">
        <x:v>2022</x:v>
      </x:c>
      <x:c r="D60" s="5" t="n">
        <x:v>44582</x:v>
      </x:c>
      <x:c r="E60" s="2" t="str">
        <x:v>duration</x:v>
      </x:c>
      <x:c r="F60" s="37" t="n">
        <x:v>9266762.902370457</x:v>
      </x:c>
      <x:c r="G60" s="37" t="n">
        <x:v>3674785.9071146306</x:v>
      </x:c>
      <x:c r="H60" s="37" t="n">
        <x:v>23200.420807847488</x:v>
      </x:c>
      <x:c r="I60" s="37" t="n">
        <x:v>3651585.4863067833</x:v>
      </x:c>
      <x:c r="J60" s="37" t="n">
        <x:v>11651155.006945563</x:v>
      </x:c>
      <x:c r="K60" s="37" t="n">
        <x:v>7976369.099830933</x:v>
      </x:c>
      <x:c r="L60" s="37" t="n">
        <x:v>12941548.809485087</x:v>
      </x:c>
      <x:c r="M60" s="37" t="n">
        <x:v>0</x:v>
      </x:c>
      <x:c r="N60" s="37" t="n">
        <x:v>0</x:v>
      </x:c>
      <x:c r="O60" s="37" t="n">
        <x:v>507.7400088980794</x:v>
      </x:c>
      <x:c r="P60" s="37" t="n">
        <x:v>0</x:v>
      </x:c>
      <x:c r="Q60" s="37" t="n">
        <x:v>0</x:v>
      </x:c>
      <x:c r="R60" s="37" t="n">
        <x:v>0</x:v>
      </x:c>
      <x:c r="S60" s="37" t="n">
        <x:v>0</x:v>
      </x:c>
      <x:c r="T60" s="37" t="n">
        <x:v>0</x:v>
      </x:c>
      <x:c r="U60" s="37" t="n">
        <x:v>0</x:v>
      </x:c>
      <x:c r="V60" s="37" t="n">
        <x:v>0</x:v>
      </x:c>
      <x:c r="W60" s="37" t="n">
        <x:v>9135.064967282116</x:v>
      </x:c>
      <x:c r="X60" s="37" t="n">
        <x:v>0</x:v>
      </x:c>
      <x:c r="Y60" s="37" t="n">
        <x:v>1980.6801684828408</x:v>
      </x:c>
      <x:c r="Z60" s="37" t="n">
        <x:v>8135896.4818275515</x:v>
      </x:c>
      <x:c r="AA60" s="37" t="n">
        <x:v>0</x:v>
      </x:c>
      <x:c r="AB60" s="37" t="n">
        <x:v>8135896.4818275515</x:v>
      </x:c>
      <x:c r="AC60" s="37" t="n">
        <x:v>1130866.420542905</x:v>
      </x:c>
      <x:c r="AD60" s="37" t="n">
        <x:v>0</x:v>
      </x:c>
      <x:c r="AE60" s="37" t="n">
        <x:v>0</x:v>
      </x:c>
      <x:c r="AF60" s="47" t="b">
        <x:v>0</x:v>
      </x:c>
      <x:c r="AG60" s="47" t="b">
        <x:v>0</x:v>
      </x:c>
      <x:c r="AH60" s="48" t="n">
        <x:v>0</x:v>
      </x:c>
      <x:c r="AI60" s="48" t="n">
        <x:v>1.1920928955078125e-7</x:v>
      </x:c>
      <x:c r="AJ60" s="37" t="str">
        <x:v>passed</x:v>
      </x:c>
    </x:row>
    <x:row r="61" ht="21" customHeight="1">
      <x:c r="A61" s="2"/>
      <x:c r="B61" s="2"/>
      <x:c r="C61" s="2" t="str">
        <x:v>2022</x:v>
      </x:c>
      <x:c r="D61" s="5" t="n">
        <x:v>44582</x:v>
      </x:c>
      <x:c r="E61" s="2" t="str">
        <x:v>unweighted</x:v>
      </x:c>
      <x:c r="F61" s="37" t="n">
        <x:v>11960559.297358606</x:v>
      </x:c>
      <x:c r="G61" s="37" t="n">
        <x:v>989209.8225926321</x:v>
      </x:c>
      <x:c r="H61" s="37" t="n">
        <x:v>22585.620770749378</x:v>
      </x:c>
      <x:c r="I61" s="37" t="n">
        <x:v>966624.2018218827</x:v>
      </x:c>
      <x:c r="J61" s="37" t="n">
        <x:v>11651155.006945563</x:v>
      </x:c>
      <x:c r="K61" s="37" t="n">
        <x:v>10661945.18435293</x:v>
      </x:c>
      <x:c r="L61" s="37" t="n">
        <x:v>12949769.119951239</x:v>
      </x:c>
      <x:c r="M61" s="37" t="n">
        <x:v>0</x:v>
      </x:c>
      <x:c r="N61" s="37" t="n">
        <x:v>0</x:v>
      </x:c>
      <x:c r="O61" s="37" t="n">
        <x:v>655.3372032977641</x:v>
      </x:c>
      <x:c r="P61" s="37" t="n">
        <x:v>0</x:v>
      </x:c>
      <x:c r="Q61" s="37" t="n">
        <x:v>0</x:v>
      </x:c>
      <x:c r="R61" s="37" t="n">
        <x:v>0</x:v>
      </x:c>
      <x:c r="S61" s="37" t="n">
        <x:v>0</x:v>
      </x:c>
      <x:c r="T61" s="37" t="n">
        <x:v>0</x:v>
      </x:c>
      <x:c r="U61" s="37" t="n">
        <x:v>0</x:v>
      </x:c>
      <x:c r="V61" s="37" t="n">
        <x:v>0</x:v>
      </x:c>
      <x:c r="W61" s="37" t="n">
        <x:v>11790.577505597845</x:v>
      </x:c>
      <x:c r="X61" s="37" t="n">
        <x:v>0</x:v>
      </x:c>
      <x:c r="Y61" s="37" t="n">
        <x:v>2249.8211708280587</x:v>
      </x:c>
      <x:c r="Z61" s="37" t="n">
        <x:v>10875184.088039989</x:v>
      </x:c>
      <x:c r="AA61" s="37" t="n">
        <x:v>0</x:v>
      </x:c>
      <x:c r="AB61" s="37" t="n">
        <x:v>10875184.088039989</x:v>
      </x:c>
      <x:c r="AC61" s="37" t="n">
        <x:v>1085375.2093186174</x:v>
      </x:c>
      <x:c r="AD61" s="37" t="n">
        <x:v>0</x:v>
      </x:c>
      <x:c r="AE61" s="37" t="n">
        <x:v>0</x:v>
      </x:c>
      <x:c r="AF61" s="47" t="b">
        <x:v>0</x:v>
      </x:c>
      <x:c r="AG61" s="47" t="b">
        <x:v>0</x:v>
      </x:c>
      <x:c r="AH61" s="48" t="n">
        <x:v>0</x:v>
      </x:c>
      <x:c r="AI61" s="48" t="n">
        <x:v>1.1920928955078125e-7</x:v>
      </x:c>
      <x:c r="AJ61" s="37" t="str">
        <x:v>passed</x:v>
      </x:c>
    </x:row>
    <x:row r="62" ht="21" customHeight="1">
      <x:c r="A62" s="2"/>
      <x:c r="B62" s="2"/>
      <x:c r="C62" s="2" t="str">
        <x:v>2022</x:v>
      </x:c>
      <x:c r="D62" s="5" t="n">
        <x:v>44582</x:v>
      </x:c>
      <x:c r="E62" s="2" t="str">
        <x:v>constrained</x:v>
      </x:c>
      <x:c r="F62" s="37" t="n">
        <x:v>13015494.087337244</x:v>
      </x:c>
      <x:c r="G62" s="37" t="n">
        <x:v>-57642.26624134379</x:v>
      </x:c>
      <x:c r="H62" s="37" t="n">
        <x:v>20898.464844533908</x:v>
      </x:c>
      <x:c r="I62" s="37" t="n">
        <x:v>-78540.73108587769</x:v>
      </x:c>
      <x:c r="J62" s="37" t="n">
        <x:v>11656742.27877738</x:v>
      </x:c>
      <x:c r="K62" s="37" t="n">
        <x:v>11714384.545018723</x:v>
      </x:c>
      <x:c r="L62" s="37" t="n">
        <x:v>12957851.8210959</x:v>
      </x:c>
      <x:c r="M62" s="37" t="n">
        <x:v>0</x:v>
      </x:c>
      <x:c r="N62" s="37" t="n">
        <x:v>0</x:v>
      </x:c>
      <x:c r="O62" s="37" t="n">
        <x:v>713.138682121411</x:v>
      </x:c>
      <x:c r="P62" s="37" t="n">
        <x:v>0</x:v>
      </x:c>
      <x:c r="Q62" s="37" t="n">
        <x:v>0</x:v>
      </x:c>
      <x:c r="R62" s="37" t="n">
        <x:v>0</x:v>
      </x:c>
      <x:c r="S62" s="37" t="n">
        <x:v>0</x:v>
      </x:c>
      <x:c r="T62" s="37" t="n">
        <x:v>0</x:v>
      </x:c>
      <x:c r="U62" s="37" t="n">
        <x:v>0</x:v>
      </x:c>
      <x:c r="V62" s="37" t="n">
        <x:v>0</x:v>
      </x:c>
      <x:c r="W62" s="37" t="n">
        <x:v>12830.519710253924</x:v>
      </x:c>
      <x:c r="X62" s="37" t="n">
        <x:v>0</x:v>
      </x:c>
      <x:c r="Y62" s="37" t="n">
        <x:v>2356.3509014025813</x:v>
      </x:c>
      <x:c r="Z62" s="37" t="n">
        <x:v>11948672.235919097</x:v>
      </x:c>
      <x:c r="AA62" s="37" t="n">
        <x:v>0</x:v>
      </x:c>
      <x:c r="AB62" s="37" t="n">
        <x:v>11948672.235919097</x:v>
      </x:c>
      <x:c r="AC62" s="37" t="n">
        <x:v>1066821.8514181469</x:v>
      </x:c>
      <x:c r="AD62" s="37" t="n">
        <x:v>0</x:v>
      </x:c>
      <x:c r="AE62" s="37" t="n">
        <x:v>0</x:v>
      </x:c>
      <x:c r="AF62" s="47" t="b">
        <x:v>0</x:v>
      </x:c>
      <x:c r="AG62" s="47" t="b">
        <x:v>0</x:v>
      </x:c>
      <x:c r="AH62" s="48" t="n">
        <x:v>0</x:v>
      </x:c>
      <x:c r="AI62" s="48" t="n">
        <x:v>1.1920928955078125e-7</x:v>
      </x:c>
      <x:c r="AJ62" s="37" t="str">
        <x:v>passed</x:v>
      </x:c>
    </x:row>
    <x:row r="63" ht="21" customHeight="1">
      <x:c r="A63" s="2"/>
      <x:c r="B63" s="2"/>
      <x:c r="C63" s="2" t="str">
        <x:v>2022</x:v>
      </x:c>
      <x:c r="D63" s="5" t="n">
        <x:v>44585</x:v>
      </x:c>
      <x:c r="E63" s="2" t="str">
        <x:v>unhedged</x:v>
      </x:c>
      <x:c r="F63" s="37" t="n">
        <x:v>1200205.5070057195</x:v>
      </x:c>
      <x:c r="G63" s="37" t="n">
        <x:v>11651563.980228504</x:v>
      </x:c>
      <x:c r="H63" s="37" t="n">
        <x:v>45343.65241412443</x:v>
      </x:c>
      <x:c r="I63" s="37" t="n">
        <x:v>11606220.32781438</x:v>
      </x:c>
      <x:c r="J63" s="37" t="n">
        <x:v>11651563.980228504</x:v>
      </x:c>
      <x:c r="K63" s="37" t="n">
        <x:v>0</x:v>
      </x:c>
      <x:c r="L63" s="37" t="n">
        <x:v>12851769.487234224</x:v>
      </x:c>
      <x:c r="M63" s="37" t="n">
        <x:v>0</x:v>
      </x:c>
      <x:c r="N63" s="37" t="n">
        <x:v>0</x:v>
      </x:c>
      <x:c r="O63" s="37" t="n">
        <x:v>197.2724366541952</x:v>
      </x:c>
      <x:c r="P63" s="37" t="n">
        <x:v>0</x:v>
      </x:c>
      <x:c r="Q63" s="37" t="n">
        <x:v>0</x:v>
      </x:c>
      <x:c r="R63" s="37" t="n">
        <x:v>0</x:v>
      </x:c>
      <x:c r="S63" s="37" t="n">
        <x:v>0</x:v>
      </x:c>
      <x:c r="T63" s="37" t="n">
        <x:v>0</x:v>
      </x:c>
      <x:c r="U63" s="37" t="n">
        <x:v>0</x:v>
      </x:c>
      <x:c r="V63" s="37" t="n">
        <x:v>0</x:v>
      </x:c>
      <x:c r="W63" s="37" t="n">
        <x:v>1380.2263224450871</x:v>
      </x:c>
      <x:c r="X63" s="37" t="n">
        <x:v>0</x:v>
      </x:c>
      <x:c r="Y63" s="37" t="n">
        <x:v>1174.7193167256753</x:v>
      </x:c>
      <x:c r="Z63" s="37" t="n">
        <x:v>0</x:v>
      </x:c>
      <x:c r="AA63" s="37" t="n">
        <x:v>0</x:v>
      </x:c>
      <x:c r="AB63" s="37" t="n">
        <x:v>0</x:v>
      </x:c>
      <x:c r="AC63" s="37" t="n">
        <x:v>1200205.5070057195</x:v>
      </x:c>
      <x:c r="AD63" s="37" t="n">
        <x:v>0</x:v>
      </x:c>
      <x:c r="AE63" s="37" t="n">
        <x:v>0</x:v>
      </x:c>
      <x:c r="AF63" s="47" t="b">
        <x:v>0</x:v>
      </x:c>
      <x:c r="AG63" s="47" t="b">
        <x:v>0</x:v>
      </x:c>
      <x:c r="AH63" s="48" t="n">
        <x:v>0</x:v>
      </x:c>
      <x:c r="AI63" s="48" t="n">
        <x:v>1.1920928955078125e-7</x:v>
      </x:c>
      <x:c r="AJ63" s="37" t="str">
        <x:v>passed</x:v>
      </x:c>
    </x:row>
    <x:row r="64" ht="21" customHeight="1">
      <x:c r="A64" s="2"/>
      <x:c r="B64" s="2"/>
      <x:c r="C64" s="2" t="str">
        <x:v>2022</x:v>
      </x:c>
      <x:c r="D64" s="5" t="n">
        <x:v>44585</x:v>
      </x:c>
      <x:c r="E64" s="2" t="str">
        <x:v>duration</x:v>
      </x:c>
      <x:c r="F64" s="37" t="n">
        <x:v>9268286.289331468</x:v>
      </x:c>
      <x:c r="G64" s="37" t="n">
        <x:v>3683089.7713177954</x:v>
      </x:c>
      <x:c r="H64" s="37" t="n">
        <x:v>23302.286767991063</x:v>
      </x:c>
      <x:c r="I64" s="37" t="n">
        <x:v>3659787.484549804</x:v>
      </x:c>
      <x:c r="J64" s="37" t="n">
        <x:v>11651563.980228504</x:v>
      </x:c>
      <x:c r="K64" s="37" t="n">
        <x:v>7968474.208910708</x:v>
      </x:c>
      <x:c r="L64" s="37" t="n">
        <x:v>12951376.060649263</x:v>
      </x:c>
      <x:c r="M64" s="37" t="n">
        <x:v>0</x:v>
      </x:c>
      <x:c r="N64" s="37" t="n">
        <x:v>0</x:v>
      </x:c>
      <x:c r="O64" s="37" t="n">
        <x:v>1523.386961011216</x:v>
      </x:c>
      <x:c r="P64" s="37" t="n">
        <x:v>0</x:v>
      </x:c>
      <x:c r="Q64" s="37" t="n">
        <x:v>0</x:v>
      </x:c>
      <x:c r="R64" s="37" t="n">
        <x:v>0</x:v>
      </x:c>
      <x:c r="S64" s="37" t="n">
        <x:v>0</x:v>
      </x:c>
      <x:c r="T64" s="37" t="n">
        <x:v>0</x:v>
      </x:c>
      <x:c r="U64" s="37" t="n">
        <x:v>0</x:v>
      </x:c>
      <x:c r="V64" s="37" t="n">
        <x:v>0</x:v>
      </x:c>
      <x:c r="W64" s="37" t="n">
        <x:v>10658.451928293332</x:v>
      </x:c>
      <x:c r="X64" s="37" t="n">
        <x:v>0</x:v>
      </x:c>
      <x:c r="Y64" s="37" t="n">
        <x:v>1980.6801684828408</x:v>
      </x:c>
      <x:c r="Z64" s="37" t="n">
        <x:v>8127843.693088923</x:v>
      </x:c>
      <x:c r="AA64" s="37" t="n">
        <x:v>0</x:v>
      </x:c>
      <x:c r="AB64" s="37" t="n">
        <x:v>8127843.693088923</x:v>
      </x:c>
      <x:c r="AC64" s="37" t="n">
        <x:v>1140442.5962425452</x:v>
      </x:c>
      <x:c r="AD64" s="37" t="n">
        <x:v>0</x:v>
      </x:c>
      <x:c r="AE64" s="37" t="n">
        <x:v>0</x:v>
      </x:c>
      <x:c r="AF64" s="47" t="b">
        <x:v>0</x:v>
      </x:c>
      <x:c r="AG64" s="47" t="b">
        <x:v>0</x:v>
      </x:c>
      <x:c r="AH64" s="48" t="n">
        <x:v>0</x:v>
      </x:c>
      <x:c r="AI64" s="48" t="n">
        <x:v>1.1920928955078125e-7</x:v>
      </x:c>
      <x:c r="AJ64" s="37" t="str">
        <x:v>passed</x:v>
      </x:c>
    </x:row>
    <x:row r="65" ht="21" customHeight="1">
      <x:c r="A65" s="2"/>
      <x:c r="B65" s="2"/>
      <x:c r="C65" s="2" t="str">
        <x:v>2022</x:v>
      </x:c>
      <x:c r="D65" s="5" t="n">
        <x:v>44585</x:v>
      </x:c>
      <x:c r="E65" s="2" t="str">
        <x:v>unweighted</x:v>
      </x:c>
      <x:c r="F65" s="37" t="n">
        <x:v>11962525.524429694</x:v>
      </x:c>
      <x:c r="G65" s="37" t="n">
        <x:v>989600.173294643</x:v>
      </x:c>
      <x:c r="H65" s="37" t="n">
        <x:v>22556.311124370342</x:v>
      </x:c>
      <x:c r="I65" s="37" t="n">
        <x:v>967043.8621702727</x:v>
      </x:c>
      <x:c r="J65" s="37" t="n">
        <x:v>11651563.980228504</x:v>
      </x:c>
      <x:c r="K65" s="37" t="n">
        <x:v>10661963.806933861</x:v>
      </x:c>
      <x:c r="L65" s="37" t="n">
        <x:v>12952125.697724337</x:v>
      </x:c>
      <x:c r="M65" s="37" t="n">
        <x:v>0</x:v>
      </x:c>
      <x:c r="N65" s="37" t="n">
        <x:v>0</x:v>
      </x:c>
      <x:c r="O65" s="37" t="n">
        <x:v>1966.2270710878074</x:v>
      </x:c>
      <x:c r="P65" s="37" t="n">
        <x:v>0</x:v>
      </x:c>
      <x:c r="Q65" s="37" t="n">
        <x:v>0</x:v>
      </x:c>
      <x:c r="R65" s="37" t="n">
        <x:v>0</x:v>
      </x:c>
      <x:c r="S65" s="37" t="n">
        <x:v>0</x:v>
      </x:c>
      <x:c r="T65" s="37" t="n">
        <x:v>0</x:v>
      </x:c>
      <x:c r="U65" s="37" t="n">
        <x:v>0</x:v>
      </x:c>
      <x:c r="V65" s="37" t="n">
        <x:v>0</x:v>
      </x:c>
      <x:c r="W65" s="37" t="n">
        <x:v>13756.804576685652</x:v>
      </x:c>
      <x:c r="X65" s="37" t="n">
        <x:v>0</x:v>
      </x:c>
      <x:c r="Y65" s="37" t="n">
        <x:v>2249.8211708280587</x:v>
      </x:c>
      <x:c r="Z65" s="37" t="n">
        <x:v>10875203.08307254</x:v>
      </x:c>
      <x:c r="AA65" s="37" t="n">
        <x:v>0</x:v>
      </x:c>
      <x:c r="AB65" s="37" t="n">
        <x:v>10875203.08307254</x:v>
      </x:c>
      <x:c r="AC65" s="37" t="n">
        <x:v>1087322.4413571544</x:v>
      </x:c>
      <x:c r="AD65" s="37" t="n">
        <x:v>0</x:v>
      </x:c>
      <x:c r="AE65" s="37" t="n">
        <x:v>0</x:v>
      </x:c>
      <x:c r="AF65" s="47" t="b">
        <x:v>0</x:v>
      </x:c>
      <x:c r="AG65" s="47" t="b">
        <x:v>0</x:v>
      </x:c>
      <x:c r="AH65" s="48" t="n">
        <x:v>0</x:v>
      </x:c>
      <x:c r="AI65" s="48" t="n">
        <x:v>1.1920928955078125e-7</x:v>
      </x:c>
      <x:c r="AJ65" s="37" t="str">
        <x:v>passed</x:v>
      </x:c>
    </x:row>
    <x:row r="66" ht="21" customHeight="1">
      <x:c r="A66" s="2"/>
      <x:c r="B66" s="2"/>
      <x:c r="C66" s="2" t="str">
        <x:v>2022</x:v>
      </x:c>
      <x:c r="D66" s="5" t="n">
        <x:v>44585</x:v>
      </x:c>
      <x:c r="E66" s="2" t="str">
        <x:v>constrained</x:v>
      </x:c>
      <x:c r="F66" s="37" t="n">
        <x:v>13017633.737848718</x:v>
      </x:c>
      <x:c r="G66" s="37" t="n">
        <x:v>-57794.76544813241</x:v>
      </x:c>
      <x:c r="H66" s="37" t="n">
        <x:v>20779.134460123383</x:v>
      </x:c>
      <x:c r="I66" s="37" t="n">
        <x:v>-78573.8999082558</x:v>
      </x:c>
      <x:c r="J66" s="37" t="n">
        <x:v>11657110.649024462</x:v>
      </x:c>
      <x:c r="K66" s="37" t="n">
        <x:v>11714905.414472595</x:v>
      </x:c>
      <x:c r="L66" s="37" t="n">
        <x:v>12959838.972400585</x:v>
      </x:c>
      <x:c r="M66" s="37" t="n">
        <x:v>0</x:v>
      </x:c>
      <x:c r="N66" s="37" t="n">
        <x:v>0</x:v>
      </x:c>
      <x:c r="O66" s="37" t="n">
        <x:v>2139.6505114734173</x:v>
      </x:c>
      <x:c r="P66" s="37" t="n">
        <x:v>0</x:v>
      </x:c>
      <x:c r="Q66" s="37" t="n">
        <x:v>0</x:v>
      </x:c>
      <x:c r="R66" s="37" t="n">
        <x:v>0</x:v>
      </x:c>
      <x:c r="S66" s="37" t="n">
        <x:v>0</x:v>
      </x:c>
      <x:c r="T66" s="37" t="n">
        <x:v>0</x:v>
      </x:c>
      <x:c r="U66" s="37" t="n">
        <x:v>0</x:v>
      </x:c>
      <x:c r="V66" s="37" t="n">
        <x:v>0</x:v>
      </x:c>
      <x:c r="W66" s="37" t="n">
        <x:v>14970.170221727341</x:v>
      </x:c>
      <x:c r="X66" s="37" t="n">
        <x:v>0</x:v>
      </x:c>
      <x:c r="Y66" s="37" t="n">
        <x:v>2356.3509014025813</x:v>
      </x:c>
      <x:c r="Z66" s="37" t="n">
        <x:v>11949203.522762047</x:v>
      </x:c>
      <x:c r="AA66" s="37" t="n">
        <x:v>0</x:v>
      </x:c>
      <x:c r="AB66" s="37" t="n">
        <x:v>11949203.522762047</x:v>
      </x:c>
      <x:c r="AC66" s="37" t="n">
        <x:v>1068430.2150866706</x:v>
      </x:c>
      <x:c r="AD66" s="37" t="n">
        <x:v>0</x:v>
      </x:c>
      <x:c r="AE66" s="37" t="n">
        <x:v>0</x:v>
      </x:c>
      <x:c r="AF66" s="47" t="b">
        <x:v>0</x:v>
      </x:c>
      <x:c r="AG66" s="47" t="b">
        <x:v>0</x:v>
      </x:c>
      <x:c r="AH66" s="48" t="n">
        <x:v>0</x:v>
      </x:c>
      <x:c r="AI66" s="48" t="n">
        <x:v>1.1920928955078125e-7</x:v>
      </x:c>
      <x:c r="AJ66" s="37" t="str">
        <x:v>passed</x:v>
      </x:c>
    </x:row>
    <x:row r="67" ht="21" customHeight="1">
      <x:c r="A67" s="2"/>
      <x:c r="B67" s="2"/>
      <x:c r="C67" s="2" t="str">
        <x:v>2022</x:v>
      </x:c>
      <x:c r="D67" s="5" t="n">
        <x:v>44586</x:v>
      </x:c>
      <x:c r="E67" s="2" t="str">
        <x:v>unhedged</x:v>
      </x:c>
      <x:c r="F67" s="37" t="n">
        <x:v>1200271.271691035</x:v>
      </x:c>
      <x:c r="G67" s="37" t="n">
        <x:v>11631674.86691433</x:v>
      </x:c>
      <x:c r="H67" s="37" t="n">
        <x:v>45692.4843862599</x:v>
      </x:c>
      <x:c r="I67" s="37" t="n">
        <x:v>11585982.38252807</x:v>
      </x:c>
      <x:c r="J67" s="37" t="n">
        <x:v>11631674.86691433</x:v>
      </x:c>
      <x:c r="K67" s="37" t="n">
        <x:v>0</x:v>
      </x:c>
      <x:c r="L67" s="37" t="n">
        <x:v>12831946.138605366</x:v>
      </x:c>
      <x:c r="M67" s="37" t="n">
        <x:v>0</x:v>
      </x:c>
      <x:c r="N67" s="37" t="n">
        <x:v>0</x:v>
      </x:c>
      <x:c r="O67" s="37" t="n">
        <x:v>65.76468531554565</x:v>
      </x:c>
      <x:c r="P67" s="37" t="n">
        <x:v>0</x:v>
      </x:c>
      <x:c r="Q67" s="37" t="n">
        <x:v>0</x:v>
      </x:c>
      <x:c r="R67" s="37" t="n">
        <x:v>0</x:v>
      </x:c>
      <x:c r="S67" s="37" t="n">
        <x:v>0</x:v>
      </x:c>
      <x:c r="T67" s="37" t="n">
        <x:v>0</x:v>
      </x:c>
      <x:c r="U67" s="37" t="n">
        <x:v>0</x:v>
      </x:c>
      <x:c r="V67" s="37" t="n">
        <x:v>0</x:v>
      </x:c>
      <x:c r="W67" s="37" t="n">
        <x:v>1445.9910077606328</x:v>
      </x:c>
      <x:c r="X67" s="37" t="n">
        <x:v>0</x:v>
      </x:c>
      <x:c r="Y67" s="37" t="n">
        <x:v>1174.7193167256753</x:v>
      </x:c>
      <x:c r="Z67" s="37" t="n">
        <x:v>0</x:v>
      </x:c>
      <x:c r="AA67" s="37" t="n">
        <x:v>0</x:v>
      </x:c>
      <x:c r="AB67" s="37" t="n">
        <x:v>0</x:v>
      </x:c>
      <x:c r="AC67" s="37" t="n">
        <x:v>1200271.271691035</x:v>
      </x:c>
      <x:c r="AD67" s="37" t="n">
        <x:v>0</x:v>
      </x:c>
      <x:c r="AE67" s="37" t="n">
        <x:v>0</x:v>
      </x:c>
      <x:c r="AF67" s="47" t="b">
        <x:v>0</x:v>
      </x:c>
      <x:c r="AG67" s="47" t="b">
        <x:v>0</x:v>
      </x:c>
      <x:c r="AH67" s="48" t="n">
        <x:v>0</x:v>
      </x:c>
      <x:c r="AI67" s="48" t="n">
        <x:v>1.1920928955078125e-7</x:v>
      </x:c>
      <x:c r="AJ67" s="37" t="str">
        <x:v>passed</x:v>
      </x:c>
    </x:row>
    <x:row r="68" ht="21" customHeight="1">
      <x:c r="A68" s="2"/>
      <x:c r="B68" s="2"/>
      <x:c r="C68" s="2" t="str">
        <x:v>2022</x:v>
      </x:c>
      <x:c r="D68" s="5" t="n">
        <x:v>44586</x:v>
      </x:c>
      <x:c r="E68" s="2" t="str">
        <x:v>duration</x:v>
      </x:c>
      <x:c r="F68" s="37" t="n">
        <x:v>9268794.140634993</x:v>
      </x:c>
      <x:c r="G68" s="37" t="n">
        <x:v>3680629.8764477214</x:v>
      </x:c>
      <x:c r="H68" s="37" t="n">
        <x:v>23336.242088038915</x:v>
      </x:c>
      <x:c r="I68" s="37" t="n">
        <x:v>3657293.6343596824</x:v>
      </x:c>
      <x:c r="J68" s="37" t="n">
        <x:v>11631674.86691433</x:v>
      </x:c>
      <x:c r="K68" s="37" t="n">
        <x:v>7951044.990466609</x:v>
      </x:c>
      <x:c r="L68" s="37" t="n">
        <x:v>12949424.017082714</x:v>
      </x:c>
      <x:c r="M68" s="37" t="n">
        <x:v>0</x:v>
      </x:c>
      <x:c r="N68" s="37" t="n">
        <x:v>0</x:v>
      </x:c>
      <x:c r="O68" s="37" t="n">
        <x:v>507.85130352526903</x:v>
      </x:c>
      <x:c r="P68" s="37" t="n">
        <x:v>0</x:v>
      </x:c>
      <x:c r="Q68" s="37" t="n">
        <x:v>0</x:v>
      </x:c>
      <x:c r="R68" s="37" t="n">
        <x:v>0</x:v>
      </x:c>
      <x:c r="S68" s="37" t="n">
        <x:v>0</x:v>
      </x:c>
      <x:c r="T68" s="37" t="n">
        <x:v>0</x:v>
      </x:c>
      <x:c r="U68" s="37" t="n">
        <x:v>0</x:v>
      </x:c>
      <x:c r="V68" s="37" t="n">
        <x:v>0</x:v>
      </x:c>
      <x:c r="W68" s="37" t="n">
        <x:v>11166.303231818601</x:v>
      </x:c>
      <x:c r="X68" s="37" t="n">
        <x:v>0</x:v>
      </x:c>
      <x:c r="Y68" s="37" t="n">
        <x:v>1980.6801684828408</x:v>
      </x:c>
      <x:c r="Z68" s="37" t="n">
        <x:v>8110065.890275941</x:v>
      </x:c>
      <x:c r="AA68" s="37" t="n">
        <x:v>0</x:v>
      </x:c>
      <x:c r="AB68" s="37" t="n">
        <x:v>8110065.890275941</x:v>
      </x:c>
      <x:c r="AC68" s="37" t="n">
        <x:v>1158728.2503590519</x:v>
      </x:c>
      <x:c r="AD68" s="37" t="n">
        <x:v>0</x:v>
      </x:c>
      <x:c r="AE68" s="37" t="n">
        <x:v>0</x:v>
      </x:c>
      <x:c r="AF68" s="47" t="b">
        <x:v>0</x:v>
      </x:c>
      <x:c r="AG68" s="47" t="b">
        <x:v>0</x:v>
      </x:c>
      <x:c r="AH68" s="48" t="n">
        <x:v>0</x:v>
      </x:c>
      <x:c r="AI68" s="48" t="n">
        <x:v>1.1920928955078125e-7</x:v>
      </x:c>
      <x:c r="AJ68" s="37" t="str">
        <x:v>passed</x:v>
      </x:c>
    </x:row>
    <x:row r="69" ht="21" customHeight="1">
      <x:c r="A69" s="2"/>
      <x:c r="B69" s="2"/>
      <x:c r="C69" s="2" t="str">
        <x:v>2022</x:v>
      </x:c>
      <x:c r="D69" s="5" t="n">
        <x:v>44586</x:v>
      </x:c>
      <x:c r="E69" s="2" t="str">
        <x:v>unweighted</x:v>
      </x:c>
      <x:c r="F69" s="37" t="n">
        <x:v>11963181.00528035</x:v>
      </x:c>
      <x:c r="G69" s="37" t="n">
        <x:v>988199.3490226258</x:v>
      </x:c>
      <x:c r="H69" s="37" t="n">
        <x:v>22546.54124224399</x:v>
      </x:c>
      <x:c r="I69" s="37" t="n">
        <x:v>965652.8077803819</x:v>
      </x:c>
      <x:c r="J69" s="37" t="n">
        <x:v>11631674.86691433</x:v>
      </x:c>
      <x:c r="K69" s="37" t="n">
        <x:v>10643475.517891705</x:v>
      </x:c>
      <x:c r="L69" s="37" t="n">
        <x:v>12951380.354302974</x:v>
      </x:c>
      <x:c r="M69" s="37" t="n">
        <x:v>0</x:v>
      </x:c>
      <x:c r="N69" s="37" t="n">
        <x:v>0</x:v>
      </x:c>
      <x:c r="O69" s="37" t="n">
        <x:v>655.4808506555855</x:v>
      </x:c>
      <x:c r="P69" s="37" t="n">
        <x:v>0</x:v>
      </x:c>
      <x:c r="Q69" s="37" t="n">
        <x:v>0</x:v>
      </x:c>
      <x:c r="R69" s="37" t="n">
        <x:v>0</x:v>
      </x:c>
      <x:c r="S69" s="37" t="n">
        <x:v>0</x:v>
      </x:c>
      <x:c r="T69" s="37" t="n">
        <x:v>0</x:v>
      </x:c>
      <x:c r="U69" s="37" t="n">
        <x:v>0</x:v>
      </x:c>
      <x:c r="V69" s="37" t="n">
        <x:v>0</x:v>
      </x:c>
      <x:c r="W69" s="37" t="n">
        <x:v>14412.285427341238</x:v>
      </x:c>
      <x:c r="X69" s="37" t="n">
        <x:v>0</x:v>
      </x:c>
      <x:c r="Y69" s="37" t="n">
        <x:v>2249.8211708280587</x:v>
      </x:c>
      <x:c r="Z69" s="37" t="n">
        <x:v>10856345.02824954</x:v>
      </x:c>
      <x:c r="AA69" s="37" t="n">
        <x:v>0</x:v>
      </x:c>
      <x:c r="AB69" s="37" t="n">
        <x:v>10856345.02824954</x:v>
      </x:c>
      <x:c r="AC69" s="37" t="n">
        <x:v>1106835.97703081</x:v>
      </x:c>
      <x:c r="AD69" s="37" t="n">
        <x:v>0</x:v>
      </x:c>
      <x:c r="AE69" s="37" t="n">
        <x:v>0</x:v>
      </x:c>
      <x:c r="AF69" s="47" t="b">
        <x:v>0</x:v>
      </x:c>
      <x:c r="AG69" s="47" t="b">
        <x:v>0</x:v>
      </x:c>
      <x:c r="AH69" s="48" t="n">
        <x:v>0</x:v>
      </x:c>
      <x:c r="AI69" s="48" t="n">
        <x:v>1.1920928955078125e-7</x:v>
      </x:c>
      <x:c r="AJ69" s="37" t="str">
        <x:v>passed</x:v>
      </x:c>
    </x:row>
    <x:row r="70" ht="21" customHeight="1">
      <x:c r="A70" s="2"/>
      <x:c r="B70" s="2"/>
      <x:c r="C70" s="2" t="str">
        <x:v>2022</x:v>
      </x:c>
      <x:c r="D70" s="5" t="n">
        <x:v>44586</x:v>
      </x:c>
      <x:c r="E70" s="2" t="str">
        <x:v>constrained</x:v>
      </x:c>
      <x:c r="F70" s="37" t="n">
        <x:v>13018347.03284805</x:v>
      </x:c>
      <x:c r="G70" s="37" t="n">
        <x:v>-57734.33351141281</x:v>
      </x:c>
      <x:c r="H70" s="37" t="n">
        <x:v>20739.357665319865</x:v>
      </x:c>
      <x:c r="I70" s="37" t="n">
        <x:v>-78473.69117673268</x:v>
      </x:c>
      <x:c r="J70" s="37" t="n">
        <x:v>11637193.713797433</x:v>
      </x:c>
      <x:c r="K70" s="37" t="n">
        <x:v>11694928.047308845</x:v>
      </x:c>
      <x:c r="L70" s="37" t="n">
        <x:v>12960612.699336639</x:v>
      </x:c>
      <x:c r="M70" s="37" t="n">
        <x:v>0</x:v>
      </x:c>
      <x:c r="N70" s="37" t="n">
        <x:v>0</x:v>
      </x:c>
      <x:c r="O70" s="37" t="n">
        <x:v>713.2949993330985</x:v>
      </x:c>
      <x:c r="P70" s="37" t="n">
        <x:v>0</x:v>
      </x:c>
      <x:c r="Q70" s="37" t="n">
        <x:v>0</x:v>
      </x:c>
      <x:c r="R70" s="37" t="n">
        <x:v>0</x:v>
      </x:c>
      <x:c r="S70" s="37" t="n">
        <x:v>0</x:v>
      </x:c>
      <x:c r="T70" s="37" t="n">
        <x:v>0</x:v>
      </x:c>
      <x:c r="U70" s="37" t="n">
        <x:v>0</x:v>
      </x:c>
      <x:c r="V70" s="37" t="n">
        <x:v>0</x:v>
      </x:c>
      <x:c r="W70" s="37" t="n">
        <x:v>15683.46522106044</x:v>
      </x:c>
      <x:c r="X70" s="37" t="n">
        <x:v>0</x:v>
      </x:c>
      <x:c r="Y70" s="37" t="n">
        <x:v>2356.3509014025813</x:v>
      </x:c>
      <x:c r="Z70" s="37" t="n">
        <x:v>11928826.608255023</x:v>
      </x:c>
      <x:c r="AA70" s="37" t="n">
        <x:v>0</x:v>
      </x:c>
      <x:c r="AB70" s="37" t="n">
        <x:v>11928826.608255023</x:v>
      </x:c>
      <x:c r="AC70" s="37" t="n">
        <x:v>1089520.4245930277</x:v>
      </x:c>
      <x:c r="AD70" s="37" t="n">
        <x:v>0</x:v>
      </x:c>
      <x:c r="AE70" s="37" t="n">
        <x:v>0</x:v>
      </x:c>
      <x:c r="AF70" s="47" t="b">
        <x:v>0</x:v>
      </x:c>
      <x:c r="AG70" s="47" t="b">
        <x:v>0</x:v>
      </x:c>
      <x:c r="AH70" s="48" t="n">
        <x:v>0</x:v>
      </x:c>
      <x:c r="AI70" s="48" t="n">
        <x:v>1.1920928955078125e-7</x:v>
      </x:c>
      <x:c r="AJ70" s="37" t="str">
        <x:v>passed</x:v>
      </x:c>
    </x:row>
    <x:row r="71" ht="21" customHeight="1">
      <x:c r="A71" s="2"/>
      <x:c r="B71" s="2"/>
      <x:c r="C71" s="2" t="str">
        <x:v>2022</x:v>
      </x:c>
      <x:c r="D71" s="5" t="n">
        <x:v>44587</x:v>
      </x:c>
      <x:c r="E71" s="2" t="str">
        <x:v>unhedged</x:v>
      </x:c>
      <x:c r="F71" s="37" t="n">
        <x:v>1200337.039979895</x:v>
      </x:c>
      <x:c r="G71" s="37" t="n">
        <x:v>11577668.9582815</x:v>
      </x:c>
      <x:c r="H71" s="37" t="n">
        <x:v>46041.31635839539</x:v>
      </x:c>
      <x:c r="I71" s="37" t="n">
        <x:v>11531627.641923105</x:v>
      </x:c>
      <x:c r="J71" s="37" t="n">
        <x:v>11577668.9582815</x:v>
      </x:c>
      <x:c r="K71" s="37" t="n">
        <x:v>0</x:v>
      </x:c>
      <x:c r="L71" s="37" t="n">
        <x:v>12778005.998261396</x:v>
      </x:c>
      <x:c r="M71" s="37" t="n">
        <x:v>0</x:v>
      </x:c>
      <x:c r="N71" s="37" t="n">
        <x:v>0</x:v>
      </x:c>
      <x:c r="O71" s="37" t="n">
        <x:v>65.76828886009753</x:v>
      </x:c>
      <x:c r="P71" s="37" t="n">
        <x:v>0</x:v>
      </x:c>
      <x:c r="Q71" s="37" t="n">
        <x:v>0</x:v>
      </x:c>
      <x:c r="R71" s="37" t="n">
        <x:v>0</x:v>
      </x:c>
      <x:c r="S71" s="37" t="n">
        <x:v>0</x:v>
      </x:c>
      <x:c r="T71" s="37" t="n">
        <x:v>0</x:v>
      </x:c>
      <x:c r="U71" s="37" t="n">
        <x:v>0</x:v>
      </x:c>
      <x:c r="V71" s="37" t="n">
        <x:v>0</x:v>
      </x:c>
      <x:c r="W71" s="37" t="n">
        <x:v>1511.7592966207303</x:v>
      </x:c>
      <x:c r="X71" s="37" t="n">
        <x:v>0</x:v>
      </x:c>
      <x:c r="Y71" s="37" t="n">
        <x:v>1174.7193167256753</x:v>
      </x:c>
      <x:c r="Z71" s="37" t="n">
        <x:v>0</x:v>
      </x:c>
      <x:c r="AA71" s="37" t="n">
        <x:v>0</x:v>
      </x:c>
      <x:c r="AB71" s="37" t="n">
        <x:v>0</x:v>
      </x:c>
      <x:c r="AC71" s="37" t="n">
        <x:v>1200337.039979895</x:v>
      </x:c>
      <x:c r="AD71" s="37" t="n">
        <x:v>0</x:v>
      </x:c>
      <x:c r="AE71" s="37" t="n">
        <x:v>0</x:v>
      </x:c>
      <x:c r="AF71" s="47" t="b">
        <x:v>0</x:v>
      </x:c>
      <x:c r="AG71" s="47" t="b">
        <x:v>0</x:v>
      </x:c>
      <x:c r="AH71" s="48" t="n">
        <x:v>0</x:v>
      </x:c>
      <x:c r="AI71" s="48" t="n">
        <x:v>1.1920928955078125e-7</x:v>
      </x:c>
      <x:c r="AJ71" s="37" t="str">
        <x:v>passed</x:v>
      </x:c>
    </x:row>
    <x:row r="72" ht="21" customHeight="1">
      <x:c r="A72" s="2"/>
      <x:c r="B72" s="2"/>
      <x:c r="C72" s="2" t="str">
        <x:v>2022</x:v>
      </x:c>
      <x:c r="D72" s="5" t="n">
        <x:v>44587</x:v>
      </x:c>
      <x:c r="E72" s="2" t="str">
        <x:v>duration</x:v>
      </x:c>
      <x:c r="F72" s="37" t="n">
        <x:v>9269302.019765988</x:v>
      </x:c>
      <x:c r="G72" s="37" t="n">
        <x:v>3671757.304274114</x:v>
      </x:c>
      <x:c r="H72" s="37" t="n">
        <x:v>23370.197408086773</x:v>
      </x:c>
      <x:c r="I72" s="37" t="n">
        <x:v>3648387.106866027</x:v>
      </x:c>
      <x:c r="J72" s="37" t="n">
        <x:v>11577668.9582815</x:v>
      </x:c>
      <x:c r="K72" s="37" t="n">
        <x:v>7905911.6540073855</x:v>
      </x:c>
      <x:c r="L72" s="37" t="n">
        <x:v>12941059.324040102</x:v>
      </x:c>
      <x:c r="M72" s="37" t="n">
        <x:v>0</x:v>
      </x:c>
      <x:c r="N72" s="37" t="n">
        <x:v>0</x:v>
      </x:c>
      <x:c r="O72" s="37" t="n">
        <x:v>507.87913099490106</x:v>
      </x:c>
      <x:c r="P72" s="37" t="n">
        <x:v>0</x:v>
      </x:c>
      <x:c r="Q72" s="37" t="n">
        <x:v>0</x:v>
      </x:c>
      <x:c r="R72" s="37" t="n">
        <x:v>0</x:v>
      </x:c>
      <x:c r="S72" s="37" t="n">
        <x:v>0</x:v>
      </x:c>
      <x:c r="T72" s="37" t="n">
        <x:v>0</x:v>
      </x:c>
      <x:c r="U72" s="37" t="n">
        <x:v>0</x:v>
      </x:c>
      <x:c r="V72" s="37" t="n">
        <x:v>0</x:v>
      </x:c>
      <x:c r="W72" s="37" t="n">
        <x:v>11674.182362813503</x:v>
      </x:c>
      <x:c r="X72" s="37" t="n">
        <x:v>0</x:v>
      </x:c>
      <x:c r="Y72" s="37" t="n">
        <x:v>1980.6801684828408</x:v>
      </x:c>
      <x:c r="Z72" s="37" t="n">
        <x:v>8064029.887087533</x:v>
      </x:c>
      <x:c r="AA72" s="37" t="n">
        <x:v>0</x:v>
      </x:c>
      <x:c r="AB72" s="37" t="n">
        <x:v>8064029.887087533</x:v>
      </x:c>
      <x:c r="AC72" s="37" t="n">
        <x:v>1205272.1326784547</x:v>
      </x:c>
      <x:c r="AD72" s="37" t="n">
        <x:v>0</x:v>
      </x:c>
      <x:c r="AE72" s="37" t="n">
        <x:v>0</x:v>
      </x:c>
      <x:c r="AF72" s="47" t="b">
        <x:v>0</x:v>
      </x:c>
      <x:c r="AG72" s="47" t="b">
        <x:v>0</x:v>
      </x:c>
      <x:c r="AH72" s="48" t="n">
        <x:v>0</x:v>
      </x:c>
      <x:c r="AI72" s="48" t="n">
        <x:v>1.1920928955078125e-7</x:v>
      </x:c>
      <x:c r="AJ72" s="37" t="str">
        <x:v>passed</x:v>
      </x:c>
    </x:row>
    <x:row r="73" ht="21" customHeight="1">
      <x:c r="A73" s="2"/>
      <x:c r="B73" s="2"/>
      <x:c r="C73" s="2" t="str">
        <x:v>2022</x:v>
      </x:c>
      <x:c r="D73" s="5" t="n">
        <x:v>44587</x:v>
      </x:c>
      <x:c r="E73" s="2" t="str">
        <x:v>unweighted</x:v>
      </x:c>
      <x:c r="F73" s="37" t="n">
        <x:v>11963836.522047764</x:v>
      </x:c>
      <x:c r="G73" s="37" t="n">
        <x:v>984290.9828530531</x:v>
      </x:c>
      <x:c r="H73" s="37" t="n">
        <x:v>22536.771360117647</x:v>
      </x:c>
      <x:c r="I73" s="37" t="n">
        <x:v>961754.2114929355</x:v>
      </x:c>
      <x:c r="J73" s="37" t="n">
        <x:v>11577668.9582815</x:v>
      </x:c>
      <x:c r="K73" s="37" t="n">
        <x:v>10593377.975428447</x:v>
      </x:c>
      <x:c r="L73" s="37" t="n">
        <x:v>12948127.504900817</x:v>
      </x:c>
      <x:c r="M73" s="37" t="n">
        <x:v>0</x:v>
      </x:c>
      <x:c r="N73" s="37" t="n">
        <x:v>0</x:v>
      </x:c>
      <x:c r="O73" s="37" t="n">
        <x:v>655.5167674142867</x:v>
      </x:c>
      <x:c r="P73" s="37" t="n">
        <x:v>0</x:v>
      </x:c>
      <x:c r="Q73" s="37" t="n">
        <x:v>0</x:v>
      </x:c>
      <x:c r="R73" s="37" t="n">
        <x:v>0</x:v>
      </x:c>
      <x:c r="S73" s="37" t="n">
        <x:v>0</x:v>
      </x:c>
      <x:c r="T73" s="37" t="n">
        <x:v>0</x:v>
      </x:c>
      <x:c r="U73" s="37" t="n">
        <x:v>0</x:v>
      </x:c>
      <x:c r="V73" s="37" t="n">
        <x:v>0</x:v>
      </x:c>
      <x:c r="W73" s="37" t="n">
        <x:v>15067.802194755524</x:v>
      </x:c>
      <x:c r="X73" s="37" t="n">
        <x:v>0</x:v>
      </x:c>
      <x:c r="Y73" s="37" t="n">
        <x:v>2249.8211708280587</x:v>
      </x:c>
      <x:c r="Z73" s="37" t="n">
        <x:v>10805245.534937017</x:v>
      </x:c>
      <x:c r="AA73" s="37" t="n">
        <x:v>0</x:v>
      </x:c>
      <x:c r="AB73" s="37" t="n">
        <x:v>10805245.534937017</x:v>
      </x:c>
      <x:c r="AC73" s="37" t="n">
        <x:v>1158590.987110747</x:v>
      </x:c>
      <x:c r="AD73" s="37" t="n">
        <x:v>0</x:v>
      </x:c>
      <x:c r="AE73" s="37" t="n">
        <x:v>0</x:v>
      </x:c>
      <x:c r="AF73" s="47" t="b">
        <x:v>0</x:v>
      </x:c>
      <x:c r="AG73" s="47" t="b">
        <x:v>0</x:v>
      </x:c>
      <x:c r="AH73" s="48" t="n">
        <x:v>0</x:v>
      </x:c>
      <x:c r="AI73" s="48" t="n">
        <x:v>1.1920928955078125e-7</x:v>
      </x:c>
      <x:c r="AJ73" s="37" t="str">
        <x:v>passed</x:v>
      </x:c>
    </x:row>
    <x:row r="74" ht="21" customHeight="1">
      <x:c r="A74" s="2"/>
      <x:c r="B74" s="2"/>
      <x:c r="C74" s="2" t="str">
        <x:v>2022</x:v>
      </x:c>
      <x:c r="D74" s="5" t="n">
        <x:v>44587</x:v>
      </x:c>
      <x:c r="E74" s="2" t="str">
        <x:v>constrained</x:v>
      </x:c>
      <x:c r="F74" s="37" t="n">
        <x:v>13019060.366932046</x:v>
      </x:c>
      <x:c r="G74" s="37" t="n">
        <x:v>-57540.81362955084</x:v>
      </x:c>
      <x:c r="H74" s="37" t="n">
        <x:v>20699.58087051636</x:v>
      </x:c>
      <x:c r="I74" s="37" t="n">
        <x:v>-78240.3945000672</x:v>
      </x:c>
      <x:c r="J74" s="37" t="n">
        <x:v>11583139.05914133</x:v>
      </x:c>
      <x:c r="K74" s="37" t="n">
        <x:v>11640679.872770881</x:v>
      </x:c>
      <x:c r="L74" s="37" t="n">
        <x:v>12961519.553302495</x:v>
      </x:c>
      <x:c r="M74" s="37" t="n">
        <x:v>0</x:v>
      </x:c>
      <x:c r="N74" s="37" t="n">
        <x:v>0</x:v>
      </x:c>
      <x:c r="O74" s="37" t="n">
        <x:v>713.3340839948505</x:v>
      </x:c>
      <x:c r="P74" s="37" t="n">
        <x:v>0</x:v>
      </x:c>
      <x:c r="Q74" s="37" t="n">
        <x:v>0</x:v>
      </x:c>
      <x:c r="R74" s="37" t="n">
        <x:v>0</x:v>
      </x:c>
      <x:c r="S74" s="37" t="n">
        <x:v>0</x:v>
      </x:c>
      <x:c r="T74" s="37" t="n">
        <x:v>0</x:v>
      </x:c>
      <x:c r="U74" s="37" t="n">
        <x:v>0</x:v>
      </x:c>
      <x:c r="V74" s="37" t="n">
        <x:v>0</x:v>
      </x:c>
      <x:c r="W74" s="37" t="n">
        <x:v>16396.79930505529</x:v>
      </x:c>
      <x:c r="X74" s="37" t="n">
        <x:v>0</x:v>
      </x:c>
      <x:c r="Y74" s="37" t="n">
        <x:v>2356.3509014025813</x:v>
      </x:c>
      <x:c r="Z74" s="37" t="n">
        <x:v>11873493.470226299</x:v>
      </x:c>
      <x:c r="AA74" s="37" t="n">
        <x:v>0</x:v>
      </x:c>
      <x:c r="AB74" s="37" t="n">
        <x:v>11873493.470226299</x:v>
      </x:c>
      <x:c r="AC74" s="37" t="n">
        <x:v>1145566.8967057467</x:v>
      </x:c>
      <x:c r="AD74" s="37" t="n">
        <x:v>0</x:v>
      </x:c>
      <x:c r="AE74" s="37" t="n">
        <x:v>0</x:v>
      </x:c>
      <x:c r="AF74" s="47" t="b">
        <x:v>0</x:v>
      </x:c>
      <x:c r="AG74" s="47" t="b">
        <x:v>0</x:v>
      </x:c>
      <x:c r="AH74" s="48" t="n">
        <x:v>0</x:v>
      </x:c>
      <x:c r="AI74" s="48" t="n">
        <x:v>1.1920928955078125e-7</x:v>
      </x:c>
      <x:c r="AJ74" s="37" t="str">
        <x:v>passed</x:v>
      </x:c>
    </x:row>
    <x:row r="75" ht="21" customHeight="1">
      <x:c r="A75" s="2"/>
      <x:c r="B75" s="2"/>
      <x:c r="C75" s="2" t="str">
        <x:v>2022</x:v>
      </x:c>
      <x:c r="D75" s="5" t="n">
        <x:v>44588</x:v>
      </x:c>
      <x:c r="E75" s="2" t="str">
        <x:v>unhedged</x:v>
      </x:c>
      <x:c r="F75" s="37" t="n">
        <x:v>1200402.8118724967</x:v>
      </x:c>
      <x:c r="G75" s="37" t="n">
        <x:v>11599205.835901655</x:v>
      </x:c>
      <x:c r="H75" s="37" t="n">
        <x:v>46390.14833053087</x:v>
      </x:c>
      <x:c r="I75" s="37" t="n">
        <x:v>11552815.687571125</x:v>
      </x:c>
      <x:c r="J75" s="37" t="n">
        <x:v>11599205.835901655</x:v>
      </x:c>
      <x:c r="K75" s="37" t="n">
        <x:v>0</x:v>
      </x:c>
      <x:c r="L75" s="37" t="n">
        <x:v>12799608.647774152</x:v>
      </x:c>
      <x:c r="M75" s="37" t="n">
        <x:v>0</x:v>
      </x:c>
      <x:c r="N75" s="37" t="n">
        <x:v>0</x:v>
      </x:c>
      <x:c r="O75" s="37" t="n">
        <x:v>65.77189260162413</x:v>
      </x:c>
      <x:c r="P75" s="37" t="n">
        <x:v>0</x:v>
      </x:c>
      <x:c r="Q75" s="37" t="n">
        <x:v>0</x:v>
      </x:c>
      <x:c r="R75" s="37" t="n">
        <x:v>0</x:v>
      </x:c>
      <x:c r="S75" s="37" t="n">
        <x:v>0</x:v>
      </x:c>
      <x:c r="T75" s="37" t="n">
        <x:v>0</x:v>
      </x:c>
      <x:c r="U75" s="37" t="n">
        <x:v>0</x:v>
      </x:c>
      <x:c r="V75" s="37" t="n">
        <x:v>0</x:v>
      </x:c>
      <x:c r="W75" s="37" t="n">
        <x:v>1577.5311892223544</x:v>
      </x:c>
      <x:c r="X75" s="37" t="n">
        <x:v>0</x:v>
      </x:c>
      <x:c r="Y75" s="37" t="n">
        <x:v>1174.7193167256753</x:v>
      </x:c>
      <x:c r="Z75" s="37" t="n">
        <x:v>0</x:v>
      </x:c>
      <x:c r="AA75" s="37" t="n">
        <x:v>0</x:v>
      </x:c>
      <x:c r="AB75" s="37" t="n">
        <x:v>0</x:v>
      </x:c>
      <x:c r="AC75" s="37" t="n">
        <x:v>1200402.8118724967</x:v>
      </x:c>
      <x:c r="AD75" s="37" t="n">
        <x:v>0</x:v>
      </x:c>
      <x:c r="AE75" s="37" t="n">
        <x:v>0</x:v>
      </x:c>
      <x:c r="AF75" s="47" t="b">
        <x:v>0</x:v>
      </x:c>
      <x:c r="AG75" s="47" t="b">
        <x:v>0</x:v>
      </x:c>
      <x:c r="AH75" s="48" t="n">
        <x:v>0</x:v>
      </x:c>
      <x:c r="AI75" s="48" t="n">
        <x:v>1.1920928955078125e-7</x:v>
      </x:c>
      <x:c r="AJ75" s="37" t="str">
        <x:v>passed</x:v>
      </x:c>
    </x:row>
    <x:row r="76" ht="21" customHeight="1">
      <x:c r="A76" s="2"/>
      <x:c r="B76" s="2"/>
      <x:c r="C76" s="2" t="str">
        <x:v>2022</x:v>
      </x:c>
      <x:c r="D76" s="5" t="n">
        <x:v>44588</x:v>
      </x:c>
      <x:c r="E76" s="2" t="str">
        <x:v>duration</x:v>
      </x:c>
      <x:c r="F76" s="37" t="n">
        <x:v>9269809.926725976</x:v>
      </x:c>
      <x:c r="G76" s="37" t="n">
        <x:v>3659078.8353020754</x:v>
      </x:c>
      <x:c r="H76" s="37" t="n">
        <x:v>23404.152728134643</x:v>
      </x:c>
      <x:c r="I76" s="37" t="n">
        <x:v>3635674.6825739406</x:v>
      </x:c>
      <x:c r="J76" s="37" t="n">
        <x:v>11599205.835901655</x:v>
      </x:c>
      <x:c r="K76" s="37" t="n">
        <x:v>7940127.000599579</x:v>
      </x:c>
      <x:c r="L76" s="37" t="n">
        <x:v>12928888.762028052</x:v>
      </x:c>
      <x:c r="M76" s="37" t="n">
        <x:v>0</x:v>
      </x:c>
      <x:c r="N76" s="37" t="n">
        <x:v>0</x:v>
      </x:c>
      <x:c r="O76" s="37" t="n">
        <x:v>507.9069599881768</x:v>
      </x:c>
      <x:c r="P76" s="37" t="n">
        <x:v>0</x:v>
      </x:c>
      <x:c r="Q76" s="37" t="n">
        <x:v>0</x:v>
      </x:c>
      <x:c r="R76" s="37" t="n">
        <x:v>0</x:v>
      </x:c>
      <x:c r="S76" s="37" t="n">
        <x:v>0</x:v>
      </x:c>
      <x:c r="T76" s="37" t="n">
        <x:v>0</x:v>
      </x:c>
      <x:c r="U76" s="37" t="n">
        <x:v>0</x:v>
      </x:c>
      <x:c r="V76" s="37" t="n">
        <x:v>0</x:v>
      </x:c>
      <x:c r="W76" s="37" t="n">
        <x:v>12182.08932280168</x:v>
      </x:c>
      <x:c r="X76" s="37" t="n">
        <x:v>0</x:v>
      </x:c>
      <x:c r="Y76" s="37" t="n">
        <x:v>1980.6801684828408</x:v>
      </x:c>
      <x:c r="Z76" s="37" t="n">
        <x:v>8098929.540611571</x:v>
      </x:c>
      <x:c r="AA76" s="37" t="n">
        <x:v>0</x:v>
      </x:c>
      <x:c r="AB76" s="37" t="n">
        <x:v>8098929.540611571</x:v>
      </x:c>
      <x:c r="AC76" s="37" t="n">
        <x:v>1170880.3861144055</x:v>
      </x:c>
      <x:c r="AD76" s="37" t="n">
        <x:v>0</x:v>
      </x:c>
      <x:c r="AE76" s="37" t="n">
        <x:v>0</x:v>
      </x:c>
      <x:c r="AF76" s="47" t="b">
        <x:v>0</x:v>
      </x:c>
      <x:c r="AG76" s="47" t="b">
        <x:v>0</x:v>
      </x:c>
      <x:c r="AH76" s="48" t="n">
        <x:v>0</x:v>
      </x:c>
      <x:c r="AI76" s="48" t="n">
        <x:v>1.1920928955078125e-7</x:v>
      </x:c>
      <x:c r="AJ76" s="37" t="str">
        <x:v>passed</x:v>
      </x:c>
    </x:row>
    <x:row r="77" ht="21" customHeight="1">
      <x:c r="A77" s="2"/>
      <x:c r="B77" s="2"/>
      <x:c r="C77" s="2" t="str">
        <x:v>2022</x:v>
      </x:c>
      <x:c r="D77" s="5" t="n">
        <x:v>44588</x:v>
      </x:c>
      <x:c r="E77" s="2" t="str">
        <x:v>unweighted</x:v>
      </x:c>
      <x:c r="F77" s="37" t="n">
        <x:v>11964492.074733904</x:v>
      </x:c>
      <x:c r="G77" s="37" t="n">
        <x:v>985293.5492690363</x:v>
      </x:c>
      <x:c r="H77" s="37" t="n">
        <x:v>22527.001477991314</x:v>
      </x:c>
      <x:c r="I77" s="37" t="n">
        <x:v>962766.5477910449</x:v>
      </x:c>
      <x:c r="J77" s="37" t="n">
        <x:v>11599205.835901655</x:v>
      </x:c>
      <x:c r="K77" s="37" t="n">
        <x:v>10613912.286632618</x:v>
      </x:c>
      <x:c r="L77" s="37" t="n">
        <x:v>12949785.62400294</x:v>
      </x:c>
      <x:c r="M77" s="37" t="n">
        <x:v>0</x:v>
      </x:c>
      <x:c r="N77" s="37" t="n">
        <x:v>0</x:v>
      </x:c>
      <x:c r="O77" s="37" t="n">
        <x:v>655.5526861399412</x:v>
      </x:c>
      <x:c r="P77" s="37" t="n">
        <x:v>0</x:v>
      </x:c>
      <x:c r="Q77" s="37" t="n">
        <x:v>0</x:v>
      </x:c>
      <x:c r="R77" s="37" t="n">
        <x:v>0</x:v>
      </x:c>
      <x:c r="S77" s="37" t="n">
        <x:v>0</x:v>
      </x:c>
      <x:c r="T77" s="37" t="n">
        <x:v>0</x:v>
      </x:c>
      <x:c r="U77" s="37" t="n">
        <x:v>0</x:v>
      </x:c>
      <x:c r="V77" s="37" t="n">
        <x:v>0</x:v>
      </x:c>
      <x:c r="W77" s="37" t="n">
        <x:v>15723.354880895466</x:v>
      </x:c>
      <x:c r="X77" s="37" t="n">
        <x:v>0</x:v>
      </x:c>
      <x:c r="Y77" s="37" t="n">
        <x:v>2249.8211708280587</x:v>
      </x:c>
      <x:c r="Z77" s="37" t="n">
        <x:v>10826190.53236527</x:v>
      </x:c>
      <x:c r="AA77" s="37" t="n">
        <x:v>0</x:v>
      </x:c>
      <x:c r="AB77" s="37" t="n">
        <x:v>10826190.53236527</x:v>
      </x:c>
      <x:c r="AC77" s="37" t="n">
        <x:v>1138301.5423686337</x:v>
      </x:c>
      <x:c r="AD77" s="37" t="n">
        <x:v>0</x:v>
      </x:c>
      <x:c r="AE77" s="37" t="n">
        <x:v>0</x:v>
      </x:c>
      <x:c r="AF77" s="47" t="b">
        <x:v>0</x:v>
      </x:c>
      <x:c r="AG77" s="47" t="b">
        <x:v>0</x:v>
      </x:c>
      <x:c r="AH77" s="48" t="n">
        <x:v>0</x:v>
      </x:c>
      <x:c r="AI77" s="48" t="n">
        <x:v>1.1920928955078125e-7</x:v>
      </x:c>
      <x:c r="AJ77" s="37" t="str">
        <x:v>passed</x:v>
      </x:c>
    </x:row>
    <x:row r="78" ht="21" customHeight="1">
      <x:c r="A78" s="2"/>
      <x:c r="B78" s="2"/>
      <x:c r="C78" s="2" t="str">
        <x:v>2022</x:v>
      </x:c>
      <x:c r="D78" s="5" t="n">
        <x:v>44588</x:v>
      </x:c>
      <x:c r="E78" s="2" t="str">
        <x:v>constrained</x:v>
      </x:c>
      <x:c r="F78" s="37" t="n">
        <x:v>13019773.740102837</x:v>
      </x:c>
      <x:c r="G78" s="37" t="n">
        <x:v>-57088.009204385555</x:v>
      </x:c>
      <x:c r="H78" s="37" t="n">
        <x:v>20659.804075712862</x:v>
      </x:c>
      <x:c r="I78" s="37" t="n">
        <x:v>-77747.81328009842</x:v>
      </x:c>
      <x:c r="J78" s="37" t="n">
        <x:v>11604759.315560613</x:v>
      </x:c>
      <x:c r="K78" s="37" t="n">
        <x:v>11661847.324764999</x:v>
      </x:c>
      <x:c r="L78" s="37" t="n">
        <x:v>12962685.730898451</x:v>
      </x:c>
      <x:c r="M78" s="37" t="n">
        <x:v>0</x:v>
      </x:c>
      <x:c r="N78" s="37" t="n">
        <x:v>0</x:v>
      </x:c>
      <x:c r="O78" s="37" t="n">
        <x:v>713.3731707911938</x:v>
      </x:c>
      <x:c r="P78" s="37" t="n">
        <x:v>0</x:v>
      </x:c>
      <x:c r="Q78" s="37" t="n">
        <x:v>0</x:v>
      </x:c>
      <x:c r="R78" s="37" t="n">
        <x:v>0</x:v>
      </x:c>
      <x:c r="S78" s="37" t="n">
        <x:v>0</x:v>
      </x:c>
      <x:c r="T78" s="37" t="n">
        <x:v>0</x:v>
      </x:c>
      <x:c r="U78" s="37" t="n">
        <x:v>0</x:v>
      </x:c>
      <x:c r="V78" s="37" t="n">
        <x:v>0</x:v>
      </x:c>
      <x:c r="W78" s="37" t="n">
        <x:v>17110.172475846484</x:v>
      </x:c>
      <x:c r="X78" s="37" t="n">
        <x:v>0</x:v>
      </x:c>
      <x:c r="Y78" s="37" t="n">
        <x:v>2356.3509014025813</x:v>
      </x:c>
      <x:c r="Z78" s="37" t="n">
        <x:v>11895084.271260299</x:v>
      </x:c>
      <x:c r="AA78" s="37" t="n">
        <x:v>0</x:v>
      </x:c>
      <x:c r="AB78" s="37" t="n">
        <x:v>11895084.271260299</x:v>
      </x:c>
      <x:c r="AC78" s="37" t="n">
        <x:v>1124689.468842538</x:v>
      </x:c>
      <x:c r="AD78" s="37" t="n">
        <x:v>0</x:v>
      </x:c>
      <x:c r="AE78" s="37" t="n">
        <x:v>0</x:v>
      </x:c>
      <x:c r="AF78" s="47" t="b">
        <x:v>0</x:v>
      </x:c>
      <x:c r="AG78" s="47" t="b">
        <x:v>0</x:v>
      </x:c>
      <x:c r="AH78" s="48" t="n">
        <x:v>0</x:v>
      </x:c>
      <x:c r="AI78" s="48" t="n">
        <x:v>1.1920928955078125e-7</x:v>
      </x:c>
      <x:c r="AJ78" s="37" t="str">
        <x:v>passed</x:v>
      </x:c>
    </x:row>
    <x:row r="79" ht="21" customHeight="1">
      <x:c r="A79" s="2"/>
      <x:c r="B79" s="2"/>
      <x:c r="C79" s="2" t="str">
        <x:v>2022</x:v>
      </x:c>
      <x:c r="D79" s="5" t="n">
        <x:v>44589</x:v>
      </x:c>
      <x:c r="E79" s="2" t="str">
        <x:v>unhedged</x:v>
      </x:c>
      <x:c r="F79" s="37" t="n">
        <x:v>1200468.5873690378</x:v>
      </x:c>
      <x:c r="G79" s="37" t="n">
        <x:v>11627690.91851965</x:v>
      </x:c>
      <x:c r="H79" s="37" t="n">
        <x:v>46738.98030266635</x:v>
      </x:c>
      <x:c r="I79" s="37" t="n">
        <x:v>11580951.938216982</x:v>
      </x:c>
      <x:c r="J79" s="37" t="n">
        <x:v>11627690.91851965</x:v>
      </x:c>
      <x:c r="K79" s="37" t="n">
        <x:v>0</x:v>
      </x:c>
      <x:c r="L79" s="37" t="n">
        <x:v>12828159.505888687</x:v>
      </x:c>
      <x:c r="M79" s="37" t="n">
        <x:v>0</x:v>
      </x:c>
      <x:c r="N79" s="37" t="n">
        <x:v>0</x:v>
      </x:c>
      <x:c r="O79" s="37" t="n">
        <x:v>65.77549654105678</x:v>
      </x:c>
      <x:c r="P79" s="37" t="n">
        <x:v>0</x:v>
      </x:c>
      <x:c r="Q79" s="37" t="n">
        <x:v>0</x:v>
      </x:c>
      <x:c r="R79" s="37" t="n">
        <x:v>0</x:v>
      </x:c>
      <x:c r="S79" s="37" t="n">
        <x:v>0</x:v>
      </x:c>
      <x:c r="T79" s="37" t="n">
        <x:v>0</x:v>
      </x:c>
      <x:c r="U79" s="37" t="n">
        <x:v>0</x:v>
      </x:c>
      <x:c r="V79" s="37" t="n">
        <x:v>0</x:v>
      </x:c>
      <x:c r="W79" s="37" t="n">
        <x:v>1643.3066857634112</x:v>
      </x:c>
      <x:c r="X79" s="37" t="n">
        <x:v>0</x:v>
      </x:c>
      <x:c r="Y79" s="37" t="n">
        <x:v>1174.7193167256753</x:v>
      </x:c>
      <x:c r="Z79" s="37" t="n">
        <x:v>0</x:v>
      </x:c>
      <x:c r="AA79" s="37" t="n">
        <x:v>0</x:v>
      </x:c>
      <x:c r="AB79" s="37" t="n">
        <x:v>0</x:v>
      </x:c>
      <x:c r="AC79" s="37" t="n">
        <x:v>1200468.5873690378</x:v>
      </x:c>
      <x:c r="AD79" s="37" t="n">
        <x:v>0</x:v>
      </x:c>
      <x:c r="AE79" s="37" t="n">
        <x:v>0</x:v>
      </x:c>
      <x:c r="AF79" s="47" t="b">
        <x:v>0</x:v>
      </x:c>
      <x:c r="AG79" s="47" t="b">
        <x:v>0</x:v>
      </x:c>
      <x:c r="AH79" s="48" t="n">
        <x:v>0</x:v>
      </x:c>
      <x:c r="AI79" s="48" t="n">
        <x:v>1.1920928955078125e-7</x:v>
      </x:c>
      <x:c r="AJ79" s="37" t="str">
        <x:v>passed</x:v>
      </x:c>
    </x:row>
    <x:row r="80" ht="21" customHeight="1">
      <x:c r="A80" s="2"/>
      <x:c r="B80" s="2"/>
      <x:c r="C80" s="2" t="str">
        <x:v>2022</x:v>
      </x:c>
      <x:c r="D80" s="5" t="n">
        <x:v>44589</x:v>
      </x:c>
      <x:c r="E80" s="2" t="str">
        <x:v>duration</x:v>
      </x:c>
      <x:c r="F80" s="37" t="n">
        <x:v>9270317.861516483</x:v>
      </x:c>
      <x:c r="G80" s="37" t="n">
        <x:v>3660822.4876139206</x:v>
      </x:c>
      <x:c r="H80" s="37" t="n">
        <x:v>23438.1080481825</x:v>
      </x:c>
      <x:c r="I80" s="37" t="n">
        <x:v>3637384.379565738</x:v>
      </x:c>
      <x:c r="J80" s="37" t="n">
        <x:v>11627690.91851965</x:v>
      </x:c>
      <x:c r="K80" s="37" t="n">
        <x:v>7966868.430905729</x:v>
      </x:c>
      <x:c r="L80" s="37" t="n">
        <x:v>12931140.349130403</x:v>
      </x:c>
      <x:c r="M80" s="37" t="n">
        <x:v>0</x:v>
      </x:c>
      <x:c r="N80" s="37" t="n">
        <x:v>0</x:v>
      </x:c>
      <x:c r="O80" s="37" t="n">
        <x:v>507.93479050695896</x:v>
      </x:c>
      <x:c r="P80" s="37" t="n">
        <x:v>0</x:v>
      </x:c>
      <x:c r="Q80" s="37" t="n">
        <x:v>0</x:v>
      </x:c>
      <x:c r="R80" s="37" t="n">
        <x:v>0</x:v>
      </x:c>
      <x:c r="S80" s="37" t="n">
        <x:v>0</x:v>
      </x:c>
      <x:c r="T80" s="37" t="n">
        <x:v>0</x:v>
      </x:c>
      <x:c r="U80" s="37" t="n">
        <x:v>0</x:v>
      </x:c>
      <x:c r="V80" s="37" t="n">
        <x:v>0</x:v>
      </x:c>
      <x:c r="W80" s="37" t="n">
        <x:v>12690.024113308638</x:v>
      </x:c>
      <x:c r="X80" s="37" t="n">
        <x:v>0</x:v>
      </x:c>
      <x:c r="Y80" s="37" t="n">
        <x:v>1980.6801684828408</x:v>
      </x:c>
      <x:c r="Z80" s="37" t="n">
        <x:v>8126205.799523843</x:v>
      </x:c>
      <x:c r="AA80" s="37" t="n">
        <x:v>0</x:v>
      </x:c>
      <x:c r="AB80" s="37" t="n">
        <x:v>8126205.799523843</x:v>
      </x:c>
      <x:c r="AC80" s="37" t="n">
        <x:v>1144112.0619926397</x:v>
      </x:c>
      <x:c r="AD80" s="37" t="n">
        <x:v>0</x:v>
      </x:c>
      <x:c r="AE80" s="37" t="n">
        <x:v>0</x:v>
      </x:c>
      <x:c r="AF80" s="47" t="b">
        <x:v>0</x:v>
      </x:c>
      <x:c r="AG80" s="47" t="b">
        <x:v>0</x:v>
      </x:c>
      <x:c r="AH80" s="48" t="n">
        <x:v>0</x:v>
      </x:c>
      <x:c r="AI80" s="48" t="n">
        <x:v>1.1920928955078125e-7</x:v>
      </x:c>
      <x:c r="AJ80" s="37" t="str">
        <x:v>passed</x:v>
      </x:c>
    </x:row>
    <x:row r="81" ht="21" customHeight="1">
      <x:c r="A81" s="2"/>
      <x:c r="B81" s="2"/>
      <x:c r="C81" s="2" t="str">
        <x:v>2022</x:v>
      </x:c>
      <x:c r="D81" s="5" t="n">
        <x:v>44589</x:v>
      </x:c>
      <x:c r="E81" s="2" t="str">
        <x:v>unweighted</x:v>
      </x:c>
      <x:c r="F81" s="37" t="n">
        <x:v>11965147.66334074</x:v>
      </x:c>
      <x:c r="G81" s="37" t="n">
        <x:v>987344.8826488897</x:v>
      </x:c>
      <x:c r="H81" s="37" t="n">
        <x:v>22517.23159586497</x:v>
      </x:c>
      <x:c r="I81" s="37" t="n">
        <x:v>964827.6510530247</x:v>
      </x:c>
      <x:c r="J81" s="37" t="n">
        <x:v>11627690.91851965</x:v>
      </x:c>
      <x:c r="K81" s="37" t="n">
        <x:v>10640346.035870759</x:v>
      </x:c>
      <x:c r="L81" s="37" t="n">
        <x:v>12952492.545989629</x:v>
      </x:c>
      <x:c r="M81" s="37" t="n">
        <x:v>0</x:v>
      </x:c>
      <x:c r="N81" s="37" t="n">
        <x:v>0</x:v>
      </x:c>
      <x:c r="O81" s="37" t="n">
        <x:v>655.5886068362743</x:v>
      </x:c>
      <x:c r="P81" s="37" t="n">
        <x:v>0</x:v>
      </x:c>
      <x:c r="Q81" s="37" t="n">
        <x:v>0</x:v>
      </x:c>
      <x:c r="R81" s="37" t="n">
        <x:v>0</x:v>
      </x:c>
      <x:c r="S81" s="37" t="n">
        <x:v>0</x:v>
      </x:c>
      <x:c r="T81" s="37" t="n">
        <x:v>0</x:v>
      </x:c>
      <x:c r="U81" s="37" t="n">
        <x:v>0</x:v>
      </x:c>
      <x:c r="V81" s="37" t="n">
        <x:v>0</x:v>
      </x:c>
      <x:c r="W81" s="37" t="n">
        <x:v>16378.94348773174</x:v>
      </x:c>
      <x:c r="X81" s="37" t="n">
        <x:v>0</x:v>
      </x:c>
      <x:c r="Y81" s="37" t="n">
        <x:v>2249.8211708280587</x:v>
      </x:c>
      <x:c r="Z81" s="37" t="n">
        <x:v>10853152.956588173</x:v>
      </x:c>
      <x:c r="AA81" s="37" t="n">
        <x:v>0</x:v>
      </x:c>
      <x:c r="AB81" s="37" t="n">
        <x:v>10853152.956588173</x:v>
      </x:c>
      <x:c r="AC81" s="37" t="n">
        <x:v>1111994.7067525666</x:v>
      </x:c>
      <x:c r="AD81" s="37" t="n">
        <x:v>0</x:v>
      </x:c>
      <x:c r="AE81" s="37" t="n">
        <x:v>0</x:v>
      </x:c>
      <x:c r="AF81" s="47" t="b">
        <x:v>0</x:v>
      </x:c>
      <x:c r="AG81" s="47" t="b">
        <x:v>0</x:v>
      </x:c>
      <x:c r="AH81" s="48" t="n">
        <x:v>0</x:v>
      </x:c>
      <x:c r="AI81" s="48" t="n">
        <x:v>1.1920928955078125e-7</x:v>
      </x:c>
      <x:c r="AJ81" s="37" t="str">
        <x:v>passed</x:v>
      </x:c>
    </x:row>
    <x:row r="82" ht="21" customHeight="1">
      <x:c r="A82" s="2"/>
      <x:c r="B82" s="2"/>
      <x:c r="C82" s="2" t="str">
        <x:v>2022</x:v>
      </x:c>
      <x:c r="D82" s="5" t="n">
        <x:v>44589</x:v>
      </x:c>
      <x:c r="E82" s="2" t="str">
        <x:v>constrained</x:v>
      </x:c>
      <x:c r="F82" s="37" t="n">
        <x:v>13020487.15236257</x:v>
      </x:c>
      <x:c r="G82" s="37" t="n">
        <x:v>-56966.19584953306</x:v>
      </x:c>
      <x:c r="H82" s="37" t="n">
        <x:v>20620.027280909355</x:v>
      </x:c>
      <x:c r="I82" s="37" t="n">
        <x:v>-77586.22313044242</x:v>
      </x:c>
      <x:c r="J82" s="37" t="n">
        <x:v>11633267.83800502</x:v>
      </x:c>
      <x:c r="K82" s="37" t="n">
        <x:v>11690234.033854553</x:v>
      </x:c>
      <x:c r="L82" s="37" t="n">
        <x:v>12963520.956513038</x:v>
      </x:c>
      <x:c r="M82" s="37" t="n">
        <x:v>0</x:v>
      </x:c>
      <x:c r="N82" s="37" t="n">
        <x:v>0</x:v>
      </x:c>
      <x:c r="O82" s="37" t="n">
        <x:v>713.4122597333044</x:v>
      </x:c>
      <x:c r="P82" s="37" t="n">
        <x:v>0</x:v>
      </x:c>
      <x:c r="Q82" s="37" t="n">
        <x:v>0</x:v>
      </x:c>
      <x:c r="R82" s="37" t="n">
        <x:v>0</x:v>
      </x:c>
      <x:c r="S82" s="37" t="n">
        <x:v>0</x:v>
      </x:c>
      <x:c r="T82" s="37" t="n">
        <x:v>0</x:v>
      </x:c>
      <x:c r="U82" s="37" t="n">
        <x:v>0</x:v>
      </x:c>
      <x:c r="V82" s="37" t="n">
        <x:v>0</x:v>
      </x:c>
      <x:c r="W82" s="37" t="n">
        <x:v>17823.58473557979</x:v>
      </x:c>
      <x:c r="X82" s="37" t="n">
        <x:v>0</x:v>
      </x:c>
      <x:c r="Y82" s="37" t="n">
        <x:v>2356.3509014025813</x:v>
      </x:c>
      <x:c r="Z82" s="37" t="n">
        <x:v>11924038.714531645</x:v>
      </x:c>
      <x:c r="AA82" s="37" t="n">
        <x:v>0</x:v>
      </x:c>
      <x:c r="AB82" s="37" t="n">
        <x:v>11924038.714531645</x:v>
      </x:c>
      <x:c r="AC82" s="37" t="n">
        <x:v>1096448.437830925</x:v>
      </x:c>
      <x:c r="AD82" s="37" t="n">
        <x:v>0</x:v>
      </x:c>
      <x:c r="AE82" s="37" t="n">
        <x:v>0</x:v>
      </x:c>
      <x:c r="AF82" s="47" t="b">
        <x:v>0</x:v>
      </x:c>
      <x:c r="AG82" s="47" t="b">
        <x:v>0</x:v>
      </x:c>
      <x:c r="AH82" s="48" t="n">
        <x:v>0</x:v>
      </x:c>
      <x:c r="AI82" s="48" t="n">
        <x:v>1.1920928955078125e-7</x:v>
      </x:c>
      <x:c r="AJ82" s="37" t="str">
        <x:v>passed</x:v>
      </x:c>
    </x:row>
    <x:row r="83" ht="21" customHeight="1">
      <x:c r="A83" s="2"/>
      <x:c r="B83" s="2"/>
      <x:c r="C83" s="2" t="str">
        <x:v>2022</x:v>
      </x:c>
      <x:c r="D83" s="5" t="n">
        <x:v>44592</x:v>
      </x:c>
      <x:c r="E83" s="2" t="str">
        <x:v>unhedged</x:v>
      </x:c>
      <x:c r="F83" s="37" t="n">
        <x:v>1200665.9354842715</x:v>
      </x:c>
      <x:c r="G83" s="37" t="n">
        <x:v>11617999.393362077</x:v>
      </x:c>
      <x:c r="H83" s="37" t="n">
        <x:v>47785.476219072785</x:v>
      </x:c>
      <x:c r="I83" s="37" t="n">
        <x:v>11570213.917143004</x:v>
      </x:c>
      <x:c r="J83" s="37" t="n">
        <x:v>11617999.393362077</x:v>
      </x:c>
      <x:c r="K83" s="37" t="n">
        <x:v>0</x:v>
      </x:c>
      <x:c r="L83" s="37" t="n">
        <x:v>12818665.328846348</x:v>
      </x:c>
      <x:c r="M83" s="37" t="n">
        <x:v>0</x:v>
      </x:c>
      <x:c r="N83" s="37" t="n">
        <x:v>0</x:v>
      </x:c>
      <x:c r="O83" s="37" t="n">
        <x:v>197.34811523370445</x:v>
      </x:c>
      <x:c r="P83" s="37" t="n">
        <x:v>0</x:v>
      </x:c>
      <x:c r="Q83" s="37" t="n">
        <x:v>0</x:v>
      </x:c>
      <x:c r="R83" s="37" t="n">
        <x:v>0</x:v>
      </x:c>
      <x:c r="S83" s="37" t="n">
        <x:v>0</x:v>
      </x:c>
      <x:c r="T83" s="37" t="n">
        <x:v>0</x:v>
      </x:c>
      <x:c r="U83" s="37" t="n">
        <x:v>0</x:v>
      </x:c>
      <x:c r="V83" s="37" t="n">
        <x:v>0</x:v>
      </x:c>
      <x:c r="W83" s="37" t="n">
        <x:v>1840.6548009971157</x:v>
      </x:c>
      <x:c r="X83" s="37" t="n">
        <x:v>0</x:v>
      </x:c>
      <x:c r="Y83" s="37" t="n">
        <x:v>1174.7193167256753</x:v>
      </x:c>
      <x:c r="Z83" s="37" t="n">
        <x:v>0</x:v>
      </x:c>
      <x:c r="AA83" s="37" t="n">
        <x:v>0</x:v>
      </x:c>
      <x:c r="AB83" s="37" t="n">
        <x:v>0</x:v>
      </x:c>
      <x:c r="AC83" s="37" t="n">
        <x:v>1200665.9354842715</x:v>
      </x:c>
      <x:c r="AD83" s="37" t="n">
        <x:v>0</x:v>
      </x:c>
      <x:c r="AE83" s="37" t="n">
        <x:v>0</x:v>
      </x:c>
      <x:c r="AF83" s="47" t="b">
        <x:v>0</x:v>
      </x:c>
      <x:c r="AG83" s="47" t="b">
        <x:v>0</x:v>
      </x:c>
      <x:c r="AH83" s="48" t="n">
        <x:v>0</x:v>
      </x:c>
      <x:c r="AI83" s="48" t="n">
        <x:v>1.1920928955078125e-7</x:v>
      </x:c>
      <x:c r="AJ83" s="37" t="str">
        <x:v>passed</x:v>
      </x:c>
    </x:row>
    <x:row r="84" ht="21" customHeight="1">
      <x:c r="A84" s="2"/>
      <x:c r="B84" s="2"/>
      <x:c r="C84" s="2" t="str">
        <x:v>2022</x:v>
      </x:c>
      <x:c r="D84" s="5" t="n">
        <x:v>44592</x:v>
      </x:c>
      <x:c r="E84" s="2" t="str">
        <x:v>duration</x:v>
      </x:c>
      <x:c r="F84" s="37" t="n">
        <x:v>9271841.83288636</x:v>
      </x:c>
      <x:c r="G84" s="37" t="n">
        <x:v>3664489.5114892744</x:v>
      </x:c>
      <x:c r="H84" s="37" t="n">
        <x:v>23539.97400832608</x:v>
      </x:c>
      <x:c r="I84" s="37" t="n">
        <x:v>3640949.5374809485</x:v>
      </x:c>
      <x:c r="J84" s="37" t="n">
        <x:v>11617999.393362077</x:v>
      </x:c>
      <x:c r="K84" s="37" t="n">
        <x:v>7953509.881872802</x:v>
      </x:c>
      <x:c r="L84" s="37" t="n">
        <x:v>12936331.344375635</x:v>
      </x:c>
      <x:c r="M84" s="37" t="n">
        <x:v>0</x:v>
      </x:c>
      <x:c r="N84" s="37" t="n">
        <x:v>0</x:v>
      </x:c>
      <x:c r="O84" s="37" t="n">
        <x:v>1523.9713698774576</x:v>
      </x:c>
      <x:c r="P84" s="37" t="n">
        <x:v>0</x:v>
      </x:c>
      <x:c r="Q84" s="37" t="n">
        <x:v>0</x:v>
      </x:c>
      <x:c r="R84" s="37" t="n">
        <x:v>0</x:v>
      </x:c>
      <x:c r="S84" s="37" t="n">
        <x:v>0</x:v>
      </x:c>
      <x:c r="T84" s="37" t="n">
        <x:v>0</x:v>
      </x:c>
      <x:c r="U84" s="37" t="n">
        <x:v>0</x:v>
      </x:c>
      <x:c r="V84" s="37" t="n">
        <x:v>0</x:v>
      </x:c>
      <x:c r="W84" s="37" t="n">
        <x:v>14213.995483186096</x:v>
      </x:c>
      <x:c r="X84" s="37" t="n">
        <x:v>0</x:v>
      </x:c>
      <x:c r="Y84" s="37" t="n">
        <x:v>1980.6801684828408</x:v>
      </x:c>
      <x:c r="Z84" s="37" t="n">
        <x:v>8112580.0795102585</x:v>
      </x:c>
      <x:c r="AA84" s="37" t="n">
        <x:v>0</x:v>
      </x:c>
      <x:c r="AB84" s="37" t="n">
        <x:v>8112580.0795102585</x:v>
      </x:c>
      <x:c r="AC84" s="37" t="n">
        <x:v>1159261.753376102</x:v>
      </x:c>
      <x:c r="AD84" s="37" t="n">
        <x:v>0</x:v>
      </x:c>
      <x:c r="AE84" s="37" t="n">
        <x:v>0</x:v>
      </x:c>
      <x:c r="AF84" s="47" t="b">
        <x:v>0</x:v>
      </x:c>
      <x:c r="AG84" s="47" t="b">
        <x:v>0</x:v>
      </x:c>
      <x:c r="AH84" s="48" t="n">
        <x:v>0</x:v>
      </x:c>
      <x:c r="AI84" s="48" t="n">
        <x:v>1.1920928955078125e-7</x:v>
      </x:c>
      <x:c r="AJ84" s="37" t="str">
        <x:v>passed</x:v>
      </x:c>
    </x:row>
    <x:row r="85" ht="21" customHeight="1">
      <x:c r="A85" s="2"/>
      <x:c r="B85" s="2"/>
      <x:c r="C85" s="2" t="str">
        <x:v>2022</x:v>
      </x:c>
      <x:c r="D85" s="5" t="n">
        <x:v>44592</x:v>
      </x:c>
      <x:c r="E85" s="2" t="str">
        <x:v>unweighted</x:v>
      </x:c>
      <x:c r="F85" s="37" t="n">
        <x:v>11967114.644705098</x:v>
      </x:c>
      <x:c r="G85" s="37" t="n">
        <x:v>986990.4218015627</x:v>
      </x:c>
      <x:c r="H85" s="37" t="n">
        <x:v>22487.921949485935</x:v>
      </x:c>
      <x:c r="I85" s="37" t="n">
        <x:v>964502.4998520768</x:v>
      </x:c>
      <x:c r="J85" s="37" t="n">
        <x:v>11617999.393362077</x:v>
      </x:c>
      <x:c r="K85" s="37" t="n">
        <x:v>10631008.971560514</x:v>
      </x:c>
      <x:c r="L85" s="37" t="n">
        <x:v>12954105.066506661</x:v>
      </x:c>
      <x:c r="M85" s="37" t="n">
        <x:v>0</x:v>
      </x:c>
      <x:c r="N85" s="37" t="n">
        <x:v>0</x:v>
      </x:c>
      <x:c r="O85" s="37" t="n">
        <x:v>1966.9813643582165</x:v>
      </x:c>
      <x:c r="P85" s="37" t="n">
        <x:v>0</x:v>
      </x:c>
      <x:c r="Q85" s="37" t="n">
        <x:v>0</x:v>
      </x:c>
      <x:c r="R85" s="37" t="n">
        <x:v>0</x:v>
      </x:c>
      <x:c r="S85" s="37" t="n">
        <x:v>0</x:v>
      </x:c>
      <x:c r="T85" s="37" t="n">
        <x:v>0</x:v>
      </x:c>
      <x:c r="U85" s="37" t="n">
        <x:v>0</x:v>
      </x:c>
      <x:c r="V85" s="37" t="n">
        <x:v>0</x:v>
      </x:c>
      <x:c r="W85" s="37" t="n">
        <x:v>18345.924852089956</x:v>
      </x:c>
      <x:c r="X85" s="37" t="n">
        <x:v>0</x:v>
      </x:c>
      <x:c r="Y85" s="37" t="n">
        <x:v>2249.8211708280587</x:v>
      </x:c>
      <x:c r="Z85" s="37" t="n">
        <x:v>10843629.150991725</x:v>
      </x:c>
      <x:c r="AA85" s="37" t="n">
        <x:v>0</x:v>
      </x:c>
      <x:c r="AB85" s="37" t="n">
        <x:v>10843629.150991725</x:v>
      </x:c>
      <x:c r="AC85" s="37" t="n">
        <x:v>1123485.4937133733</x:v>
      </x:c>
      <x:c r="AD85" s="37" t="n">
        <x:v>0</x:v>
      </x:c>
      <x:c r="AE85" s="37" t="n">
        <x:v>0</x:v>
      </x:c>
      <x:c r="AF85" s="47" t="b">
        <x:v>0</x:v>
      </x:c>
      <x:c r="AG85" s="47" t="b">
        <x:v>0</x:v>
      </x:c>
      <x:c r="AH85" s="48" t="n">
        <x:v>0</x:v>
      </x:c>
      <x:c r="AI85" s="48" t="n">
        <x:v>1.1920928955078125e-7</x:v>
      </x:c>
      <x:c r="AJ85" s="37" t="str">
        <x:v>passed</x:v>
      </x:c>
    </x:row>
    <x:row r="86" ht="21" customHeight="1">
      <x:c r="A86" s="2"/>
      <x:c r="B86" s="2"/>
      <x:c r="C86" s="2" t="str">
        <x:v>2022</x:v>
      </x:c>
      <x:c r="D86" s="5" t="n">
        <x:v>44592</x:v>
      </x:c>
      <x:c r="E86" s="2" t="str">
        <x:v>constrained</x:v>
      </x:c>
      <x:c r="F86" s="37" t="n">
        <x:v>13022627.62369683</x:v>
      </x:c>
      <x:c r="G86" s="37" t="n">
        <x:v>-56865.38028125915</x:v>
      </x:c>
      <x:c r="H86" s="37" t="n">
        <x:v>20500.696896498826</x:v>
      </x:c>
      <x:c r="I86" s="37" t="n">
        <x:v>-77366.07717775798</x:v>
      </x:c>
      <x:c r="J86" s="37" t="n">
        <x:v>11623533.723590015</x:v>
      </x:c>
      <x:c r="K86" s="37" t="n">
        <x:v>11680399.103871275</x:v>
      </x:c>
      <x:c r="L86" s="37" t="n">
        <x:v>12965762.243415572</x:v>
      </x:c>
      <x:c r="M86" s="37" t="n">
        <x:v>0</x:v>
      </x:c>
      <x:c r="N86" s="37" t="n">
        <x:v>0</x:v>
      </x:c>
      <x:c r="O86" s="37" t="n">
        <x:v>2140.471334259957</x:v>
      </x:c>
      <x:c r="P86" s="37" t="n">
        <x:v>0</x:v>
      </x:c>
      <x:c r="Q86" s="37" t="n">
        <x:v>0</x:v>
      </x:c>
      <x:c r="R86" s="37" t="n">
        <x:v>0</x:v>
      </x:c>
      <x:c r="S86" s="37" t="n">
        <x:v>0</x:v>
      </x:c>
      <x:c r="T86" s="37" t="n">
        <x:v>0</x:v>
      </x:c>
      <x:c r="U86" s="37" t="n">
        <x:v>0</x:v>
      </x:c>
      <x:c r="V86" s="37" t="n">
        <x:v>0</x:v>
      </x:c>
      <x:c r="W86" s="37" t="n">
        <x:v>19964.056069839746</x:v>
      </x:c>
      <x:c r="X86" s="37" t="n">
        <x:v>0</x:v>
      </x:c>
      <x:c r="Y86" s="37" t="n">
        <x:v>2356.3509014025813</x:v>
      </x:c>
      <x:c r="Z86" s="37" t="n">
        <x:v>11914007.0859487</x:v>
      </x:c>
      <x:c r="AA86" s="37" t="n">
        <x:v>0</x:v>
      </x:c>
      <x:c r="AB86" s="37" t="n">
        <x:v>11914007.0859487</x:v>
      </x:c>
      <x:c r="AC86" s="37" t="n">
        <x:v>1108620.53774813</x:v>
      </x:c>
      <x:c r="AD86" s="37" t="n">
        <x:v>0</x:v>
      </x:c>
      <x:c r="AE86" s="37" t="n">
        <x:v>0</x:v>
      </x:c>
      <x:c r="AF86" s="47" t="b">
        <x:v>0</x:v>
      </x:c>
      <x:c r="AG86" s="47" t="b">
        <x:v>0</x:v>
      </x:c>
      <x:c r="AH86" s="48" t="n">
        <x:v>0</x:v>
      </x:c>
      <x:c r="AI86" s="48" t="n">
        <x:v>1.1920928955078125e-7</x:v>
      </x:c>
      <x:c r="AJ86" s="37" t="str">
        <x:v>passed</x:v>
      </x:c>
    </x:row>
    <x:row r="87" ht="21" customHeight="1">
      <x:c r="A87" s="2"/>
      <x:c r="B87" s="2"/>
      <x:c r="C87" s="2" t="str">
        <x:v>2022</x:v>
      </x:c>
      <x:c r="D87" s="5" t="n">
        <x:v>44593</x:v>
      </x:c>
      <x:c r="E87" s="2" t="str">
        <x:v>unhedged</x:v>
      </x:c>
      <x:c r="F87" s="37" t="n">
        <x:v>1200731.7253985447</x:v>
      </x:c>
      <x:c r="G87" s="37" t="n">
        <x:v>11610840.685264664</x:v>
      </x:c>
      <x:c r="H87" s="37" t="n">
        <x:v>48134.30819120826</x:v>
      </x:c>
      <x:c r="I87" s="37" t="n">
        <x:v>11562706.377073456</x:v>
      </x:c>
      <x:c r="J87" s="37" t="n">
        <x:v>11610840.685264664</x:v>
      </x:c>
      <x:c r="K87" s="37" t="n">
        <x:v>0</x:v>
      </x:c>
      <x:c r="L87" s="37" t="n">
        <x:v>12811572.410663208</x:v>
      </x:c>
      <x:c r="M87" s="37" t="n">
        <x:v>0</x:v>
      </x:c>
      <x:c r="N87" s="37" t="n">
        <x:v>0</x:v>
      </x:c>
      <x:c r="O87" s="37" t="n">
        <x:v>65.78991427319124</x:v>
      </x:c>
      <x:c r="P87" s="37" t="n">
        <x:v>0</x:v>
      </x:c>
      <x:c r="Q87" s="37" t="n">
        <x:v>0</x:v>
      </x:c>
      <x:c r="R87" s="37" t="n">
        <x:v>0</x:v>
      </x:c>
      <x:c r="S87" s="37" t="n">
        <x:v>0</x:v>
      </x:c>
      <x:c r="T87" s="37" t="n">
        <x:v>0</x:v>
      </x:c>
      <x:c r="U87" s="37" t="n">
        <x:v>0</x:v>
      </x:c>
      <x:c r="V87" s="37" t="n">
        <x:v>0</x:v>
      </x:c>
      <x:c r="W87" s="37" t="n">
        <x:v>1906.444715270307</x:v>
      </x:c>
      <x:c r="X87" s="37" t="n">
        <x:v>0</x:v>
      </x:c>
      <x:c r="Y87" s="37" t="n">
        <x:v>1174.7193167256753</x:v>
      </x:c>
      <x:c r="Z87" s="37" t="n">
        <x:v>0</x:v>
      </x:c>
      <x:c r="AA87" s="37" t="n">
        <x:v>0</x:v>
      </x:c>
      <x:c r="AB87" s="37" t="n">
        <x:v>0</x:v>
      </x:c>
      <x:c r="AC87" s="37" t="n">
        <x:v>1200731.7253985447</x:v>
      </x:c>
      <x:c r="AD87" s="37" t="n">
        <x:v>0</x:v>
      </x:c>
      <x:c r="AE87" s="37" t="n">
        <x:v>0</x:v>
      </x:c>
      <x:c r="AF87" s="47" t="b">
        <x:v>0</x:v>
      </x:c>
      <x:c r="AG87" s="47" t="b">
        <x:v>0</x:v>
      </x:c>
      <x:c r="AH87" s="48" t="n">
        <x:v>0</x:v>
      </x:c>
      <x:c r="AI87" s="48" t="n">
        <x:v>1.1920928955078125e-7</x:v>
      </x:c>
      <x:c r="AJ87" s="37" t="str">
        <x:v>passed</x:v>
      </x:c>
    </x:row>
    <x:row r="88" ht="21" customHeight="1">
      <x:c r="A88" s="2"/>
      <x:c r="B88" s="2"/>
      <x:c r="C88" s="2" t="str">
        <x:v>2022</x:v>
      </x:c>
      <x:c r="D88" s="5" t="n">
        <x:v>44593</x:v>
      </x:c>
      <x:c r="E88" s="2" t="str">
        <x:v>duration</x:v>
      </x:c>
      <x:c r="F88" s="37" t="n">
        <x:v>9270116.637653306</x:v>
      </x:c>
      <x:c r="G88" s="37" t="n">
        <x:v>3667002.127306494</x:v>
      </x:c>
      <x:c r="H88" s="37" t="n">
        <x:v>23580.83132630006</x:v>
      </x:c>
      <x:c r="I88" s="37" t="n">
        <x:v>3643421.2959801937</x:v>
      </x:c>
      <x:c r="J88" s="37" t="n">
        <x:v>11610840.685264664</x:v>
      </x:c>
      <x:c r="K88" s="37" t="n">
        <x:v>7943838.557958171</x:v>
      </x:c>
      <x:c r="L88" s="37" t="n">
        <x:v>12937118.764959801</x:v>
      </x:c>
      <x:c r="M88" s="37" t="n">
        <x:v>0</x:v>
      </x:c>
      <x:c r="N88" s="37" t="n">
        <x:v>0</x:v>
      </x:c>
      <x:c r="O88" s="37" t="n">
        <x:v>508.0461278297007</x:v>
      </x:c>
      <x:c r="P88" s="37" t="n">
        <x:v>0</x:v>
      </x:c>
      <x:c r="Q88" s="37" t="n">
        <x:v>0.22330180590777446</x:v>
      </x:c>
      <x:c r="R88" s="37" t="n">
        <x:v>-2233.0180590777445</x:v>
      </x:c>
      <x:c r="S88" s="37" t="n">
        <x:v>2233.0180590777445</x:v>
      </x:c>
      <x:c r="T88" s="37" t="n">
        <x:v>0</x:v>
      </x:c>
      <x:c r="U88" s="37" t="n">
        <x:v>0</x:v>
      </x:c>
      <x:c r="V88" s="37" t="n">
        <x:v>0</x:v>
      </x:c>
      <x:c r="W88" s="37" t="n">
        <x:v>14722.041611015797</x:v>
      </x:c>
      <x:c r="X88" s="37" t="n">
        <x:v>0</x:v>
      </x:c>
      <x:c r="Y88" s="37" t="n">
        <x:v>1980.9034702887486</x:v>
      </x:c>
      <x:c r="Z88" s="37" t="n">
        <x:v>8102715.329117334</x:v>
      </x:c>
      <x:c r="AA88" s="37" t="n">
        <x:v>0</x:v>
      </x:c>
      <x:c r="AB88" s="37" t="n">
        <x:v>8102715.329117334</x:v>
      </x:c>
      <x:c r="AC88" s="37" t="n">
        <x:v>1167401.3085359717</x:v>
      </x:c>
      <x:c r="AD88" s="37" t="n">
        <x:v>0</x:v>
      </x:c>
      <x:c r="AE88" s="37" t="n">
        <x:v>0</x:v>
      </x:c>
      <x:c r="AF88" s="47" t="b">
        <x:v>0</x:v>
      </x:c>
      <x:c r="AG88" s="47" t="b">
        <x:v>0</x:v>
      </x:c>
      <x:c r="AH88" s="48" t="n">
        <x:v>-5.075184994485227e-10</x:v>
      </x:c>
      <x:c r="AI88" s="48" t="n">
        <x:v>1.1920928955078125e-7</x:v>
      </x:c>
      <x:c r="AJ88" s="37" t="str">
        <x:v>passed</x:v>
      </x:c>
    </x:row>
    <x:row r="89" ht="21" customHeight="1">
      <x:c r="A89" s="2"/>
      <x:c r="B89" s="2"/>
      <x:c r="C89" s="2" t="str">
        <x:v>2022</x:v>
      </x:c>
      <x:c r="D89" s="5" t="n">
        <x:v>44593</x:v>
      </x:c>
      <x:c r="E89" s="2" t="str">
        <x:v>unweighted</x:v>
      </x:c>
      <x:c r="F89" s="37" t="n">
        <x:v>11980623.591773786</x:v>
      </x:c>
      <x:c r="G89" s="37" t="n">
        <x:v>973668.6101374361</x:v>
      </x:c>
      <x:c r="H89" s="37" t="n">
        <x:v>22455.673603353982</x:v>
      </x:c>
      <x:c r="I89" s="37" t="n">
        <x:v>951212.936534082</x:v>
      </x:c>
      <x:c r="J89" s="37" t="n">
        <x:v>11610840.685264664</x:v>
      </x:c>
      <x:c r="K89" s="37" t="n">
        <x:v>10637172.07512723</x:v>
      </x:c>
      <x:c r="L89" s="37" t="n">
        <x:v>12954292.201911222</x:v>
      </x:c>
      <x:c r="M89" s="37" t="n">
        <x:v>0</x:v>
      </x:c>
      <x:c r="N89" s="37" t="n">
        <x:v>0</x:v>
      </x:c>
      <x:c r="O89" s="37" t="n">
        <x:v>655.7323093004525</x:v>
      </x:c>
      <x:c r="P89" s="37" t="n">
        <x:v>0</x:v>
      </x:c>
      <x:c r="Q89" s="37" t="n">
        <x:v>1.4658031828637312</x:v>
      </x:c>
      <x:c r="R89" s="37" t="n">
        <x:v>12854.680562569954</x:v>
      </x:c>
      <x:c r="S89" s="37" t="n">
        <x:v>14658.031828637311</x:v>
      </x:c>
      <x:c r="T89" s="37" t="n">
        <x:v>0</x:v>
      </x:c>
      <x:c r="U89" s="37" t="n">
        <x:v>0</x:v>
      </x:c>
      <x:c r="V89" s="37" t="n">
        <x:v>0</x:v>
      </x:c>
      <x:c r="W89" s="37" t="n">
        <x:v>19001.65716139041</x:v>
      </x:c>
      <x:c r="X89" s="37" t="n">
        <x:v>0</x:v>
      </x:c>
      <x:c r="Y89" s="37" t="n">
        <x:v>2251.286974010922</x:v>
      </x:c>
      <x:c r="Z89" s="37" t="n">
        <x:v>10849915.516629774</x:v>
      </x:c>
      <x:c r="AA89" s="37" t="n">
        <x:v>0</x:v>
      </x:c>
      <x:c r="AB89" s="37" t="n">
        <x:v>10849915.516629774</x:v>
      </x:c>
      <x:c r="AC89" s="37" t="n">
        <x:v>1130708.0751440115</x:v>
      </x:c>
      <x:c r="AD89" s="37" t="n">
        <x:v>0</x:v>
      </x:c>
      <x:c r="AE89" s="37" t="n">
        <x:v>0</x:v>
      </x:c>
      <x:c r="AF89" s="47" t="b">
        <x:v>0</x:v>
      </x:c>
      <x:c r="AG89" s="47" t="b">
        <x:v>0</x:v>
      </x:c>
      <x:c r="AH89" s="48" t="n">
        <x:v>-1.478572819735291e-11</x:v>
      </x:c>
      <x:c r="AI89" s="48" t="n">
        <x:v>1.1920928955078125e-7</x:v>
      </x:c>
      <x:c r="AJ89" s="37" t="str">
        <x:v>passed</x:v>
      </x:c>
    </x:row>
    <x:row r="90" ht="21" customHeight="1">
      <x:c r="A90" s="2"/>
      <x:c r="B90" s="2"/>
      <x:c r="C90" s="2" t="str">
        <x:v>2022</x:v>
      </x:c>
      <x:c r="D90" s="5" t="n">
        <x:v>44593</x:v>
      </x:c>
      <x:c r="E90" s="2" t="str">
        <x:v>constrained</x:v>
      </x:c>
      <x:c r="F90" s="37" t="n">
        <x:v>13012986.225457868</x:v>
      </x:c>
      <x:c r="G90" s="37" t="n">
        <x:v>-46553.11594005815</x:v>
      </x:c>
      <x:c r="H90" s="37" t="n">
        <x:v>20455.903524788162</x:v>
      </x:c>
      <x:c r="I90" s="37" t="n">
        <x:v>-67009.01946484632</x:v>
      </x:c>
      <x:c r="J90" s="37" t="n">
        <x:v>11616810.47568028</x:v>
      </x:c>
      <x:c r="K90" s="37" t="n">
        <x:v>11663363.591620337</x:v>
      </x:c>
      <x:c r="L90" s="37" t="n">
        <x:v>12966433.109517809</x:v>
      </x:c>
      <x:c r="M90" s="37" t="n">
        <x:v>0</x:v>
      </x:c>
      <x:c r="N90" s="37" t="n">
        <x:v>0</x:v>
      </x:c>
      <x:c r="O90" s="37" t="n">
        <x:v>713.5686369165778</x:v>
      </x:c>
      <x:c r="P90" s="37" t="n">
        <x:v>0</x:v>
      </x:c>
      <x:c r="Q90" s="37" t="n">
        <x:v>3.258775788249496</x:v>
      </x:c>
      <x:c r="R90" s="37" t="n">
        <x:v>-10351.708100092004</x:v>
      </x:c>
      <x:c r="S90" s="37" t="n">
        <x:v>32587.757882494956</x:v>
      </x:c>
      <x:c r="T90" s="37" t="n">
        <x:v>0</x:v>
      </x:c>
      <x:c r="U90" s="37" t="n">
        <x:v>0</x:v>
      </x:c>
      <x:c r="V90" s="37" t="n">
        <x:v>0</x:v>
      </x:c>
      <x:c r="W90" s="37" t="n">
        <x:v>20677.624706756324</x:v>
      </x:c>
      <x:c r="X90" s="37" t="n">
        <x:v>0</x:v>
      </x:c>
      <x:c r="Y90" s="37" t="n">
        <x:v>2359.6096771908306</x:v>
      </x:c>
      <x:c r="Z90" s="37" t="n">
        <x:v>11896630.863452744</x:v>
      </x:c>
      <x:c r="AA90" s="37" t="n">
        <x:v>0</x:v>
      </x:c>
      <x:c r="AB90" s="37" t="n">
        <x:v>11896630.863452744</x:v>
      </x:c>
      <x:c r="AC90" s="37" t="n">
        <x:v>1116355.3620051239</x:v>
      </x:c>
      <x:c r="AD90" s="37" t="n">
        <x:v>0</x:v>
      </x:c>
      <x:c r="AE90" s="37" t="n">
        <x:v>0</x:v>
      </x:c>
      <x:c r="AF90" s="47" t="b">
        <x:v>0</x:v>
      </x:c>
      <x:c r="AG90" s="47" t="b">
        <x:v>0</x:v>
      </x:c>
      <x:c r="AH90" s="48" t="n">
        <x:v>1.1598064730833357e-9</x:v>
      </x:c>
      <x:c r="AI90" s="48" t="n">
        <x:v>1.1920928955078125e-7</x:v>
      </x:c>
      <x:c r="AJ90" s="37" t="str">
        <x:v>passed</x:v>
      </x:c>
    </x:row>
    <x:row r="91" ht="21" customHeight="1">
      <x:c r="A91" s="2"/>
      <x:c r="B91" s="2"/>
      <x:c r="C91" s="2" t="str">
        <x:v>2022</x:v>
      </x:c>
      <x:c r="D91" s="5" t="n">
        <x:v>44594</x:v>
      </x:c>
      <x:c r="E91" s="2" t="str">
        <x:v>unhedged</x:v>
      </x:c>
      <x:c r="F91" s="37" t="n">
        <x:v>1200797.5189177447</x:v>
      </x:c>
      <x:c r="G91" s="37" t="n">
        <x:v>11630328.020803444</x:v>
      </x:c>
      <x:c r="H91" s="37" t="n">
        <x:v>48483.140163343734</x:v>
      </x:c>
      <x:c r="I91" s="37" t="n">
        <x:v>11581844.8806401</x:v>
      </x:c>
      <x:c r="J91" s="37" t="n">
        <x:v>11630328.020803444</x:v>
      </x:c>
      <x:c r="K91" s="37" t="n">
        <x:v>0</x:v>
      </x:c>
      <x:c r="L91" s="37" t="n">
        <x:v>12831125.539721189</x:v>
      </x:c>
      <x:c r="M91" s="37" t="n">
        <x:v>0</x:v>
      </x:c>
      <x:c r="N91" s="37" t="n">
        <x:v>0</x:v>
      </x:c>
      <x:c r="O91" s="37" t="n">
        <x:v>65.79351920005865</x:v>
      </x:c>
      <x:c r="P91" s="37" t="n">
        <x:v>0</x:v>
      </x:c>
      <x:c r="Q91" s="37" t="n">
        <x:v>0</x:v>
      </x:c>
      <x:c r="R91" s="37" t="n">
        <x:v>0</x:v>
      </x:c>
      <x:c r="S91" s="37" t="n">
        <x:v>0</x:v>
      </x:c>
      <x:c r="T91" s="37" t="n">
        <x:v>0</x:v>
      </x:c>
      <x:c r="U91" s="37" t="n">
        <x:v>0</x:v>
      </x:c>
      <x:c r="V91" s="37" t="n">
        <x:v>0</x:v>
      </x:c>
      <x:c r="W91" s="37" t="n">
        <x:v>1972.2382344703656</x:v>
      </x:c>
      <x:c r="X91" s="37" t="n">
        <x:v>0</x:v>
      </x:c>
      <x:c r="Y91" s="37" t="n">
        <x:v>1174.7193167256753</x:v>
      </x:c>
      <x:c r="Z91" s="37" t="n">
        <x:v>0</x:v>
      </x:c>
      <x:c r="AA91" s="37" t="n">
        <x:v>0</x:v>
      </x:c>
      <x:c r="AB91" s="37" t="n">
        <x:v>0</x:v>
      </x:c>
      <x:c r="AC91" s="37" t="n">
        <x:v>1200797.5189177447</x:v>
      </x:c>
      <x:c r="AD91" s="37" t="n">
        <x:v>0</x:v>
      </x:c>
      <x:c r="AE91" s="37" t="n">
        <x:v>0</x:v>
      </x:c>
      <x:c r="AF91" s="47" t="b">
        <x:v>0</x:v>
      </x:c>
      <x:c r="AG91" s="47" t="b">
        <x:v>0</x:v>
      </x:c>
      <x:c r="AH91" s="48" t="n">
        <x:v>0</x:v>
      </x:c>
      <x:c r="AI91" s="48" t="n">
        <x:v>1.1920928955078125e-7</x:v>
      </x:c>
      <x:c r="AJ91" s="37" t="str">
        <x:v>passed</x:v>
      </x:c>
    </x:row>
    <x:row r="92" ht="21" customHeight="1">
      <x:c r="A92" s="2"/>
      <x:c r="B92" s="2"/>
      <x:c r="C92" s="2" t="str">
        <x:v>2022</x:v>
      </x:c>
      <x:c r="D92" s="5" t="n">
        <x:v>44594</x:v>
      </x:c>
      <x:c r="E92" s="2" t="str">
        <x:v>duration</x:v>
      </x:c>
      <x:c r="F92" s="37" t="n">
        <x:v>9270624.58924989</x:v>
      </x:c>
      <x:c r="G92" s="37" t="n">
        <x:v>3665729.1963211275</x:v>
      </x:c>
      <x:c r="H92" s="37" t="n">
        <x:v>23614.875133500816</x:v>
      </x:c>
      <x:c r="I92" s="37" t="n">
        <x:v>3642114.3211876266</x:v>
      </x:c>
      <x:c r="J92" s="37" t="n">
        <x:v>11630328.020803444</x:v>
      </x:c>
      <x:c r="K92" s="37" t="n">
        <x:v>7964598.824482317</x:v>
      </x:c>
      <x:c r="L92" s="37" t="n">
        <x:v>12936353.785571018</x:v>
      </x:c>
      <x:c r="M92" s="37" t="n">
        <x:v>0</x:v>
      </x:c>
      <x:c r="N92" s="37" t="n">
        <x:v>0</x:v>
      </x:c>
      <x:c r="O92" s="37" t="n">
        <x:v>507.95159658417106</x:v>
      </x:c>
      <x:c r="P92" s="37" t="n">
        <x:v>0</x:v>
      </x:c>
      <x:c r="Q92" s="37" t="n">
        <x:v>0</x:v>
      </x:c>
      <x:c r="R92" s="37" t="n">
        <x:v>0</x:v>
      </x:c>
      <x:c r="S92" s="37" t="n">
        <x:v>0</x:v>
      </x:c>
      <x:c r="T92" s="37" t="n">
        <x:v>0</x:v>
      </x:c>
      <x:c r="U92" s="37" t="n">
        <x:v>0</x:v>
      </x:c>
      <x:c r="V92" s="37" t="n">
        <x:v>0</x:v>
      </x:c>
      <x:c r="W92" s="37" t="n">
        <x:v>15229.993207599968</x:v>
      </x:c>
      <x:c r="X92" s="37" t="n">
        <x:v>0</x:v>
      </x:c>
      <x:c r="Y92" s="37" t="n">
        <x:v>1980.9034702887486</x:v>
      </x:c>
      <x:c r="Z92" s="37" t="n">
        <x:v>8123890.800971963</x:v>
      </x:c>
      <x:c r="AA92" s="37" t="n">
        <x:v>0</x:v>
      </x:c>
      <x:c r="AB92" s="37" t="n">
        <x:v>8123890.800971963</x:v>
      </x:c>
      <x:c r="AC92" s="37" t="n">
        <x:v>1146733.7882779269</x:v>
      </x:c>
      <x:c r="AD92" s="37" t="n">
        <x:v>0</x:v>
      </x:c>
      <x:c r="AE92" s="37" t="n">
        <x:v>0</x:v>
      </x:c>
      <x:c r="AF92" s="47" t="b">
        <x:v>0</x:v>
      </x:c>
      <x:c r="AG92" s="47" t="b">
        <x:v>0</x:v>
      </x:c>
      <x:c r="AH92" s="48" t="n">
        <x:v>0</x:v>
      </x:c>
      <x:c r="AI92" s="48" t="n">
        <x:v>1.1920928955078125e-7</x:v>
      </x:c>
      <x:c r="AJ92" s="37" t="str">
        <x:v>passed</x:v>
      </x:c>
    </x:row>
    <x:row r="93" ht="21" customHeight="1">
      <x:c r="A93" s="2"/>
      <x:c r="B93" s="2"/>
      <x:c r="C93" s="2" t="str">
        <x:v>2022</x:v>
      </x:c>
      <x:c r="D93" s="5" t="n">
        <x:v>44594</x:v>
      </x:c>
      <x:c r="E93" s="2" t="str">
        <x:v>unweighted</x:v>
      </x:c>
      <x:c r="F93" s="37" t="n">
        <x:v>11981280.064299364</x:v>
      </x:c>
      <x:c r="G93" s="37" t="n">
        <x:v>975012.823727617</x:v>
      </x:c>
      <x:c r="H93" s="37" t="n">
        <x:v>22445.587092656053</x:v>
      </x:c>
      <x:c r="I93" s="37" t="n">
        <x:v>952567.236634961</x:v>
      </x:c>
      <x:c r="J93" s="37" t="n">
        <x:v>11630328.020803444</x:v>
      </x:c>
      <x:c r="K93" s="37" t="n">
        <x:v>10655315.197075827</x:v>
      </x:c>
      <x:c r="L93" s="37" t="n">
        <x:v>12956292.88802698</x:v>
      </x:c>
      <x:c r="M93" s="37" t="n">
        <x:v>0</x:v>
      </x:c>
      <x:c r="N93" s="37" t="n">
        <x:v>0</x:v>
      </x:c>
      <x:c r="O93" s="37" t="n">
        <x:v>656.4725255779922</x:v>
      </x:c>
      <x:c r="P93" s="37" t="n">
        <x:v>0</x:v>
      </x:c>
      <x:c r="Q93" s="37" t="n">
        <x:v>0</x:v>
      </x:c>
      <x:c r="R93" s="37" t="n">
        <x:v>0</x:v>
      </x:c>
      <x:c r="S93" s="37" t="n">
        <x:v>0</x:v>
      </x:c>
      <x:c r="T93" s="37" t="n">
        <x:v>0</x:v>
      </x:c>
      <x:c r="U93" s="37" t="n">
        <x:v>0</x:v>
      </x:c>
      <x:c r="V93" s="37" t="n">
        <x:v>0</x:v>
      </x:c>
      <x:c r="W93" s="37" t="n">
        <x:v>19658.1296869684</x:v>
      </x:c>
      <x:c r="X93" s="37" t="n">
        <x:v>0</x:v>
      </x:c>
      <x:c r="Y93" s="37" t="n">
        <x:v>2251.286974010922</x:v>
      </x:c>
      <x:c r="Z93" s="37" t="n">
        <x:v>10868421.501017343</x:v>
      </x:c>
      <x:c r="AA93" s="37" t="n">
        <x:v>0</x:v>
      </x:c>
      <x:c r="AB93" s="37" t="n">
        <x:v>10868421.501017343</x:v>
      </x:c>
      <x:c r="AC93" s="37" t="n">
        <x:v>1112858.5632820204</x:v>
      </x:c>
      <x:c r="AD93" s="37" t="n">
        <x:v>0</x:v>
      </x:c>
      <x:c r="AE93" s="37" t="n">
        <x:v>0</x:v>
      </x:c>
      <x:c r="AF93" s="47" t="b">
        <x:v>0</x:v>
      </x:c>
      <x:c r="AG93" s="47" t="b">
        <x:v>0</x:v>
      </x:c>
      <x:c r="AH93" s="48" t="n">
        <x:v>0</x:v>
      </x:c>
      <x:c r="AI93" s="48" t="n">
        <x:v>1.1920928955078125e-7</x:v>
      </x:c>
      <x:c r="AJ93" s="37" t="str">
        <x:v>passed</x:v>
      </x:c>
    </x:row>
    <x:row r="94" ht="21" customHeight="1">
      <x:c r="A94" s="2"/>
      <x:c r="B94" s="2"/>
      <x:c r="C94" s="2" t="str">
        <x:v>2022</x:v>
      </x:c>
      <x:c r="D94" s="5" t="n">
        <x:v>44594</x:v>
      </x:c>
      <x:c r="E94" s="2" t="str">
        <x:v>constrained</x:v>
      </x:c>
      <x:c r="F94" s="37" t="n">
        <x:v>13013699.26579899</x:v>
      </x:c>
      <x:c r="G94" s="37" t="n">
        <x:v>-46400.77160017674</x:v>
      </x:c>
      <x:c r="H94" s="37" t="n">
        <x:v>20416.079476574952</x:v>
      </x:c>
      <x:c r="I94" s="37" t="n">
        <x:v>-66816.85107675169</x:v>
      </x:c>
      <x:c r="J94" s="37" t="n">
        <x:v>11636306.081299305</x:v>
      </x:c>
      <x:c r="K94" s="37" t="n">
        <x:v>11682706.85289948</x:v>
      </x:c>
      <x:c r="L94" s="37" t="n">
        <x:v>12967298.494198812</x:v>
      </x:c>
      <x:c r="M94" s="37" t="n">
        <x:v>0</x:v>
      </x:c>
      <x:c r="N94" s="37" t="n">
        <x:v>0</x:v>
      </x:c>
      <x:c r="O94" s="37" t="n">
        <x:v>713.0403411220759</x:v>
      </x:c>
      <x:c r="P94" s="37" t="n">
        <x:v>0</x:v>
      </x:c>
      <x:c r="Q94" s="37" t="n">
        <x:v>0</x:v>
      </x:c>
      <x:c r="R94" s="37" t="n">
        <x:v>0</x:v>
      </x:c>
      <x:c r="S94" s="37" t="n">
        <x:v>0</x:v>
      </x:c>
      <x:c r="T94" s="37" t="n">
        <x:v>0</x:v>
      </x:c>
      <x:c r="U94" s="37" t="n">
        <x:v>0</x:v>
      </x:c>
      <x:c r="V94" s="37" t="n">
        <x:v>0</x:v>
      </x:c>
      <x:c r="W94" s="37" t="n">
        <x:v>21390.6650478784</x:v>
      </x:c>
      <x:c r="X94" s="37" t="n">
        <x:v>0</x:v>
      </x:c>
      <x:c r="Y94" s="37" t="n">
        <x:v>2359.6096771908306</x:v>
      </x:c>
      <x:c r="Z94" s="37" t="n">
        <x:v>11916360.98995747</x:v>
      </x:c>
      <x:c r="AA94" s="37" t="n">
        <x:v>0</x:v>
      </x:c>
      <x:c r="AB94" s="37" t="n">
        <x:v>11916360.98995747</x:v>
      </x:c>
      <x:c r="AC94" s="37" t="n">
        <x:v>1097338.2758415192</x:v>
      </x:c>
      <x:c r="AD94" s="37" t="n">
        <x:v>0</x:v>
      </x:c>
      <x:c r="AE94" s="37" t="n">
        <x:v>0</x:v>
      </x:c>
      <x:c r="AF94" s="47" t="b">
        <x:v>0</x:v>
      </x:c>
      <x:c r="AG94" s="47" t="b">
        <x:v>0</x:v>
      </x:c>
      <x:c r="AH94" s="48" t="n">
        <x:v>0</x:v>
      </x:c>
      <x:c r="AI94" s="48" t="n">
        <x:v>1.1920928955078125e-7</x:v>
      </x:c>
      <x:c r="AJ94" s="37" t="str">
        <x:v>passed</x:v>
      </x:c>
    </x:row>
    <x:row r="95" ht="21" customHeight="1">
      <x:c r="A95" s="2"/>
      <x:c r="B95" s="2"/>
      <x:c r="C95" s="2" t="str">
        <x:v>2022</x:v>
      </x:c>
      <x:c r="D95" s="5" t="n">
        <x:v>44595</x:v>
      </x:c>
      <x:c r="E95" s="2" t="str">
        <x:v>unhedged</x:v>
      </x:c>
      <x:c r="F95" s="37" t="n">
        <x:v>1200863.316042069</x:v>
      </x:c>
      <x:c r="G95" s="37" t="n">
        <x:v>11599846.988258999</x:v>
      </x:c>
      <x:c r="H95" s="37" t="n">
        <x:v>48831.97213547922</x:v>
      </x:c>
      <x:c r="I95" s="37" t="n">
        <x:v>11551015.01612352</x:v>
      </x:c>
      <x:c r="J95" s="37" t="n">
        <x:v>11599846.988258999</x:v>
      </x:c>
      <x:c r="K95" s="37" t="n">
        <x:v>0</x:v>
      </x:c>
      <x:c r="L95" s="37" t="n">
        <x:v>12800710.304301068</x:v>
      </x:c>
      <x:c r="M95" s="37" t="n">
        <x:v>0</x:v>
      </x:c>
      <x:c r="N95" s="37" t="n">
        <x:v>0</x:v>
      </x:c>
      <x:c r="O95" s="37" t="n">
        <x:v>65.79712432436645</x:v>
      </x:c>
      <x:c r="P95" s="37" t="n">
        <x:v>0</x:v>
      </x:c>
      <x:c r="Q95" s="37" t="n">
        <x:v>0</x:v>
      </x:c>
      <x:c r="R95" s="37" t="n">
        <x:v>0</x:v>
      </x:c>
      <x:c r="S95" s="37" t="n">
        <x:v>0</x:v>
      </x:c>
      <x:c r="T95" s="37" t="n">
        <x:v>0</x:v>
      </x:c>
      <x:c r="U95" s="37" t="n">
        <x:v>0</x:v>
      </x:c>
      <x:c r="V95" s="37" t="n">
        <x:v>0</x:v>
      </x:c>
      <x:c r="W95" s="37" t="n">
        <x:v>2038.035358794732</x:v>
      </x:c>
      <x:c r="X95" s="37" t="n">
        <x:v>0</x:v>
      </x:c>
      <x:c r="Y95" s="37" t="n">
        <x:v>1174.7193167256753</x:v>
      </x:c>
      <x:c r="Z95" s="37" t="n">
        <x:v>0</x:v>
      </x:c>
      <x:c r="AA95" s="37" t="n">
        <x:v>0</x:v>
      </x:c>
      <x:c r="AB95" s="37" t="n">
        <x:v>0</x:v>
      </x:c>
      <x:c r="AC95" s="37" t="n">
        <x:v>1200863.316042069</x:v>
      </x:c>
      <x:c r="AD95" s="37" t="n">
        <x:v>0</x:v>
      </x:c>
      <x:c r="AE95" s="37" t="n">
        <x:v>0</x:v>
      </x:c>
      <x:c r="AF95" s="47" t="b">
        <x:v>0</x:v>
      </x:c>
      <x:c r="AG95" s="47" t="b">
        <x:v>0</x:v>
      </x:c>
      <x:c r="AH95" s="48" t="n">
        <x:v>0</x:v>
      </x:c>
      <x:c r="AI95" s="48" t="n">
        <x:v>1.1920928955078125e-7</x:v>
      </x:c>
      <x:c r="AJ95" s="37" t="str">
        <x:v>passed</x:v>
      </x:c>
    </x:row>
    <x:row r="96" ht="21" customHeight="1">
      <x:c r="A96" s="2"/>
      <x:c r="B96" s="2"/>
      <x:c r="C96" s="2" t="str">
        <x:v>2022</x:v>
      </x:c>
      <x:c r="D96" s="5" t="n">
        <x:v>44595</x:v>
      </x:c>
      <x:c r="E96" s="2" t="str">
        <x:v>duration</x:v>
      </x:c>
      <x:c r="F96" s="37" t="n">
        <x:v>9271132.568679439</x:v>
      </x:c>
      <x:c r="G96" s="37" t="n">
        <x:v>3665772.931029449</x:v>
      </x:c>
      <x:c r="H96" s="37" t="n">
        <x:v>23648.918940701573</x:v>
      </x:c>
      <x:c r="I96" s="37" t="n">
        <x:v>3642124.0120887477</x:v>
      </x:c>
      <x:c r="J96" s="37" t="n">
        <x:v>11599846.988258999</x:v>
      </x:c>
      <x:c r="K96" s="37" t="n">
        <x:v>7934074.057229551</x:v>
      </x:c>
      <x:c r="L96" s="37" t="n">
        <x:v>12936905.499708887</x:v>
      </x:c>
      <x:c r="M96" s="37" t="n">
        <x:v>0</x:v>
      </x:c>
      <x:c r="N96" s="37" t="n">
        <x:v>0</x:v>
      </x:c>
      <x:c r="O96" s="37" t="n">
        <x:v>507.9794295486063</x:v>
      </x:c>
      <x:c r="P96" s="37" t="n">
        <x:v>0</x:v>
      </x:c>
      <x:c r="Q96" s="37" t="n">
        <x:v>0</x:v>
      </x:c>
      <x:c r="R96" s="37" t="n">
        <x:v>0</x:v>
      </x:c>
      <x:c r="S96" s="37" t="n">
        <x:v>0</x:v>
      </x:c>
      <x:c r="T96" s="37" t="n">
        <x:v>0</x:v>
      </x:c>
      <x:c r="U96" s="37" t="n">
        <x:v>0</x:v>
      </x:c>
      <x:c r="V96" s="37" t="n">
        <x:v>0</x:v>
      </x:c>
      <x:c r="W96" s="37" t="n">
        <x:v>15737.972637148574</x:v>
      </x:c>
      <x:c r="X96" s="37" t="n">
        <x:v>0</x:v>
      </x:c>
      <x:c r="Y96" s="37" t="n">
        <x:v>1980.9034702887486</x:v>
      </x:c>
      <x:c r="Z96" s="37" t="n">
        <x:v>8092755.538374142</x:v>
      </x:c>
      <x:c r="AA96" s="37" t="n">
        <x:v>0</x:v>
      </x:c>
      <x:c r="AB96" s="37" t="n">
        <x:v>8092755.538374142</x:v>
      </x:c>
      <x:c r="AC96" s="37" t="n">
        <x:v>1178377.030305297</x:v>
      </x:c>
      <x:c r="AD96" s="37" t="n">
        <x:v>0</x:v>
      </x:c>
      <x:c r="AE96" s="37" t="n">
        <x:v>0</x:v>
      </x:c>
      <x:c r="AF96" s="47" t="b">
        <x:v>0</x:v>
      </x:c>
      <x:c r="AG96" s="47" t="b">
        <x:v>0</x:v>
      </x:c>
      <x:c r="AH96" s="48" t="n">
        <x:v>0</x:v>
      </x:c>
      <x:c r="AI96" s="48" t="n">
        <x:v>1.1920928955078125e-7</x:v>
      </x:c>
      <x:c r="AJ96" s="37" t="str">
        <x:v>passed</x:v>
      </x:c>
    </x:row>
    <x:row r="97" ht="21" customHeight="1">
      <x:c r="A97" s="2"/>
      <x:c r="B97" s="2"/>
      <x:c r="C97" s="2" t="str">
        <x:v>2022</x:v>
      </x:c>
      <x:c r="D97" s="5" t="n">
        <x:v>44595</x:v>
      </x:c>
      <x:c r="E97" s="2" t="str">
        <x:v>unweighted</x:v>
      </x:c>
      <x:c r="F97" s="37" t="n">
        <x:v>11981936.572796037</x:v>
      </x:c>
      <x:c r="G97" s="37" t="n">
        <x:v>972918.3872609576</x:v>
      </x:c>
      <x:c r="H97" s="37" t="n">
        <x:v>22435.500581958127</x:v>
      </x:c>
      <x:c r="I97" s="37" t="n">
        <x:v>950482.8866789995</x:v>
      </x:c>
      <x:c r="J97" s="37" t="n">
        <x:v>11599846.988258999</x:v>
      </x:c>
      <x:c r="K97" s="37" t="n">
        <x:v>10626928.600998042</x:v>
      </x:c>
      <x:c r="L97" s="37" t="n">
        <x:v>12954854.960056994</x:v>
      </x:c>
      <x:c r="M97" s="37" t="n">
        <x:v>0</x:v>
      </x:c>
      <x:c r="N97" s="37" t="n">
        <x:v>0</x:v>
      </x:c>
      <x:c r="O97" s="37" t="n">
        <x:v>656.5084966737777</x:v>
      </x:c>
      <x:c r="P97" s="37" t="n">
        <x:v>0</x:v>
      </x:c>
      <x:c r="Q97" s="37" t="n">
        <x:v>0</x:v>
      </x:c>
      <x:c r="R97" s="37" t="n">
        <x:v>0</x:v>
      </x:c>
      <x:c r="S97" s="37" t="n">
        <x:v>0</x:v>
      </x:c>
      <x:c r="T97" s="37" t="n">
        <x:v>0</x:v>
      </x:c>
      <x:c r="U97" s="37" t="n">
        <x:v>0</x:v>
      </x:c>
      <x:c r="V97" s="37" t="n">
        <x:v>0</x:v>
      </x:c>
      <x:c r="W97" s="37" t="n">
        <x:v>20314.63818364218</x:v>
      </x:c>
      <x:c r="X97" s="37" t="n">
        <x:v>0</x:v>
      </x:c>
      <x:c r="Y97" s="37" t="n">
        <x:v>2251.286974010922</x:v>
      </x:c>
      <x:c r="Z97" s="37" t="n">
        <x:v>10839467.173018003</x:v>
      </x:c>
      <x:c r="AA97" s="37" t="n">
        <x:v>0</x:v>
      </x:c>
      <x:c r="AB97" s="37" t="n">
        <x:v>10839467.173018003</x:v>
      </x:c>
      <x:c r="AC97" s="37" t="n">
        <x:v>1142469.3997780345</x:v>
      </x:c>
      <x:c r="AD97" s="37" t="n">
        <x:v>0</x:v>
      </x:c>
      <x:c r="AE97" s="37" t="n">
        <x:v>0</x:v>
      </x:c>
      <x:c r="AF97" s="47" t="b">
        <x:v>0</x:v>
      </x:c>
      <x:c r="AG97" s="47" t="b">
        <x:v>0</x:v>
      </x:c>
      <x:c r="AH97" s="48" t="n">
        <x:v>0</x:v>
      </x:c>
      <x:c r="AI97" s="48" t="n">
        <x:v>1.1920928955078125e-7</x:v>
      </x:c>
      <x:c r="AJ97" s="37" t="str">
        <x:v>passed</x:v>
      </x:c>
    </x:row>
    <x:row r="98" ht="21" customHeight="1">
      <x:c r="A98" s="2"/>
      <x:c r="B98" s="2"/>
      <x:c r="C98" s="2" t="str">
        <x:v>2022</x:v>
      </x:c>
      <x:c r="D98" s="5" t="n">
        <x:v>44595</x:v>
      </x:c>
      <x:c r="E98" s="2" t="str">
        <x:v>constrained</x:v>
      </x:c>
      <x:c r="F98" s="37" t="n">
        <x:v>13014412.345210815</x:v>
      </x:c>
      <x:c r="G98" s="37" t="n">
        <x:v>-46527.95808945881</x:v>
      </x:c>
      <x:c r="H98" s="37" t="n">
        <x:v>20376.255428361746</x:v>
      </x:c>
      <x:c r="I98" s="37" t="n">
        <x:v>-66904.21351782055</x:v>
      </x:c>
      <x:c r="J98" s="37" t="n">
        <x:v>11605789.987018233</x:v>
      </x:c>
      <x:c r="K98" s="37" t="n">
        <x:v>11652317.945107691</x:v>
      </x:c>
      <x:c r="L98" s="37" t="n">
        <x:v>12967884.387121355</x:v>
      </x:c>
      <x:c r="M98" s="37" t="n">
        <x:v>0</x:v>
      </x:c>
      <x:c r="N98" s="37" t="n">
        <x:v>0</x:v>
      </x:c>
      <x:c r="O98" s="37" t="n">
        <x:v>713.0794118251652</x:v>
      </x:c>
      <x:c r="P98" s="37" t="n">
        <x:v>0</x:v>
      </x:c>
      <x:c r="Q98" s="37" t="n">
        <x:v>0</x:v>
      </x:c>
      <x:c r="R98" s="37" t="n">
        <x:v>0</x:v>
      </x:c>
      <x:c r="S98" s="37" t="n">
        <x:v>0</x:v>
      </x:c>
      <x:c r="T98" s="37" t="n">
        <x:v>0</x:v>
      </x:c>
      <x:c r="U98" s="37" t="n">
        <x:v>0</x:v>
      </x:c>
      <x:c r="V98" s="37" t="n">
        <x:v>0</x:v>
      </x:c>
      <x:c r="W98" s="37" t="n">
        <x:v>22103.744459703565</x:v>
      </x:c>
      <x:c r="X98" s="37" t="n">
        <x:v>0</x:v>
      </x:c>
      <x:c r="Y98" s="37" t="n">
        <x:v>2359.6096771908306</x:v>
      </x:c>
      <x:c r="Z98" s="37" t="n">
        <x:v>11885364.304009845</x:v>
      </x:c>
      <x:c r="AA98" s="37" t="n">
        <x:v>0</x:v>
      </x:c>
      <x:c r="AB98" s="37" t="n">
        <x:v>11885364.304009845</x:v>
      </x:c>
      <x:c r="AC98" s="37" t="n">
        <x:v>1129048.0412009694</x:v>
      </x:c>
      <x:c r="AD98" s="37" t="n">
        <x:v>0</x:v>
      </x:c>
      <x:c r="AE98" s="37" t="n">
        <x:v>0</x:v>
      </x:c>
      <x:c r="AF98" s="47" t="b">
        <x:v>0</x:v>
      </x:c>
      <x:c r="AG98" s="47" t="b">
        <x:v>0</x:v>
      </x:c>
      <x:c r="AH98" s="48" t="n">
        <x:v>0</x:v>
      </x:c>
      <x:c r="AI98" s="48" t="n">
        <x:v>1.1920928955078125e-7</x:v>
      </x:c>
      <x:c r="AJ98" s="37" t="str">
        <x:v>passed</x:v>
      </x:c>
    </x:row>
    <x:row r="99" ht="21" customHeight="1">
      <x:c r="A99" s="2"/>
      <x:c r="B99" s="2"/>
      <x:c r="C99" s="2" t="str">
        <x:v>2022</x:v>
      </x:c>
      <x:c r="D99" s="5" t="n">
        <x:v>44596</x:v>
      </x:c>
      <x:c r="E99" s="2" t="str">
        <x:v>unhedged</x:v>
      </x:c>
      <x:c r="F99" s="37" t="n">
        <x:v>1200929.1167717152</x:v>
      </x:c>
      <x:c r="G99" s="37" t="n">
        <x:v>11521004.28373156</x:v>
      </x:c>
      <x:c r="H99" s="37" t="n">
        <x:v>49180.804107614706</x:v>
      </x:c>
      <x:c r="I99" s="37" t="n">
        <x:v>11471823.479623945</x:v>
      </x:c>
      <x:c r="J99" s="37" t="n">
        <x:v>11521004.28373156</x:v>
      </x:c>
      <x:c r="K99" s="37" t="n">
        <x:v>0</x:v>
      </x:c>
      <x:c r="L99" s="37" t="n">
        <x:v>12721933.400503274</x:v>
      </x:c>
      <x:c r="M99" s="37" t="n">
        <x:v>0</x:v>
      </x:c>
      <x:c r="N99" s="37" t="n">
        <x:v>0</x:v>
      </x:c>
      <x:c r="O99" s="37" t="n">
        <x:v>65.80072964611463</x:v>
      </x:c>
      <x:c r="P99" s="37" t="n">
        <x:v>0</x:v>
      </x:c>
      <x:c r="Q99" s="37" t="n">
        <x:v>0</x:v>
      </x:c>
      <x:c r="R99" s="37" t="n">
        <x:v>0</x:v>
      </x:c>
      <x:c r="S99" s="37" t="n">
        <x:v>0</x:v>
      </x:c>
      <x:c r="T99" s="37" t="n">
        <x:v>0</x:v>
      </x:c>
      <x:c r="U99" s="37" t="n">
        <x:v>0</x:v>
      </x:c>
      <x:c r="V99" s="37" t="n">
        <x:v>0</x:v>
      </x:c>
      <x:c r="W99" s="37" t="n">
        <x:v>2103.8360884408467</x:v>
      </x:c>
      <x:c r="X99" s="37" t="n">
        <x:v>0</x:v>
      </x:c>
      <x:c r="Y99" s="37" t="n">
        <x:v>1174.7193167256753</x:v>
      </x:c>
      <x:c r="Z99" s="37" t="n">
        <x:v>0</x:v>
      </x:c>
      <x:c r="AA99" s="37" t="n">
        <x:v>0</x:v>
      </x:c>
      <x:c r="AB99" s="37" t="n">
        <x:v>0</x:v>
      </x:c>
      <x:c r="AC99" s="37" t="n">
        <x:v>1200929.1167717152</x:v>
      </x:c>
      <x:c r="AD99" s="37" t="n">
        <x:v>0</x:v>
      </x:c>
      <x:c r="AE99" s="37" t="n">
        <x:v>0</x:v>
      </x:c>
      <x:c r="AF99" s="47" t="b">
        <x:v>0</x:v>
      </x:c>
      <x:c r="AG99" s="47" t="b">
        <x:v>0</x:v>
      </x:c>
      <x:c r="AH99" s="48" t="n">
        <x:v>0</x:v>
      </x:c>
      <x:c r="AI99" s="48" t="n">
        <x:v>1.1920928955078125e-7</x:v>
      </x:c>
      <x:c r="AJ99" s="37" t="str">
        <x:v>passed</x:v>
      </x:c>
    </x:row>
    <x:row r="100" ht="21" customHeight="1">
      <x:c r="A100" s="2"/>
      <x:c r="B100" s="2"/>
      <x:c r="C100" s="2" t="str">
        <x:v>2022</x:v>
      </x:c>
      <x:c r="D100" s="5" t="n">
        <x:v>44596</x:v>
      </x:c>
      <x:c r="E100" s="2" t="str">
        <x:v>duration</x:v>
      </x:c>
      <x:c r="F100" s="37" t="n">
        <x:v>9271640.575943477</x:v>
      </x:c>
      <x:c r="G100" s="37" t="n">
        <x:v>3660952.7855188176</x:v>
      </x:c>
      <x:c r="H100" s="37" t="n">
        <x:v>23682.962747902344</x:v>
      </x:c>
      <x:c r="I100" s="37" t="n">
        <x:v>3637269.8227709155</x:v>
      </x:c>
      <x:c r="J100" s="37" t="n">
        <x:v>11521004.28373156</x:v>
      </x:c>
      <x:c r="K100" s="37" t="n">
        <x:v>7860051.498212742</x:v>
      </x:c>
      <x:c r="L100" s="37" t="n">
        <x:v>12932593.361462295</x:v>
      </x:c>
      <x:c r="M100" s="37" t="n">
        <x:v>0</x:v>
      </x:c>
      <x:c r="N100" s="37" t="n">
        <x:v>0</x:v>
      </x:c>
      <x:c r="O100" s="37" t="n">
        <x:v>508.0072640385479</x:v>
      </x:c>
      <x:c r="P100" s="37" t="n">
        <x:v>0</x:v>
      </x:c>
      <x:c r="Q100" s="37" t="n">
        <x:v>0</x:v>
      </x:c>
      <x:c r="R100" s="37" t="n">
        <x:v>0</x:v>
      </x:c>
      <x:c r="S100" s="37" t="n">
        <x:v>0</x:v>
      </x:c>
      <x:c r="T100" s="37" t="n">
        <x:v>0</x:v>
      </x:c>
      <x:c r="U100" s="37" t="n">
        <x:v>0</x:v>
      </x:c>
      <x:c r="V100" s="37" t="n">
        <x:v>0</x:v>
      </x:c>
      <x:c r="W100" s="37" t="n">
        <x:v>16245.979901187122</x:v>
      </x:c>
      <x:c r="X100" s="37" t="n">
        <x:v>0</x:v>
      </x:c>
      <x:c r="Y100" s="37" t="n">
        <x:v>1980.9034702887486</x:v>
      </x:c>
      <x:c r="Z100" s="37" t="n">
        <x:v>8017252.528176997</x:v>
      </x:c>
      <x:c r="AA100" s="37" t="n">
        <x:v>0</x:v>
      </x:c>
      <x:c r="AB100" s="37" t="n">
        <x:v>8017252.528176997</x:v>
      </x:c>
      <x:c r="AC100" s="37" t="n">
        <x:v>1254388.0477664806</x:v>
      </x:c>
      <x:c r="AD100" s="37" t="n">
        <x:v>0</x:v>
      </x:c>
      <x:c r="AE100" s="37" t="n">
        <x:v>0</x:v>
      </x:c>
      <x:c r="AF100" s="47" t="b">
        <x:v>0</x:v>
      </x:c>
      <x:c r="AG100" s="47" t="b">
        <x:v>0</x:v>
      </x:c>
      <x:c r="AH100" s="48" t="n">
        <x:v>0</x:v>
      </x:c>
      <x:c r="AI100" s="48" t="n">
        <x:v>1.1920928955078125e-7</x:v>
      </x:c>
      <x:c r="AJ100" s="37" t="str">
        <x:v>passed</x:v>
      </x:c>
    </x:row>
    <x:row r="101" ht="21" customHeight="1">
      <x:c r="A101" s="2"/>
      <x:c r="B101" s="2"/>
      <x:c r="C101" s="2" t="str">
        <x:v>2022</x:v>
      </x:c>
      <x:c r="D101" s="5" t="n">
        <x:v>44596</x:v>
      </x:c>
      <x:c r="E101" s="2" t="str">
        <x:v>unweighted</x:v>
      </x:c>
      <x:c r="F101" s="37" t="n">
        <x:v>11982593.117265781</x:v>
      </x:c>
      <x:c r="G101" s="37" t="n">
        <x:v>967467.2079177935</x:v>
      </x:c>
      <x:c r="H101" s="37" t="n">
        <x:v>22425.41407126021</x:v>
      </x:c>
      <x:c r="I101" s="37" t="n">
        <x:v>945041.7938465333</x:v>
      </x:c>
      <x:c r="J101" s="37" t="n">
        <x:v>11521004.28373156</x:v>
      </x:c>
      <x:c r="K101" s="37" t="n">
        <x:v>10553537.075813767</x:v>
      </x:c>
      <x:c r="L101" s="37" t="n">
        <x:v>12950060.325183574</x:v>
      </x:c>
      <x:c r="M101" s="37" t="n">
        <x:v>0</x:v>
      </x:c>
      <x:c r="N101" s="37" t="n">
        <x:v>0</x:v>
      </x:c>
      <x:c r="O101" s="37" t="n">
        <x:v>656.544469743967</x:v>
      </x:c>
      <x:c r="P101" s="37" t="n">
        <x:v>0</x:v>
      </x:c>
      <x:c r="Q101" s="37" t="n">
        <x:v>0</x:v>
      </x:c>
      <x:c r="R101" s="37" t="n">
        <x:v>0</x:v>
      </x:c>
      <x:c r="S101" s="37" t="n">
        <x:v>0</x:v>
      </x:c>
      <x:c r="T101" s="37" t="n">
        <x:v>0</x:v>
      </x:c>
      <x:c r="U101" s="37" t="n">
        <x:v>0</x:v>
      </x:c>
      <x:c r="V101" s="37" t="n">
        <x:v>0</x:v>
      </x:c>
      <x:c r="W101" s="37" t="n">
        <x:v>20971.182653386146</x:v>
      </x:c>
      <x:c r="X101" s="37" t="n">
        <x:v>0</x:v>
      </x:c>
      <x:c r="Y101" s="37" t="n">
        <x:v>2251.286974010922</x:v>
      </x:c>
      <x:c r="Z101" s="37" t="n">
        <x:v>10764607.817330042</x:v>
      </x:c>
      <x:c r="AA101" s="37" t="n">
        <x:v>0</x:v>
      </x:c>
      <x:c r="AB101" s="37" t="n">
        <x:v>10764607.817330042</x:v>
      </x:c>
      <x:c r="AC101" s="37" t="n">
        <x:v>1217985.2999357395</x:v>
      </x:c>
      <x:c r="AD101" s="37" t="n">
        <x:v>0</x:v>
      </x:c>
      <x:c r="AE101" s="37" t="n">
        <x:v>0</x:v>
      </x:c>
      <x:c r="AF101" s="47" t="b">
        <x:v>0</x:v>
      </x:c>
      <x:c r="AG101" s="47" t="b">
        <x:v>0</x:v>
      </x:c>
      <x:c r="AH101" s="48" t="n">
        <x:v>0</x:v>
      </x:c>
      <x:c r="AI101" s="48" t="n">
        <x:v>1.1920928955078125e-7</x:v>
      </x:c>
      <x:c r="AJ101" s="37" t="str">
        <x:v>passed</x:v>
      </x:c>
    </x:row>
    <x:row r="102" ht="21" customHeight="1">
      <x:c r="A102" s="2"/>
      <x:c r="B102" s="2"/>
      <x:c r="C102" s="2" t="str">
        <x:v>2022</x:v>
      </x:c>
      <x:c r="D102" s="5" t="n">
        <x:v>44596</x:v>
      </x:c>
      <x:c r="E102" s="2" t="str">
        <x:v>constrained</x:v>
      </x:c>
      <x:c r="F102" s="37" t="n">
        <x:v>13015125.463695485</x:v>
      </x:c>
      <x:c r="G102" s="37" t="n">
        <x:v>-46540.42017634851</x:v>
      </x:c>
      <x:c r="H102" s="37" t="n">
        <x:v>20336.43138014855</x:v>
      </x:c>
      <x:c r="I102" s="37" t="n">
        <x:v>-66876.85155649706</x:v>
      </x:c>
      <x:c r="J102" s="37" t="n">
        <x:v>11526831.463852812</x:v>
      </x:c>
      <x:c r="K102" s="37" t="n">
        <x:v>11573371.884029161</x:v>
      </x:c>
      <x:c r="L102" s="37" t="n">
        <x:v>12968585.043519137</x:v>
      </x:c>
      <x:c r="M102" s="37" t="n">
        <x:v>0</x:v>
      </x:c>
      <x:c r="N102" s="37" t="n">
        <x:v>0</x:v>
      </x:c>
      <x:c r="O102" s="37" t="n">
        <x:v>713.1184846702963</x:v>
      </x:c>
      <x:c r="P102" s="37" t="n">
        <x:v>0</x:v>
      </x:c>
      <x:c r="Q102" s="37" t="n">
        <x:v>0</x:v>
      </x:c>
      <x:c r="R102" s="37" t="n">
        <x:v>0</x:v>
      </x:c>
      <x:c r="S102" s="37" t="n">
        <x:v>0</x:v>
      </x:c>
      <x:c r="T102" s="37" t="n">
        <x:v>0</x:v>
      </x:c>
      <x:c r="U102" s="37" t="n">
        <x:v>0</x:v>
      </x:c>
      <x:c r="V102" s="37" t="n">
        <x:v>0</x:v>
      </x:c>
      <x:c r="W102" s="37" t="n">
        <x:v>22816.86294437386</x:v>
      </x:c>
      <x:c r="X102" s="37" t="n">
        <x:v>0</x:v>
      </x:c>
      <x:c r="Y102" s="37" t="n">
        <x:v>2359.6096771908306</x:v>
      </x:c>
      <x:c r="Z102" s="37" t="n">
        <x:v>11804839.321709745</x:v>
      </x:c>
      <x:c r="AA102" s="37" t="n">
        <x:v>0</x:v>
      </x:c>
      <x:c r="AB102" s="37" t="n">
        <x:v>11804839.321709745</x:v>
      </x:c>
      <x:c r="AC102" s="37" t="n">
        <x:v>1210286.1419857405</x:v>
      </x:c>
      <x:c r="AD102" s="37" t="n">
        <x:v>0</x:v>
      </x:c>
      <x:c r="AE102" s="37" t="n">
        <x:v>0</x:v>
      </x:c>
      <x:c r="AF102" s="47" t="b">
        <x:v>0</x:v>
      </x:c>
      <x:c r="AG102" s="47" t="b">
        <x:v>0</x:v>
      </x:c>
      <x:c r="AH102" s="48" t="n">
        <x:v>0</x:v>
      </x:c>
      <x:c r="AI102" s="48" t="n">
        <x:v>1.1920928955078125e-7</x:v>
      </x:c>
      <x:c r="AJ102" s="37" t="str">
        <x:v>passed</x:v>
      </x:c>
    </x:row>
    <x:row r="103" ht="21" customHeight="1">
      <x:c r="A103" s="2"/>
      <x:c r="B103" s="2"/>
      <x:c r="C103" s="2" t="str">
        <x:v>2022</x:v>
      </x:c>
      <x:c r="D103" s="5" t="n">
        <x:v>44599</x:v>
      </x:c>
      <x:c r="E103" s="2" t="str">
        <x:v>unhedged</x:v>
      </x:c>
      <x:c r="F103" s="37" t="n">
        <x:v>1201126.5405945608</x:v>
      </x:c>
      <x:c r="G103" s="37" t="n">
        <x:v>11533079.47315234</x:v>
      </x:c>
      <x:c r="H103" s="37" t="n">
        <x:v>50227.30002402114</x:v>
      </x:c>
      <x:c r="I103" s="37" t="n">
        <x:v>11482852.173128318</x:v>
      </x:c>
      <x:c r="J103" s="37" t="n">
        <x:v>11533079.47315234</x:v>
      </x:c>
      <x:c r="K103" s="37" t="n">
        <x:v>0</x:v>
      </x:c>
      <x:c r="L103" s="37" t="n">
        <x:v>12734206.0137469</x:v>
      </x:c>
      <x:c r="M103" s="37" t="n">
        <x:v>0</x:v>
      </x:c>
      <x:c r="N103" s="37" t="n">
        <x:v>0</x:v>
      </x:c>
      <x:c r="O103" s="37" t="n">
        <x:v>197.42382284556516</x:v>
      </x:c>
      <x:c r="P103" s="37" t="n">
        <x:v>0</x:v>
      </x:c>
      <x:c r="Q103" s="37" t="n">
        <x:v>0</x:v>
      </x:c>
      <x:c r="R103" s="37" t="n">
        <x:v>0</x:v>
      </x:c>
      <x:c r="S103" s="37" t="n">
        <x:v>0</x:v>
      </x:c>
      <x:c r="T103" s="37" t="n">
        <x:v>0</x:v>
      </x:c>
      <x:c r="U103" s="37" t="n">
        <x:v>0</x:v>
      </x:c>
      <x:c r="V103" s="37" t="n">
        <x:v>0</x:v>
      </x:c>
      <x:c r="W103" s="37" t="n">
        <x:v>2301.259911286412</x:v>
      </x:c>
      <x:c r="X103" s="37" t="n">
        <x:v>0</x:v>
      </x:c>
      <x:c r="Y103" s="37" t="n">
        <x:v>1174.7193167256753</x:v>
      </x:c>
      <x:c r="Z103" s="37" t="n">
        <x:v>0</x:v>
      </x:c>
      <x:c r="AA103" s="37" t="n">
        <x:v>0</x:v>
      </x:c>
      <x:c r="AB103" s="37" t="n">
        <x:v>0</x:v>
      </x:c>
      <x:c r="AC103" s="37" t="n">
        <x:v>1201126.5405945608</x:v>
      </x:c>
      <x:c r="AD103" s="37" t="n">
        <x:v>0</x:v>
      </x:c>
      <x:c r="AE103" s="37" t="n">
        <x:v>0</x:v>
      </x:c>
      <x:c r="AF103" s="47" t="b">
        <x:v>0</x:v>
      </x:c>
      <x:c r="AG103" s="47" t="b">
        <x:v>0</x:v>
      </x:c>
      <x:c r="AH103" s="48" t="n">
        <x:v>0</x:v>
      </x:c>
      <x:c r="AI103" s="48" t="n">
        <x:v>1.1920928955078125e-7</x:v>
      </x:c>
      <x:c r="AJ103" s="37" t="str">
        <x:v>passed</x:v>
      </x:c>
    </x:row>
    <x:row r="104" ht="21" customHeight="1">
      <x:c r="A104" s="2"/>
      <x:c r="B104" s="2"/>
      <x:c r="C104" s="2" t="str">
        <x:v>2022</x:v>
      </x:c>
      <x:c r="D104" s="5" t="n">
        <x:v>44599</x:v>
      </x:c>
      <x:c r="E104" s="2" t="str">
        <x:v>duration</x:v>
      </x:c>
      <x:c r="F104" s="37" t="n">
        <x:v>9273164.764757778</x:v>
      </x:c>
      <x:c r="G104" s="37" t="n">
        <x:v>3662213.729180876</x:v>
      </x:c>
      <x:c r="H104" s="37" t="n">
        <x:v>23785.094169504613</x:v>
      </x:c>
      <x:c r="I104" s="37" t="n">
        <x:v>3638428.6350113717</x:v>
      </x:c>
      <x:c r="J104" s="37" t="n">
        <x:v>11533079.47315234</x:v>
      </x:c>
      <x:c r="K104" s="37" t="n">
        <x:v>7870865.743971464</x:v>
      </x:c>
      <x:c r="L104" s="37" t="n">
        <x:v>12935378.493938655</x:v>
      </x:c>
      <x:c r="M104" s="37" t="n">
        <x:v>0</x:v>
      </x:c>
      <x:c r="N104" s="37" t="n">
        <x:v>0</x:v>
      </x:c>
      <x:c r="O104" s="37" t="n">
        <x:v>1524.1888143010437</x:v>
      </x:c>
      <x:c r="P104" s="37" t="n">
        <x:v>0</x:v>
      </x:c>
      <x:c r="Q104" s="37" t="n">
        <x:v>0</x:v>
      </x:c>
      <x:c r="R104" s="37" t="n">
        <x:v>0</x:v>
      </x:c>
      <x:c r="S104" s="37" t="n">
        <x:v>0</x:v>
      </x:c>
      <x:c r="T104" s="37" t="n">
        <x:v>0</x:v>
      </x:c>
      <x:c r="U104" s="37" t="n">
        <x:v>0</x:v>
      </x:c>
      <x:c r="V104" s="37" t="n">
        <x:v>0</x:v>
      </x:c>
      <x:c r="W104" s="37" t="n">
        <x:v>17770.168715488166</x:v>
      </x:c>
      <x:c r="X104" s="37" t="n">
        <x:v>0</x:v>
      </x:c>
      <x:c r="Y104" s="37" t="n">
        <x:v>1980.9034702887486</x:v>
      </x:c>
      <x:c r="Z104" s="37" t="n">
        <x:v>8028283.058850894</x:v>
      </x:c>
      <x:c r="AA104" s="37" t="n">
        <x:v>0</x:v>
      </x:c>
      <x:c r="AB104" s="37" t="n">
        <x:v>8028283.058850894</x:v>
      </x:c>
      <x:c r="AC104" s="37" t="n">
        <x:v>1244881.7059068847</x:v>
      </x:c>
      <x:c r="AD104" s="37" t="n">
        <x:v>0</x:v>
      </x:c>
      <x:c r="AE104" s="37" t="n">
        <x:v>0</x:v>
      </x:c>
      <x:c r="AF104" s="47" t="b">
        <x:v>0</x:v>
      </x:c>
      <x:c r="AG104" s="47" t="b">
        <x:v>0</x:v>
      </x:c>
      <x:c r="AH104" s="48" t="n">
        <x:v>0</x:v>
      </x:c>
      <x:c r="AI104" s="48" t="n">
        <x:v>1.1920928955078125e-7</x:v>
      </x:c>
      <x:c r="AJ104" s="37" t="str">
        <x:v>passed</x:v>
      </x:c>
    </x:row>
    <x:row r="105" ht="21" customHeight="1">
      <x:c r="A105" s="2"/>
      <x:c r="B105" s="2"/>
      <x:c r="C105" s="2" t="str">
        <x:v>2022</x:v>
      </x:c>
      <x:c r="D105" s="5" t="n">
        <x:v>44599</x:v>
      </x:c>
      <x:c r="E105" s="2" t="str">
        <x:v>unweighted</x:v>
      </x:c>
      <x:c r="F105" s="37" t="n">
        <x:v>11984562.966533132</x:v>
      </x:c>
      <x:c r="G105" s="37" t="n">
        <x:v>968427.7679587081</x:v>
      </x:c>
      <x:c r="H105" s="37" t="n">
        <x:v>22395.15453916643</x:v>
      </x:c>
      <x:c r="I105" s="37" t="n">
        <x:v>946032.6134195416</x:v>
      </x:c>
      <x:c r="J105" s="37" t="n">
        <x:v>11533079.47315234</x:v>
      </x:c>
      <x:c r="K105" s="37" t="n">
        <x:v>10564651.705193631</x:v>
      </x:c>
      <x:c r="L105" s="37" t="n">
        <x:v>12952990.73449184</x:v>
      </x:c>
      <x:c r="M105" s="37" t="n">
        <x:v>0</x:v>
      </x:c>
      <x:c r="N105" s="37" t="n">
        <x:v>0</x:v>
      </x:c>
      <x:c r="O105" s="37" t="n">
        <x:v>1969.8492673505098</x:v>
      </x:c>
      <x:c r="P105" s="37" t="n">
        <x:v>0</x:v>
      </x:c>
      <x:c r="Q105" s="37" t="n">
        <x:v>0</x:v>
      </x:c>
      <x:c r="R105" s="37" t="n">
        <x:v>0</x:v>
      </x:c>
      <x:c r="S105" s="37" t="n">
        <x:v>0</x:v>
      </x:c>
      <x:c r="T105" s="37" t="n">
        <x:v>0</x:v>
      </x:c>
      <x:c r="U105" s="37" t="n">
        <x:v>0</x:v>
      </x:c>
      <x:c r="V105" s="37" t="n">
        <x:v>0</x:v>
      </x:c>
      <x:c r="W105" s="37" t="n">
        <x:v>22941.031920736656</x:v>
      </x:c>
      <x:c r="X105" s="37" t="n">
        <x:v>0</x:v>
      </x:c>
      <x:c r="Y105" s="37" t="n">
        <x:v>2251.286974010922</x:v>
      </x:c>
      <x:c r="Z105" s="37" t="n">
        <x:v>10775944.739297504</x:v>
      </x:c>
      <x:c r="AA105" s="37" t="n">
        <x:v>0</x:v>
      </x:c>
      <x:c r="AB105" s="37" t="n">
        <x:v>10775944.739297504</x:v>
      </x:c>
      <x:c r="AC105" s="37" t="n">
        <x:v>1208618.2272356283</x:v>
      </x:c>
      <x:c r="AD105" s="37" t="n">
        <x:v>0</x:v>
      </x:c>
      <x:c r="AE105" s="37" t="n">
        <x:v>0</x:v>
      </x:c>
      <x:c r="AF105" s="47" t="b">
        <x:v>0</x:v>
      </x:c>
      <x:c r="AG105" s="47" t="b">
        <x:v>0</x:v>
      </x:c>
      <x:c r="AH105" s="48" t="n">
        <x:v>0</x:v>
      </x:c>
      <x:c r="AI105" s="48" t="n">
        <x:v>1.1920928955078125e-7</x:v>
      </x:c>
      <x:c r="AJ105" s="37" t="str">
        <x:v>passed</x:v>
      </x:c>
    </x:row>
    <x:row r="106" ht="21" customHeight="1">
      <x:c r="A106" s="2"/>
      <x:c r="B106" s="2"/>
      <x:c r="C106" s="2" t="str">
        <x:v>2022</x:v>
      </x:c>
      <x:c r="D106" s="5" t="n">
        <x:v>44599</x:v>
      </x:c>
      <x:c r="E106" s="2" t="str">
        <x:v>constrained</x:v>
      </x:c>
      <x:c r="F106" s="37" t="n">
        <x:v>13017265.053607972</x:v>
      </x:c>
      <x:c r="G106" s="37" t="n">
        <x:v>-46422.10587515521</x:v>
      </x:c>
      <x:c r="H106" s="37" t="n">
        <x:v>20216.959235508933</x:v>
      </x:c>
      <x:c r="I106" s="37" t="n">
        <x:v>-66639.06511066415</x:v>
      </x:c>
      <x:c r="J106" s="37" t="n">
        <x:v>11538926.89828767</x:v>
      </x:c>
      <x:c r="K106" s="37" t="n">
        <x:v>11585349.004162826</x:v>
      </x:c>
      <x:c r="L106" s="37" t="n">
        <x:v>12970842.947732817</x:v>
      </x:c>
      <x:c r="M106" s="37" t="n">
        <x:v>0</x:v>
      </x:c>
      <x:c r="N106" s="37" t="n">
        <x:v>0</x:v>
      </x:c>
      <x:c r="O106" s="37" t="n">
        <x:v>2139.589912487194</x:v>
      </x:c>
      <x:c r="P106" s="37" t="n">
        <x:v>0</x:v>
      </x:c>
      <x:c r="Q106" s="37" t="n">
        <x:v>0</x:v>
      </x:c>
      <x:c r="R106" s="37" t="n">
        <x:v>0</x:v>
      </x:c>
      <x:c r="S106" s="37" t="n">
        <x:v>0</x:v>
      </x:c>
      <x:c r="T106" s="37" t="n">
        <x:v>0</x:v>
      </x:c>
      <x:c r="U106" s="37" t="n">
        <x:v>0</x:v>
      </x:c>
      <x:c r="V106" s="37" t="n">
        <x:v>0</x:v>
      </x:c>
      <x:c r="W106" s="37" t="n">
        <x:v>24956.452856861055</x:v>
      </x:c>
      <x:c r="X106" s="37" t="n">
        <x:v>0</x:v>
      </x:c>
      <x:c r="Y106" s="37" t="n">
        <x:v>2359.6096771908306</x:v>
      </x:c>
      <x:c r="Z106" s="37" t="n">
        <x:v>11817055.984246083</x:v>
      </x:c>
      <x:c r="AA106" s="37" t="n">
        <x:v>0</x:v>
      </x:c>
      <x:c r="AB106" s="37" t="n">
        <x:v>11817055.984246083</x:v>
      </x:c>
      <x:c r="AC106" s="37" t="n">
        <x:v>1200209.0693618897</x:v>
      </x:c>
      <x:c r="AD106" s="37" t="n">
        <x:v>0</x:v>
      </x:c>
      <x:c r="AE106" s="37" t="n">
        <x:v>0</x:v>
      </x:c>
      <x:c r="AF106" s="47" t="b">
        <x:v>0</x:v>
      </x:c>
      <x:c r="AG106" s="47" t="b">
        <x:v>0</x:v>
      </x:c>
      <x:c r="AH106" s="48" t="n">
        <x:v>0</x:v>
      </x:c>
      <x:c r="AI106" s="48" t="n">
        <x:v>1.1920928955078125e-7</x:v>
      </x:c>
      <x:c r="AJ106" s="37" t="str">
        <x:v>passed</x:v>
      </x:c>
    </x:row>
    <x:row r="107" ht="21" customHeight="1">
      <x:c r="A107" s="2"/>
      <x:c r="B107" s="2"/>
      <x:c r="C107" s="2" t="str">
        <x:v>2022</x:v>
      </x:c>
      <x:c r="D107" s="5" t="n">
        <x:v>44600</x:v>
      </x:c>
      <x:c r="E107" s="2" t="str">
        <x:v>unhedged</x:v>
      </x:c>
      <x:c r="F107" s="37" t="n">
        <x:v>1201192.3557474704</x:v>
      </x:c>
      <x:c r="G107" s="37" t="n">
        <x:v>11503266.622598343</x:v>
      </x:c>
      <x:c r="H107" s="37" t="n">
        <x:v>50576.13199615662</x:v>
      </x:c>
      <x:c r="I107" s="37" t="n">
        <x:v>11452690.490602186</x:v>
      </x:c>
      <x:c r="J107" s="37" t="n">
        <x:v>11503266.622598343</x:v>
      </x:c>
      <x:c r="K107" s="37" t="n">
        <x:v>0</x:v>
      </x:c>
      <x:c r="L107" s="37" t="n">
        <x:v>12704458.978345813</x:v>
      </x:c>
      <x:c r="M107" s="37" t="n">
        <x:v>0</x:v>
      </x:c>
      <x:c r="N107" s="37" t="n">
        <x:v>0</x:v>
      </x:c>
      <x:c r="O107" s="37" t="n">
        <x:v>65.8151529096067</x:v>
      </x:c>
      <x:c r="P107" s="37" t="n">
        <x:v>0</x:v>
      </x:c>
      <x:c r="Q107" s="37" t="n">
        <x:v>0</x:v>
      </x:c>
      <x:c r="R107" s="37" t="n">
        <x:v>0</x:v>
      </x:c>
      <x:c r="S107" s="37" t="n">
        <x:v>0</x:v>
      </x:c>
      <x:c r="T107" s="37" t="n">
        <x:v>0</x:v>
      </x:c>
      <x:c r="U107" s="37" t="n">
        <x:v>0</x:v>
      </x:c>
      <x:c r="V107" s="37" t="n">
        <x:v>0</x:v>
      </x:c>
      <x:c r="W107" s="37" t="n">
        <x:v>2367.0750641960185</x:v>
      </x:c>
      <x:c r="X107" s="37" t="n">
        <x:v>0</x:v>
      </x:c>
      <x:c r="Y107" s="37" t="n">
        <x:v>1174.7193167256753</x:v>
      </x:c>
      <x:c r="Z107" s="37" t="n">
        <x:v>0</x:v>
      </x:c>
      <x:c r="AA107" s="37" t="n">
        <x:v>0</x:v>
      </x:c>
      <x:c r="AB107" s="37" t="n">
        <x:v>0</x:v>
      </x:c>
      <x:c r="AC107" s="37" t="n">
        <x:v>1201192.3557474704</x:v>
      </x:c>
      <x:c r="AD107" s="37" t="n">
        <x:v>0</x:v>
      </x:c>
      <x:c r="AE107" s="37" t="n">
        <x:v>0</x:v>
      </x:c>
      <x:c r="AF107" s="47" t="b">
        <x:v>0</x:v>
      </x:c>
      <x:c r="AG107" s="47" t="b">
        <x:v>0</x:v>
      </x:c>
      <x:c r="AH107" s="48" t="n">
        <x:v>0</x:v>
      </x:c>
      <x:c r="AI107" s="48" t="n">
        <x:v>1.1920928955078125e-7</x:v>
      </x:c>
      <x:c r="AJ107" s="37" t="str">
        <x:v>passed</x:v>
      </x:c>
    </x:row>
    <x:row r="108" ht="21" customHeight="1">
      <x:c r="A108" s="2"/>
      <x:c r="B108" s="2"/>
      <x:c r="C108" s="2" t="str">
        <x:v>2022</x:v>
      </x:c>
      <x:c r="D108" s="5" t="n">
        <x:v>44600</x:v>
      </x:c>
      <x:c r="E108" s="2" t="str">
        <x:v>duration</x:v>
      </x:c>
      <x:c r="F108" s="37" t="n">
        <x:v>9273672.883375028</x:v>
      </x:c>
      <x:c r="G108" s="37" t="n">
        <x:v>3660730.501770585</x:v>
      </x:c>
      <x:c r="H108" s="37" t="n">
        <x:v>23819.137976705373</x:v>
      </x:c>
      <x:c r="I108" s="37" t="n">
        <x:v>3636911.3637938793</x:v>
      </x:c>
      <x:c r="J108" s="37" t="n">
        <x:v>11503266.622598343</x:v>
      </x:c>
      <x:c r="K108" s="37" t="n">
        <x:v>7842536.120827757</x:v>
      </x:c>
      <x:c r="L108" s="37" t="n">
        <x:v>12934403.385145612</x:v>
      </x:c>
      <x:c r="M108" s="37" t="n">
        <x:v>0</x:v>
      </x:c>
      <x:c r="N108" s="37" t="n">
        <x:v>0</x:v>
      </x:c>
      <x:c r="O108" s="37" t="n">
        <x:v>508.11861724965274</x:v>
      </x:c>
      <x:c r="P108" s="37" t="n">
        <x:v>0</x:v>
      </x:c>
      <x:c r="Q108" s="37" t="n">
        <x:v>0</x:v>
      </x:c>
      <x:c r="R108" s="37" t="n">
        <x:v>0</x:v>
      </x:c>
      <x:c r="S108" s="37" t="n">
        <x:v>0</x:v>
      </x:c>
      <x:c r="T108" s="37" t="n">
        <x:v>0</x:v>
      </x:c>
      <x:c r="U108" s="37" t="n">
        <x:v>0</x:v>
      </x:c>
      <x:c r="V108" s="37" t="n">
        <x:v>0</x:v>
      </x:c>
      <x:c r="W108" s="37" t="n">
        <x:v>18278.28733273782</x:v>
      </x:c>
      <x:c r="X108" s="37" t="n">
        <x:v>0</x:v>
      </x:c>
      <x:c r="Y108" s="37" t="n">
        <x:v>1980.9034702887486</x:v>
      </x:c>
      <x:c r="Z108" s="37" t="n">
        <x:v>7999386.843244312</x:v>
      </x:c>
      <x:c r="AA108" s="37" t="n">
        <x:v>0</x:v>
      </x:c>
      <x:c r="AB108" s="37" t="n">
        <x:v>7999386.843244312</x:v>
      </x:c>
      <x:c r="AC108" s="37" t="n">
        <x:v>1274286.0401307158</x:v>
      </x:c>
      <x:c r="AD108" s="37" t="n">
        <x:v>0</x:v>
      </x:c>
      <x:c r="AE108" s="37" t="n">
        <x:v>0</x:v>
      </x:c>
      <x:c r="AF108" s="47" t="b">
        <x:v>0</x:v>
      </x:c>
      <x:c r="AG108" s="47" t="b">
        <x:v>0</x:v>
      </x:c>
      <x:c r="AH108" s="48" t="n">
        <x:v>0</x:v>
      </x:c>
      <x:c r="AI108" s="48" t="n">
        <x:v>1.1920928955078125e-7</x:v>
      </x:c>
      <x:c r="AJ108" s="37" t="str">
        <x:v>passed</x:v>
      </x:c>
    </x:row>
    <x:row r="109" ht="21" customHeight="1">
      <x:c r="A109" s="2"/>
      <x:c r="B109" s="2"/>
      <x:c r="C109" s="2" t="str">
        <x:v>2022</x:v>
      </x:c>
      <x:c r="D109" s="5" t="n">
        <x:v>44600</x:v>
      </x:c>
      <x:c r="E109" s="2" t="str">
        <x:v>unweighted</x:v>
      </x:c>
      <x:c r="F109" s="37" t="n">
        <x:v>11985219.654914862</x:v>
      </x:c>
      <x:c r="G109" s="37" t="n">
        <x:v>966435.9472016873</x:v>
      </x:c>
      <x:c r="H109" s="37" t="n">
        <x:v>22385.068028468504</x:v>
      </x:c>
      <x:c r="I109" s="37" t="n">
        <x:v>944050.8791732187</x:v>
      </x:c>
      <x:c r="J109" s="37" t="n">
        <x:v>11503266.622598343</x:v>
      </x:c>
      <x:c r="K109" s="37" t="n">
        <x:v>10536830.675396655</x:v>
      </x:c>
      <x:c r="L109" s="37" t="n">
        <x:v>12951655.60211655</x:v>
      </x:c>
      <x:c r="M109" s="37" t="n">
        <x:v>0</x:v>
      </x:c>
      <x:c r="N109" s="37" t="n">
        <x:v>0</x:v>
      </x:c>
      <x:c r="O109" s="37" t="n">
        <x:v>656.6883817296475</x:v>
      </x:c>
      <x:c r="P109" s="37" t="n">
        <x:v>0</x:v>
      </x:c>
      <x:c r="Q109" s="37" t="n">
        <x:v>0</x:v>
      </x:c>
      <x:c r="R109" s="37" t="n">
        <x:v>0</x:v>
      </x:c>
      <x:c r="S109" s="37" t="n">
        <x:v>0</x:v>
      </x:c>
      <x:c r="T109" s="37" t="n">
        <x:v>0</x:v>
      </x:c>
      <x:c r="U109" s="37" t="n">
        <x:v>0</x:v>
      </x:c>
      <x:c r="V109" s="37" t="n">
        <x:v>0</x:v>
      </x:c>
      <x:c r="W109" s="37" t="n">
        <x:v>23597.720302466303</x:v>
      </x:c>
      <x:c r="X109" s="37" t="n">
        <x:v>0</x:v>
      </x:c>
      <x:c r="Y109" s="37" t="n">
        <x:v>2251.286974010922</x:v>
      </x:c>
      <x:c r="Z109" s="37" t="n">
        <x:v>10747567.288904589</x:v>
      </x:c>
      <x:c r="AA109" s="37" t="n">
        <x:v>0</x:v>
      </x:c>
      <x:c r="AB109" s="37" t="n">
        <x:v>10747567.288904589</x:v>
      </x:c>
      <x:c r="AC109" s="37" t="n">
        <x:v>1237652.3660102729</x:v>
      </x:c>
      <x:c r="AD109" s="37" t="n">
        <x:v>0</x:v>
      </x:c>
      <x:c r="AE109" s="37" t="n">
        <x:v>0</x:v>
      </x:c>
      <x:c r="AF109" s="47" t="b">
        <x:v>0</x:v>
      </x:c>
      <x:c r="AG109" s="47" t="b">
        <x:v>0</x:v>
      </x:c>
      <x:c r="AH109" s="48" t="n">
        <x:v>0</x:v>
      </x:c>
      <x:c r="AI109" s="48" t="n">
        <x:v>1.1920928955078125e-7</x:v>
      </x:c>
      <x:c r="AJ109" s="37" t="str">
        <x:v>passed</x:v>
      </x:c>
    </x:row>
    <x:row r="110" ht="21" customHeight="1">
      <x:c r="A110" s="2"/>
      <x:c r="B110" s="2"/>
      <x:c r="C110" s="2" t="str">
        <x:v>2022</x:v>
      </x:c>
      <x:c r="D110" s="5" t="n">
        <x:v>44600</x:v>
      </x:c>
      <x:c r="E110" s="2" t="str">
        <x:v>constrained</x:v>
      </x:c>
      <x:c r="F110" s="37" t="n">
        <x:v>13017978.328405432</x:v>
      </x:c>
      <x:c r="G110" s="37" t="n">
        <x:v>-46369.88687783819</x:v>
      </x:c>
      <x:c r="H110" s="37" t="n">
        <x:v>20177.135187295735</x:v>
      </x:c>
      <x:c r="I110" s="37" t="n">
        <x:v>-66547.02206513392</x:v>
      </x:c>
      <x:c r="J110" s="37" t="n">
        <x:v>11509074.076469097</x:v>
      </x:c>
      <x:c r="K110" s="37" t="n">
        <x:v>11555443.963346936</x:v>
      </x:c>
      <x:c r="L110" s="37" t="n">
        <x:v>12971608.441527594</x:v>
      </x:c>
      <x:c r="M110" s="37" t="n">
        <x:v>0</x:v>
      </x:c>
      <x:c r="N110" s="37" t="n">
        <x:v>0</x:v>
      </x:c>
      <x:c r="O110" s="37" t="n">
        <x:v>713.2747974600643</x:v>
      </x:c>
      <x:c r="P110" s="37" t="n">
        <x:v>0</x:v>
      </x:c>
      <x:c r="Q110" s="37" t="n">
        <x:v>0</x:v>
      </x:c>
      <x:c r="R110" s="37" t="n">
        <x:v>0</x:v>
      </x:c>
      <x:c r="S110" s="37" t="n">
        <x:v>0</x:v>
      </x:c>
      <x:c r="T110" s="37" t="n">
        <x:v>0</x:v>
      </x:c>
      <x:c r="U110" s="37" t="n">
        <x:v>0</x:v>
      </x:c>
      <x:c r="V110" s="37" t="n">
        <x:v>0</x:v>
      </x:c>
      <x:c r="W110" s="37" t="n">
        <x:v>25669.72765432112</x:v>
      </x:c>
      <x:c r="X110" s="37" t="n">
        <x:v>0</x:v>
      </x:c>
      <x:c r="Y110" s="37" t="n">
        <x:v>2359.6096771908306</x:v>
      </x:c>
      <x:c r="Z110" s="37" t="n">
        <x:v>11786552.842613874</x:v>
      </x:c>
      <x:c r="AA110" s="37" t="n">
        <x:v>0</x:v>
      </x:c>
      <x:c r="AB110" s="37" t="n">
        <x:v>11786552.842613874</x:v>
      </x:c>
      <x:c r="AC110" s="37" t="n">
        <x:v>1231425.4857915584</x:v>
      </x:c>
      <x:c r="AD110" s="37" t="n">
        <x:v>0</x:v>
      </x:c>
      <x:c r="AE110" s="37" t="n">
        <x:v>0</x:v>
      </x:c>
      <x:c r="AF110" s="47" t="b">
        <x:v>0</x:v>
      </x:c>
      <x:c r="AG110" s="47" t="b">
        <x:v>0</x:v>
      </x:c>
      <x:c r="AH110" s="48" t="n">
        <x:v>0</x:v>
      </x:c>
      <x:c r="AI110" s="48" t="n">
        <x:v>1.1920928955078125e-7</x:v>
      </x:c>
      <x:c r="AJ110" s="37" t="str">
        <x:v>passed</x:v>
      </x:c>
    </x:row>
    <x:row r="111" ht="21" customHeight="1">
      <x:c r="A111" s="2"/>
      <x:c r="B111" s="2"/>
      <x:c r="C111" s="2" t="str">
        <x:v>2022</x:v>
      </x:c>
      <x:c r="D111" s="5" t="n">
        <x:v>44601</x:v>
      </x:c>
      <x:c r="E111" s="2" t="str">
        <x:v>unhedged</x:v>
      </x:c>
      <x:c r="F111" s="37" t="n">
        <x:v>1201258.1745066894</x:v>
      </x:c>
      <x:c r="G111" s="37" t="n">
        <x:v>11506377.649812724</x:v>
      </x:c>
      <x:c r="H111" s="37" t="n">
        <x:v>50924.9639682921</x:v>
      </x:c>
      <x:c r="I111" s="37" t="n">
        <x:v>11455452.685844433</x:v>
      </x:c>
      <x:c r="J111" s="37" t="n">
        <x:v>11506377.649812724</x:v>
      </x:c>
      <x:c r="K111" s="37" t="n">
        <x:v>0</x:v>
      </x:c>
      <x:c r="L111" s="37" t="n">
        <x:v>12707635.824319415</x:v>
      </x:c>
      <x:c r="M111" s="37" t="n">
        <x:v>0</x:v>
      </x:c>
      <x:c r="N111" s="37" t="n">
        <x:v>0</x:v>
      </x:c>
      <x:c r="O111" s="37" t="n">
        <x:v>65.81875921902247</x:v>
      </x:c>
      <x:c r="P111" s="37" t="n">
        <x:v>0</x:v>
      </x:c>
      <x:c r="Q111" s="37" t="n">
        <x:v>0</x:v>
      </x:c>
      <x:c r="R111" s="37" t="n">
        <x:v>0</x:v>
      </x:c>
      <x:c r="S111" s="37" t="n">
        <x:v>0</x:v>
      </x:c>
      <x:c r="T111" s="37" t="n">
        <x:v>0</x:v>
      </x:c>
      <x:c r="U111" s="37" t="n">
        <x:v>0</x:v>
      </x:c>
      <x:c r="V111" s="37" t="n">
        <x:v>0</x:v>
      </x:c>
      <x:c r="W111" s="37" t="n">
        <x:v>2432.893823415041</x:v>
      </x:c>
      <x:c r="X111" s="37" t="n">
        <x:v>0</x:v>
      </x:c>
      <x:c r="Y111" s="37" t="n">
        <x:v>1174.7193167256753</x:v>
      </x:c>
      <x:c r="Z111" s="37" t="n">
        <x:v>0</x:v>
      </x:c>
      <x:c r="AA111" s="37" t="n">
        <x:v>0</x:v>
      </x:c>
      <x:c r="AB111" s="37" t="n">
        <x:v>0</x:v>
      </x:c>
      <x:c r="AC111" s="37" t="n">
        <x:v>1201258.1745066894</x:v>
      </x:c>
      <x:c r="AD111" s="37" t="n">
        <x:v>0</x:v>
      </x:c>
      <x:c r="AE111" s="37" t="n">
        <x:v>0</x:v>
      </x:c>
      <x:c r="AF111" s="47" t="b">
        <x:v>0</x:v>
      </x:c>
      <x:c r="AG111" s="47" t="b">
        <x:v>0</x:v>
      </x:c>
      <x:c r="AH111" s="48" t="n">
        <x:v>0</x:v>
      </x:c>
      <x:c r="AI111" s="48" t="n">
        <x:v>1.1920928955078125e-7</x:v>
      </x:c>
      <x:c r="AJ111" s="37" t="str">
        <x:v>passed</x:v>
      </x:c>
    </x:row>
    <x:row r="112" ht="21" customHeight="1">
      <x:c r="A112" s="2"/>
      <x:c r="B112" s="2"/>
      <x:c r="C112" s="2" t="str">
        <x:v>2022</x:v>
      </x:c>
      <x:c r="D112" s="5" t="n">
        <x:v>44601</x:v>
      </x:c>
      <x:c r="E112" s="2" t="str">
        <x:v>duration</x:v>
      </x:c>
      <x:c r="F112" s="37" t="n">
        <x:v>9274181.029834392</x:v>
      </x:c>
      <x:c r="G112" s="37" t="n">
        <x:v>3656582.579095301</x:v>
      </x:c>
      <x:c r="H112" s="37" t="n">
        <x:v>23853.181783906137</x:v>
      </x:c>
      <x:c r="I112" s="37" t="n">
        <x:v>3632729.397311395</x:v>
      </x:c>
      <x:c r="J112" s="37" t="n">
        <x:v>11506377.649812724</x:v>
      </x:c>
      <x:c r="K112" s="37" t="n">
        <x:v>7849795.070717424</x:v>
      </x:c>
      <x:c r="L112" s="37" t="n">
        <x:v>12930763.608929694</x:v>
      </x:c>
      <x:c r="M112" s="37" t="n">
        <x:v>0</x:v>
      </x:c>
      <x:c r="N112" s="37" t="n">
        <x:v>0</x:v>
      </x:c>
      <x:c r="O112" s="37" t="n">
        <x:v>508.14645936340094</x:v>
      </x:c>
      <x:c r="P112" s="37" t="n">
        <x:v>0</x:v>
      </x:c>
      <x:c r="Q112" s="37" t="n">
        <x:v>0</x:v>
      </x:c>
      <x:c r="R112" s="37" t="n">
        <x:v>0</x:v>
      </x:c>
      <x:c r="S112" s="37" t="n">
        <x:v>0</x:v>
      </x:c>
      <x:c r="T112" s="37" t="n">
        <x:v>0</x:v>
      </x:c>
      <x:c r="U112" s="37" t="n">
        <x:v>0</x:v>
      </x:c>
      <x:c r="V112" s="37" t="n">
        <x:v>0</x:v>
      </x:c>
      <x:c r="W112" s="37" t="n">
        <x:v>18786.43379210122</x:v>
      </x:c>
      <x:c r="X112" s="37" t="n">
        <x:v>0</x:v>
      </x:c>
      <x:c r="Y112" s="37" t="n">
        <x:v>1980.9034702887486</x:v>
      </x:c>
      <x:c r="Z112" s="37" t="n">
        <x:v>8006790.972131773</x:v>
      </x:c>
      <x:c r="AA112" s="37" t="n">
        <x:v>0</x:v>
      </x:c>
      <x:c r="AB112" s="37" t="n">
        <x:v>8006790.972131773</x:v>
      </x:c>
      <x:c r="AC112" s="37" t="n">
        <x:v>1267390.0577026187</x:v>
      </x:c>
      <x:c r="AD112" s="37" t="n">
        <x:v>0</x:v>
      </x:c>
      <x:c r="AE112" s="37" t="n">
        <x:v>0</x:v>
      </x:c>
      <x:c r="AF112" s="47" t="b">
        <x:v>0</x:v>
      </x:c>
      <x:c r="AG112" s="47" t="b">
        <x:v>0</x:v>
      </x:c>
      <x:c r="AH112" s="48" t="n">
        <x:v>0</x:v>
      </x:c>
      <x:c r="AI112" s="48" t="n">
        <x:v>1.1920928955078125e-7</x:v>
      </x:c>
      <x:c r="AJ112" s="37" t="str">
        <x:v>passed</x:v>
      </x:c>
    </x:row>
    <x:row r="113" ht="21" customHeight="1">
      <x:c r="A113" s="2"/>
      <x:c r="B113" s="2"/>
      <x:c r="C113" s="2" t="str">
        <x:v>2022</x:v>
      </x:c>
      <x:c r="D113" s="5" t="n">
        <x:v>44601</x:v>
      </x:c>
      <x:c r="E113" s="2" t="str">
        <x:v>unweighted</x:v>
      </x:c>
      <x:c r="F113" s="37" t="n">
        <x:v>11985876.379279515</x:v>
      </x:c>
      <x:c r="G113" s="37" t="n">
        <x:v>966648.5670805513</x:v>
      </x:c>
      <x:c r="H113" s="37" t="n">
        <x:v>22374.981517770582</x:v>
      </x:c>
      <x:c r="I113" s="37" t="n">
        <x:v>944273.5855627807</x:v>
      </x:c>
      <x:c r="J113" s="37" t="n">
        <x:v>11506377.649812724</x:v>
      </x:c>
      <x:c r="K113" s="37" t="n">
        <x:v>10539729.082732175</x:v>
      </x:c>
      <x:c r="L113" s="37" t="n">
        <x:v>12952524.946360067</x:v>
      </x:c>
      <x:c r="M113" s="37" t="n">
        <x:v>0</x:v>
      </x:c>
      <x:c r="N113" s="37" t="n">
        <x:v>0</x:v>
      </x:c>
      <x:c r="O113" s="37" t="n">
        <x:v>656.7243646532297</x:v>
      </x:c>
      <x:c r="P113" s="37" t="n">
        <x:v>0</x:v>
      </x:c>
      <x:c r="Q113" s="37" t="n">
        <x:v>0</x:v>
      </x:c>
      <x:c r="R113" s="37" t="n">
        <x:v>0</x:v>
      </x:c>
      <x:c r="S113" s="37" t="n">
        <x:v>0</x:v>
      </x:c>
      <x:c r="T113" s="37" t="n">
        <x:v>0</x:v>
      </x:c>
      <x:c r="U113" s="37" t="n">
        <x:v>0</x:v>
      </x:c>
      <x:c r="V113" s="37" t="n">
        <x:v>0</x:v>
      </x:c>
      <x:c r="W113" s="37" t="n">
        <x:v>24254.444667119533</x:v>
      </x:c>
      <x:c r="X113" s="37" t="n">
        <x:v>0</x:v>
      </x:c>
      <x:c r="Y113" s="37" t="n">
        <x:v>2251.286974010922</x:v>
      </x:c>
      <x:c r="Z113" s="37" t="n">
        <x:v>10750523.664386818</x:v>
      </x:c>
      <x:c r="AA113" s="37" t="n">
        <x:v>0</x:v>
      </x:c>
      <x:c r="AB113" s="37" t="n">
        <x:v>10750523.664386818</x:v>
      </x:c>
      <x:c r="AC113" s="37" t="n">
        <x:v>1235352.7148926966</x:v>
      </x:c>
      <x:c r="AD113" s="37" t="n">
        <x:v>0</x:v>
      </x:c>
      <x:c r="AE113" s="37" t="n">
        <x:v>0</x:v>
      </x:c>
      <x:c r="AF113" s="47" t="b">
        <x:v>0</x:v>
      </x:c>
      <x:c r="AG113" s="47" t="b">
        <x:v>0</x:v>
      </x:c>
      <x:c r="AH113" s="48" t="n">
        <x:v>0</x:v>
      </x:c>
      <x:c r="AI113" s="48" t="n">
        <x:v>1.1920928955078125e-7</x:v>
      </x:c>
      <x:c r="AJ113" s="37" t="str">
        <x:v>passed</x:v>
      </x:c>
    </x:row>
    <x:row r="114" ht="21" customHeight="1">
      <x:c r="A114" s="2"/>
      <x:c r="B114" s="2"/>
      <x:c r="C114" s="2" t="str">
        <x:v>2022</x:v>
      </x:c>
      <x:c r="D114" s="5" t="n">
        <x:v>44601</x:v>
      </x:c>
      <x:c r="E114" s="2" t="str">
        <x:v>constrained</x:v>
      </x:c>
      <x:c r="F114" s="37" t="n">
        <x:v>13018691.642286442</x:v>
      </x:c>
      <x:c r="G114" s="37" t="n">
        <x:v>-46093.446488098445</x:v>
      </x:c>
      <x:c r="H114" s="37" t="n">
        <x:v>20137.311139082532</x:v>
      </x:c>
      <x:c r="I114" s="37" t="n">
        <x:v>-66230.75762718098</x:v>
      </x:c>
      <x:c r="J114" s="37" t="n">
        <x:v>11512171.79015791</x:v>
      </x:c>
      <x:c r="K114" s="37" t="n">
        <x:v>11558265.236646008</x:v>
      </x:c>
      <x:c r="L114" s="37" t="n">
        <x:v>12972598.195798343</x:v>
      </x:c>
      <x:c r="M114" s="37" t="n">
        <x:v>0</x:v>
      </x:c>
      <x:c r="N114" s="37" t="n">
        <x:v>0</x:v>
      </x:c>
      <x:c r="O114" s="37" t="n">
        <x:v>713.3138810098171</x:v>
      </x:c>
      <x:c r="P114" s="37" t="n">
        <x:v>0</x:v>
      </x:c>
      <x:c r="Q114" s="37" t="n">
        <x:v>0</x:v>
      </x:c>
      <x:c r="R114" s="37" t="n">
        <x:v>0</x:v>
      </x:c>
      <x:c r="S114" s="37" t="n">
        <x:v>0</x:v>
      </x:c>
      <x:c r="T114" s="37" t="n">
        <x:v>0</x:v>
      </x:c>
      <x:c r="U114" s="37" t="n">
        <x:v>0</x:v>
      </x:c>
      <x:c r="V114" s="37" t="n">
        <x:v>0</x:v>
      </x:c>
      <x:c r="W114" s="37" t="n">
        <x:v>26383.041535330936</x:v>
      </x:c>
      <x:c r="X114" s="37" t="n">
        <x:v>0</x:v>
      </x:c>
      <x:c r="Y114" s="37" t="n">
        <x:v>2359.6096771908306</x:v>
      </x:c>
      <x:c r="Z114" s="37" t="n">
        <x:v>11789430.541378928</x:v>
      </x:c>
      <x:c r="AA114" s="37" t="n">
        <x:v>0</x:v>
      </x:c>
      <x:c r="AB114" s="37" t="n">
        <x:v>11789430.541378928</x:v>
      </x:c>
      <x:c r="AC114" s="37" t="n">
        <x:v>1229261.1009075139</x:v>
      </x:c>
      <x:c r="AD114" s="37" t="n">
        <x:v>0</x:v>
      </x:c>
      <x:c r="AE114" s="37" t="n">
        <x:v>0</x:v>
      </x:c>
      <x:c r="AF114" s="47" t="b">
        <x:v>0</x:v>
      </x:c>
      <x:c r="AG114" s="47" t="b">
        <x:v>0</x:v>
      </x:c>
      <x:c r="AH114" s="48" t="n">
        <x:v>0</x:v>
      </x:c>
      <x:c r="AI114" s="48" t="n">
        <x:v>1.1920928955078125e-7</x:v>
      </x:c>
      <x:c r="AJ114" s="37" t="str">
        <x:v>passed</x:v>
      </x:c>
    </x:row>
    <x:row r="115" ht="21" customHeight="1">
      <x:c r="A115" s="2"/>
      <x:c r="B115" s="2"/>
      <x:c r="C115" s="2" t="str">
        <x:v>2022</x:v>
      </x:c>
      <x:c r="D115" s="5" t="n">
        <x:v>44602</x:v>
      </x:c>
      <x:c r="E115" s="2" t="str">
        <x:v>unhedged</x:v>
      </x:c>
      <x:c r="F115" s="37" t="n">
        <x:v>1201323.996872416</x:v>
      </x:c>
      <x:c r="G115" s="37" t="n">
        <x:v>11427504.963881</x:v>
      </x:c>
      <x:c r="H115" s="37" t="n">
        <x:v>51273.79594042757</x:v>
      </x:c>
      <x:c r="I115" s="37" t="n">
        <x:v>11376231.167940574</x:v>
      </x:c>
      <x:c r="J115" s="37" t="n">
        <x:v>11427504.963881</x:v>
      </x:c>
      <x:c r="K115" s="37" t="n">
        <x:v>0</x:v>
      </x:c>
      <x:c r="L115" s="37" t="n">
        <x:v>12628828.960753417</x:v>
      </x:c>
      <x:c r="M115" s="37" t="n">
        <x:v>0</x:v>
      </x:c>
      <x:c r="N115" s="37" t="n">
        <x:v>0</x:v>
      </x:c>
      <x:c r="O115" s="37" t="n">
        <x:v>65.82236572657712</x:v>
      </x:c>
      <x:c r="P115" s="37" t="n">
        <x:v>0</x:v>
      </x:c>
      <x:c r="Q115" s="37" t="n">
        <x:v>0</x:v>
      </x:c>
      <x:c r="R115" s="37" t="n">
        <x:v>0</x:v>
      </x:c>
      <x:c r="S115" s="37" t="n">
        <x:v>0</x:v>
      </x:c>
      <x:c r="T115" s="37" t="n">
        <x:v>0</x:v>
      </x:c>
      <x:c r="U115" s="37" t="n">
        <x:v>0</x:v>
      </x:c>
      <x:c r="V115" s="37" t="n">
        <x:v>0</x:v>
      </x:c>
      <x:c r="W115" s="37" t="n">
        <x:v>2498.716189141618</x:v>
      </x:c>
      <x:c r="X115" s="37" t="n">
        <x:v>0</x:v>
      </x:c>
      <x:c r="Y115" s="37" t="n">
        <x:v>1174.7193167256753</x:v>
      </x:c>
      <x:c r="Z115" s="37" t="n">
        <x:v>0</x:v>
      </x:c>
      <x:c r="AA115" s="37" t="n">
        <x:v>0</x:v>
      </x:c>
      <x:c r="AB115" s="37" t="n">
        <x:v>0</x:v>
      </x:c>
      <x:c r="AC115" s="37" t="n">
        <x:v>1201323.996872416</x:v>
      </x:c>
      <x:c r="AD115" s="37" t="n">
        <x:v>0</x:v>
      </x:c>
      <x:c r="AE115" s="37" t="n">
        <x:v>0</x:v>
      </x:c>
      <x:c r="AF115" s="47" t="b">
        <x:v>0</x:v>
      </x:c>
      <x:c r="AG115" s="47" t="b">
        <x:v>0</x:v>
      </x:c>
      <x:c r="AH115" s="48" t="n">
        <x:v>0</x:v>
      </x:c>
      <x:c r="AI115" s="48" t="n">
        <x:v>1.1920928955078125e-7</x:v>
      </x:c>
      <x:c r="AJ115" s="37" t="str">
        <x:v>passed</x:v>
      </x:c>
    </x:row>
    <x:row r="116" ht="21" customHeight="1">
      <x:c r="A116" s="2"/>
      <x:c r="B116" s="2"/>
      <x:c r="C116" s="2" t="str">
        <x:v>2022</x:v>
      </x:c>
      <x:c r="D116" s="5" t="n">
        <x:v>44602</x:v>
      </x:c>
      <x:c r="E116" s="2" t="str">
        <x:v>duration</x:v>
      </x:c>
      <x:c r="F116" s="37" t="n">
        <x:v>9274689.204137394</x:v>
      </x:c>
      <x:c r="G116" s="37" t="n">
        <x:v>3638317.1920844363</x:v>
      </x:c>
      <x:c r="H116" s="37" t="n">
        <x:v>23887.225591106886</x:v>
      </x:c>
      <x:c r="I116" s="37" t="n">
        <x:v>3614429.9664933295</x:v>
      </x:c>
      <x:c r="J116" s="37" t="n">
        <x:v>11427504.963881</x:v>
      </x:c>
      <x:c r="K116" s="37" t="n">
        <x:v>7789187.771796564</x:v>
      </x:c>
      <x:c r="L116" s="37" t="n">
        <x:v>12913006.396221831</x:v>
      </x:c>
      <x:c r="M116" s="37" t="n">
        <x:v>0</x:v>
      </x:c>
      <x:c r="N116" s="37" t="n">
        <x:v>0</x:v>
      </x:c>
      <x:c r="O116" s="37" t="n">
        <x:v>508.1743030026555</x:v>
      </x:c>
      <x:c r="P116" s="37" t="n">
        <x:v>0</x:v>
      </x:c>
      <x:c r="Q116" s="37" t="n">
        <x:v>0</x:v>
      </x:c>
      <x:c r="R116" s="37" t="n">
        <x:v>0</x:v>
      </x:c>
      <x:c r="S116" s="37" t="n">
        <x:v>0</x:v>
      </x:c>
      <x:c r="T116" s="37" t="n">
        <x:v>0</x:v>
      </x:c>
      <x:c r="U116" s="37" t="n">
        <x:v>0</x:v>
      </x:c>
      <x:c r="V116" s="37" t="n">
        <x:v>0</x:v>
      </x:c>
      <x:c r="W116" s="37" t="n">
        <x:v>19294.608095103875</x:v>
      </x:c>
      <x:c r="X116" s="37" t="n">
        <x:v>0</x:v>
      </x:c>
      <x:c r="Y116" s="37" t="n">
        <x:v>1980.9034702887486</x:v>
      </x:c>
      <x:c r="Z116" s="37" t="n">
        <x:v>7944971.527232495</x:v>
      </x:c>
      <x:c r="AA116" s="37" t="n">
        <x:v>0</x:v>
      </x:c>
      <x:c r="AB116" s="37" t="n">
        <x:v>7944971.527232495</x:v>
      </x:c>
      <x:c r="AC116" s="37" t="n">
        <x:v>1329717.676904899</x:v>
      </x:c>
      <x:c r="AD116" s="37" t="n">
        <x:v>0</x:v>
      </x:c>
      <x:c r="AE116" s="37" t="n">
        <x:v>0</x:v>
      </x:c>
      <x:c r="AF116" s="47" t="b">
        <x:v>0</x:v>
      </x:c>
      <x:c r="AG116" s="47" t="b">
        <x:v>0</x:v>
      </x:c>
      <x:c r="AH116" s="48" t="n">
        <x:v>0</x:v>
      </x:c>
      <x:c r="AI116" s="48" t="n">
        <x:v>1.1920928955078125e-7</x:v>
      </x:c>
      <x:c r="AJ116" s="37" t="str">
        <x:v>passed</x:v>
      </x:c>
    </x:row>
    <x:row r="117" ht="21" customHeight="1">
      <x:c r="A117" s="2"/>
      <x:c r="B117" s="2"/>
      <x:c r="C117" s="2" t="str">
        <x:v>2022</x:v>
      </x:c>
      <x:c r="D117" s="5" t="n">
        <x:v>44602</x:v>
      </x:c>
      <x:c r="E117" s="2" t="str">
        <x:v>unweighted</x:v>
      </x:c>
      <x:c r="F117" s="37" t="n">
        <x:v>11986533.139629064</x:v>
      </x:c>
      <x:c r="G117" s="37" t="n">
        <x:v>960918.553687436</x:v>
      </x:c>
      <x:c r="H117" s="37" t="n">
        <x:v>22364.89500707265</x:v>
      </x:c>
      <x:c r="I117" s="37" t="n">
        <x:v>938553.6586803634</x:v>
      </x:c>
      <x:c r="J117" s="37" t="n">
        <x:v>11427504.963881</x:v>
      </x:c>
      <x:c r="K117" s="37" t="n">
        <x:v>10466586.410193564</x:v>
      </x:c>
      <x:c r="L117" s="37" t="n">
        <x:v>12947451.6933165</x:v>
      </x:c>
      <x:c r="M117" s="37" t="n">
        <x:v>0</x:v>
      </x:c>
      <x:c r="N117" s="37" t="n">
        <x:v>0</x:v>
      </x:c>
      <x:c r="O117" s="37" t="n">
        <x:v>656.7603495493531</x:v>
      </x:c>
      <x:c r="P117" s="37" t="n">
        <x:v>0</x:v>
      </x:c>
      <x:c r="Q117" s="37" t="n">
        <x:v>0</x:v>
      </x:c>
      <x:c r="R117" s="37" t="n">
        <x:v>0</x:v>
      </x:c>
      <x:c r="S117" s="37" t="n">
        <x:v>0</x:v>
      </x:c>
      <x:c r="T117" s="37" t="n">
        <x:v>0</x:v>
      </x:c>
      <x:c r="U117" s="37" t="n">
        <x:v>0</x:v>
      </x:c>
      <x:c r="V117" s="37" t="n">
        <x:v>0</x:v>
      </x:c>
      <x:c r="W117" s="37" t="n">
        <x:v>24911.205016668886</x:v>
      </x:c>
      <x:c r="X117" s="37" t="n">
        <x:v>0</x:v>
      </x:c>
      <x:c r="Y117" s="37" t="n">
        <x:v>2251.286974010922</x:v>
      </x:c>
      <x:c r="Z117" s="37" t="n">
        <x:v>10675918.138397437</x:v>
      </x:c>
      <x:c r="AA117" s="37" t="n">
        <x:v>0</x:v>
      </x:c>
      <x:c r="AB117" s="37" t="n">
        <x:v>10675918.138397437</x:v>
      </x:c>
      <x:c r="AC117" s="37" t="n">
        <x:v>1310615.0012316275</x:v>
      </x:c>
      <x:c r="AD117" s="37" t="n">
        <x:v>0</x:v>
      </x:c>
      <x:c r="AE117" s="37" t="n">
        <x:v>0</x:v>
      </x:c>
      <x:c r="AF117" s="47" t="b">
        <x:v>0</x:v>
      </x:c>
      <x:c r="AG117" s="47" t="b">
        <x:v>0</x:v>
      </x:c>
      <x:c r="AH117" s="48" t="n">
        <x:v>0</x:v>
      </x:c>
      <x:c r="AI117" s="48" t="n">
        <x:v>1.1920928955078125e-7</x:v>
      </x:c>
      <x:c r="AJ117" s="37" t="str">
        <x:v>passed</x:v>
      </x:c>
    </x:row>
    <x:row r="118" ht="21" customHeight="1">
      <x:c r="A118" s="2"/>
      <x:c r="B118" s="2"/>
      <x:c r="C118" s="2" t="str">
        <x:v>2022</x:v>
      </x:c>
      <x:c r="D118" s="5" t="n">
        <x:v>44602</x:v>
      </x:c>
      <x:c r="E118" s="2" t="str">
        <x:v>constrained</x:v>
      </x:c>
      <x:c r="F118" s="37" t="n">
        <x:v>13019404.995253142</x:v>
      </x:c>
      <x:c r="G118" s="37" t="n">
        <x:v>-45444.33270227808</x:v>
      </x:c>
      <x:c r="H118" s="37" t="n">
        <x:v>20097.48709086932</x:v>
      </x:c>
      <x:c r="I118" s="37" t="n">
        <x:v>-65541.8197931474</x:v>
      </x:c>
      <x:c r="J118" s="37" t="n">
        <x:v>11433229.773534283</x:v>
      </x:c>
      <x:c r="K118" s="37" t="n">
        <x:v>11478674.10623656</x:v>
      </x:c>
      <x:c r="L118" s="37" t="n">
        <x:v>12973960.662550865</x:v>
      </x:c>
      <x:c r="M118" s="37" t="n">
        <x:v>0</x:v>
      </x:c>
      <x:c r="N118" s="37" t="n">
        <x:v>0</x:v>
      </x:c>
      <x:c r="O118" s="37" t="n">
        <x:v>713.3529666997492</x:v>
      </x:c>
      <x:c r="P118" s="37" t="n">
        <x:v>0</x:v>
      </x:c>
      <x:c r="Q118" s="37" t="n">
        <x:v>0</x:v>
      </x:c>
      <x:c r="R118" s="37" t="n">
        <x:v>0</x:v>
      </x:c>
      <x:c r="S118" s="37" t="n">
        <x:v>0</x:v>
      </x:c>
      <x:c r="T118" s="37" t="n">
        <x:v>0</x:v>
      </x:c>
      <x:c r="U118" s="37" t="n">
        <x:v>0</x:v>
      </x:c>
      <x:c r="V118" s="37" t="n">
        <x:v>0</x:v>
      </x:c>
      <x:c r="W118" s="37" t="n">
        <x:v>27096.394502030686</x:v>
      </x:c>
      <x:c r="X118" s="37" t="n">
        <x:v>0</x:v>
      </x:c>
      <x:c r="Y118" s="37" t="n">
        <x:v>2359.6096771908306</x:v>
      </x:c>
      <x:c r="Z118" s="37" t="n">
        <x:v>11708247.588361291</x:v>
      </x:c>
      <x:c r="AA118" s="37" t="n">
        <x:v>0</x:v>
      </x:c>
      <x:c r="AB118" s="37" t="n">
        <x:v>11708247.588361291</x:v>
      </x:c>
      <x:c r="AC118" s="37" t="n">
        <x:v>1311157.4068918508</x:v>
      </x:c>
      <x:c r="AD118" s="37" t="n">
        <x:v>0</x:v>
      </x:c>
      <x:c r="AE118" s="37" t="n">
        <x:v>0</x:v>
      </x:c>
      <x:c r="AF118" s="47" t="b">
        <x:v>0</x:v>
      </x:c>
      <x:c r="AG118" s="47" t="b">
        <x:v>0</x:v>
      </x:c>
      <x:c r="AH118" s="48" t="n">
        <x:v>0</x:v>
      </x:c>
      <x:c r="AI118" s="48" t="n">
        <x:v>1.1920928955078125e-7</x:v>
      </x:c>
      <x:c r="AJ118" s="37" t="str">
        <x:v>passed</x:v>
      </x:c>
    </x:row>
    <x:row r="119" ht="21" customHeight="1">
      <x:c r="A119" s="2"/>
      <x:c r="B119" s="2"/>
      <x:c r="C119" s="2" t="str">
        <x:v>2022</x:v>
      </x:c>
      <x:c r="D119" s="5" t="n">
        <x:v>44603</x:v>
      </x:c>
      <x:c r="E119" s="2" t="str">
        <x:v>unhedged</x:v>
      </x:c>
      <x:c r="F119" s="37" t="n">
        <x:v>1201389.8228448476</x:v>
      </x:c>
      <x:c r="G119" s="37" t="n">
        <x:v>11500559.714832872</x:v>
      </x:c>
      <x:c r="H119" s="37" t="n">
        <x:v>51622.62791256305</x:v>
      </x:c>
      <x:c r="I119" s="37" t="n">
        <x:v>11448937.08692031</x:v>
      </x:c>
      <x:c r="J119" s="37" t="n">
        <x:v>11500559.714832872</x:v>
      </x:c>
      <x:c r="K119" s="37" t="n">
        <x:v>0</x:v>
      </x:c>
      <x:c r="L119" s="37" t="n">
        <x:v>12701949.53767772</x:v>
      </x:c>
      <x:c r="M119" s="37" t="n">
        <x:v>0</x:v>
      </x:c>
      <x:c r="N119" s="37" t="n">
        <x:v>0</x:v>
      </x:c>
      <x:c r="O119" s="37" t="n">
        <x:v>65.82597243157215</x:v>
      </x:c>
      <x:c r="P119" s="37" t="n">
        <x:v>0</x:v>
      </x:c>
      <x:c r="Q119" s="37" t="n">
        <x:v>0</x:v>
      </x:c>
      <x:c r="R119" s="37" t="n">
        <x:v>0</x:v>
      </x:c>
      <x:c r="S119" s="37" t="n">
        <x:v>0</x:v>
      </x:c>
      <x:c r="T119" s="37" t="n">
        <x:v>0</x:v>
      </x:c>
      <x:c r="U119" s="37" t="n">
        <x:v>0</x:v>
      </x:c>
      <x:c r="V119" s="37" t="n">
        <x:v>0</x:v>
      </x:c>
      <x:c r="W119" s="37" t="n">
        <x:v>2564.5421615731902</x:v>
      </x:c>
      <x:c r="X119" s="37" t="n">
        <x:v>0</x:v>
      </x:c>
      <x:c r="Y119" s="37" t="n">
        <x:v>1174.7193167256753</x:v>
      </x:c>
      <x:c r="Z119" s="37" t="n">
        <x:v>0</x:v>
      </x:c>
      <x:c r="AA119" s="37" t="n">
        <x:v>0</x:v>
      </x:c>
      <x:c r="AB119" s="37" t="n">
        <x:v>0</x:v>
      </x:c>
      <x:c r="AC119" s="37" t="n">
        <x:v>1201389.8228448476</x:v>
      </x:c>
      <x:c r="AD119" s="37" t="n">
        <x:v>0</x:v>
      </x:c>
      <x:c r="AE119" s="37" t="n">
        <x:v>0</x:v>
      </x:c>
      <x:c r="AF119" s="47" t="b">
        <x:v>0</x:v>
      </x:c>
      <x:c r="AG119" s="47" t="b">
        <x:v>0</x:v>
      </x:c>
      <x:c r="AH119" s="48" t="n">
        <x:v>0</x:v>
      </x:c>
      <x:c r="AI119" s="48" t="n">
        <x:v>1.1920928955078125e-7</x:v>
      </x:c>
      <x:c r="AJ119" s="37" t="str">
        <x:v>passed</x:v>
      </x:c>
    </x:row>
    <x:row r="120" ht="21" customHeight="1">
      <x:c r="A120" s="2"/>
      <x:c r="B120" s="2"/>
      <x:c r="C120" s="2" t="str">
        <x:v>2022</x:v>
      </x:c>
      <x:c r="D120" s="5" t="n">
        <x:v>44603</x:v>
      </x:c>
      <x:c r="E120" s="2" t="str">
        <x:v>duration</x:v>
      </x:c>
      <x:c r="F120" s="37" t="n">
        <x:v>9275197.40628557</x:v>
      </x:c>
      <x:c r="G120" s="37" t="n">
        <x:v>3641745.945128099</x:v>
      </x:c>
      <x:c r="H120" s="37" t="n">
        <x:v>23921.269398307646</x:v>
      </x:c>
      <x:c r="I120" s="37" t="n">
        <x:v>3617824.6757297916</x:v>
      </x:c>
      <x:c r="J120" s="37" t="n">
        <x:v>11500559.714832872</x:v>
      </x:c>
      <x:c r="K120" s="37" t="n">
        <x:v>7858813.769704773</x:v>
      </x:c>
      <x:c r="L120" s="37" t="n">
        <x:v>12916943.351413667</x:v>
      </x:c>
      <x:c r="M120" s="37" t="n">
        <x:v>0</x:v>
      </x:c>
      <x:c r="N120" s="37" t="n">
        <x:v>0</x:v>
      </x:c>
      <x:c r="O120" s="37" t="n">
        <x:v>508.20214817486703</x:v>
      </x:c>
      <x:c r="P120" s="37" t="n">
        <x:v>0</x:v>
      </x:c>
      <x:c r="Q120" s="37" t="n">
        <x:v>0</x:v>
      </x:c>
      <x:c r="R120" s="37" t="n">
        <x:v>0</x:v>
      </x:c>
      <x:c r="S120" s="37" t="n">
        <x:v>0</x:v>
      </x:c>
      <x:c r="T120" s="37" t="n">
        <x:v>0</x:v>
      </x:c>
      <x:c r="U120" s="37" t="n">
        <x:v>0</x:v>
      </x:c>
      <x:c r="V120" s="37" t="n">
        <x:v>0</x:v>
      </x:c>
      <x:c r="W120" s="37" t="n">
        <x:v>19802.810243278742</x:v>
      </x:c>
      <x:c r="X120" s="37" t="n">
        <x:v>0</x:v>
      </x:c>
      <x:c r="Y120" s="37" t="n">
        <x:v>1980.9034702887486</x:v>
      </x:c>
      <x:c r="Z120" s="37" t="n">
        <x:v>8015990.045098869</x:v>
      </x:c>
      <x:c r="AA120" s="37" t="n">
        <x:v>0</x:v>
      </x:c>
      <x:c r="AB120" s="37" t="n">
        <x:v>8015990.045098869</x:v>
      </x:c>
      <x:c r="AC120" s="37" t="n">
        <x:v>1259207.3611867</x:v>
      </x:c>
      <x:c r="AD120" s="37" t="n">
        <x:v>0</x:v>
      </x:c>
      <x:c r="AE120" s="37" t="n">
        <x:v>0</x:v>
      </x:c>
      <x:c r="AF120" s="47" t="b">
        <x:v>0</x:v>
      </x:c>
      <x:c r="AG120" s="47" t="b">
        <x:v>0</x:v>
      </x:c>
      <x:c r="AH120" s="48" t="n">
        <x:v>0</x:v>
      </x:c>
      <x:c r="AI120" s="48" t="n">
        <x:v>1.1920928955078125e-7</x:v>
      </x:c>
      <x:c r="AJ120" s="37" t="str">
        <x:v>passed</x:v>
      </x:c>
    </x:row>
    <x:row r="121" ht="21" customHeight="1">
      <x:c r="A121" s="2"/>
      <x:c r="B121" s="2"/>
      <x:c r="C121" s="2" t="str">
        <x:v>2022</x:v>
      </x:c>
      <x:c r="D121" s="5" t="n">
        <x:v>44603</x:v>
      </x:c>
      <x:c r="E121" s="2" t="str">
        <x:v>unweighted</x:v>
      </x:c>
      <x:c r="F121" s="37" t="n">
        <x:v>11987189.935965484</x:v>
      </x:c>
      <x:c r="G121" s="37" t="n">
        <x:v>966105.1976656372</x:v>
      </x:c>
      <x:c r="H121" s="37" t="n">
        <x:v>22354.808496374724</x:v>
      </x:c>
      <x:c r="I121" s="37" t="n">
        <x:v>943750.3891692625</x:v>
      </x:c>
      <x:c r="J121" s="37" t="n">
        <x:v>11500559.714832872</x:v>
      </x:c>
      <x:c r="K121" s="37" t="n">
        <x:v>10534454.517167235</x:v>
      </x:c>
      <x:c r="L121" s="37" t="n">
        <x:v>12953295.133631121</x:v>
      </x:c>
      <x:c r="M121" s="37" t="n">
        <x:v>0</x:v>
      </x:c>
      <x:c r="N121" s="37" t="n">
        <x:v>0</x:v>
      </x:c>
      <x:c r="O121" s="37" t="n">
        <x:v>656.7963364198804</x:v>
      </x:c>
      <x:c r="P121" s="37" t="n">
        <x:v>0</x:v>
      </x:c>
      <x:c r="Q121" s="37" t="n">
        <x:v>0</x:v>
      </x:c>
      <x:c r="R121" s="37" t="n">
        <x:v>0</x:v>
      </x:c>
      <x:c r="S121" s="37" t="n">
        <x:v>0</x:v>
      </x:c>
      <x:c r="T121" s="37" t="n">
        <x:v>0</x:v>
      </x:c>
      <x:c r="U121" s="37" t="n">
        <x:v>0</x:v>
      </x:c>
      <x:c r="V121" s="37" t="n">
        <x:v>0</x:v>
      </x:c>
      <x:c r="W121" s="37" t="n">
        <x:v>25568.001353088766</x:v>
      </x:c>
      <x:c r="X121" s="37" t="n">
        <x:v>0</x:v>
      </x:c>
      <x:c r="Y121" s="37" t="n">
        <x:v>2251.286974010922</x:v>
      </x:c>
      <x:c r="Z121" s="37" t="n">
        <x:v>10745143.60751058</x:v>
      </x:c>
      <x:c r="AA121" s="37" t="n">
        <x:v>0</x:v>
      </x:c>
      <x:c r="AB121" s="37" t="n">
        <x:v>10745143.60751058</x:v>
      </x:c>
      <x:c r="AC121" s="37" t="n">
        <x:v>1242046.3284549043</x:v>
      </x:c>
      <x:c r="AD121" s="37" t="n">
        <x:v>0</x:v>
      </x:c>
      <x:c r="AE121" s="37" t="n">
        <x:v>0</x:v>
      </x:c>
      <x:c r="AF121" s="47" t="b">
        <x:v>0</x:v>
      </x:c>
      <x:c r="AG121" s="47" t="b">
        <x:v>0</x:v>
      </x:c>
      <x:c r="AH121" s="48" t="n">
        <x:v>0</x:v>
      </x:c>
      <x:c r="AI121" s="48" t="n">
        <x:v>1.1920928955078125e-7</x:v>
      </x:c>
      <x:c r="AJ121" s="37" t="str">
        <x:v>passed</x:v>
      </x:c>
    </x:row>
    <x:row r="122" ht="21" customHeight="1">
      <x:c r="A122" s="2"/>
      <x:c r="B122" s="2"/>
      <x:c r="C122" s="2" t="str">
        <x:v>2022</x:v>
      </x:c>
      <x:c r="D122" s="5" t="n">
        <x:v>44603</x:v>
      </x:c>
      <x:c r="E122" s="2" t="str">
        <x:v>constrained</x:v>
      </x:c>
      <x:c r="F122" s="37" t="n">
        <x:v>13020118.387307677</x:v>
      </x:c>
      <x:c r="G122" s="37" t="n">
        <x:v>-45182.8662611638</x:v>
      </x:c>
      <x:c r="H122" s="37" t="n">
        <x:v>20057.663042656117</x:v>
      </x:c>
      <x:c r="I122" s="37" t="n">
        <x:v>-65240.529303819916</x:v>
      </x:c>
      <x:c r="J122" s="37" t="n">
        <x:v>11506347.300550653</x:v>
      </x:c>
      <x:c r="K122" s="37" t="n">
        <x:v>11551530.166811816</x:v>
      </x:c>
      <x:c r="L122" s="37" t="n">
        <x:v>12974935.521046514</x:v>
      </x:c>
      <x:c r="M122" s="37" t="n">
        <x:v>0</x:v>
      </x:c>
      <x:c r="N122" s="37" t="n">
        <x:v>0</x:v>
      </x:c>
      <x:c r="O122" s="37" t="n">
        <x:v>713.3920545354486</x:v>
      </x:c>
      <x:c r="P122" s="37" t="n">
        <x:v>0</x:v>
      </x:c>
      <x:c r="Q122" s="37" t="n">
        <x:v>0</x:v>
      </x:c>
      <x:c r="R122" s="37" t="n">
        <x:v>0</x:v>
      </x:c>
      <x:c r="S122" s="37" t="n">
        <x:v>0</x:v>
      </x:c>
      <x:c r="T122" s="37" t="n">
        <x:v>0</x:v>
      </x:c>
      <x:c r="U122" s="37" t="n">
        <x:v>0</x:v>
      </x:c>
      <x:c r="V122" s="37" t="n">
        <x:v>0</x:v>
      </x:c>
      <x:c r="W122" s="37" t="n">
        <x:v>27809.786556566134</x:v>
      </x:c>
      <x:c r="X122" s="37" t="n">
        <x:v>0</x:v>
      </x:c>
      <x:c r="Y122" s="37" t="n">
        <x:v>2359.6096771908306</x:v>
      </x:c>
      <x:c r="Z122" s="37" t="n">
        <x:v>11782560.770148054</x:v>
      </x:c>
      <x:c r="AA122" s="37" t="n">
        <x:v>0</x:v>
      </x:c>
      <x:c r="AB122" s="37" t="n">
        <x:v>11782560.770148054</x:v>
      </x:c>
      <x:c r="AC122" s="37" t="n">
        <x:v>1237557.6171596237</x:v>
      </x:c>
      <x:c r="AD122" s="37" t="n">
        <x:v>0</x:v>
      </x:c>
      <x:c r="AE122" s="37" t="n">
        <x:v>0</x:v>
      </x:c>
      <x:c r="AF122" s="47" t="b">
        <x:v>0</x:v>
      </x:c>
      <x:c r="AG122" s="47" t="b">
        <x:v>0</x:v>
      </x:c>
      <x:c r="AH122" s="48" t="n">
        <x:v>0</x:v>
      </x:c>
      <x:c r="AI122" s="48" t="n">
        <x:v>1.1920928955078125e-7</x:v>
      </x:c>
      <x:c r="AJ122" s="37" t="str">
        <x:v>passed</x:v>
      </x:c>
    </x:row>
    <x:row r="123" ht="21" customHeight="1">
      <x:c r="A123" s="2"/>
      <x:c r="B123" s="2"/>
      <x:c r="C123" s="2" t="str">
        <x:v>2022</x:v>
      </x:c>
      <x:c r="D123" s="5" t="n">
        <x:v>44606</x:v>
      </x:c>
      <x:c r="E123" s="2" t="str">
        <x:v>unhedged</x:v>
      </x:c>
      <x:c r="F123" s="37" t="n">
        <x:v>1201587.3224043478</x:v>
      </x:c>
      <x:c r="G123" s="37" t="n">
        <x:v>11455881.015231833</x:v>
      </x:c>
      <x:c r="H123" s="37" t="n">
        <x:v>52669.12382896949</x:v>
      </x:c>
      <x:c r="I123" s="37" t="n">
        <x:v>11403211.891402863</x:v>
      </x:c>
      <x:c r="J123" s="37" t="n">
        <x:v>11455881.015231833</x:v>
      </x:c>
      <x:c r="K123" s="37" t="n">
        <x:v>0</x:v>
      </x:c>
      <x:c r="L123" s="37" t="n">
        <x:v>12657468.33763618</x:v>
      </x:c>
      <x:c r="M123" s="37" t="n">
        <x:v>0</x:v>
      </x:c>
      <x:c r="N123" s="37" t="n">
        <x:v>0</x:v>
      </x:c>
      <x:c r="O123" s="37" t="n">
        <x:v>197.4995595002547</x:v>
      </x:c>
      <x:c r="P123" s="37" t="n">
        <x:v>0</x:v>
      </x:c>
      <x:c r="Q123" s="37" t="n">
        <x:v>0</x:v>
      </x:c>
      <x:c r="R123" s="37" t="n">
        <x:v>0</x:v>
      </x:c>
      <x:c r="S123" s="37" t="n">
        <x:v>0</x:v>
      </x:c>
      <x:c r="T123" s="37" t="n">
        <x:v>0</x:v>
      </x:c>
      <x:c r="U123" s="37" t="n">
        <x:v>0</x:v>
      </x:c>
      <x:c r="V123" s="37" t="n">
        <x:v>0</x:v>
      </x:c>
      <x:c r="W123" s="37" t="n">
        <x:v>2762.041721073445</x:v>
      </x:c>
      <x:c r="X123" s="37" t="n">
        <x:v>0</x:v>
      </x:c>
      <x:c r="Y123" s="37" t="n">
        <x:v>1174.7193167256753</x:v>
      </x:c>
      <x:c r="Z123" s="37" t="n">
        <x:v>0</x:v>
      </x:c>
      <x:c r="AA123" s="37" t="n">
        <x:v>0</x:v>
      </x:c>
      <x:c r="AB123" s="37" t="n">
        <x:v>0</x:v>
      </x:c>
      <x:c r="AC123" s="37" t="n">
        <x:v>1201587.3224043478</x:v>
      </x:c>
      <x:c r="AD123" s="37" t="n">
        <x:v>0</x:v>
      </x:c>
      <x:c r="AE123" s="37" t="n">
        <x:v>0</x:v>
      </x:c>
      <x:c r="AF123" s="47" t="b">
        <x:v>0</x:v>
      </x:c>
      <x:c r="AG123" s="47" t="b">
        <x:v>0</x:v>
      </x:c>
      <x:c r="AH123" s="48" t="n">
        <x:v>0</x:v>
      </x:c>
      <x:c r="AI123" s="48" t="n">
        <x:v>1.1920928955078125e-7</x:v>
      </x:c>
      <x:c r="AJ123" s="37" t="str">
        <x:v>passed</x:v>
      </x:c>
    </x:row>
    <x:row r="124" ht="21" customHeight="1">
      <x:c r="A124" s="2"/>
      <x:c r="B124" s="2"/>
      <x:c r="C124" s="2" t="str">
        <x:v>2022</x:v>
      </x:c>
      <x:c r="D124" s="5" t="n">
        <x:v>44606</x:v>
      </x:c>
      <x:c r="E124" s="2" t="str">
        <x:v>duration</x:v>
      </x:c>
      <x:c r="F124" s="37" t="n">
        <x:v>9276722.179816347</x:v>
      </x:c>
      <x:c r="G124" s="37" t="n">
        <x:v>3640318.3117305376</x:v>
      </x:c>
      <x:c r="H124" s="37" t="n">
        <x:v>24023.400819909923</x:v>
      </x:c>
      <x:c r="I124" s="37" t="n">
        <x:v>3616294.910910628</x:v>
      </x:c>
      <x:c r="J124" s="37" t="n">
        <x:v>11455881.015231833</x:v>
      </x:c>
      <x:c r="K124" s="37" t="n">
        <x:v>7815562.703501294</x:v>
      </x:c>
      <x:c r="L124" s="37" t="n">
        <x:v>12917040.491546884</x:v>
      </x:c>
      <x:c r="M124" s="37" t="n">
        <x:v>0</x:v>
      </x:c>
      <x:c r="N124" s="37" t="n">
        <x:v>0</x:v>
      </x:c>
      <x:c r="O124" s="37" t="n">
        <x:v>1524.7735307775438</x:v>
      </x:c>
      <x:c r="P124" s="37" t="n">
        <x:v>0</x:v>
      </x:c>
      <x:c r="Q124" s="37" t="n">
        <x:v>0</x:v>
      </x:c>
      <x:c r="R124" s="37" t="n">
        <x:v>0</x:v>
      </x:c>
      <x:c r="S124" s="37" t="n">
        <x:v>0</x:v>
      </x:c>
      <x:c r="T124" s="37" t="n">
        <x:v>0</x:v>
      </x:c>
      <x:c r="U124" s="37" t="n">
        <x:v>0</x:v>
      </x:c>
      <x:c r="V124" s="37" t="n">
        <x:v>0</x:v>
      </x:c>
      <x:c r="W124" s="37" t="n">
        <x:v>21327.583774056286</x:v>
      </x:c>
      <x:c r="X124" s="37" t="n">
        <x:v>0</x:v>
      </x:c>
      <x:c r="Y124" s="37" t="n">
        <x:v>1980.9034702887486</x:v>
      </x:c>
      <x:c r="Z124" s="37" t="n">
        <x:v>7971873.95757132</x:v>
      </x:c>
      <x:c r="AA124" s="37" t="n">
        <x:v>0</x:v>
      </x:c>
      <x:c r="AB124" s="37" t="n">
        <x:v>7971873.95757132</x:v>
      </x:c>
      <x:c r="AC124" s="37" t="n">
        <x:v>1304848.2222450264</x:v>
      </x:c>
      <x:c r="AD124" s="37" t="n">
        <x:v>0</x:v>
      </x:c>
      <x:c r="AE124" s="37" t="n">
        <x:v>0</x:v>
      </x:c>
      <x:c r="AF124" s="47" t="b">
        <x:v>0</x:v>
      </x:c>
      <x:c r="AG124" s="47" t="b">
        <x:v>0</x:v>
      </x:c>
      <x:c r="AH124" s="48" t="n">
        <x:v>0</x:v>
      </x:c>
      <x:c r="AI124" s="48" t="n">
        <x:v>1.1920928955078125e-7</x:v>
      </x:c>
      <x:c r="AJ124" s="37" t="str">
        <x:v>passed</x:v>
      </x:c>
    </x:row>
    <x:row r="125" ht="21" customHeight="1">
      <x:c r="A125" s="2"/>
      <x:c r="B125" s="2"/>
      <x:c r="C125" s="2" t="str">
        <x:v>2022</x:v>
      </x:c>
      <x:c r="D125" s="5" t="n">
        <x:v>44606</x:v>
      </x:c>
      <x:c r="E125" s="2" t="str">
        <x:v>unweighted</x:v>
      </x:c>
      <x:c r="F125" s="37" t="n">
        <x:v>11989160.54091567</x:v>
      </x:c>
      <x:c r="G125" s="37" t="n">
        <x:v>963173.4054373307</x:v>
      </x:c>
      <x:c r="H125" s="37" t="n">
        <x:v>22324.548964280944</x:v>
      </x:c>
      <x:c r="I125" s="37" t="n">
        <x:v>940848.8564730497</x:v>
      </x:c>
      <x:c r="J125" s="37" t="n">
        <x:v>11455881.015231833</x:v>
      </x:c>
      <x:c r="K125" s="37" t="n">
        <x:v>10492707.609794501</x:v>
      </x:c>
      <x:c r="L125" s="37" t="n">
        <x:v>12952333.946353</x:v>
      </x:c>
      <x:c r="M125" s="37" t="n">
        <x:v>0</x:v>
      </x:c>
      <x:c r="N125" s="37" t="n">
        <x:v>0</x:v>
      </x:c>
      <x:c r="O125" s="37" t="n">
        <x:v>1970.6049501858652</x:v>
      </x:c>
      <x:c r="P125" s="37" t="n">
        <x:v>0</x:v>
      </x:c>
      <x:c r="Q125" s="37" t="n">
        <x:v>0</x:v>
      </x:c>
      <x:c r="R125" s="37" t="n">
        <x:v>0</x:v>
      </x:c>
      <x:c r="S125" s="37" t="n">
        <x:v>0</x:v>
      </x:c>
      <x:c r="T125" s="37" t="n">
        <x:v>0</x:v>
      </x:c>
      <x:c r="U125" s="37" t="n">
        <x:v>0</x:v>
      </x:c>
      <x:c r="V125" s="37" t="n">
        <x:v>0</x:v>
      </x:c>
      <x:c r="W125" s="37" t="n">
        <x:v>27538.60630327463</x:v>
      </x:c>
      <x:c r="X125" s="37" t="n">
        <x:v>0</x:v>
      </x:c>
      <x:c r="Y125" s="37" t="n">
        <x:v>2251.286974010922</x:v>
      </x:c>
      <x:c r="Z125" s="37" t="n">
        <x:v>10702561.76199039</x:v>
      </x:c>
      <x:c r="AA125" s="37" t="n">
        <x:v>0</x:v>
      </x:c>
      <x:c r="AB125" s="37" t="n">
        <x:v>10702561.76199039</x:v>
      </x:c>
      <x:c r="AC125" s="37" t="n">
        <x:v>1286598.7789252792</x:v>
      </x:c>
      <x:c r="AD125" s="37" t="n">
        <x:v>0</x:v>
      </x:c>
      <x:c r="AE125" s="37" t="n">
        <x:v>0</x:v>
      </x:c>
      <x:c r="AF125" s="47" t="b">
        <x:v>0</x:v>
      </x:c>
      <x:c r="AG125" s="47" t="b">
        <x:v>0</x:v>
      </x:c>
      <x:c r="AH125" s="48" t="n">
        <x:v>0</x:v>
      </x:c>
      <x:c r="AI125" s="48" t="n">
        <x:v>1.1920928955078125e-7</x:v>
      </x:c>
      <x:c r="AJ125" s="37" t="str">
        <x:v>passed</x:v>
      </x:c>
    </x:row>
    <x:row r="126" ht="21" customHeight="1">
      <x:c r="A126" s="2"/>
      <x:c r="B126" s="2"/>
      <x:c r="C126" s="2" t="str">
        <x:v>2022</x:v>
      </x:c>
      <x:c r="D126" s="5" t="n">
        <x:v>44606</x:v>
      </x:c>
      <x:c r="E126" s="2" t="str">
        <x:v>constrained</x:v>
      </x:c>
      <x:c r="F126" s="37" t="n">
        <x:v>13022258.798019705</x:v>
      </x:c>
      <x:c r="G126" s="37" t="n">
        <x:v>-45055.31991142832</x:v>
      </x:c>
      <x:c r="H126" s="37" t="n">
        <x:v>19938.190898016503</x:v>
      </x:c>
      <x:c r="I126" s="37" t="n">
        <x:v>-64993.51080944482</x:v>
      </x:c>
      <x:c r="J126" s="37" t="n">
        <x:v>11461618.579527462</x:v>
      </x:c>
      <x:c r="K126" s="37" t="n">
        <x:v>11506673.89943889</x:v>
      </x:c>
      <x:c r="L126" s="37" t="n">
        <x:v>12977203.478108278</x:v>
      </x:c>
      <x:c r="M126" s="37" t="n">
        <x:v>0</x:v>
      </x:c>
      <x:c r="N126" s="37" t="n">
        <x:v>0</x:v>
      </x:c>
      <x:c r="O126" s="37" t="n">
        <x:v>2140.4107120279223</x:v>
      </x:c>
      <x:c r="P126" s="37" t="n">
        <x:v>0</x:v>
      </x:c>
      <x:c r="Q126" s="37" t="n">
        <x:v>0</x:v>
      </x:c>
      <x:c r="R126" s="37" t="n">
        <x:v>0</x:v>
      </x:c>
      <x:c r="S126" s="37" t="n">
        <x:v>0</x:v>
      </x:c>
      <x:c r="T126" s="37" t="n">
        <x:v>0</x:v>
      </x:c>
      <x:c r="U126" s="37" t="n">
        <x:v>0</x:v>
      </x:c>
      <x:c r="V126" s="37" t="n">
        <x:v>0</x:v>
      </x:c>
      <x:c r="W126" s="37" t="n">
        <x:v>29950.197268594056</x:v>
      </x:c>
      <x:c r="X126" s="37" t="n">
        <x:v>0</x:v>
      </x:c>
      <x:c r="Y126" s="37" t="n">
        <x:v>2359.6096771908306</x:v>
      </x:c>
      <x:c r="Z126" s="37" t="n">
        <x:v>11736807.377427667</x:v>
      </x:c>
      <x:c r="AA126" s="37" t="n">
        <x:v>0</x:v>
      </x:c>
      <x:c r="AB126" s="37" t="n">
        <x:v>11736807.377427667</x:v>
      </x:c>
      <x:c r="AC126" s="37" t="n">
        <x:v>1285451.420592038</x:v>
      </x:c>
      <x:c r="AD126" s="37" t="n">
        <x:v>0</x:v>
      </x:c>
      <x:c r="AE126" s="37" t="n">
        <x:v>0</x:v>
      </x:c>
      <x:c r="AF126" s="47" t="b">
        <x:v>0</x:v>
      </x:c>
      <x:c r="AG126" s="47" t="b">
        <x:v>0</x:v>
      </x:c>
      <x:c r="AH126" s="48" t="n">
        <x:v>0</x:v>
      </x:c>
      <x:c r="AI126" s="48" t="n">
        <x:v>1.1920928955078125e-7</x:v>
      </x:c>
      <x:c r="AJ126" s="37" t="str">
        <x:v>passed</x:v>
      </x:c>
    </x:row>
    <x:row r="127" ht="21" customHeight="1">
      <x:c r="A127" s="2"/>
      <x:c r="B127" s="2"/>
      <x:c r="C127" s="2" t="str">
        <x:v>2022</x:v>
      </x:c>
      <x:c r="D127" s="5" t="n">
        <x:v>44607</x:v>
      </x:c>
      <x:c r="E127" s="2" t="str">
        <x:v>unhedged</x:v>
      </x:c>
      <x:c r="F127" s="37" t="n">
        <x:v>1239153.1628055754</x:v>
      </x:c>
      <x:c r="G127" s="37" t="n">
        <x:v>11384502.013812538</x:v>
      </x:c>
      <x:c r="H127" s="37" t="n">
        <x:v>15517.95580110497</x:v>
      </x:c>
      <x:c r="I127" s="37" t="n">
        <x:v>11368984.058011433</x:v>
      </x:c>
      <x:c r="J127" s="37" t="n">
        <x:v>11384502.013812538</x:v>
      </x:c>
      <x:c r="K127" s="37" t="n">
        <x:v>0</x:v>
      </x:c>
      <x:c r="L127" s="37" t="n">
        <x:v>12623655.176618114</x:v>
      </x:c>
      <x:c r="M127" s="37" t="n">
        <x:v>37500</x:v>
      </x:c>
      <x:c r="N127" s="37" t="n">
        <x:v>0</x:v>
      </x:c>
      <x:c r="O127" s="37" t="n">
        <x:v>65.84040122758597</x:v>
      </x:c>
      <x:c r="P127" s="37" t="n">
        <x:v>0</x:v>
      </x:c>
      <x:c r="Q127" s="37" t="n">
        <x:v>0</x:v>
      </x:c>
      <x:c r="R127" s="37" t="n">
        <x:v>0</x:v>
      </x:c>
      <x:c r="S127" s="37" t="n">
        <x:v>0</x:v>
      </x:c>
      <x:c r="T127" s="37" t="n">
        <x:v>0</x:v>
      </x:c>
      <x:c r="U127" s="37" t="n">
        <x:v>37500</x:v>
      </x:c>
      <x:c r="V127" s="37" t="n">
        <x:v>0</x:v>
      </x:c>
      <x:c r="W127" s="37" t="n">
        <x:v>2827.882122301031</x:v>
      </x:c>
      <x:c r="X127" s="37" t="n">
        <x:v>0</x:v>
      </x:c>
      <x:c r="Y127" s="37" t="n">
        <x:v>1174.7193167256753</x:v>
      </x:c>
      <x:c r="Z127" s="37" t="n">
        <x:v>0</x:v>
      </x:c>
      <x:c r="AA127" s="37" t="n">
        <x:v>0</x:v>
      </x:c>
      <x:c r="AB127" s="37" t="n">
        <x:v>0</x:v>
      </x:c>
      <x:c r="AC127" s="37" t="n">
        <x:v>1239153.1628055754</x:v>
      </x:c>
      <x:c r="AD127" s="37" t="n">
        <x:v>0</x:v>
      </x:c>
      <x:c r="AE127" s="37" t="n">
        <x:v>0</x:v>
      </x:c>
      <x:c r="AF127" s="47" t="b">
        <x:v>0</x:v>
      </x:c>
      <x:c r="AG127" s="47" t="b">
        <x:v>0</x:v>
      </x:c>
      <x:c r="AH127" s="48" t="n">
        <x:v>0</x:v>
      </x:c>
      <x:c r="AI127" s="48" t="n">
        <x:v>1.1920928955078125e-7</x:v>
      </x:c>
      <x:c r="AJ127" s="37" t="str">
        <x:v>passed</x:v>
      </x:c>
    </x:row>
    <x:row r="128" ht="21" customHeight="1">
      <x:c r="A128" s="2"/>
      <x:c r="B128" s="2"/>
      <x:c r="C128" s="2" t="str">
        <x:v>2022</x:v>
      </x:c>
      <x:c r="D128" s="5" t="n">
        <x:v>44607</x:v>
      </x:c>
      <x:c r="E128" s="2" t="str">
        <x:v>duration</x:v>
      </x:c>
      <x:c r="F128" s="37" t="n">
        <x:v>9314730.493360449</x:v>
      </x:c>
      <x:c r="G128" s="37" t="n">
        <x:v>3611315.3707828447</x:v>
      </x:c>
      <x:c r="H128" s="37" t="n">
        <x:v>-13442.555372889321</x:v>
      </x:c>
      <x:c r="I128" s="37" t="n">
        <x:v>3624757.926155734</x:v>
      </x:c>
      <x:c r="J128" s="37" t="n">
        <x:v>11384502.013812538</x:v>
      </x:c>
      <x:c r="K128" s="37" t="n">
        <x:v>7773186.643029693</x:v>
      </x:c>
      <x:c r="L128" s="37" t="n">
        <x:v>12926045.864143293</x:v>
      </x:c>
      <x:c r="M128" s="37" t="n">
        <x:v>37500</x:v>
      </x:c>
      <x:c r="N128" s="37" t="n">
        <x:v>0</x:v>
      </x:c>
      <x:c r="O128" s="37" t="n">
        <x:v>508.3135441020131</x:v>
      </x:c>
      <x:c r="P128" s="37" t="n">
        <x:v>0</x:v>
      </x:c>
      <x:c r="Q128" s="37" t="n">
        <x:v>0</x:v>
      </x:c>
      <x:c r="R128" s="37" t="n">
        <x:v>0</x:v>
      </x:c>
      <x:c r="S128" s="37" t="n">
        <x:v>0</x:v>
      </x:c>
      <x:c r="T128" s="37" t="n">
        <x:v>0</x:v>
      </x:c>
      <x:c r="U128" s="37" t="n">
        <x:v>37500</x:v>
      </x:c>
      <x:c r="V128" s="37" t="n">
        <x:v>0</x:v>
      </x:c>
      <x:c r="W128" s="37" t="n">
        <x:v>21835.8973181583</x:v>
      </x:c>
      <x:c r="X128" s="37" t="n">
        <x:v>0</x:v>
      </x:c>
      <x:c r="Y128" s="37" t="n">
        <x:v>1980.9034702887486</x:v>
      </x:c>
      <x:c r="Z128" s="37" t="n">
        <x:v>7928650.375890287</x:v>
      </x:c>
      <x:c r="AA128" s="37" t="n">
        <x:v>0</x:v>
      </x:c>
      <x:c r="AB128" s="37" t="n">
        <x:v>7928650.375890287</x:v>
      </x:c>
      <x:c r="AC128" s="37" t="n">
        <x:v>1386080.117470162</x:v>
      </x:c>
      <x:c r="AD128" s="37" t="n">
        <x:v>0</x:v>
      </x:c>
      <x:c r="AE128" s="37" t="n">
        <x:v>0</x:v>
      </x:c>
      <x:c r="AF128" s="47" t="b">
        <x:v>0</x:v>
      </x:c>
      <x:c r="AG128" s="47" t="b">
        <x:v>0</x:v>
      </x:c>
      <x:c r="AH128" s="48" t="n">
        <x:v>0</x:v>
      </x:c>
      <x:c r="AI128" s="48" t="n">
        <x:v>1.1920928955078125e-7</x:v>
      </x:c>
      <x:c r="AJ128" s="37" t="str">
        <x:v>passed</x:v>
      </x:c>
    </x:row>
    <x:row r="129" ht="21" customHeight="1">
      <x:c r="A129" s="2"/>
      <x:c r="B129" s="2"/>
      <x:c r="C129" s="2" t="str">
        <x:v>2022</x:v>
      </x:c>
      <x:c r="D129" s="5" t="n">
        <x:v>44607</x:v>
      </x:c>
      <x:c r="E129" s="2" t="str">
        <x:v>unweighted</x:v>
      </x:c>
      <x:c r="F129" s="37" t="n">
        <x:v>12027317.481219284</x:v>
      </x:c>
      <x:c r="G129" s="37" t="n">
        <x:v>923829.0074245878</x:v>
      </x:c>
      <x:c r="H129" s="37" t="n">
        <x:v>-15185.537546416976</x:v>
      </x:c>
      <x:c r="I129" s="37" t="n">
        <x:v>939014.5449710048</x:v>
      </x:c>
      <x:c r="J129" s="37" t="n">
        <x:v>11384502.013812538</x:v>
      </x:c>
      <x:c r="K129" s="37" t="n">
        <x:v>10460673.006387949</x:v>
      </x:c>
      <x:c r="L129" s="37" t="n">
        <x:v>12951146.488643872</x:v>
      </x:c>
      <x:c r="M129" s="37" t="n">
        <x:v>37500</x:v>
      </x:c>
      <x:c r="N129" s="37" t="n">
        <x:v>0</x:v>
      </x:c>
      <x:c r="O129" s="37" t="n">
        <x:v>656.9403036143631</x:v>
      </x:c>
      <x:c r="P129" s="37" t="n">
        <x:v>0</x:v>
      </x:c>
      <x:c r="Q129" s="37" t="n">
        <x:v>0</x:v>
      </x:c>
      <x:c r="R129" s="37" t="n">
        <x:v>0</x:v>
      </x:c>
      <x:c r="S129" s="37" t="n">
        <x:v>0</x:v>
      </x:c>
      <x:c r="T129" s="37" t="n">
        <x:v>0</x:v>
      </x:c>
      <x:c r="U129" s="37" t="n">
        <x:v>37500</x:v>
      </x:c>
      <x:c r="V129" s="37" t="n">
        <x:v>0</x:v>
      </x:c>
      <x:c r="W129" s="37" t="n">
        <x:v>28195.546606888995</x:v>
      </x:c>
      <x:c r="X129" s="37" t="n">
        <x:v>0</x:v>
      </x:c>
      <x:c r="Y129" s="37" t="n">
        <x:v>2251.286974010922</x:v>
      </x:c>
      <x:c r="Z129" s="37" t="n">
        <x:v>10669886.466515709</x:v>
      </x:c>
      <x:c r="AA129" s="37" t="n">
        <x:v>0</x:v>
      </x:c>
      <x:c r="AB129" s="37" t="n">
        <x:v>10669886.466515709</x:v>
      </x:c>
      <x:c r="AC129" s="37" t="n">
        <x:v>1357431.0147035755</x:v>
      </x:c>
      <x:c r="AD129" s="37" t="n">
        <x:v>0</x:v>
      </x:c>
      <x:c r="AE129" s="37" t="n">
        <x:v>0</x:v>
      </x:c>
      <x:c r="AF129" s="47" t="b">
        <x:v>0</x:v>
      </x:c>
      <x:c r="AG129" s="47" t="b">
        <x:v>0</x:v>
      </x:c>
      <x:c r="AH129" s="48" t="n">
        <x:v>0</x:v>
      </x:c>
      <x:c r="AI129" s="48" t="n">
        <x:v>1.1920928955078125e-7</x:v>
      </x:c>
      <x:c r="AJ129" s="37" t="str">
        <x:v>passed</x:v>
      </x:c>
    </x:row>
    <x:row r="130" ht="21" customHeight="1">
      <x:c r="A130" s="2"/>
      <x:c r="B130" s="2"/>
      <x:c r="C130" s="2" t="str">
        <x:v>2022</x:v>
      </x:c>
      <x:c r="D130" s="5" t="n">
        <x:v>44607</x:v>
      </x:c>
      <x:c r="E130" s="2" t="str">
        <x:v>constrained</x:v>
      </x:c>
      <x:c r="F130" s="37" t="n">
        <x:v>13060472.346446997</x:v>
      </x:c>
      <x:c r="G130" s="37" t="n">
        <x:v>-82731.6990630842</x:v>
      </x:c>
      <x:c r="H130" s="37" t="n">
        <x:v>-17601.6331501967</x:v>
      </x:c>
      <x:c r="I130" s="37" t="n">
        <x:v>-65130.065912887505</x:v>
      </x:c>
      <x:c r="J130" s="37" t="n">
        <x:v>11390148.190229138</x:v>
      </x:c>
      <x:c r="K130" s="37" t="n">
        <x:v>11472879.889292223</x:v>
      </x:c>
      <x:c r="L130" s="37" t="n">
        <x:v>12977740.647383912</x:v>
      </x:c>
      <x:c r="M130" s="37" t="n">
        <x:v>37500</x:v>
      </x:c>
      <x:c r="N130" s="37" t="n">
        <x:v>0</x:v>
      </x:c>
      <x:c r="O130" s="37" t="n">
        <x:v>713.5484272912145</x:v>
      </x:c>
      <x:c r="P130" s="37" t="n">
        <x:v>0</x:v>
      </x:c>
      <x:c r="Q130" s="37" t="n">
        <x:v>0</x:v>
      </x:c>
      <x:c r="R130" s="37" t="n">
        <x:v>0</x:v>
      </x:c>
      <x:c r="S130" s="37" t="n">
        <x:v>0</x:v>
      </x:c>
      <x:c r="T130" s="37" t="n">
        <x:v>0</x:v>
      </x:c>
      <x:c r="U130" s="37" t="n">
        <x:v>37500</x:v>
      </x:c>
      <x:c r="V130" s="37" t="n">
        <x:v>0</x:v>
      </x:c>
      <x:c r="W130" s="37" t="n">
        <x:v>30663.74569588527</x:v>
      </x:c>
      <x:c r="X130" s="37" t="n">
        <x:v>0</x:v>
      </x:c>
      <x:c r="Y130" s="37" t="n">
        <x:v>2359.6096771908306</x:v>
      </x:c>
      <x:c r="Z130" s="37" t="n">
        <x:v>11702337.487078069</x:v>
      </x:c>
      <x:c r="AA130" s="37" t="n">
        <x:v>0</x:v>
      </x:c>
      <x:c r="AB130" s="37" t="n">
        <x:v>11702337.487078069</x:v>
      </x:c>
      <x:c r="AC130" s="37" t="n">
        <x:v>1358134.8593689278</x:v>
      </x:c>
      <x:c r="AD130" s="37" t="n">
        <x:v>0</x:v>
      </x:c>
      <x:c r="AE130" s="37" t="n">
        <x:v>0</x:v>
      </x:c>
      <x:c r="AF130" s="47" t="b">
        <x:v>0</x:v>
      </x:c>
      <x:c r="AG130" s="47" t="b">
        <x:v>0</x:v>
      </x:c>
      <x:c r="AH130" s="48" t="n">
        <x:v>0</x:v>
      </x:c>
      <x:c r="AI130" s="48" t="n">
        <x:v>1.1920928955078125e-7</x:v>
      </x:c>
      <x:c r="AJ130" s="37" t="str">
        <x:v>passed</x:v>
      </x:c>
    </x:row>
    <x:row r="131" ht="21" customHeight="1">
      <x:c r="A131" s="2"/>
      <x:c r="B131" s="2"/>
      <x:c r="C131" s="2" t="str">
        <x:v>2022</x:v>
      </x:c>
      <x:c r="D131" s="5" t="n">
        <x:v>44608</x:v>
      </x:c>
      <x:c r="E131" s="2" t="str">
        <x:v>unhedged</x:v>
      </x:c>
      <x:c r="F131" s="37" t="n">
        <x:v>1239221.061609017</x:v>
      </x:c>
      <x:c r="G131" s="37" t="n">
        <x:v>11404301.638135836</x:v>
      </x:c>
      <x:c r="H131" s="37" t="n">
        <x:v>15870.165745856355</x:v>
      </x:c>
      <x:c r="I131" s="37" t="n">
        <x:v>11388431.47238998</x:v>
      </x:c>
      <x:c r="J131" s="37" t="n">
        <x:v>11404301.638135836</x:v>
      </x:c>
      <x:c r="K131" s="37" t="n">
        <x:v>0</x:v>
      </x:c>
      <x:c r="L131" s="37" t="n">
        <x:v>12643522.699744852</x:v>
      </x:c>
      <x:c r="M131" s="37" t="n">
        <x:v>0</x:v>
      </x:c>
      <x:c r="N131" s="37" t="n">
        <x:v>0</x:v>
      </x:c>
      <x:c r="O131" s="37" t="n">
        <x:v>67.89880344155245</x:v>
      </x:c>
      <x:c r="P131" s="37" t="n">
        <x:v>0</x:v>
      </x:c>
      <x:c r="Q131" s="37" t="n">
        <x:v>0</x:v>
      </x:c>
      <x:c r="R131" s="37" t="n">
        <x:v>0</x:v>
      </x:c>
      <x:c r="S131" s="37" t="n">
        <x:v>0</x:v>
      </x:c>
      <x:c r="T131" s="37" t="n">
        <x:v>0</x:v>
      </x:c>
      <x:c r="U131" s="37" t="n">
        <x:v>37500</x:v>
      </x:c>
      <x:c r="V131" s="37" t="n">
        <x:v>0</x:v>
      </x:c>
      <x:c r="W131" s="37" t="n">
        <x:v>2895.7809257425833</x:v>
      </x:c>
      <x:c r="X131" s="37" t="n">
        <x:v>0</x:v>
      </x:c>
      <x:c r="Y131" s="37" t="n">
        <x:v>1174.7193167256753</x:v>
      </x:c>
      <x:c r="Z131" s="37" t="n">
        <x:v>0</x:v>
      </x:c>
      <x:c r="AA131" s="37" t="n">
        <x:v>0</x:v>
      </x:c>
      <x:c r="AB131" s="37" t="n">
        <x:v>0</x:v>
      </x:c>
      <x:c r="AC131" s="37" t="n">
        <x:v>1239221.061609017</x:v>
      </x:c>
      <x:c r="AD131" s="37" t="n">
        <x:v>0</x:v>
      </x:c>
      <x:c r="AE131" s="37" t="n">
        <x:v>0</x:v>
      </x:c>
      <x:c r="AF131" s="47" t="b">
        <x:v>0</x:v>
      </x:c>
      <x:c r="AG131" s="47" t="b">
        <x:v>0</x:v>
      </x:c>
      <x:c r="AH131" s="48" t="n">
        <x:v>0</x:v>
      </x:c>
      <x:c r="AI131" s="48" t="n">
        <x:v>1.1920928955078125e-7</x:v>
      </x:c>
      <x:c r="AJ131" s="37" t="str">
        <x:v>passed</x:v>
      </x:c>
    </x:row>
    <x:row r="132" ht="21" customHeight="1">
      <x:c r="A132" s="2"/>
      <x:c r="B132" s="2"/>
      <x:c r="C132" s="2" t="str">
        <x:v>2022</x:v>
      </x:c>
      <x:c r="D132" s="5" t="n">
        <x:v>44608</x:v>
      </x:c>
      <x:c r="E132" s="2" t="str">
        <x:v>duration</x:v>
      </x:c>
      <x:c r="F132" s="37" t="n">
        <x:v>9315240.889551867</x:v>
      </x:c>
      <x:c r="G132" s="37" t="n">
        <x:v>3615975.2680029985</x:v>
      </x:c>
      <x:c r="H132" s="37" t="n">
        <x:v>-13405.133593072655</x:v>
      </x:c>
      <x:c r="I132" s="37" t="n">
        <x:v>3629380.401596071</x:v>
      </x:c>
      <x:c r="J132" s="37" t="n">
        <x:v>11404301.638135836</x:v>
      </x:c>
      <x:c r="K132" s="37" t="n">
        <x:v>7788326.370132837</x:v>
      </x:c>
      <x:c r="L132" s="37" t="n">
        <x:v>12931216.157554865</x:v>
      </x:c>
      <x:c r="M132" s="37" t="n">
        <x:v>0</x:v>
      </x:c>
      <x:c r="N132" s="37" t="n">
        <x:v>0</x:v>
      </x:c>
      <x:c r="O132" s="37" t="n">
        <x:v>510.39619141817093</x:v>
      </x:c>
      <x:c r="P132" s="37" t="n">
        <x:v>0</x:v>
      </x:c>
      <x:c r="Q132" s="37" t="n">
        <x:v>0</x:v>
      </x:c>
      <x:c r="R132" s="37" t="n">
        <x:v>0</x:v>
      </x:c>
      <x:c r="S132" s="37" t="n">
        <x:v>0</x:v>
      </x:c>
      <x:c r="T132" s="37" t="n">
        <x:v>0</x:v>
      </x:c>
      <x:c r="U132" s="37" t="n">
        <x:v>37500</x:v>
      </x:c>
      <x:c r="V132" s="37" t="n">
        <x:v>0</x:v>
      </x:c>
      <x:c r="W132" s="37" t="n">
        <x:v>22346.29350957647</x:v>
      </x:c>
      <x:c r="X132" s="37" t="n">
        <x:v>0</x:v>
      </x:c>
      <x:c r="Y132" s="37" t="n">
        <x:v>1980.9034702887486</x:v>
      </x:c>
      <x:c r="Z132" s="37" t="n">
        <x:v>7944092.8975354945</x:v>
      </x:c>
      <x:c r="AA132" s="37" t="n">
        <x:v>0</x:v>
      </x:c>
      <x:c r="AB132" s="37" t="n">
        <x:v>7944092.8975354945</x:v>
      </x:c>
      <x:c r="AC132" s="37" t="n">
        <x:v>1371147.9920163723</x:v>
      </x:c>
      <x:c r="AD132" s="37" t="n">
        <x:v>0</x:v>
      </x:c>
      <x:c r="AE132" s="37" t="n">
        <x:v>0</x:v>
      </x:c>
      <x:c r="AF132" s="47" t="b">
        <x:v>0</x:v>
      </x:c>
      <x:c r="AG132" s="47" t="b">
        <x:v>0</x:v>
      </x:c>
      <x:c r="AH132" s="48" t="n">
        <x:v>0</x:v>
      </x:c>
      <x:c r="AI132" s="48" t="n">
        <x:v>1.1920928955078125e-7</x:v>
      </x:c>
      <x:c r="AJ132" s="37" t="str">
        <x:v>passed</x:v>
      </x:c>
    </x:row>
    <x:row r="133" ht="21" customHeight="1">
      <x:c r="A133" s="2"/>
      <x:c r="B133" s="2"/>
      <x:c r="C133" s="2" t="str">
        <x:v>2022</x:v>
      </x:c>
      <x:c r="D133" s="5" t="n">
        <x:v>44608</x:v>
      </x:c>
      <x:c r="E133" s="2" t="str">
        <x:v>unweighted</x:v>
      </x:c>
      <x:c r="F133" s="37" t="n">
        <x:v>12027976.512314146</x:v>
      </x:c>
      <x:c r="G133" s="37" t="n">
        <x:v>925238.3627505389</x:v>
      </x:c>
      <x:c r="H133" s="37" t="n">
        <x:v>-15192.246084498996</x:v>
      </x:c>
      <x:c r="I133" s="37" t="n">
        <x:v>940430.6088350378</x:v>
      </x:c>
      <x:c r="J133" s="37" t="n">
        <x:v>11404301.638135836</x:v>
      </x:c>
      <x:c r="K133" s="37" t="n">
        <x:v>10479063.275385298</x:v>
      </x:c>
      <x:c r="L133" s="37" t="n">
        <x:v>12953214.875064686</x:v>
      </x:c>
      <x:c r="M133" s="37" t="n">
        <x:v>0</x:v>
      </x:c>
      <x:c r="N133" s="37" t="n">
        <x:v>0</x:v>
      </x:c>
      <x:c r="O133" s="37" t="n">
        <x:v>659.0310948621482</x:v>
      </x:c>
      <x:c r="P133" s="37" t="n">
        <x:v>0</x:v>
      </x:c>
      <x:c r="Q133" s="37" t="n">
        <x:v>0</x:v>
      </x:c>
      <x:c r="R133" s="37" t="n">
        <x:v>0</x:v>
      </x:c>
      <x:c r="S133" s="37" t="n">
        <x:v>0</x:v>
      </x:c>
      <x:c r="T133" s="37" t="n">
        <x:v>0</x:v>
      </x:c>
      <x:c r="U133" s="37" t="n">
        <x:v>37500</x:v>
      </x:c>
      <x:c r="V133" s="37" t="n">
        <x:v>0</x:v>
      </x:c>
      <x:c r="W133" s="37" t="n">
        <x:v>28854.577701751143</x:v>
      </x:c>
      <x:c r="X133" s="37" t="n">
        <x:v>0</x:v>
      </x:c>
      <x:c r="Y133" s="37" t="n">
        <x:v>2251.286974010922</x:v>
      </x:c>
      <x:c r="Z133" s="37" t="n">
        <x:v>10688644.540893003</x:v>
      </x:c>
      <x:c r="AA133" s="37" t="n">
        <x:v>0</x:v>
      </x:c>
      <x:c r="AB133" s="37" t="n">
        <x:v>10688644.540893003</x:v>
      </x:c>
      <x:c r="AC133" s="37" t="n">
        <x:v>1339331.971421143</x:v>
      </x:c>
      <x:c r="AD133" s="37" t="n">
        <x:v>0</x:v>
      </x:c>
      <x:c r="AE133" s="37" t="n">
        <x:v>0</x:v>
      </x:c>
      <x:c r="AF133" s="47" t="b">
        <x:v>0</x:v>
      </x:c>
      <x:c r="AG133" s="47" t="b">
        <x:v>0</x:v>
      </x:c>
      <x:c r="AH133" s="48" t="n">
        <x:v>0</x:v>
      </x:c>
      <x:c r="AI133" s="48" t="n">
        <x:v>1.1920928955078125e-7</x:v>
      </x:c>
      <x:c r="AJ133" s="37" t="str">
        <x:v>passed</x:v>
      </x:c>
    </x:row>
    <x:row r="134" ht="21" customHeight="1">
      <x:c r="A134" s="2"/>
      <x:c r="B134" s="2"/>
      <x:c r="C134" s="2" t="str">
        <x:v>2022</x:v>
      </x:c>
      <x:c r="D134" s="5" t="n">
        <x:v>44608</x:v>
      </x:c>
      <x:c r="E134" s="2" t="str">
        <x:v>constrained</x:v>
      </x:c>
      <x:c r="F134" s="37" t="n">
        <x:v>13061187.98876735</x:v>
      </x:c>
      <x:c r="G134" s="37" t="n">
        <x:v>-82924.79936481925</x:v>
      </x:c>
      <x:c r="H134" s="37" t="n">
        <x:v>-17638.079225793997</x:v>
      </x:c>
      <x:c r="I134" s="37" t="n">
        <x:v>-65286.72013902525</x:v>
      </x:c>
      <x:c r="J134" s="37" t="n">
        <x:v>11409974.455898207</x:v>
      </x:c>
      <x:c r="K134" s="37" t="n">
        <x:v>11492899.255263027</x:v>
      </x:c>
      <x:c r="L134" s="37" t="n">
        <x:v>12978263.18940253</x:v>
      </x:c>
      <x:c r="M134" s="37" t="n">
        <x:v>0</x:v>
      </x:c>
      <x:c r="N134" s="37" t="n">
        <x:v>0</x:v>
      </x:c>
      <x:c r="O134" s="37" t="n">
        <x:v>715.6423203535378</x:v>
      </x:c>
      <x:c r="P134" s="37" t="n">
        <x:v>0</x:v>
      </x:c>
      <x:c r="Q134" s="37" t="n">
        <x:v>0</x:v>
      </x:c>
      <x:c r="R134" s="37" t="n">
        <x:v>0</x:v>
      </x:c>
      <x:c r="S134" s="37" t="n">
        <x:v>0</x:v>
      </x:c>
      <x:c r="T134" s="37" t="n">
        <x:v>0</x:v>
      </x:c>
      <x:c r="U134" s="37" t="n">
        <x:v>37500</x:v>
      </x:c>
      <x:c r="V134" s="37" t="n">
        <x:v>0</x:v>
      </x:c>
      <x:c r="W134" s="37" t="n">
        <x:v>31379.38801623881</x:v>
      </x:c>
      <x:c r="X134" s="37" t="n">
        <x:v>0</x:v>
      </x:c>
      <x:c r="Y134" s="37" t="n">
        <x:v>2359.6096771908306</x:v>
      </x:c>
      <x:c r="Z134" s="37" t="n">
        <x:v>11722757.240368288</x:v>
      </x:c>
      <x:c r="AA134" s="37" t="n">
        <x:v>0</x:v>
      </x:c>
      <x:c r="AB134" s="37" t="n">
        <x:v>11722757.240368288</x:v>
      </x:c>
      <x:c r="AC134" s="37" t="n">
        <x:v>1338430.748399062</x:v>
      </x:c>
      <x:c r="AD134" s="37" t="n">
        <x:v>0</x:v>
      </x:c>
      <x:c r="AE134" s="37" t="n">
        <x:v>0</x:v>
      </x:c>
      <x:c r="AF134" s="47" t="b">
        <x:v>0</x:v>
      </x:c>
      <x:c r="AG134" s="47" t="b">
        <x:v>0</x:v>
      </x:c>
      <x:c r="AH134" s="48" t="n">
        <x:v>0</x:v>
      </x:c>
      <x:c r="AI134" s="48" t="n">
        <x:v>1.1920928955078125e-7</x:v>
      </x:c>
      <x:c r="AJ134" s="37" t="str">
        <x:v>passed</x:v>
      </x:c>
    </x:row>
    <x:row r="135" ht="21" customHeight="1">
      <x:c r="A135" s="2"/>
      <x:c r="B135" s="2"/>
      <x:c r="C135" s="2" t="str">
        <x:v>2022</x:v>
      </x:c>
      <x:c r="D135" s="5" t="n">
        <x:v>44609</x:v>
      </x:c>
      <x:c r="E135" s="2" t="str">
        <x:v>unhedged</x:v>
      </x:c>
      <x:c r="F135" s="37" t="n">
        <x:v>1239288.9641329406</x:v>
      </x:c>
      <x:c r="G135" s="37" t="n">
        <x:v>11444520.27714309</x:v>
      </x:c>
      <x:c r="H135" s="37" t="n">
        <x:v>16222.375690607736</x:v>
      </x:c>
      <x:c r="I135" s="37" t="n">
        <x:v>11428297.901452482</x:v>
      </x:c>
      <x:c r="J135" s="37" t="n">
        <x:v>11444520.27714309</x:v>
      </x:c>
      <x:c r="K135" s="37" t="n">
        <x:v>0</x:v>
      </x:c>
      <x:c r="L135" s="37" t="n">
        <x:v>12683809.24127603</x:v>
      </x:c>
      <x:c r="M135" s="37" t="n">
        <x:v>0</x:v>
      </x:c>
      <x:c r="N135" s="37" t="n">
        <x:v>0</x:v>
      </x:c>
      <x:c r="O135" s="37" t="n">
        <x:v>67.90252392366529</x:v>
      </x:c>
      <x:c r="P135" s="37" t="n">
        <x:v>0</x:v>
      </x:c>
      <x:c r="Q135" s="37" t="n">
        <x:v>0</x:v>
      </x:c>
      <x:c r="R135" s="37" t="n">
        <x:v>0</x:v>
      </x:c>
      <x:c r="S135" s="37" t="n">
        <x:v>0</x:v>
      </x:c>
      <x:c r="T135" s="37" t="n">
        <x:v>0</x:v>
      </x:c>
      <x:c r="U135" s="37" t="n">
        <x:v>37500</x:v>
      </x:c>
      <x:c r="V135" s="37" t="n">
        <x:v>0</x:v>
      </x:c>
      <x:c r="W135" s="37" t="n">
        <x:v>2963.6834496662486</x:v>
      </x:c>
      <x:c r="X135" s="37" t="n">
        <x:v>0</x:v>
      </x:c>
      <x:c r="Y135" s="37" t="n">
        <x:v>1174.7193167256753</x:v>
      </x:c>
      <x:c r="Z135" s="37" t="n">
        <x:v>0</x:v>
      </x:c>
      <x:c r="AA135" s="37" t="n">
        <x:v>0</x:v>
      </x:c>
      <x:c r="AB135" s="37" t="n">
        <x:v>0</x:v>
      </x:c>
      <x:c r="AC135" s="37" t="n">
        <x:v>1239288.9641329406</x:v>
      </x:c>
      <x:c r="AD135" s="37" t="n">
        <x:v>0</x:v>
      </x:c>
      <x:c r="AE135" s="37" t="n">
        <x:v>0</x:v>
      </x:c>
      <x:c r="AF135" s="47" t="b">
        <x:v>0</x:v>
      </x:c>
      <x:c r="AG135" s="47" t="b">
        <x:v>0</x:v>
      </x:c>
      <x:c r="AH135" s="48" t="n">
        <x:v>0</x:v>
      </x:c>
      <x:c r="AI135" s="48" t="n">
        <x:v>1.1920928955078125e-7</x:v>
      </x:c>
      <x:c r="AJ135" s="37" t="str">
        <x:v>passed</x:v>
      </x:c>
    </x:row>
    <x:row r="136" ht="21" customHeight="1">
      <x:c r="A136" s="2"/>
      <x:c r="B136" s="2"/>
      <x:c r="C136" s="2" t="str">
        <x:v>2022</x:v>
      </x:c>
      <x:c r="D136" s="5" t="n">
        <x:v>44609</x:v>
      </x:c>
      <x:c r="E136" s="2" t="str">
        <x:v>duration</x:v>
      </x:c>
      <x:c r="F136" s="37" t="n">
        <x:v>9315751.313710198</x:v>
      </x:c>
      <x:c r="G136" s="37" t="n">
        <x:v>3614841.075762863</x:v>
      </x:c>
      <x:c r="H136" s="37" t="n">
        <x:v>-13367.711813255995</x:v>
      </x:c>
      <x:c r="I136" s="37" t="n">
        <x:v>3628208.787576119</x:v>
      </x:c>
      <x:c r="J136" s="37" t="n">
        <x:v>11444520.27714309</x:v>
      </x:c>
      <x:c r="K136" s="37" t="n">
        <x:v>7829679.201380227</x:v>
      </x:c>
      <x:c r="L136" s="37" t="n">
        <x:v>12930592.38947306</x:v>
      </x:c>
      <x:c r="M136" s="37" t="n">
        <x:v>0</x:v>
      </x:c>
      <x:c r="N136" s="37" t="n">
        <x:v>0</x:v>
      </x:c>
      <x:c r="O136" s="37" t="n">
        <x:v>510.42415833100677</x:v>
      </x:c>
      <x:c r="P136" s="37" t="n">
        <x:v>0</x:v>
      </x:c>
      <x:c r="Q136" s="37" t="n">
        <x:v>0</x:v>
      </x:c>
      <x:c r="R136" s="37" t="n">
        <x:v>0</x:v>
      </x:c>
      <x:c r="S136" s="37" t="n">
        <x:v>0</x:v>
      </x:c>
      <x:c r="T136" s="37" t="n">
        <x:v>0</x:v>
      </x:c>
      <x:c r="U136" s="37" t="n">
        <x:v>37500</x:v>
      </x:c>
      <x:c r="V136" s="37" t="n">
        <x:v>0</x:v>
      </x:c>
      <x:c r="W136" s="37" t="n">
        <x:v>22856.717667907476</x:v>
      </x:c>
      <x:c r="X136" s="37" t="n">
        <x:v>0</x:v>
      </x:c>
      <x:c r="Y136" s="37" t="n">
        <x:v>1980.9034702887486</x:v>
      </x:c>
      <x:c r="Z136" s="37" t="n">
        <x:v>7986272.785407832</x:v>
      </x:c>
      <x:c r="AA136" s="37" t="n">
        <x:v>0</x:v>
      </x:c>
      <x:c r="AB136" s="37" t="n">
        <x:v>7986272.785407832</x:v>
      </x:c>
      <x:c r="AC136" s="37" t="n">
        <x:v>1329478.528302366</x:v>
      </x:c>
      <x:c r="AD136" s="37" t="n">
        <x:v>0</x:v>
      </x:c>
      <x:c r="AE136" s="37" t="n">
        <x:v>0</x:v>
      </x:c>
      <x:c r="AF136" s="47" t="b">
        <x:v>0</x:v>
      </x:c>
      <x:c r="AG136" s="47" t="b">
        <x:v>0</x:v>
      </x:c>
      <x:c r="AH136" s="48" t="n">
        <x:v>0</x:v>
      </x:c>
      <x:c r="AI136" s="48" t="n">
        <x:v>1.1920928955078125e-7</x:v>
      </x:c>
      <x:c r="AJ136" s="37" t="str">
        <x:v>passed</x:v>
      </x:c>
    </x:row>
    <x:row r="137" ht="21" customHeight="1">
      <x:c r="A137" s="2"/>
      <x:c r="B137" s="2"/>
      <x:c r="C137" s="2" t="str">
        <x:v>2022</x:v>
      </x:c>
      <x:c r="D137" s="5" t="n">
        <x:v>44609</x:v>
      </x:c>
      <x:c r="E137" s="2" t="str">
        <x:v>unweighted</x:v>
      </x:c>
      <x:c r="F137" s="37" t="n">
        <x:v>12028635.5795203</x:v>
      </x:c>
      <x:c r="G137" s="37" t="n">
        <x:v>928030.598147125</x:v>
      </x:c>
      <x:c r="H137" s="37" t="n">
        <x:v>-15198.95462258102</x:v>
      </x:c>
      <x:c r="I137" s="37" t="n">
        <x:v>943229.552769706</x:v>
      </x:c>
      <x:c r="J137" s="37" t="n">
        <x:v>11444520.27714309</x:v>
      </x:c>
      <x:c r="K137" s="37" t="n">
        <x:v>10516489.678995965</x:v>
      </x:c>
      <x:c r="L137" s="37" t="n">
        <x:v>12956666.177667424</x:v>
      </x:c>
      <x:c r="M137" s="37" t="n">
        <x:v>0</x:v>
      </x:c>
      <x:c r="N137" s="37" t="n">
        <x:v>0</x:v>
      </x:c>
      <x:c r="O137" s="37" t="n">
        <x:v>659.0672061536461</x:v>
      </x:c>
      <x:c r="P137" s="37" t="n">
        <x:v>0</x:v>
      </x:c>
      <x:c r="Q137" s="37" t="n">
        <x:v>0</x:v>
      </x:c>
      <x:c r="R137" s="37" t="n">
        <x:v>0</x:v>
      </x:c>
      <x:c r="S137" s="37" t="n">
        <x:v>0</x:v>
      </x:c>
      <x:c r="T137" s="37" t="n">
        <x:v>0</x:v>
      </x:c>
      <x:c r="U137" s="37" t="n">
        <x:v>37500</x:v>
      </x:c>
      <x:c r="V137" s="37" t="n">
        <x:v>0</x:v>
      </x:c>
      <x:c r="W137" s="37" t="n">
        <x:v>29513.64490790479</x:v>
      </x:c>
      <x:c r="X137" s="37" t="n">
        <x:v>0</x:v>
      </x:c>
      <x:c r="Y137" s="37" t="n">
        <x:v>2251.286974010922</x:v>
      </x:c>
      <x:c r="Z137" s="37" t="n">
        <x:v>10726819.472575884</x:v>
      </x:c>
      <x:c r="AA137" s="37" t="n">
        <x:v>0</x:v>
      </x:c>
      <x:c r="AB137" s="37" t="n">
        <x:v>10726819.472575884</x:v>
      </x:c>
      <x:c r="AC137" s="37" t="n">
        <x:v>1301816.1069444157</x:v>
      </x:c>
      <x:c r="AD137" s="37" t="n">
        <x:v>0</x:v>
      </x:c>
      <x:c r="AE137" s="37" t="n">
        <x:v>0</x:v>
      </x:c>
      <x:c r="AF137" s="47" t="b">
        <x:v>0</x:v>
      </x:c>
      <x:c r="AG137" s="47" t="b">
        <x:v>0</x:v>
      </x:c>
      <x:c r="AH137" s="48" t="n">
        <x:v>0</x:v>
      </x:c>
      <x:c r="AI137" s="48" t="n">
        <x:v>1.1920928955078125e-7</x:v>
      </x:c>
      <x:c r="AJ137" s="37" t="str">
        <x:v>passed</x:v>
      </x:c>
    </x:row>
    <x:row r="138" ht="21" customHeight="1">
      <x:c r="A138" s="2"/>
      <x:c r="B138" s="2"/>
      <x:c r="C138" s="2" t="str">
        <x:v>2022</x:v>
      </x:c>
      <x:c r="D138" s="5" t="n">
        <x:v>44609</x:v>
      </x:c>
      <x:c r="E138" s="2" t="str">
        <x:v>constrained</x:v>
      </x:c>
      <x:c r="F138" s="37" t="n">
        <x:v>13061903.670300981</x:v>
      </x:c>
      <x:c r="G138" s="37" t="n">
        <x:v>-82671.38694531357</x:v>
      </x:c>
      <x:c r="H138" s="37" t="n">
        <x:v>-17674.5253013913</x:v>
      </x:c>
      <x:c r="I138" s="37" t="n">
        <x:v>-64996.86164392227</x:v>
      </x:c>
      <x:c r="J138" s="37" t="n">
        <x:v>11450226.027228078</x:v>
      </x:c>
      <x:c r="K138" s="37" t="n">
        <x:v>11532897.414173393</x:v>
      </x:c>
      <x:c r="L138" s="37" t="n">
        <x:v>12979232.283355668</x:v>
      </x:c>
      <x:c r="M138" s="37" t="n">
        <x:v>0</x:v>
      </x:c>
      <x:c r="N138" s="37" t="n">
        <x:v>0</x:v>
      </x:c>
      <x:c r="O138" s="37" t="n">
        <x:v>715.6815336309373</x:v>
      </x:c>
      <x:c r="P138" s="37" t="n">
        <x:v>0</x:v>
      </x:c>
      <x:c r="Q138" s="37" t="n">
        <x:v>0</x:v>
      </x:c>
      <x:c r="R138" s="37" t="n">
        <x:v>0</x:v>
      </x:c>
      <x:c r="S138" s="37" t="n">
        <x:v>0</x:v>
      </x:c>
      <x:c r="T138" s="37" t="n">
        <x:v>0</x:v>
      </x:c>
      <x:c r="U138" s="37" t="n">
        <x:v>37500</x:v>
      </x:c>
      <x:c r="V138" s="37" t="n">
        <x:v>0</x:v>
      </x:c>
      <x:c r="W138" s="37" t="n">
        <x:v>32095.069549869746</x:v>
      </x:c>
      <x:c r="X138" s="37" t="n">
        <x:v>0</x:v>
      </x:c>
      <x:c r="Y138" s="37" t="n">
        <x:v>2359.6096771908306</x:v>
      </x:c>
      <x:c r="Z138" s="37" t="n">
        <x:v>11763555.36245686</x:v>
      </x:c>
      <x:c r="AA138" s="37" t="n">
        <x:v>0</x:v>
      </x:c>
      <x:c r="AB138" s="37" t="n">
        <x:v>11763555.36245686</x:v>
      </x:c>
      <x:c r="AC138" s="37" t="n">
        <x:v>1298348.307844121</x:v>
      </x:c>
      <x:c r="AD138" s="37" t="n">
        <x:v>0</x:v>
      </x:c>
      <x:c r="AE138" s="37" t="n">
        <x:v>0</x:v>
      </x:c>
      <x:c r="AF138" s="47" t="b">
        <x:v>0</x:v>
      </x:c>
      <x:c r="AG138" s="47" t="b">
        <x:v>0</x:v>
      </x:c>
      <x:c r="AH138" s="48" t="n">
        <x:v>0</x:v>
      </x:c>
      <x:c r="AI138" s="48" t="n">
        <x:v>1.1920928955078125e-7</x:v>
      </x:c>
      <x:c r="AJ138" s="37" t="str">
        <x:v>passed</x:v>
      </x:c>
    </x:row>
    <x:row r="139" ht="21" customHeight="1">
      <x:c r="A139" s="2"/>
      <x:c r="B139" s="2"/>
      <x:c r="C139" s="2" t="str">
        <x:v>2022</x:v>
      </x:c>
      <x:c r="D139" s="5" t="n">
        <x:v>44610</x:v>
      </x:c>
      <x:c r="E139" s="2" t="str">
        <x:v>unhedged</x:v>
      </x:c>
      <x:c r="F139" s="37" t="n">
        <x:v>1239356.8703775508</x:v>
      </x:c>
      <x:c r="G139" s="37" t="n">
        <x:v>11473175.28271339</x:v>
      </x:c>
      <x:c r="H139" s="37" t="n">
        <x:v>16574.585635359115</x:v>
      </x:c>
      <x:c r="I139" s="37" t="n">
        <x:v>11456600.697078032</x:v>
      </x:c>
      <x:c r="J139" s="37" t="n">
        <x:v>11473175.28271339</x:v>
      </x:c>
      <x:c r="K139" s="37" t="n">
        <x:v>0</x:v>
      </x:c>
      <x:c r="L139" s="37" t="n">
        <x:v>12712532.153090943</x:v>
      </x:c>
      <x:c r="M139" s="37" t="n">
        <x:v>0</x:v>
      </x:c>
      <x:c r="N139" s="37" t="n">
        <x:v>0</x:v>
      </x:c>
      <x:c r="O139" s="37" t="n">
        <x:v>67.90624461020343</x:v>
      </x:c>
      <x:c r="P139" s="37" t="n">
        <x:v>0</x:v>
      </x:c>
      <x:c r="Q139" s="37" t="n">
        <x:v>0</x:v>
      </x:c>
      <x:c r="R139" s="37" t="n">
        <x:v>0</x:v>
      </x:c>
      <x:c r="S139" s="37" t="n">
        <x:v>0</x:v>
      </x:c>
      <x:c r="T139" s="37" t="n">
        <x:v>0</x:v>
      </x:c>
      <x:c r="U139" s="37" t="n">
        <x:v>37500</x:v>
      </x:c>
      <x:c r="V139" s="37" t="n">
        <x:v>0</x:v>
      </x:c>
      <x:c r="W139" s="37" t="n">
        <x:v>3031.589694276452</x:v>
      </x:c>
      <x:c r="X139" s="37" t="n">
        <x:v>0</x:v>
      </x:c>
      <x:c r="Y139" s="37" t="n">
        <x:v>1174.7193167256753</x:v>
      </x:c>
      <x:c r="Z139" s="37" t="n">
        <x:v>0</x:v>
      </x:c>
      <x:c r="AA139" s="37" t="n">
        <x:v>0</x:v>
      </x:c>
      <x:c r="AB139" s="37" t="n">
        <x:v>0</x:v>
      </x:c>
      <x:c r="AC139" s="37" t="n">
        <x:v>1239356.8703775508</x:v>
      </x:c>
      <x:c r="AD139" s="37" t="n">
        <x:v>0</x:v>
      </x:c>
      <x:c r="AE139" s="37" t="n">
        <x:v>0</x:v>
      </x:c>
      <x:c r="AF139" s="47" t="b">
        <x:v>0</x:v>
      </x:c>
      <x:c r="AG139" s="47" t="b">
        <x:v>0</x:v>
      </x:c>
      <x:c r="AH139" s="48" t="n">
        <x:v>0</x:v>
      </x:c>
      <x:c r="AI139" s="48" t="n">
        <x:v>1.1920928955078125e-7</x:v>
      </x:c>
      <x:c r="AJ139" s="37" t="str">
        <x:v>passed</x:v>
      </x:c>
    </x:row>
    <x:row r="140" ht="21" customHeight="1">
      <x:c r="A140" s="2"/>
      <x:c r="B140" s="2"/>
      <x:c r="C140" s="2" t="str">
        <x:v>2022</x:v>
      </x:c>
      <x:c r="D140" s="5" t="n">
        <x:v>44610</x:v>
      </x:c>
      <x:c r="E140" s="2" t="str">
        <x:v>duration</x:v>
      </x:c>
      <x:c r="F140" s="37" t="n">
        <x:v>9316261.765836978</x:v>
      </x:c>
      <x:c r="G140" s="37" t="n">
        <x:v>3611128.6853455766</x:v>
      </x:c>
      <x:c r="H140" s="37" t="n">
        <x:v>-13330.290033439338</x:v>
      </x:c>
      <x:c r="I140" s="37" t="n">
        <x:v>3624458.975379016</x:v>
      </x:c>
      <x:c r="J140" s="37" t="n">
        <x:v>11473175.28271339</x:v>
      </x:c>
      <x:c r="K140" s="37" t="n">
        <x:v>7862046.597367814</x:v>
      </x:c>
      <x:c r="L140" s="37" t="n">
        <x:v>12927390.451182555</x:v>
      </x:c>
      <x:c r="M140" s="37" t="n">
        <x:v>0</x:v>
      </x:c>
      <x:c r="N140" s="37" t="n">
        <x:v>0</x:v>
      </x:c>
      <x:c r="O140" s="37" t="n">
        <x:v>510.45212678052485</x:v>
      </x:c>
      <x:c r="P140" s="37" t="n">
        <x:v>0</x:v>
      </x:c>
      <x:c r="Q140" s="37" t="n">
        <x:v>0</x:v>
      </x:c>
      <x:c r="R140" s="37" t="n">
        <x:v>0</x:v>
      </x:c>
      <x:c r="S140" s="37" t="n">
        <x:v>0</x:v>
      </x:c>
      <x:c r="T140" s="37" t="n">
        <x:v>0</x:v>
      </x:c>
      <x:c r="U140" s="37" t="n">
        <x:v>37500</x:v>
      </x:c>
      <x:c r="V140" s="37" t="n">
        <x:v>0</x:v>
      </x:c>
      <x:c r="W140" s="37" t="n">
        <x:v>23367.169794688</x:v>
      </x:c>
      <x:c r="X140" s="37" t="n">
        <x:v>0</x:v>
      </x:c>
      <x:c r="Y140" s="37" t="n">
        <x:v>1980.9034702887486</x:v>
      </x:c>
      <x:c r="Z140" s="37" t="n">
        <x:v>8019287.52931517</x:v>
      </x:c>
      <x:c r="AA140" s="37" t="n">
        <x:v>0</x:v>
      </x:c>
      <x:c r="AB140" s="37" t="n">
        <x:v>8019287.52931517</x:v>
      </x:c>
      <x:c r="AC140" s="37" t="n">
        <x:v>1296974.2365218084</x:v>
      </x:c>
      <x:c r="AD140" s="37" t="n">
        <x:v>0</x:v>
      </x:c>
      <x:c r="AE140" s="37" t="n">
        <x:v>0</x:v>
      </x:c>
      <x:c r="AF140" s="47" t="b">
        <x:v>0</x:v>
      </x:c>
      <x:c r="AG140" s="47" t="b">
        <x:v>0</x:v>
      </x:c>
      <x:c r="AH140" s="48" t="n">
        <x:v>0</x:v>
      </x:c>
      <x:c r="AI140" s="48" t="n">
        <x:v>1.1920928955078125e-7</x:v>
      </x:c>
      <x:c r="AJ140" s="37" t="str">
        <x:v>passed</x:v>
      </x:c>
    </x:row>
    <x:row r="141" ht="21" customHeight="1">
      <x:c r="A141" s="2"/>
      <x:c r="B141" s="2"/>
      <x:c r="C141" s="2" t="str">
        <x:v>2022</x:v>
      </x:c>
      <x:c r="D141" s="5" t="n">
        <x:v>44610</x:v>
      </x:c>
      <x:c r="E141" s="2" t="str">
        <x:v>unweighted</x:v>
      </x:c>
      <x:c r="F141" s="37" t="n">
        <x:v>12029294.682839729</x:v>
      </x:c>
      <x:c r="G141" s="37" t="n">
        <x:v>929763.5709976198</x:v>
      </x:c>
      <x:c r="H141" s="37" t="n">
        <x:v>-15205.663160663047</x:v>
      </x:c>
      <x:c r="I141" s="37" t="n">
        <x:v>944969.2341582829</x:v>
      </x:c>
      <x:c r="J141" s="37" t="n">
        <x:v>11473175.28271339</x:v>
      </x:c>
      <x:c r="K141" s="37" t="n">
        <x:v>10543411.71171577</x:v>
      </x:c>
      <x:c r="L141" s="37" t="n">
        <x:v>12959058.253837349</x:v>
      </x:c>
      <x:c r="M141" s="37" t="n">
        <x:v>0</x:v>
      </x:c>
      <x:c r="N141" s="37" t="n">
        <x:v>0</x:v>
      </x:c>
      <x:c r="O141" s="37" t="n">
        <x:v>659.1033194288611</x:v>
      </x:c>
      <x:c r="P141" s="37" t="n">
        <x:v>0</x:v>
      </x:c>
      <x:c r="Q141" s="37" t="n">
        <x:v>0</x:v>
      </x:c>
      <x:c r="R141" s="37" t="n">
        <x:v>0</x:v>
      </x:c>
      <x:c r="S141" s="37" t="n">
        <x:v>0</x:v>
      </x:c>
      <x:c r="T141" s="37" t="n">
        <x:v>0</x:v>
      </x:c>
      <x:c r="U141" s="37" t="n">
        <x:v>37500</x:v>
      </x:c>
      <x:c r="V141" s="37" t="n">
        <x:v>0</x:v>
      </x:c>
      <x:c r="W141" s="37" t="n">
        <x:v>30172.74822733365</x:v>
      </x:c>
      <x:c r="X141" s="37" t="n">
        <x:v>0</x:v>
      </x:c>
      <x:c r="Y141" s="37" t="n">
        <x:v>2251.286974010922</x:v>
      </x:c>
      <x:c r="Z141" s="37" t="n">
        <x:v>10754279.945950087</x:v>
      </x:c>
      <x:c r="AA141" s="37" t="n">
        <x:v>0</x:v>
      </x:c>
      <x:c r="AB141" s="37" t="n">
        <x:v>10754279.945950087</x:v>
      </x:c>
      <x:c r="AC141" s="37" t="n">
        <x:v>1275014.7368896417</x:v>
      </x:c>
      <x:c r="AD141" s="37" t="n">
        <x:v>0</x:v>
      </x:c>
      <x:c r="AE141" s="37" t="n">
        <x:v>0</x:v>
      </x:c>
      <x:c r="AF141" s="47" t="b">
        <x:v>0</x:v>
      </x:c>
      <x:c r="AG141" s="47" t="b">
        <x:v>0</x:v>
      </x:c>
      <x:c r="AH141" s="48" t="n">
        <x:v>0</x:v>
      </x:c>
      <x:c r="AI141" s="48" t="n">
        <x:v>1.1920928955078125e-7</x:v>
      </x:c>
      <x:c r="AJ141" s="37" t="str">
        <x:v>passed</x:v>
      </x:c>
    </x:row>
    <x:row r="142" ht="21" customHeight="1">
      <x:c r="A142" s="2"/>
      <x:c r="B142" s="2"/>
      <x:c r="C142" s="2" t="str">
        <x:v>2022</x:v>
      </x:c>
      <x:c r="D142" s="5" t="n">
        <x:v>44610</x:v>
      </x:c>
      <x:c r="E142" s="2" t="str">
        <x:v>constrained</x:v>
      </x:c>
      <x:c r="F142" s="37" t="n">
        <x:v>13062619.39105004</x:v>
      </x:c>
      <x:c r="G142" s="37" t="n">
        <x:v>-82549.40453690101</x:v>
      </x:c>
      <x:c r="H142" s="37" t="n">
        <x:v>-17710.971376988608</x:v>
      </x:c>
      <x:c r="I142" s="37" t="n">
        <x:v>-64838.433159912405</x:v>
      </x:c>
      <x:c r="J142" s="37" t="n">
        <x:v>11478959.570863338</x:v>
      </x:c>
      <x:c r="K142" s="37" t="n">
        <x:v>11561508.97540024</x:v>
      </x:c>
      <x:c r="L142" s="37" t="n">
        <x:v>12980069.98651314</x:v>
      </x:c>
      <x:c r="M142" s="37" t="n">
        <x:v>0</x:v>
      </x:c>
      <x:c r="N142" s="37" t="n">
        <x:v>0</x:v>
      </x:c>
      <x:c r="O142" s="37" t="n">
        <x:v>715.720749059692</x:v>
      </x:c>
      <x:c r="P142" s="37" t="n">
        <x:v>0</x:v>
      </x:c>
      <x:c r="Q142" s="37" t="n">
        <x:v>0</x:v>
      </x:c>
      <x:c r="R142" s="37" t="n">
        <x:v>0</x:v>
      </x:c>
      <x:c r="S142" s="37" t="n">
        <x:v>0</x:v>
      </x:c>
      <x:c r="T142" s="37" t="n">
        <x:v>0</x:v>
      </x:c>
      <x:c r="U142" s="37" t="n">
        <x:v>37500</x:v>
      </x:c>
      <x:c r="V142" s="37" t="n">
        <x:v>0</x:v>
      </x:c>
      <x:c r="W142" s="37" t="n">
        <x:v>32810.79029892944</x:v>
      </x:c>
      <x:c r="X142" s="37" t="n">
        <x:v>0</x:v>
      </x:c>
      <x:c r="Y142" s="37" t="n">
        <x:v>2359.6096771908306</x:v>
      </x:c>
      <x:c r="Z142" s="37" t="n">
        <x:v>11792739.154908244</x:v>
      </x:c>
      <x:c r="AA142" s="37" t="n">
        <x:v>0</x:v>
      </x:c>
      <x:c r="AB142" s="37" t="n">
        <x:v>11792739.154908244</x:v>
      </x:c>
      <x:c r="AC142" s="37" t="n">
        <x:v>1269880.2361417972</x:v>
      </x:c>
      <x:c r="AD142" s="37" t="n">
        <x:v>0</x:v>
      </x:c>
      <x:c r="AE142" s="37" t="n">
        <x:v>0</x:v>
      </x:c>
      <x:c r="AF142" s="47" t="b">
        <x:v>0</x:v>
      </x:c>
      <x:c r="AG142" s="47" t="b">
        <x:v>0</x:v>
      </x:c>
      <x:c r="AH142" s="48" t="n">
        <x:v>0</x:v>
      </x:c>
      <x:c r="AI142" s="48" t="n">
        <x:v>1.1920928955078125e-7</x:v>
      </x:c>
      <x:c r="AJ142" s="37" t="str">
        <x:v>passed</x:v>
      </x:c>
    </x:row>
    <x:row r="143" ht="21" customHeight="1">
      <x:c r="A143" s="2"/>
      <x:c r="B143" s="2"/>
      <x:c r="C143" s="2" t="str">
        <x:v>2022</x:v>
      </x:c>
      <x:c r="D143" s="5" t="n">
        <x:v>44614</x:v>
      </x:c>
      <x:c r="E143" s="2" t="str">
        <x:v>unhedged</x:v>
      </x:c>
      <x:c r="F143" s="37" t="n">
        <x:v>1239628.5325669316</x:v>
      </x:c>
      <x:c r="G143" s="37" t="n">
        <x:v>11462649.240609389</x:v>
      </x:c>
      <x:c r="H143" s="37" t="n">
        <x:v>17983.425414364643</x:v>
      </x:c>
      <x:c r="I143" s="37" t="n">
        <x:v>11444665.815195024</x:v>
      </x:c>
      <x:c r="J143" s="37" t="n">
        <x:v>11462649.240609389</x:v>
      </x:c>
      <x:c r="K143" s="37" t="n">
        <x:v>0</x:v>
      </x:c>
      <x:c r="L143" s="37" t="n">
        <x:v>12702277.77317632</x:v>
      </x:c>
      <x:c r="M143" s="37" t="n">
        <x:v>0</x:v>
      </x:c>
      <x:c r="N143" s="37" t="n">
        <x:v>0</x:v>
      </x:c>
      <x:c r="O143" s="37" t="n">
        <x:v>271.66218938073143</x:v>
      </x:c>
      <x:c r="P143" s="37" t="n">
        <x:v>0</x:v>
      </x:c>
      <x:c r="Q143" s="37" t="n">
        <x:v>0</x:v>
      </x:c>
      <x:c r="R143" s="37" t="n">
        <x:v>0</x:v>
      </x:c>
      <x:c r="S143" s="37" t="n">
        <x:v>0</x:v>
      </x:c>
      <x:c r="T143" s="37" t="n">
        <x:v>0</x:v>
      </x:c>
      <x:c r="U143" s="37" t="n">
        <x:v>37500</x:v>
      </x:c>
      <x:c r="V143" s="37" t="n">
        <x:v>0</x:v>
      </x:c>
      <x:c r="W143" s="37" t="n">
        <x:v>3303.2518836571835</x:v>
      </x:c>
      <x:c r="X143" s="37" t="n">
        <x:v>0</x:v>
      </x:c>
      <x:c r="Y143" s="37" t="n">
        <x:v>1174.7193167256753</x:v>
      </x:c>
      <x:c r="Z143" s="37" t="n">
        <x:v>0</x:v>
      </x:c>
      <x:c r="AA143" s="37" t="n">
        <x:v>0</x:v>
      </x:c>
      <x:c r="AB143" s="37" t="n">
        <x:v>0</x:v>
      </x:c>
      <x:c r="AC143" s="37" t="n">
        <x:v>1239628.5325669316</x:v>
      </x:c>
      <x:c r="AD143" s="37" t="n">
        <x:v>0</x:v>
      </x:c>
      <x:c r="AE143" s="37" t="n">
        <x:v>0</x:v>
      </x:c>
      <x:c r="AF143" s="47" t="b">
        <x:v>0</x:v>
      </x:c>
      <x:c r="AG143" s="47" t="b">
        <x:v>0</x:v>
      </x:c>
      <x:c r="AH143" s="48" t="n">
        <x:v>0</x:v>
      </x:c>
      <x:c r="AI143" s="48" t="n">
        <x:v>1.1920928955078125e-7</x:v>
      </x:c>
      <x:c r="AJ143" s="37" t="str">
        <x:v>passed</x:v>
      </x:c>
    </x:row>
    <x:row r="144" ht="21" customHeight="1">
      <x:c r="A144" s="2"/>
      <x:c r="B144" s="2"/>
      <x:c r="C144" s="2" t="str">
        <x:v>2022</x:v>
      </x:c>
      <x:c r="D144" s="5" t="n">
        <x:v>44614</x:v>
      </x:c>
      <x:c r="E144" s="2" t="str">
        <x:v>duration</x:v>
      </x:c>
      <x:c r="F144" s="37" t="n">
        <x:v>9318303.854059217</x:v>
      </x:c>
      <x:c r="G144" s="37" t="n">
        <x:v>3604012.3721865052</x:v>
      </x:c>
      <x:c r="H144" s="37" t="n">
        <x:v>-13180.602914172692</x:v>
      </x:c>
      <x:c r="I144" s="37" t="n">
        <x:v>3617192.975100678</x:v>
      </x:c>
      <x:c r="J144" s="37" t="n">
        <x:v>11462649.240609389</x:v>
      </x:c>
      <x:c r="K144" s="37" t="n">
        <x:v>7858636.868422883</x:v>
      </x:c>
      <x:c r="L144" s="37" t="n">
        <x:v>12922316.226245724</x:v>
      </x:c>
      <x:c r="M144" s="37" t="n">
        <x:v>0</x:v>
      </x:c>
      <x:c r="N144" s="37" t="n">
        <x:v>0</x:v>
      </x:c>
      <x:c r="O144" s="37" t="n">
        <x:v>2042.0882222391665</x:v>
      </x:c>
      <x:c r="P144" s="37" t="n">
        <x:v>0</x:v>
      </x:c>
      <x:c r="Q144" s="37" t="n">
        <x:v>0</x:v>
      </x:c>
      <x:c r="R144" s="37" t="n">
        <x:v>0</x:v>
      </x:c>
      <x:c r="S144" s="37" t="n">
        <x:v>0</x:v>
      </x:c>
      <x:c r="T144" s="37" t="n">
        <x:v>0</x:v>
      </x:c>
      <x:c r="U144" s="37" t="n">
        <x:v>37500</x:v>
      </x:c>
      <x:c r="V144" s="37" t="n">
        <x:v>0</x:v>
      </x:c>
      <x:c r="W144" s="37" t="n">
        <x:v>25409.258016927168</x:v>
      </x:c>
      <x:c r="X144" s="37" t="n">
        <x:v>0</x:v>
      </x:c>
      <x:c r="Y144" s="37" t="n">
        <x:v>1980.9034702887486</x:v>
      </x:c>
      <x:c r="Z144" s="37" t="n">
        <x:v>8015809.605791341</x:v>
      </x:c>
      <x:c r="AA144" s="37" t="n">
        <x:v>0</x:v>
      </x:c>
      <x:c r="AB144" s="37" t="n">
        <x:v>8015809.605791341</x:v>
      </x:c>
      <x:c r="AC144" s="37" t="n">
        <x:v>1302494.248267877</x:v>
      </x:c>
      <x:c r="AD144" s="37" t="n">
        <x:v>0</x:v>
      </x:c>
      <x:c r="AE144" s="37" t="n">
        <x:v>0</x:v>
      </x:c>
      <x:c r="AF144" s="47" t="b">
        <x:v>0</x:v>
      </x:c>
      <x:c r="AG144" s="47" t="b">
        <x:v>0</x:v>
      </x:c>
      <x:c r="AH144" s="48" t="n">
        <x:v>0</x:v>
      </x:c>
      <x:c r="AI144" s="48" t="n">
        <x:v>1.1920928955078125e-7</x:v>
      </x:c>
      <x:c r="AJ144" s="37" t="str">
        <x:v>passed</x:v>
      </x:c>
    </x:row>
    <x:row r="145" ht="21" customHeight="1">
      <x:c r="A145" s="2"/>
      <x:c r="B145" s="2"/>
      <x:c r="C145" s="2" t="str">
        <x:v>2022</x:v>
      </x:c>
      <x:c r="D145" s="5" t="n">
        <x:v>44614</x:v>
      </x:c>
      <x:c r="E145" s="2" t="str">
        <x:v>unweighted</x:v>
      </x:c>
      <x:c r="F145" s="37" t="n">
        <x:v>12031931.45728973</x:v>
      </x:c>
      <x:c r="G145" s="37" t="n">
        <x:v>928848.0557497231</x:v>
      </x:c>
      <x:c r="H145" s="37" t="n">
        <x:v>-15232.497312991138</x:v>
      </x:c>
      <x:c r="I145" s="37" t="n">
        <x:v>944080.5530627143</x:v>
      </x:c>
      <x:c r="J145" s="37" t="n">
        <x:v>11462649.240609389</x:v>
      </x:c>
      <x:c r="K145" s="37" t="n">
        <x:v>10533801.184859665</x:v>
      </x:c>
      <x:c r="L145" s="37" t="n">
        <x:v>12960779.513039453</x:v>
      </x:c>
      <x:c r="M145" s="37" t="n">
        <x:v>0</x:v>
      </x:c>
      <x:c r="N145" s="37" t="n">
        <x:v>0</x:v>
      </x:c>
      <x:c r="O145" s="37" t="n">
        <x:v>2636.7744500003755</x:v>
      </x:c>
      <x:c r="P145" s="37" t="n">
        <x:v>0</x:v>
      </x:c>
      <x:c r="Q145" s="37" t="n">
        <x:v>0</x:v>
      </x:c>
      <x:c r="R145" s="37" t="n">
        <x:v>0</x:v>
      </x:c>
      <x:c r="S145" s="37" t="n">
        <x:v>0</x:v>
      </x:c>
      <x:c r="T145" s="37" t="n">
        <x:v>0</x:v>
      </x:c>
      <x:c r="U145" s="37" t="n">
        <x:v>37500</x:v>
      </x:c>
      <x:c r="V145" s="37" t="n">
        <x:v>0</x:v>
      </x:c>
      <x:c r="W145" s="37" t="n">
        <x:v>32809.522677334026</x:v>
      </x:c>
      <x:c r="X145" s="37" t="n">
        <x:v>0</x:v>
      </x:c>
      <x:c r="Y145" s="37" t="n">
        <x:v>2251.286974010922</x:v>
      </x:c>
      <x:c r="Z145" s="37" t="n">
        <x:v>10744477.208556859</x:v>
      </x:c>
      <x:c r="AA145" s="37" t="n">
        <x:v>0</x:v>
      </x:c>
      <x:c r="AB145" s="37" t="n">
        <x:v>10744477.208556859</x:v>
      </x:c>
      <x:c r="AC145" s="37" t="n">
        <x:v>1287454.2487328704</x:v>
      </x:c>
      <x:c r="AD145" s="37" t="n">
        <x:v>0</x:v>
      </x:c>
      <x:c r="AE145" s="37" t="n">
        <x:v>0</x:v>
      </x:c>
      <x:c r="AF145" s="47" t="b">
        <x:v>0</x:v>
      </x:c>
      <x:c r="AG145" s="47" t="b">
        <x:v>0</x:v>
      </x:c>
      <x:c r="AH145" s="48" t="n">
        <x:v>0</x:v>
      </x:c>
      <x:c r="AI145" s="48" t="n">
        <x:v>1.1920928955078125e-7</x:v>
      </x:c>
      <x:c r="AJ145" s="37" t="str">
        <x:v>passed</x:v>
      </x:c>
    </x:row>
    <x:row r="146" ht="21" customHeight="1">
      <x:c r="A146" s="2"/>
      <x:c r="B146" s="2"/>
      <x:c r="C146" s="2" t="str">
        <x:v>2022</x:v>
      </x:c>
      <x:c r="D146" s="5" t="n">
        <x:v>44614</x:v>
      </x:c>
      <x:c r="E146" s="2" t="str">
        <x:v>constrained</x:v>
      </x:c>
      <x:c r="F146" s="37" t="n">
        <x:v>13065482.66624352</x:v>
      </x:c>
      <x:c r="G146" s="37" t="n">
        <x:v>-82320.37275560576</x:v>
      </x:c>
      <x:c r="H146" s="37" t="n">
        <x:v>-17856.75567937781</x:v>
      </x:c>
      <x:c r="I146" s="37" t="n">
        <x:v>-64463.61707622795</x:v>
      </x:c>
      <x:c r="J146" s="37" t="n">
        <x:v>11468438.324781545</x:v>
      </x:c>
      <x:c r="K146" s="37" t="n">
        <x:v>11550758.69753715</x:v>
      </x:c>
      <x:c r="L146" s="37" t="n">
        <x:v>12983162.293487914</x:v>
      </x:c>
      <x:c r="M146" s="37" t="n">
        <x:v>0</x:v>
      </x:c>
      <x:c r="N146" s="37" t="n">
        <x:v>0</x:v>
      </x:c>
      <x:c r="O146" s="37" t="n">
        <x:v>2863.275193478912</x:v>
      </x:c>
      <x:c r="P146" s="37" t="n">
        <x:v>0</x:v>
      </x:c>
      <x:c r="Q146" s="37" t="n">
        <x:v>0</x:v>
      </x:c>
      <x:c r="R146" s="37" t="n">
        <x:v>0</x:v>
      </x:c>
      <x:c r="S146" s="37" t="n">
        <x:v>0</x:v>
      </x:c>
      <x:c r="T146" s="37" t="n">
        <x:v>0</x:v>
      </x:c>
      <x:c r="U146" s="37" t="n">
        <x:v>37500</x:v>
      </x:c>
      <x:c r="V146" s="37" t="n">
        <x:v>0</x:v>
      </x:c>
      <x:c r="W146" s="37" t="n">
        <x:v>35674.06549240835</x:v>
      </x:c>
      <x:c r="X146" s="37" t="n">
        <x:v>0</x:v>
      </x:c>
      <x:c r="Y146" s="37" t="n">
        <x:v>2359.6096771908306</x:v>
      </x:c>
      <x:c r="Z146" s="37" t="n">
        <x:v>11781773.871487893</x:v>
      </x:c>
      <x:c r="AA146" s="37" t="n">
        <x:v>0</x:v>
      </x:c>
      <x:c r="AB146" s="37" t="n">
        <x:v>11781773.871487893</x:v>
      </x:c>
      <x:c r="AC146" s="37" t="n">
        <x:v>1283708.7947556265</x:v>
      </x:c>
      <x:c r="AD146" s="37" t="n">
        <x:v>0</x:v>
      </x:c>
      <x:c r="AE146" s="37" t="n">
        <x:v>0</x:v>
      </x:c>
      <x:c r="AF146" s="47" t="b">
        <x:v>0</x:v>
      </x:c>
      <x:c r="AG146" s="47" t="b">
        <x:v>0</x:v>
      </x:c>
      <x:c r="AH146" s="48" t="n">
        <x:v>0</x:v>
      </x:c>
      <x:c r="AI146" s="48" t="n">
        <x:v>1.1920928955078125e-7</x:v>
      </x:c>
      <x:c r="AJ146" s="37" t="str">
        <x:v>passed</x:v>
      </x:c>
    </x:row>
    <x:row r="147" ht="21" customHeight="1">
      <x:c r="A147" s="2"/>
      <x:c r="B147" s="2"/>
      <x:c r="C147" s="2" t="str">
        <x:v>2022</x:v>
      </x:c>
      <x:c r="D147" s="5" t="n">
        <x:v>44615</x:v>
      </x:c>
      <x:c r="E147" s="2" t="str">
        <x:v>unhedged</x:v>
      </x:c>
      <x:c r="F147" s="37" t="n">
        <x:v>1239696.457418031</x:v>
      </x:c>
      <x:c r="G147" s="37" t="n">
        <x:v>11431646.88856822</x:v>
      </x:c>
      <x:c r="H147" s="37" t="n">
        <x:v>18335.63535911602</x:v>
      </x:c>
      <x:c r="I147" s="37" t="n">
        <x:v>11413311.253209105</x:v>
      </x:c>
      <x:c r="J147" s="37" t="n">
        <x:v>11431646.88856822</x:v>
      </x:c>
      <x:c r="K147" s="37" t="n">
        <x:v>0</x:v>
      </x:c>
      <x:c r="L147" s="37" t="n">
        <x:v>12671343.34598625</x:v>
      </x:c>
      <x:c r="M147" s="37" t="n">
        <x:v>0</x:v>
      </x:c>
      <x:c r="N147" s="37" t="n">
        <x:v>0</x:v>
      </x:c>
      <x:c r="O147" s="37" t="n">
        <x:v>67.92485109949484</x:v>
      </x:c>
      <x:c r="P147" s="37" t="n">
        <x:v>0</x:v>
      </x:c>
      <x:c r="Q147" s="37" t="n">
        <x:v>0</x:v>
      </x:c>
      <x:c r="R147" s="37" t="n">
        <x:v>0</x:v>
      </x:c>
      <x:c r="S147" s="37" t="n">
        <x:v>0</x:v>
      </x:c>
      <x:c r="T147" s="37" t="n">
        <x:v>0</x:v>
      </x:c>
      <x:c r="U147" s="37" t="n">
        <x:v>37500</x:v>
      </x:c>
      <x:c r="V147" s="37" t="n">
        <x:v>0</x:v>
      </x:c>
      <x:c r="W147" s="37" t="n">
        <x:v>3371.1767347566783</x:v>
      </x:c>
      <x:c r="X147" s="37" t="n">
        <x:v>0</x:v>
      </x:c>
      <x:c r="Y147" s="37" t="n">
        <x:v>1174.7193167256753</x:v>
      </x:c>
      <x:c r="Z147" s="37" t="n">
        <x:v>0</x:v>
      </x:c>
      <x:c r="AA147" s="37" t="n">
        <x:v>0</x:v>
      </x:c>
      <x:c r="AB147" s="37" t="n">
        <x:v>0</x:v>
      </x:c>
      <x:c r="AC147" s="37" t="n">
        <x:v>1239696.457418031</x:v>
      </x:c>
      <x:c r="AD147" s="37" t="n">
        <x:v>0</x:v>
      </x:c>
      <x:c r="AE147" s="37" t="n">
        <x:v>0</x:v>
      </x:c>
      <x:c r="AF147" s="47" t="b">
        <x:v>0</x:v>
      </x:c>
      <x:c r="AG147" s="47" t="b">
        <x:v>0</x:v>
      </x:c>
      <x:c r="AH147" s="48" t="n">
        <x:v>0</x:v>
      </x:c>
      <x:c r="AI147" s="48" t="n">
        <x:v>1.1920928955078125e-7</x:v>
      </x:c>
      <x:c r="AJ147" s="37" t="str">
        <x:v>passed</x:v>
      </x:c>
    </x:row>
    <x:row r="148" ht="21" customHeight="1">
      <x:c r="A148" s="2"/>
      <x:c r="B148" s="2"/>
      <x:c r="C148" s="2" t="str">
        <x:v>2022</x:v>
      </x:c>
      <x:c r="D148" s="5" t="n">
        <x:v>44615</x:v>
      </x:c>
      <x:c r="E148" s="2" t="str">
        <x:v>duration</x:v>
      </x:c>
      <x:c r="F148" s="37" t="n">
        <x:v>9318814.446051221</x:v>
      </x:c>
      <x:c r="G148" s="37" t="n">
        <x:v>3605833.9218332563</x:v>
      </x:c>
      <x:c r="H148" s="37" t="n">
        <x:v>-13143.181134356031</x:v>
      </x:c>
      <x:c r="I148" s="37" t="n">
        <x:v>3618977.1029676124</x:v>
      </x:c>
      <x:c r="J148" s="37" t="n">
        <x:v>11431646.88856822</x:v>
      </x:c>
      <x:c r="K148" s="37" t="n">
        <x:v>7825812.966734965</x:v>
      </x:c>
      <x:c r="L148" s="37" t="n">
        <x:v>12924648.367884478</x:v>
      </x:c>
      <x:c r="M148" s="37" t="n">
        <x:v>0</x:v>
      </x:c>
      <x:c r="N148" s="37" t="n">
        <x:v>0</x:v>
      </x:c>
      <x:c r="O148" s="37" t="n">
        <x:v>510.5919920038432</x:v>
      </x:c>
      <x:c r="P148" s="37" t="n">
        <x:v>0</x:v>
      </x:c>
      <x:c r="Q148" s="37" t="n">
        <x:v>0</x:v>
      </x:c>
      <x:c r="R148" s="37" t="n">
        <x:v>0</x:v>
      </x:c>
      <x:c r="S148" s="37" t="n">
        <x:v>0</x:v>
      </x:c>
      <x:c r="T148" s="37" t="n">
        <x:v>0</x:v>
      </x:c>
      <x:c r="U148" s="37" t="n">
        <x:v>37500</x:v>
      </x:c>
      <x:c r="V148" s="37" t="n">
        <x:v>0</x:v>
      </x:c>
      <x:c r="W148" s="37" t="n">
        <x:v>25919.85000893101</x:v>
      </x:c>
      <x:c r="X148" s="37" t="n">
        <x:v>0</x:v>
      </x:c>
      <x:c r="Y148" s="37" t="n">
        <x:v>1980.9034702887486</x:v>
      </x:c>
      <x:c r="Z148" s="37" t="n">
        <x:v>7982329.226069665</x:v>
      </x:c>
      <x:c r="AA148" s="37" t="n">
        <x:v>0</x:v>
      </x:c>
      <x:c r="AB148" s="37" t="n">
        <x:v>7982329.226069665</x:v>
      </x:c>
      <x:c r="AC148" s="37" t="n">
        <x:v>1336485.2199815568</x:v>
      </x:c>
      <x:c r="AD148" s="37" t="n">
        <x:v>0</x:v>
      </x:c>
      <x:c r="AE148" s="37" t="n">
        <x:v>0</x:v>
      </x:c>
      <x:c r="AF148" s="47" t="b">
        <x:v>0</x:v>
      </x:c>
      <x:c r="AG148" s="47" t="b">
        <x:v>0</x:v>
      </x:c>
      <x:c r="AH148" s="48" t="n">
        <x:v>0</x:v>
      </x:c>
      <x:c r="AI148" s="48" t="n">
        <x:v>1.1920928955078125e-7</x:v>
      </x:c>
      <x:c r="AJ148" s="37" t="str">
        <x:v>passed</x:v>
      </x:c>
    </x:row>
    <x:row r="149" ht="21" customHeight="1">
      <x:c r="A149" s="2"/>
      <x:c r="B149" s="2"/>
      <x:c r="C149" s="2" t="str">
        <x:v>2022</x:v>
      </x:c>
      <x:c r="D149" s="5" t="n">
        <x:v>44615</x:v>
      </x:c>
      <x:c r="E149" s="2" t="str">
        <x:v>unweighted</x:v>
      </x:c>
      <x:c r="F149" s="37" t="n">
        <x:v>12032590.741205199</x:v>
      </x:c>
      <x:c r="G149" s="37" t="n">
        <x:v>926958.034009988</x:v>
      </x:c>
      <x:c r="H149" s="37" t="n">
        <x:v>-15239.205851073164</x:v>
      </x:c>
      <x:c r="I149" s="37" t="n">
        <x:v>942197.2398610611</x:v>
      </x:c>
      <x:c r="J149" s="37" t="n">
        <x:v>11431646.88856822</x:v>
      </x:c>
      <x:c r="K149" s="37" t="n">
        <x:v>10504688.854558233</x:v>
      </x:c>
      <x:c r="L149" s="37" t="n">
        <x:v>12959548.775215186</x:v>
      </x:c>
      <x:c r="M149" s="37" t="n">
        <x:v>0</x:v>
      </x:c>
      <x:c r="N149" s="37" t="n">
        <x:v>0</x:v>
      </x:c>
      <x:c r="O149" s="37" t="n">
        <x:v>659.2839154694229</x:v>
      </x:c>
      <x:c r="P149" s="37" t="n">
        <x:v>0</x:v>
      </x:c>
      <x:c r="Q149" s="37" t="n">
        <x:v>0</x:v>
      </x:c>
      <x:c r="R149" s="37" t="n">
        <x:v>0</x:v>
      </x:c>
      <x:c r="S149" s="37" t="n">
        <x:v>0</x:v>
      </x:c>
      <x:c r="T149" s="37" t="n">
        <x:v>0</x:v>
      </x:c>
      <x:c r="U149" s="37" t="n">
        <x:v>37500</x:v>
      </x:c>
      <x:c r="V149" s="37" t="n">
        <x:v>0</x:v>
      </x:c>
      <x:c r="W149" s="37" t="n">
        <x:v>33468.80659280345</x:v>
      </x:c>
      <x:c r="X149" s="37" t="n">
        <x:v>0</x:v>
      </x:c>
      <x:c r="Y149" s="37" t="n">
        <x:v>2251.286974010922</x:v>
      </x:c>
      <x:c r="Z149" s="37" t="n">
        <x:v>10714782.631649397</x:v>
      </x:c>
      <x:c r="AA149" s="37" t="n">
        <x:v>0</x:v>
      </x:c>
      <x:c r="AB149" s="37" t="n">
        <x:v>10714782.631649397</x:v>
      </x:c>
      <x:c r="AC149" s="37" t="n">
        <x:v>1317808.1095558014</x:v>
      </x:c>
      <x:c r="AD149" s="37" t="n">
        <x:v>0</x:v>
      </x:c>
      <x:c r="AE149" s="37" t="n">
        <x:v>0</x:v>
      </x:c>
      <x:c r="AF149" s="47" t="b">
        <x:v>0</x:v>
      </x:c>
      <x:c r="AG149" s="47" t="b">
        <x:v>0</x:v>
      </x:c>
      <x:c r="AH149" s="48" t="n">
        <x:v>0</x:v>
      </x:c>
      <x:c r="AI149" s="48" t="n">
        <x:v>1.1920928955078125e-7</x:v>
      </x:c>
      <x:c r="AJ149" s="37" t="str">
        <x:v>passed</x:v>
      </x:c>
    </x:row>
    <x:row r="150" ht="21" customHeight="1">
      <x:c r="A150" s="2"/>
      <x:c r="B150" s="2"/>
      <x:c r="C150" s="2" t="str">
        <x:v>2022</x:v>
      </x:c>
      <x:c r="D150" s="5" t="n">
        <x:v>44615</x:v>
      </x:c>
      <x:c r="E150" s="2" t="str">
        <x:v>constrained</x:v>
      </x:c>
      <x:c r="F150" s="37" t="n">
        <x:v>13066198.583101945</x:v>
      </x:c>
      <x:c r="G150" s="37" t="n">
        <x:v>-82300.73034450511</x:v>
      </x:c>
      <x:c r="H150" s="37" t="n">
        <x:v>-17893.201754975118</x:v>
      </x:c>
      <x:c r="I150" s="37" t="n">
        <x:v>-64407.52858952999</x:v>
      </x:c>
      <x:c r="J150" s="37" t="n">
        <x:v>11437371.255646266</x:v>
      </x:c>
      <x:c r="K150" s="37" t="n">
        <x:v>11519671.98599077</x:v>
      </x:c>
      <x:c r="L150" s="37" t="n">
        <x:v>12983897.852757439</x:v>
      </x:c>
      <x:c r="M150" s="37" t="n">
        <x:v>0</x:v>
      </x:c>
      <x:c r="N150" s="37" t="n">
        <x:v>0</x:v>
      </x:c>
      <x:c r="O150" s="37" t="n">
        <x:v>715.9168584253639</x:v>
      </x:c>
      <x:c r="P150" s="37" t="n">
        <x:v>0</x:v>
      </x:c>
      <x:c r="Q150" s="37" t="n">
        <x:v>0</x:v>
      </x:c>
      <x:c r="R150" s="37" t="n">
        <x:v>0</x:v>
      </x:c>
      <x:c r="S150" s="37" t="n">
        <x:v>0</x:v>
      </x:c>
      <x:c r="T150" s="37" t="n">
        <x:v>0</x:v>
      </x:c>
      <x:c r="U150" s="37" t="n">
        <x:v>37500</x:v>
      </x:c>
      <x:c r="V150" s="37" t="n">
        <x:v>0</x:v>
      </x:c>
      <x:c r="W150" s="37" t="n">
        <x:v>36389.982350833714</x:v>
      </x:c>
      <x:c r="X150" s="37" t="n">
        <x:v>0</x:v>
      </x:c>
      <x:c r="Y150" s="37" t="n">
        <x:v>2359.6096771908306</x:v>
      </x:c>
      <x:c r="Z150" s="37" t="n">
        <x:v>11750065.425710585</x:v>
      </x:c>
      <x:c r="AA150" s="37" t="n">
        <x:v>0</x:v>
      </x:c>
      <x:c r="AB150" s="37" t="n">
        <x:v>11750065.425710585</x:v>
      </x:c>
      <x:c r="AC150" s="37" t="n">
        <x:v>1316133.15739136</x:v>
      </x:c>
      <x:c r="AD150" s="37" t="n">
        <x:v>0</x:v>
      </x:c>
      <x:c r="AE150" s="37" t="n">
        <x:v>0</x:v>
      </x:c>
      <x:c r="AF150" s="47" t="b">
        <x:v>0</x:v>
      </x:c>
      <x:c r="AG150" s="47" t="b">
        <x:v>0</x:v>
      </x:c>
      <x:c r="AH150" s="48" t="n">
        <x:v>0</x:v>
      </x:c>
      <x:c r="AI150" s="48" t="n">
        <x:v>1.1920928955078125e-7</x:v>
      </x:c>
      <x:c r="AJ150" s="37" t="str">
        <x:v>passed</x:v>
      </x:c>
    </x:row>
    <x:row r="151" ht="21" customHeight="1">
      <x:c r="A151" s="2"/>
      <x:c r="B151" s="2"/>
      <x:c r="C151" s="2" t="str">
        <x:v>2022</x:v>
      </x:c>
      <x:c r="D151" s="5" t="n">
        <x:v>44616</x:v>
      </x:c>
      <x:c r="E151" s="2" t="str">
        <x:v>unhedged</x:v>
      </x:c>
      <x:c r="F151" s="37" t="n">
        <x:v>1239764.3859910402</x:v>
      </x:c>
      <x:c r="G151" s="37" t="n">
        <x:v>11454685.36620177</x:v>
      </x:c>
      <x:c r="H151" s="37" t="n">
        <x:v>18687.845303867405</x:v>
      </x:c>
      <x:c r="I151" s="37" t="n">
        <x:v>11435997.520897903</x:v>
      </x:c>
      <x:c r="J151" s="37" t="n">
        <x:v>11454685.36620177</x:v>
      </x:c>
      <x:c r="K151" s="37" t="n">
        <x:v>0</x:v>
      </x:c>
      <x:c r="L151" s="37" t="n">
        <x:v>12694449.75219281</x:v>
      </x:c>
      <x:c r="M151" s="37" t="n">
        <x:v>0</x:v>
      </x:c>
      <x:c r="N151" s="37" t="n">
        <x:v>0</x:v>
      </x:c>
      <x:c r="O151" s="37" t="n">
        <x:v>67.92857300909236</x:v>
      </x:c>
      <x:c r="P151" s="37" t="n">
        <x:v>0</x:v>
      </x:c>
      <x:c r="Q151" s="37" t="n">
        <x:v>0</x:v>
      </x:c>
      <x:c r="R151" s="37" t="n">
        <x:v>0</x:v>
      </x:c>
      <x:c r="S151" s="37" t="n">
        <x:v>0</x:v>
      </x:c>
      <x:c r="T151" s="37" t="n">
        <x:v>0</x:v>
      </x:c>
      <x:c r="U151" s="37" t="n">
        <x:v>37500</x:v>
      </x:c>
      <x:c r="V151" s="37" t="n">
        <x:v>0</x:v>
      </x:c>
      <x:c r="W151" s="37" t="n">
        <x:v>3439.1053077657707</x:v>
      </x:c>
      <x:c r="X151" s="37" t="n">
        <x:v>0</x:v>
      </x:c>
      <x:c r="Y151" s="37" t="n">
        <x:v>1174.7193167256753</x:v>
      </x:c>
      <x:c r="Z151" s="37" t="n">
        <x:v>0</x:v>
      </x:c>
      <x:c r="AA151" s="37" t="n">
        <x:v>0</x:v>
      </x:c>
      <x:c r="AB151" s="37" t="n">
        <x:v>0</x:v>
      </x:c>
      <x:c r="AC151" s="37" t="n">
        <x:v>1239764.3859910402</x:v>
      </x:c>
      <x:c r="AD151" s="37" t="n">
        <x:v>0</x:v>
      </x:c>
      <x:c r="AE151" s="37" t="n">
        <x:v>0</x:v>
      </x:c>
      <x:c r="AF151" s="47" t="b">
        <x:v>0</x:v>
      </x:c>
      <x:c r="AG151" s="47" t="b">
        <x:v>0</x:v>
      </x:c>
      <x:c r="AH151" s="48" t="n">
        <x:v>0</x:v>
      </x:c>
      <x:c r="AI151" s="48" t="n">
        <x:v>1.1920928955078125e-7</x:v>
      </x:c>
      <x:c r="AJ151" s="37" t="str">
        <x:v>passed</x:v>
      </x:c>
    </x:row>
    <x:row r="152" ht="21" customHeight="1">
      <x:c r="A152" s="2"/>
      <x:c r="B152" s="2"/>
      <x:c r="C152" s="2" t="str">
        <x:v>2022</x:v>
      </x:c>
      <x:c r="D152" s="5" t="n">
        <x:v>44616</x:v>
      </x:c>
      <x:c r="E152" s="2" t="str">
        <x:v>duration</x:v>
      </x:c>
      <x:c r="F152" s="37" t="n">
        <x:v>9319325.066020867</x:v>
      </x:c>
      <x:c r="G152" s="37" t="n">
        <x:v>3612519.1801898414</x:v>
      </x:c>
      <x:c r="H152" s="37" t="n">
        <x:v>-13105.75935453937</x:v>
      </x:c>
      <x:c r="I152" s="37" t="n">
        <x:v>3625624.9395443806</x:v>
      </x:c>
      <x:c r="J152" s="37" t="n">
        <x:v>11454685.36620177</x:v>
      </x:c>
      <x:c r="K152" s="37" t="n">
        <x:v>7842166.186011927</x:v>
      </x:c>
      <x:c r="L152" s="37" t="n">
        <x:v>12931844.24621071</x:v>
      </x:c>
      <x:c r="M152" s="37" t="n">
        <x:v>0</x:v>
      </x:c>
      <x:c r="N152" s="37" t="n">
        <x:v>0</x:v>
      </x:c>
      <x:c r="O152" s="37" t="n">
        <x:v>510.6199696455151</x:v>
      </x:c>
      <x:c r="P152" s="37" t="n">
        <x:v>0</x:v>
      </x:c>
      <x:c r="Q152" s="37" t="n">
        <x:v>0</x:v>
      </x:c>
      <x:c r="R152" s="37" t="n">
        <x:v>0</x:v>
      </x:c>
      <x:c r="S152" s="37" t="n">
        <x:v>0</x:v>
      </x:c>
      <x:c r="T152" s="37" t="n">
        <x:v>0</x:v>
      </x:c>
      <x:c r="U152" s="37" t="n">
        <x:v>37500</x:v>
      </x:c>
      <x:c r="V152" s="37" t="n">
        <x:v>0</x:v>
      </x:c>
      <x:c r="W152" s="37" t="n">
        <x:v>26430.469978576526</x:v>
      </x:c>
      <x:c r="X152" s="37" t="n">
        <x:v>0</x:v>
      </x:c>
      <x:c r="Y152" s="37" t="n">
        <x:v>1980.9034702887486</x:v>
      </x:c>
      <x:c r="Z152" s="37" t="n">
        <x:v>7999009.509732166</x:v>
      </x:c>
      <x:c r="AA152" s="37" t="n">
        <x:v>0</x:v>
      </x:c>
      <x:c r="AB152" s="37" t="n">
        <x:v>7999009.509732166</x:v>
      </x:c>
      <x:c r="AC152" s="37" t="n">
        <x:v>1320315.5562887006</x:v>
      </x:c>
      <x:c r="AD152" s="37" t="n">
        <x:v>0</x:v>
      </x:c>
      <x:c r="AE152" s="37" t="n">
        <x:v>0</x:v>
      </x:c>
      <x:c r="AF152" s="47" t="b">
        <x:v>0</x:v>
      </x:c>
      <x:c r="AG152" s="47" t="b">
        <x:v>0</x:v>
      </x:c>
      <x:c r="AH152" s="48" t="n">
        <x:v>0</x:v>
      </x:c>
      <x:c r="AI152" s="48" t="n">
        <x:v>1.1920928955078125e-7</x:v>
      </x:c>
      <x:c r="AJ152" s="37" t="str">
        <x:v>passed</x:v>
      </x:c>
    </x:row>
    <x:row r="153" ht="21" customHeight="1">
      <x:c r="A153" s="2"/>
      <x:c r="B153" s="2"/>
      <x:c r="C153" s="2" t="str">
        <x:v>2022</x:v>
      </x:c>
      <x:c r="D153" s="5" t="n">
        <x:v>44616</x:v>
      </x:c>
      <x:c r="E153" s="2" t="str">
        <x:v>unweighted</x:v>
      </x:c>
      <x:c r="F153" s="37" t="n">
        <x:v>12033250.06124581</x:v>
      </x:c>
      <x:c r="G153" s="37" t="n">
        <x:v>928939.4972165511</x:v>
      </x:c>
      <x:c r="H153" s="37" t="n">
        <x:v>-15245.914389155185</x:v>
      </x:c>
      <x:c r="I153" s="37" t="n">
        <x:v>944185.4116057063</x:v>
      </x:c>
      <x:c r="J153" s="37" t="n">
        <x:v>11454685.36620177</x:v>
      </x:c>
      <x:c r="K153" s="37" t="n">
        <x:v>10525745.868985217</x:v>
      </x:c>
      <x:c r="L153" s="37" t="n">
        <x:v>12962189.55846236</x:v>
      </x:c>
      <x:c r="M153" s="37" t="n">
        <x:v>0</x:v>
      </x:c>
      <x:c r="N153" s="37" t="n">
        <x:v>0</x:v>
      </x:c>
      <x:c r="O153" s="37" t="n">
        <x:v>659.3200406115502</x:v>
      </x:c>
      <x:c r="P153" s="37" t="n">
        <x:v>0</x:v>
      </x:c>
      <x:c r="Q153" s="37" t="n">
        <x:v>0</x:v>
      </x:c>
      <x:c r="R153" s="37" t="n">
        <x:v>0</x:v>
      </x:c>
      <x:c r="S153" s="37" t="n">
        <x:v>0</x:v>
      </x:c>
      <x:c r="T153" s="37" t="n">
        <x:v>0</x:v>
      </x:c>
      <x:c r="U153" s="37" t="n">
        <x:v>37500</x:v>
      </x:c>
      <x:c r="V153" s="37" t="n">
        <x:v>0</x:v>
      </x:c>
      <x:c r="W153" s="37" t="n">
        <x:v>34128.126633415</x:v>
      </x:c>
      <x:c r="X153" s="37" t="n">
        <x:v>0</x:v>
      </x:c>
      <x:c r="Y153" s="37" t="n">
        <x:v>2251.286974010922</x:v>
      </x:c>
      <x:c r="Z153" s="37" t="n">
        <x:v>10736260.786364922</x:v>
      </x:c>
      <x:c r="AA153" s="37" t="n">
        <x:v>0</x:v>
      </x:c>
      <x:c r="AB153" s="37" t="n">
        <x:v>10736260.786364922</x:v>
      </x:c>
      <x:c r="AC153" s="37" t="n">
        <x:v>1296989.274880888</x:v>
      </x:c>
      <x:c r="AD153" s="37" t="n">
        <x:v>0</x:v>
      </x:c>
      <x:c r="AE153" s="37" t="n">
        <x:v>0</x:v>
      </x:c>
      <x:c r="AF153" s="47" t="b">
        <x:v>0</x:v>
      </x:c>
      <x:c r="AG153" s="47" t="b">
        <x:v>0</x:v>
      </x:c>
      <x:c r="AH153" s="48" t="n">
        <x:v>0</x:v>
      </x:c>
      <x:c r="AI153" s="48" t="n">
        <x:v>1.1920928955078125e-7</x:v>
      </x:c>
      <x:c r="AJ153" s="37" t="str">
        <x:v>passed</x:v>
      </x:c>
    </x:row>
    <x:row r="154" ht="21" customHeight="1">
      <x:c r="A154" s="2"/>
      <x:c r="B154" s="2"/>
      <x:c r="C154" s="2" t="str">
        <x:v>2022</x:v>
      </x:c>
      <x:c r="D154" s="5" t="n">
        <x:v>44616</x:v>
      </x:c>
      <x:c r="E154" s="2" t="str">
        <x:v>constrained</x:v>
      </x:c>
      <x:c r="F154" s="37" t="n">
        <x:v>13066914.539188689</x:v>
      </x:c>
      <x:c r="G154" s="37" t="n">
        <x:v>-82196.51941418406</x:v>
      </x:c>
      <x:c r="H154" s="37" t="n">
        <x:v>-17929.647830572412</x:v>
      </x:c>
      <x:c r="I154" s="37" t="n">
        <x:v>-64266.871583611646</x:v>
      </x:c>
      <x:c r="J154" s="37" t="n">
        <x:v>11460408.012437118</x:v>
      </x:c>
      <x:c r="K154" s="37" t="n">
        <x:v>11542604.531851301</x:v>
      </x:c>
      <x:c r="L154" s="37" t="n">
        <x:v>12984718.019774504</x:v>
      </x:c>
      <x:c r="M154" s="37" t="n">
        <x:v>0</x:v>
      </x:c>
      <x:c r="N154" s="37" t="n">
        <x:v>0</x:v>
      </x:c>
      <x:c r="O154" s="37" t="n">
        <x:v>715.956086743623</x:v>
      </x:c>
      <x:c r="P154" s="37" t="n">
        <x:v>0</x:v>
      </x:c>
      <x:c r="Q154" s="37" t="n">
        <x:v>0</x:v>
      </x:c>
      <x:c r="R154" s="37" t="n">
        <x:v>0</x:v>
      </x:c>
      <x:c r="S154" s="37" t="n">
        <x:v>0</x:v>
      </x:c>
      <x:c r="T154" s="37" t="n">
        <x:v>0</x:v>
      </x:c>
      <x:c r="U154" s="37" t="n">
        <x:v>37500</x:v>
      </x:c>
      <x:c r="V154" s="37" t="n">
        <x:v>0</x:v>
      </x:c>
      <x:c r="W154" s="37" t="n">
        <x:v>37105.93843757734</x:v>
      </x:c>
      <x:c r="X154" s="37" t="n">
        <x:v>0</x:v>
      </x:c>
      <x:c r="Y154" s="37" t="n">
        <x:v>2359.6096771908306</x:v>
      </x:c>
      <x:c r="Z154" s="37" t="n">
        <x:v>11773456.622488327</x:v>
      </x:c>
      <x:c r="AA154" s="37" t="n">
        <x:v>0</x:v>
      </x:c>
      <x:c r="AB154" s="37" t="n">
        <x:v>11773456.622488327</x:v>
      </x:c>
      <x:c r="AC154" s="37" t="n">
        <x:v>1293457.9167003613</x:v>
      </x:c>
      <x:c r="AD154" s="37" t="n">
        <x:v>0</x:v>
      </x:c>
      <x:c r="AE154" s="37" t="n">
        <x:v>0</x:v>
      </x:c>
      <x:c r="AF154" s="47" t="b">
        <x:v>0</x:v>
      </x:c>
      <x:c r="AG154" s="47" t="b">
        <x:v>0</x:v>
      </x:c>
      <x:c r="AH154" s="48" t="n">
        <x:v>0</x:v>
      </x:c>
      <x:c r="AI154" s="48" t="n">
        <x:v>1.1920928955078125e-7</x:v>
      </x:c>
      <x:c r="AJ154" s="37" t="str">
        <x:v>passed</x:v>
      </x:c>
    </x:row>
    <x:row r="155" ht="21" customHeight="1">
      <x:c r="A155" s="2"/>
      <x:c r="B155" s="2"/>
      <x:c r="C155" s="2" t="str">
        <x:v>2022</x:v>
      </x:c>
      <x:c r="D155" s="5" t="n">
        <x:v>44617</x:v>
      </x:c>
      <x:c r="E155" s="2" t="str">
        <x:v>unhedged</x:v>
      </x:c>
      <x:c r="F155" s="37" t="n">
        <x:v>1239832.3182861633</x:v>
      </x:c>
      <x:c r="G155" s="37" t="n">
        <x:v>11441974.203064835</x:v>
      </x:c>
      <x:c r="H155" s="37" t="n">
        <x:v>19040.055248618784</x:v>
      </x:c>
      <x:c r="I155" s="37" t="n">
        <x:v>11422934.147816217</x:v>
      </x:c>
      <x:c r="J155" s="37" t="n">
        <x:v>11441974.203064835</x:v>
      </x:c>
      <x:c r="K155" s="37" t="n">
        <x:v>0</x:v>
      </x:c>
      <x:c r="L155" s="37" t="n">
        <x:v>12681806.521350998</x:v>
      </x:c>
      <x:c r="M155" s="37" t="n">
        <x:v>0</x:v>
      </x:c>
      <x:c r="N155" s="37" t="n">
        <x:v>0</x:v>
      </x:c>
      <x:c r="O155" s="37" t="n">
        <x:v>67.93229512311518</x:v>
      </x:c>
      <x:c r="P155" s="37" t="n">
        <x:v>0</x:v>
      </x:c>
      <x:c r="Q155" s="37" t="n">
        <x:v>0</x:v>
      </x:c>
      <x:c r="R155" s="37" t="n">
        <x:v>0</x:v>
      </x:c>
      <x:c r="S155" s="37" t="n">
        <x:v>0</x:v>
      </x:c>
      <x:c r="T155" s="37" t="n">
        <x:v>0</x:v>
      </x:c>
      <x:c r="U155" s="37" t="n">
        <x:v>37500</x:v>
      </x:c>
      <x:c r="V155" s="37" t="n">
        <x:v>0</x:v>
      </x:c>
      <x:c r="W155" s="37" t="n">
        <x:v>3507.037602888886</x:v>
      </x:c>
      <x:c r="X155" s="37" t="n">
        <x:v>0</x:v>
      </x:c>
      <x:c r="Y155" s="37" t="n">
        <x:v>1174.7193167256753</x:v>
      </x:c>
      <x:c r="Z155" s="37" t="n">
        <x:v>0</x:v>
      </x:c>
      <x:c r="AA155" s="37" t="n">
        <x:v>0</x:v>
      </x:c>
      <x:c r="AB155" s="37" t="n">
        <x:v>0</x:v>
      </x:c>
      <x:c r="AC155" s="37" t="n">
        <x:v>1239832.3182861633</x:v>
      </x:c>
      <x:c r="AD155" s="37" t="n">
        <x:v>0</x:v>
      </x:c>
      <x:c r="AE155" s="37" t="n">
        <x:v>0</x:v>
      </x:c>
      <x:c r="AF155" s="47" t="b">
        <x:v>0</x:v>
      </x:c>
      <x:c r="AG155" s="47" t="b">
        <x:v>0</x:v>
      </x:c>
      <x:c r="AH155" s="48" t="n">
        <x:v>0</x:v>
      </x:c>
      <x:c r="AI155" s="48" t="n">
        <x:v>1.1920928955078125e-7</x:v>
      </x:c>
      <x:c r="AJ155" s="37" t="str">
        <x:v>passed</x:v>
      </x:c>
    </x:row>
    <x:row r="156" ht="21" customHeight="1">
      <x:c r="A156" s="2"/>
      <x:c r="B156" s="2"/>
      <x:c r="C156" s="2" t="str">
        <x:v>2022</x:v>
      </x:c>
      <x:c r="D156" s="5" t="n">
        <x:v>44617</x:v>
      </x:c>
      <x:c r="E156" s="2" t="str">
        <x:v>duration</x:v>
      </x:c>
      <x:c r="F156" s="37" t="n">
        <x:v>9319835.713969693</x:v>
      </x:c>
      <x:c r="G156" s="37" t="n">
        <x:v>3609156.2827258003</x:v>
      </x:c>
      <x:c r="H156" s="37" t="n">
        <x:v>-13068.337574722711</x:v>
      </x:c>
      <x:c r="I156" s="37" t="n">
        <x:v>3622224.620300523</x:v>
      </x:c>
      <x:c r="J156" s="37" t="n">
        <x:v>11441974.203064835</x:v>
      </x:c>
      <x:c r="K156" s="37" t="n">
        <x:v>7832817.920339035</x:v>
      </x:c>
      <x:c r="L156" s="37" t="n">
        <x:v>12928991.996695492</x:v>
      </x:c>
      <x:c r="M156" s="37" t="n">
        <x:v>0</x:v>
      </x:c>
      <x:c r="N156" s="37" t="n">
        <x:v>0</x:v>
      </x:c>
      <x:c r="O156" s="37" t="n">
        <x:v>510.6479488257319</x:v>
      </x:c>
      <x:c r="P156" s="37" t="n">
        <x:v>0</x:v>
      </x:c>
      <x:c r="Q156" s="37" t="n">
        <x:v>0</x:v>
      </x:c>
      <x:c r="R156" s="37" t="n">
        <x:v>0</x:v>
      </x:c>
      <x:c r="S156" s="37" t="n">
        <x:v>0</x:v>
      </x:c>
      <x:c r="T156" s="37" t="n">
        <x:v>0</x:v>
      </x:c>
      <x:c r="U156" s="37" t="n">
        <x:v>37500</x:v>
      </x:c>
      <x:c r="V156" s="37" t="n">
        <x:v>0</x:v>
      </x:c>
      <x:c r="W156" s="37" t="n">
        <x:v>26941.117927402258</x:v>
      </x:c>
      <x:c r="X156" s="37" t="n">
        <x:v>0</x:v>
      </x:c>
      <x:c r="Y156" s="37" t="n">
        <x:v>1980.9034702887486</x:v>
      </x:c>
      <x:c r="Z156" s="37" t="n">
        <x:v>7989474.278745816</x:v>
      </x:c>
      <x:c r="AA156" s="37" t="n">
        <x:v>0</x:v>
      </x:c>
      <x:c r="AB156" s="37" t="n">
        <x:v>7989474.278745816</x:v>
      </x:c>
      <x:c r="AC156" s="37" t="n">
        <x:v>1330361.4352238765</x:v>
      </x:c>
      <x:c r="AD156" s="37" t="n">
        <x:v>0</x:v>
      </x:c>
      <x:c r="AE156" s="37" t="n">
        <x:v>0</x:v>
      </x:c>
      <x:c r="AF156" s="47" t="b">
        <x:v>0</x:v>
      </x:c>
      <x:c r="AG156" s="47" t="b">
        <x:v>0</x:v>
      </x:c>
      <x:c r="AH156" s="48" t="n">
        <x:v>0</x:v>
      </x:c>
      <x:c r="AI156" s="48" t="n">
        <x:v>1.1920928955078125e-7</x:v>
      </x:c>
      <x:c r="AJ156" s="37" t="str">
        <x:v>passed</x:v>
      </x:c>
    </x:row>
    <x:row r="157" ht="21" customHeight="1">
      <x:c r="A157" s="2"/>
      <x:c r="B157" s="2"/>
      <x:c r="C157" s="2" t="str">
        <x:v>2022</x:v>
      </x:c>
      <x:c r="D157" s="5" t="n">
        <x:v>44617</x:v>
      </x:c>
      <x:c r="E157" s="2" t="str">
        <x:v>unweighted</x:v>
      </x:c>
      <x:c r="F157" s="37" t="n">
        <x:v>12033909.417413553</x:v>
      </x:c>
      <x:c r="G157" s="37" t="n">
        <x:v>927907.2491823707</x:v>
      </x:c>
      <x:c r="H157" s="37" t="n">
        <x:v>-15252.62292723721</x:v>
      </x:c>
      <x:c r="I157" s="37" t="n">
        <x:v>943159.8721096079</x:v>
      </x:c>
      <x:c r="J157" s="37" t="n">
        <x:v>11441974.203064835</x:v>
      </x:c>
      <x:c r="K157" s="37" t="n">
        <x:v>10514066.953882465</x:v>
      </x:c>
      <x:c r="L157" s="37" t="n">
        <x:v>12961816.666595925</x:v>
      </x:c>
      <x:c r="M157" s="37" t="n">
        <x:v>0</x:v>
      </x:c>
      <x:c r="N157" s="37" t="n">
        <x:v>0</x:v>
      </x:c>
      <x:c r="O157" s="37" t="n">
        <x:v>659.3561677429825</x:v>
      </x:c>
      <x:c r="P157" s="37" t="n">
        <x:v>0</x:v>
      </x:c>
      <x:c r="Q157" s="37" t="n">
        <x:v>0</x:v>
      </x:c>
      <x:c r="R157" s="37" t="n">
        <x:v>0</x:v>
      </x:c>
      <x:c r="S157" s="37" t="n">
        <x:v>0</x:v>
      </x:c>
      <x:c r="T157" s="37" t="n">
        <x:v>0</x:v>
      </x:c>
      <x:c r="U157" s="37" t="n">
        <x:v>37500</x:v>
      </x:c>
      <x:c r="V157" s="37" t="n">
        <x:v>0</x:v>
      </x:c>
      <x:c r="W157" s="37" t="n">
        <x:v>34787.48280115798</x:v>
      </x:c>
      <x:c r="X157" s="37" t="n">
        <x:v>0</x:v>
      </x:c>
      <x:c r="Y157" s="37" t="n">
        <x:v>2251.286974010922</x:v>
      </x:c>
      <x:c r="Z157" s="37" t="n">
        <x:v>10724348.292960115</x:v>
      </x:c>
      <x:c r="AA157" s="37" t="n">
        <x:v>0</x:v>
      </x:c>
      <x:c r="AB157" s="37" t="n">
        <x:v>10724348.292960115</x:v>
      </x:c>
      <x:c r="AC157" s="37" t="n">
        <x:v>1309561.1244534384</x:v>
      </x:c>
      <x:c r="AD157" s="37" t="n">
        <x:v>0</x:v>
      </x:c>
      <x:c r="AE157" s="37" t="n">
        <x:v>0</x:v>
      </x:c>
      <x:c r="AF157" s="47" t="b">
        <x:v>0</x:v>
      </x:c>
      <x:c r="AG157" s="47" t="b">
        <x:v>0</x:v>
      </x:c>
      <x:c r="AH157" s="48" t="n">
        <x:v>0</x:v>
      </x:c>
      <x:c r="AI157" s="48" t="n">
        <x:v>1.1920928955078125e-7</x:v>
      </x:c>
      <x:c r="AJ157" s="37" t="str">
        <x:v>passed</x:v>
      </x:c>
    </x:row>
    <x:row r="158" ht="21" customHeight="1">
      <x:c r="A158" s="2"/>
      <x:c r="B158" s="2"/>
      <x:c r="C158" s="2" t="str">
        <x:v>2022</x:v>
      </x:c>
      <x:c r="D158" s="5" t="n">
        <x:v>44617</x:v>
      </x:c>
      <x:c r="E158" s="2" t="str">
        <x:v>constrained</x:v>
      </x:c>
      <x:c r="F158" s="37" t="n">
        <x:v>13067630.534505907</x:v>
      </x:c>
      <x:c r="G158" s="37" t="n">
        <x:v>-82214.65206564388</x:v>
      </x:c>
      <x:c r="H158" s="37" t="n">
        <x:v>-17966.093906169717</x:v>
      </x:c>
      <x:c r="I158" s="37" t="n">
        <x:v>-64248.55815947417</x:v>
      </x:c>
      <x:c r="J158" s="37" t="n">
        <x:v>11447680.638383426</x:v>
      </x:c>
      <x:c r="K158" s="37" t="n">
        <x:v>11529895.29044907</x:v>
      </x:c>
      <x:c r="L158" s="37" t="n">
        <x:v>12985415.882440263</x:v>
      </x:c>
      <x:c r="M158" s="37" t="n">
        <x:v>0</x:v>
      </x:c>
      <x:c r="N158" s="37" t="n">
        <x:v>0</x:v>
      </x:c>
      <x:c r="O158" s="37" t="n">
        <x:v>715.9953172188252</x:v>
      </x:c>
      <x:c r="P158" s="37" t="n">
        <x:v>0</x:v>
      </x:c>
      <x:c r="Q158" s="37" t="n">
        <x:v>0</x:v>
      </x:c>
      <x:c r="R158" s="37" t="n">
        <x:v>0</x:v>
      </x:c>
      <x:c r="S158" s="37" t="n">
        <x:v>0</x:v>
      </x:c>
      <x:c r="T158" s="37" t="n">
        <x:v>0</x:v>
      </x:c>
      <x:c r="U158" s="37" t="n">
        <x:v>37500</x:v>
      </x:c>
      <x:c r="V158" s="37" t="n">
        <x:v>0</x:v>
      </x:c>
      <x:c r="W158" s="37" t="n">
        <x:v>37821.93375479616</x:v>
      </x:c>
      <x:c r="X158" s="37" t="n">
        <x:v>0</x:v>
      </x:c>
      <x:c r="Y158" s="37" t="n">
        <x:v>2359.6096771908306</x:v>
      </x:c>
      <x:c r="Z158" s="37" t="n">
        <x:v>11760493.196258051</x:v>
      </x:c>
      <x:c r="AA158" s="37" t="n">
        <x:v>0</x:v>
      </x:c>
      <x:c r="AB158" s="37" t="n">
        <x:v>11760493.196258051</x:v>
      </x:c>
      <x:c r="AC158" s="37" t="n">
        <x:v>1307137.3382478561</x:v>
      </x:c>
      <x:c r="AD158" s="37" t="n">
        <x:v>0</x:v>
      </x:c>
      <x:c r="AE158" s="37" t="n">
        <x:v>0</x:v>
      </x:c>
      <x:c r="AF158" s="47" t="b">
        <x:v>0</x:v>
      </x:c>
      <x:c r="AG158" s="47" t="b">
        <x:v>0</x:v>
      </x:c>
      <x:c r="AH158" s="48" t="n">
        <x:v>0</x:v>
      </x:c>
      <x:c r="AI158" s="48" t="n">
        <x:v>1.1920928955078125e-7</x:v>
      </x:c>
      <x:c r="AJ158" s="37" t="str">
        <x:v>passed</x:v>
      </x:c>
    </x:row>
    <x:row r="159" ht="21" customHeight="1">
      <x:c r="A159" s="2"/>
      <x:c r="B159" s="2"/>
      <x:c r="C159" s="2" t="str">
        <x:v>2022</x:v>
      </x:c>
      <x:c r="D159" s="5" t="n">
        <x:v>44620</x:v>
      </x:c>
      <x:c r="E159" s="2" t="str">
        <x:v>unhedged</x:v>
      </x:c>
      <x:c r="F159" s="37" t="n">
        <x:v>1240036.137506253</x:v>
      </x:c>
      <x:c r="G159" s="37" t="n">
        <x:v>11549712.762191802</x:v>
      </x:c>
      <x:c r="H159" s="37" t="n">
        <x:v>20096.68508287293</x:v>
      </x:c>
      <x:c r="I159" s="37" t="n">
        <x:v>11529616.077108929</x:v>
      </x:c>
      <x:c r="J159" s="37" t="n">
        <x:v>11549712.762191802</x:v>
      </x:c>
      <x:c r="K159" s="37" t="n">
        <x:v>0</x:v>
      </x:c>
      <x:c r="L159" s="37" t="n">
        <x:v>12789748.899698056</x:v>
      </x:c>
      <x:c r="M159" s="37" t="n">
        <x:v>0</x:v>
      </x:c>
      <x:c r="N159" s="37" t="n">
        <x:v>0</x:v>
      </x:c>
      <x:c r="O159" s="37" t="n">
        <x:v>203.81922008981928</x:v>
      </x:c>
      <x:c r="P159" s="37" t="n">
        <x:v>0</x:v>
      </x:c>
      <x:c r="Q159" s="37" t="n">
        <x:v>0</x:v>
      </x:c>
      <x:c r="R159" s="37" t="n">
        <x:v>0</x:v>
      </x:c>
      <x:c r="S159" s="37" t="n">
        <x:v>0</x:v>
      </x:c>
      <x:c r="T159" s="37" t="n">
        <x:v>0</x:v>
      </x:c>
      <x:c r="U159" s="37" t="n">
        <x:v>37500</x:v>
      </x:c>
      <x:c r="V159" s="37" t="n">
        <x:v>0</x:v>
      </x:c>
      <x:c r="W159" s="37" t="n">
        <x:v>3710.856822978705</x:v>
      </x:c>
      <x:c r="X159" s="37" t="n">
        <x:v>0</x:v>
      </x:c>
      <x:c r="Y159" s="37" t="n">
        <x:v>1174.7193167256753</x:v>
      </x:c>
      <x:c r="Z159" s="37" t="n">
        <x:v>0</x:v>
      </x:c>
      <x:c r="AA159" s="37" t="n">
        <x:v>0</x:v>
      </x:c>
      <x:c r="AB159" s="37" t="n">
        <x:v>0</x:v>
      </x:c>
      <x:c r="AC159" s="37" t="n">
        <x:v>1240036.137506253</x:v>
      </x:c>
      <x:c r="AD159" s="37" t="n">
        <x:v>0</x:v>
      </x:c>
      <x:c r="AE159" s="37" t="n">
        <x:v>0</x:v>
      </x:c>
      <x:c r="AF159" s="47" t="b">
        <x:v>0</x:v>
      </x:c>
      <x:c r="AG159" s="47" t="b">
        <x:v>0</x:v>
      </x:c>
      <x:c r="AH159" s="48" t="n">
        <x:v>0</x:v>
      </x:c>
      <x:c r="AI159" s="48" t="n">
        <x:v>1.1920928955078125e-7</x:v>
      </x:c>
      <x:c r="AJ159" s="37" t="str">
        <x:v>passed</x:v>
      </x:c>
    </x:row>
    <x:row r="160" ht="21" customHeight="1">
      <x:c r="A160" s="2"/>
      <x:c r="B160" s="2"/>
      <x:c r="C160" s="2" t="str">
        <x:v>2022</x:v>
      </x:c>
      <x:c r="D160" s="5" t="n">
        <x:v>44620</x:v>
      </x:c>
      <x:c r="E160" s="2" t="str">
        <x:v>duration</x:v>
      </x:c>
      <x:c r="F160" s="37" t="n">
        <x:v>9321367.825706553</x:v>
      </x:c>
      <x:c r="G160" s="37" t="n">
        <x:v>3608500.0241702697</x:v>
      </x:c>
      <x:c r="H160" s="37" t="n">
        <x:v>-12956.072235272724</x:v>
      </x:c>
      <x:c r="I160" s="37" t="n">
        <x:v>3621456.0964055425</x:v>
      </x:c>
      <x:c r="J160" s="37" t="n">
        <x:v>11549712.762191802</x:v>
      </x:c>
      <x:c r="K160" s="37" t="n">
        <x:v>7941212.738021532</x:v>
      </x:c>
      <x:c r="L160" s="37" t="n">
        <x:v>12929867.849876823</x:v>
      </x:c>
      <x:c r="M160" s="37" t="n">
        <x:v>0</x:v>
      </x:c>
      <x:c r="N160" s="37" t="n">
        <x:v>0</x:v>
      </x:c>
      <x:c r="O160" s="37" t="n">
        <x:v>1532.1117368601263</x:v>
      </x:c>
      <x:c r="P160" s="37" t="n">
        <x:v>0</x:v>
      </x:c>
      <x:c r="Q160" s="37" t="n">
        <x:v>0</x:v>
      </x:c>
      <x:c r="R160" s="37" t="n">
        <x:v>0</x:v>
      </x:c>
      <x:c r="S160" s="37" t="n">
        <x:v>0</x:v>
      </x:c>
      <x:c r="T160" s="37" t="n">
        <x:v>0</x:v>
      </x:c>
      <x:c r="U160" s="37" t="n">
        <x:v>37500</x:v>
      </x:c>
      <x:c r="V160" s="37" t="n">
        <x:v>0</x:v>
      </x:c>
      <x:c r="W160" s="37" t="n">
        <x:v>28473.229664262384</x:v>
      </x:c>
      <x:c r="X160" s="37" t="n">
        <x:v>0</x:v>
      </x:c>
      <x:c r="Y160" s="37" t="n">
        <x:v>1980.9034702887486</x:v>
      </x:c>
      <x:c r="Z160" s="37" t="n">
        <x:v>8100036.992781963</x:v>
      </x:c>
      <x:c r="AA160" s="37" t="n">
        <x:v>0</x:v>
      </x:c>
      <x:c r="AB160" s="37" t="n">
        <x:v>8100036.992781963</x:v>
      </x:c>
      <x:c r="AC160" s="37" t="n">
        <x:v>1221330.8329245895</x:v>
      </x:c>
      <x:c r="AD160" s="37" t="n">
        <x:v>0</x:v>
      </x:c>
      <x:c r="AE160" s="37" t="n">
        <x:v>0</x:v>
      </x:c>
      <x:c r="AF160" s="47" t="b">
        <x:v>0</x:v>
      </x:c>
      <x:c r="AG160" s="47" t="b">
        <x:v>0</x:v>
      </x:c>
      <x:c r="AH160" s="48" t="n">
        <x:v>0</x:v>
      </x:c>
      <x:c r="AI160" s="48" t="n">
        <x:v>1.1920928955078125e-7</x:v>
      </x:c>
      <x:c r="AJ160" s="37" t="str">
        <x:v>passed</x:v>
      </x:c>
    </x:row>
    <x:row r="161" ht="21" customHeight="1">
      <x:c r="A161" s="2"/>
      <x:c r="B161" s="2"/>
      <x:c r="C161" s="2" t="str">
        <x:v>2022</x:v>
      </x:c>
      <x:c r="D161" s="5" t="n">
        <x:v>44620</x:v>
      </x:c>
      <x:c r="E161" s="2" t="str">
        <x:v>unweighted</x:v>
      </x:c>
      <x:c r="F161" s="37" t="n">
        <x:v>12035887.702699322</x:v>
      </x:c>
      <x:c r="G161" s="37" t="n">
        <x:v>934972.3686815529</x:v>
      </x:c>
      <x:c r="H161" s="37" t="n">
        <x:v>-15272.748541483279</x:v>
      </x:c>
      <x:c r="I161" s="37" t="n">
        <x:v>950245.1172230362</x:v>
      </x:c>
      <x:c r="J161" s="37" t="n">
        <x:v>11549712.762191802</x:v>
      </x:c>
      <x:c r="K161" s="37" t="n">
        <x:v>10614740.393510249</x:v>
      </x:c>
      <x:c r="L161" s="37" t="n">
        <x:v>12970860.071380876</x:v>
      </x:c>
      <x:c r="M161" s="37" t="n">
        <x:v>0</x:v>
      </x:c>
      <x:c r="N161" s="37" t="n">
        <x:v>0</x:v>
      </x:c>
      <x:c r="O161" s="37" t="n">
        <x:v>1978.2852857690305</x:v>
      </x:c>
      <x:c r="P161" s="37" t="n">
        <x:v>0</x:v>
      </x:c>
      <x:c r="Q161" s="37" t="n">
        <x:v>0</x:v>
      </x:c>
      <x:c r="R161" s="37" t="n">
        <x:v>0</x:v>
      </x:c>
      <x:c r="S161" s="37" t="n">
        <x:v>0</x:v>
      </x:c>
      <x:c r="T161" s="37" t="n">
        <x:v>0</x:v>
      </x:c>
      <x:c r="U161" s="37" t="n">
        <x:v>37500</x:v>
      </x:c>
      <x:c r="V161" s="37" t="n">
        <x:v>0</x:v>
      </x:c>
      <x:c r="W161" s="37" t="n">
        <x:v>36765.76808692701</x:v>
      </x:c>
      <x:c r="X161" s="37" t="n">
        <x:v>0</x:v>
      </x:c>
      <x:c r="Y161" s="37" t="n">
        <x:v>2251.286974010922</x:v>
      </x:c>
      <x:c r="Z161" s="37" t="n">
        <x:v>10827035.201380454</x:v>
      </x:c>
      <x:c r="AA161" s="37" t="n">
        <x:v>0</x:v>
      </x:c>
      <x:c r="AB161" s="37" t="n">
        <x:v>10827035.201380454</x:v>
      </x:c>
      <x:c r="AC161" s="37" t="n">
        <x:v>1208852.5013188682</x:v>
      </x:c>
      <x:c r="AD161" s="37" t="n">
        <x:v>0</x:v>
      </x:c>
      <x:c r="AE161" s="37" t="n">
        <x:v>0</x:v>
      </x:c>
      <x:c r="AF161" s="47" t="b">
        <x:v>0</x:v>
      </x:c>
      <x:c r="AG161" s="47" t="b">
        <x:v>0</x:v>
      </x:c>
      <x:c r="AH161" s="48" t="n">
        <x:v>0</x:v>
      </x:c>
      <x:c r="AI161" s="48" t="n">
        <x:v>1.1920928955078125e-7</x:v>
      </x:c>
      <x:c r="AJ161" s="37" t="str">
        <x:v>passed</x:v>
      </x:c>
    </x:row>
    <x:row r="162" ht="21" customHeight="1">
      <x:c r="A162" s="2"/>
      <x:c r="B162" s="2"/>
      <x:c r="C162" s="2" t="str">
        <x:v>2022</x:v>
      </x:c>
      <x:c r="D162" s="5" t="n">
        <x:v>44620</x:v>
      </x:c>
      <x:c r="E162" s="2" t="str">
        <x:v>constrained</x:v>
      </x:c>
      <x:c r="F162" s="37" t="n">
        <x:v>13069778.755861877</x:v>
      </x:c>
      <x:c r="G162" s="37" t="n">
        <x:v>-82159.26140889598</x:v>
      </x:c>
      <x:c r="H162" s="37" t="n">
        <x:v>-18075.43213296162</x:v>
      </x:c>
      <x:c r="I162" s="37" t="n">
        <x:v>-64083.82927593436</x:v>
      </x:c>
      <x:c r="J162" s="37" t="n">
        <x:v>11555569.21320926</x:v>
      </x:c>
      <x:c r="K162" s="37" t="n">
        <x:v>11637728.474618157</x:v>
      </x:c>
      <x:c r="L162" s="37" t="n">
        <x:v>12987619.494452981</x:v>
      </x:c>
      <x:c r="M162" s="37" t="n">
        <x:v>0</x:v>
      </x:c>
      <x:c r="N162" s="37" t="n">
        <x:v>0</x:v>
      </x:c>
      <x:c r="O162" s="37" t="n">
        <x:v>2148.2213559690863</x:v>
      </x:c>
      <x:c r="P162" s="37" t="n">
        <x:v>0</x:v>
      </x:c>
      <x:c r="Q162" s="37" t="n">
        <x:v>0</x:v>
      </x:c>
      <x:c r="R162" s="37" t="n">
        <x:v>0</x:v>
      </x:c>
      <x:c r="S162" s="37" t="n">
        <x:v>0</x:v>
      </x:c>
      <x:c r="T162" s="37" t="n">
        <x:v>0</x:v>
      </x:c>
      <x:c r="U162" s="37" t="n">
        <x:v>37500</x:v>
      </x:c>
      <x:c r="V162" s="37" t="n">
        <x:v>0</x:v>
      </x:c>
      <x:c r="W162" s="37" t="n">
        <x:v>39970.15511076525</x:v>
      </x:c>
      <x:c r="X162" s="37" t="n">
        <x:v>0</x:v>
      </x:c>
      <x:c r="Y162" s="37" t="n">
        <x:v>2359.6096771908306</x:v>
      </x:c>
      <x:c r="Z162" s="37" t="n">
        <x:v>11870483.04411052</x:v>
      </x:c>
      <x:c r="AA162" s="37" t="n">
        <x:v>0</x:v>
      </x:c>
      <x:c r="AB162" s="37" t="n">
        <x:v>11870483.04411052</x:v>
      </x:c>
      <x:c r="AC162" s="37" t="n">
        <x:v>1199295.7117513567</x:v>
      </x:c>
      <x:c r="AD162" s="37" t="n">
        <x:v>0</x:v>
      </x:c>
      <x:c r="AE162" s="37" t="n">
        <x:v>0</x:v>
      </x:c>
      <x:c r="AF162" s="47" t="b">
        <x:v>0</x:v>
      </x:c>
      <x:c r="AG162" s="47" t="b">
        <x:v>0</x:v>
      </x:c>
      <x:c r="AH162" s="48" t="n">
        <x:v>0</x:v>
      </x:c>
      <x:c r="AI162" s="48" t="n">
        <x:v>1.1920928955078125e-7</x:v>
      </x:c>
      <x:c r="AJ162" s="37" t="str">
        <x:v>passed</x:v>
      </x:c>
    </x:row>
    <x:row r="163" ht="21" customHeight="1">
      <x:c r="A163" s="2"/>
      <x:c r="B163" s="2"/>
      <x:c r="C163" s="2" t="str">
        <x:v>2022</x:v>
      </x:c>
      <x:c r="D163" s="5" t="n">
        <x:v>44621</x:v>
      </x:c>
      <x:c r="E163" s="2" t="str">
        <x:v>unhedged</x:v>
      </x:c>
      <x:c r="F163" s="37" t="n">
        <x:v>1240104.08469187</x:v>
      </x:c>
      <x:c r="G163" s="37" t="n">
        <x:v>11643761.620555233</x:v>
      </x:c>
      <x:c r="H163" s="37" t="n">
        <x:v>20448.89502762431</x:v>
      </x:c>
      <x:c r="I163" s="37" t="n">
        <x:v>11623312.725527609</x:v>
      </x:c>
      <x:c r="J163" s="37" t="n">
        <x:v>11643761.620555233</x:v>
      </x:c>
      <x:c r="K163" s="37" t="n">
        <x:v>0</x:v>
      </x:c>
      <x:c r="L163" s="37" t="n">
        <x:v>12883865.705247104</x:v>
      </x:c>
      <x:c r="M163" s="37" t="n">
        <x:v>0</x:v>
      </x:c>
      <x:c r="N163" s="37" t="n">
        <x:v>0</x:v>
      </x:c>
      <x:c r="O163" s="37" t="n">
        <x:v>67.94718561694026</x:v>
      </x:c>
      <x:c r="P163" s="37" t="n">
        <x:v>0</x:v>
      </x:c>
      <x:c r="Q163" s="37" t="n">
        <x:v>0</x:v>
      </x:c>
      <x:c r="R163" s="37" t="n">
        <x:v>0</x:v>
      </x:c>
      <x:c r="S163" s="37" t="n">
        <x:v>0</x:v>
      </x:c>
      <x:c r="T163" s="37" t="n">
        <x:v>0</x:v>
      </x:c>
      <x:c r="U163" s="37" t="n">
        <x:v>37500</x:v>
      </x:c>
      <x:c r="V163" s="37" t="n">
        <x:v>0</x:v>
      </x:c>
      <x:c r="W163" s="37" t="n">
        <x:v>3778.8040085956454</x:v>
      </x:c>
      <x:c r="X163" s="37" t="n">
        <x:v>0</x:v>
      </x:c>
      <x:c r="Y163" s="37" t="n">
        <x:v>1174.7193167256753</x:v>
      </x:c>
      <x:c r="Z163" s="37" t="n">
        <x:v>0</x:v>
      </x:c>
      <x:c r="AA163" s="37" t="n">
        <x:v>0</x:v>
      </x:c>
      <x:c r="AB163" s="37" t="n">
        <x:v>0</x:v>
      </x:c>
      <x:c r="AC163" s="37" t="n">
        <x:v>1240104.08469187</x:v>
      </x:c>
      <x:c r="AD163" s="37" t="n">
        <x:v>0</x:v>
      </x:c>
      <x:c r="AE163" s="37" t="n">
        <x:v>0</x:v>
      </x:c>
      <x:c r="AF163" s="47" t="b">
        <x:v>0</x:v>
      </x:c>
      <x:c r="AG163" s="47" t="b">
        <x:v>0</x:v>
      </x:c>
      <x:c r="AH163" s="48" t="n">
        <x:v>0</x:v>
      </x:c>
      <x:c r="AI163" s="48" t="n">
        <x:v>1.1920928955078125e-7</x:v>
      </x:c>
      <x:c r="AJ163" s="37" t="str">
        <x:v>passed</x:v>
      </x:c>
    </x:row>
    <x:row r="164" ht="21" customHeight="1">
      <x:c r="A164" s="2"/>
      <x:c r="B164" s="2"/>
      <x:c r="C164" s="2" t="str">
        <x:v>2022</x:v>
      </x:c>
      <x:c r="D164" s="5" t="n">
        <x:v>44621</x:v>
      </x:c>
      <x:c r="E164" s="2" t="str">
        <x:v>duration</x:v>
      </x:c>
      <x:c r="F164" s="37" t="n">
        <x:v>9283796.480997128</x:v>
      </x:c>
      <x:c r="G164" s="37" t="n">
        <x:v>3651255.838149829</x:v>
      </x:c>
      <x:c r="H164" s="37" t="n">
        <x:v>-12760.432910312094</x:v>
      </x:c>
      <x:c r="I164" s="37" t="n">
        <x:v>3664016.271060141</x:v>
      </x:c>
      <x:c r="J164" s="37" t="n">
        <x:v>11643761.620555233</x:v>
      </x:c>
      <x:c r="K164" s="37" t="n">
        <x:v>7992505.782405403</x:v>
      </x:c>
      <x:c r="L164" s="37" t="n">
        <x:v>12935052.319146957</x:v>
      </x:c>
      <x:c r="M164" s="37" t="n">
        <x:v>0</x:v>
      </x:c>
      <x:c r="N164" s="37" t="n">
        <x:v>0</x:v>
      </x:c>
      <x:c r="O164" s="37" t="n">
        <x:v>510.7598808631301</x:v>
      </x:c>
      <x:c r="P164" s="37" t="n">
        <x:v>0</x:v>
      </x:c>
      <x:c r="Q164" s="37" t="n">
        <x:v>3.807829676061131</x:v>
      </x:c>
      <x:c r="R164" s="37" t="n">
        <x:v>-38078.29676061131</x:v>
      </x:c>
      <x:c r="S164" s="37" t="n">
        <x:v>38078.29676061131</x:v>
      </x:c>
      <x:c r="T164" s="37" t="n">
        <x:v>0</x:v>
      </x:c>
      <x:c r="U164" s="37" t="n">
        <x:v>37500</x:v>
      </x:c>
      <x:c r="V164" s="37" t="n">
        <x:v>0</x:v>
      </x:c>
      <x:c r="W164" s="37" t="n">
        <x:v>28983.989545125514</x:v>
      </x:c>
      <x:c r="X164" s="37" t="n">
        <x:v>0</x:v>
      </x:c>
      <x:c r="Y164" s="37" t="n">
        <x:v>1984.7112999648098</x:v>
      </x:c>
      <x:c r="Z164" s="37" t="n">
        <x:v>8152355.898053512</x:v>
      </x:c>
      <x:c r="AA164" s="37" t="n">
        <x:v>0</x:v>
      </x:c>
      <x:c r="AB164" s="37" t="n">
        <x:v>8152355.898053512</x:v>
      </x:c>
      <x:c r="AC164" s="37" t="n">
        <x:v>1131440.5829436164</x:v>
      </x:c>
      <x:c r="AD164" s="37" t="n">
        <x:v>0</x:v>
      </x:c>
      <x:c r="AE164" s="37" t="n">
        <x:v>0</x:v>
      </x:c>
      <x:c r="AF164" s="47" t="b">
        <x:v>0</x:v>
      </x:c>
      <x:c r="AG164" s="47" t="b">
        <x:v>0</x:v>
      </x:c>
      <x:c r="AH164" s="48" t="n">
        <x:v>-6.20885565183471e-11</x:v>
      </x:c>
      <x:c r="AI164" s="48" t="n">
        <x:v>1.1920928955078125e-7</x:v>
      </x:c>
      <x:c r="AJ164" s="37" t="str">
        <x:v>passed</x:v>
      </x:c>
    </x:row>
    <x:row r="165" ht="21" customHeight="1">
      <x:c r="A165" s="2"/>
      <x:c r="B165" s="2"/>
      <x:c r="C165" s="2" t="str">
        <x:v>2022</x:v>
      </x:c>
      <x:c r="D165" s="5" t="n">
        <x:v>44621</x:v>
      </x:c>
      <x:c r="E165" s="2" t="str">
        <x:v>unweighted</x:v>
      </x:c>
      <x:c r="F165" s="37" t="n">
        <x:v>12055981.555859549</x:v>
      </x:c>
      <x:c r="G165" s="37" t="n">
        <x:v>922396.1951878051</x:v>
      </x:c>
      <x:c r="H165" s="37" t="n">
        <x:v>-15317.06311513318</x:v>
      </x:c>
      <x:c r="I165" s="37" t="n">
        <x:v>937713.2583029383</x:v>
      </x:c>
      <x:c r="J165" s="37" t="n">
        <x:v>11643761.620555233</x:v>
      </x:c>
      <x:c r="K165" s="37" t="n">
        <x:v>10721365.425367428</x:v>
      </x:c>
      <x:c r="L165" s="37" t="n">
        <x:v>12978377.751047354</x:v>
      </x:c>
      <x:c r="M165" s="37" t="n">
        <x:v>0</x:v>
      </x:c>
      <x:c r="N165" s="37" t="n">
        <x:v>0</x:v>
      </x:c>
      <x:c r="O165" s="37" t="n">
        <x:v>659.50069604069</x:v>
      </x:c>
      <x:c r="P165" s="37" t="n">
        <x:v>0</x:v>
      </x:c>
      <x:c r="Q165" s="37" t="n">
        <x:v>2.2084556107230293</x:v>
      </x:c>
      <x:c r="R165" s="37" t="n">
        <x:v>19436.56091979677</x:v>
      </x:c>
      <x:c r="S165" s="37" t="n">
        <x:v>22084.55610723029</x:v>
      </x:c>
      <x:c r="T165" s="37" t="n">
        <x:v>0</x:v>
      </x:c>
      <x:c r="U165" s="37" t="n">
        <x:v>37500</x:v>
      </x:c>
      <x:c r="V165" s="37" t="n">
        <x:v>0</x:v>
      </x:c>
      <x:c r="W165" s="37" t="n">
        <x:v>37425.2687829677</x:v>
      </x:c>
      <x:c r="X165" s="37" t="n">
        <x:v>0</x:v>
      </x:c>
      <x:c r="Y165" s="37" t="n">
        <x:v>2253.495429621645</x:v>
      </x:c>
      <x:c r="Z165" s="37" t="n">
        <x:v>10935792.733874777</x:v>
      </x:c>
      <x:c r="AA165" s="37" t="n">
        <x:v>0</x:v>
      </x:c>
      <x:c r="AB165" s="37" t="n">
        <x:v>10935792.733874777</x:v>
      </x:c>
      <x:c r="AC165" s="37" t="n">
        <x:v>1120188.8219847716</x:v>
      </x:c>
      <x:c r="AD165" s="37" t="n">
        <x:v>0</x:v>
      </x:c>
      <x:c r="AE165" s="37" t="n">
        <x:v>0</x:v>
      </x:c>
      <x:c r="AF165" s="47" t="b">
        <x:v>0</x:v>
      </x:c>
      <x:c r="AG165" s="47" t="b">
        <x:v>0</x:v>
      </x:c>
      <x:c r="AH165" s="48" t="n">
        <x:v>-2.0810908551993634e-11</x:v>
      </x:c>
      <x:c r="AI165" s="48" t="n">
        <x:v>1.1920928955078125e-7</x:v>
      </x:c>
      <x:c r="AJ165" s="37" t="str">
        <x:v>passed</x:v>
      </x:c>
    </x:row>
    <x:row r="166" ht="21" customHeight="1">
      <x:c r="A166" s="2"/>
      <x:c r="B166" s="2"/>
      <x:c r="C166" s="2" t="str">
        <x:v>2022</x:v>
      </x:c>
      <x:c r="D166" s="5" t="n">
        <x:v>44621</x:v>
      </x:c>
      <x:c r="E166" s="2" t="str">
        <x:v>constrained</x:v>
      </x:c>
      <x:c r="F166" s="37" t="n">
        <x:v>13078596.893885488</x:v>
      </x:c>
      <x:c r="G166" s="37" t="n">
        <x:v>-89742.87022142507</x:v>
      </x:c>
      <x:c r="H166" s="37" t="n">
        <x:v>-18106.170236022102</x:v>
      </x:c>
      <x:c r="I166" s="37" t="n">
        <x:v>-71636.69998540296</x:v>
      </x:c>
      <x:c r="J166" s="37" t="n">
        <x:v>11645176.428360732</x:v>
      </x:c>
      <x:c r="K166" s="37" t="n">
        <x:v>11734919.298582157</x:v>
      </x:c>
      <x:c r="L166" s="37" t="n">
        <x:v>12988854.023664063</x:v>
      </x:c>
      <x:c r="M166" s="37" t="n">
        <x:v>0</x:v>
      </x:c>
      <x:c r="N166" s="37" t="n">
        <x:v>0</x:v>
      </x:c>
      <x:c r="O166" s="37" t="n">
        <x:v>716.1522605977952</x:v>
      </x:c>
      <x:c r="P166" s="37" t="n">
        <x:v>0</x:v>
      </x:c>
      <x:c r="Q166" s="37" t="n">
        <x:v>3.3840184321502806</x:v>
      </x:c>
      <x:c r="R166" s="37" t="n">
        <x:v>8105.369781446059</x:v>
      </x:c>
      <x:c r="S166" s="37" t="n">
        <x:v>33840.184321502806</x:v>
      </x:c>
      <x:c r="T166" s="37" t="n">
        <x:v>0</x:v>
      </x:c>
      <x:c r="U166" s="37" t="n">
        <x:v>37500</x:v>
      </x:c>
      <x:c r="V166" s="37" t="n">
        <x:v>0</x:v>
      </x:c>
      <x:c r="W166" s="37" t="n">
        <x:v>40686.307371363044</x:v>
      </x:c>
      <x:c r="X166" s="37" t="n">
        <x:v>0</x:v>
      </x:c>
      <x:c r="Y166" s="37" t="n">
        <x:v>2362.993695622981</x:v>
      </x:c>
      <x:c r="Z166" s="37" t="n">
        <x:v>11969617.6845538</x:v>
      </x:c>
      <x:c r="AA166" s="37" t="n">
        <x:v>0</x:v>
      </x:c>
      <x:c r="AB166" s="37" t="n">
        <x:v>11969617.6845538</x:v>
      </x:c>
      <x:c r="AC166" s="37" t="n">
        <x:v>1108979.2093316875</x:v>
      </x:c>
      <x:c r="AD166" s="37" t="n">
        <x:v>0</x:v>
      </x:c>
      <x:c r="AE166" s="37" t="n">
        <x:v>0</x:v>
      </x:c>
      <x:c r="AF166" s="47" t="b">
        <x:v>0</x:v>
      </x:c>
      <x:c r="AG166" s="47" t="b">
        <x:v>0</x:v>
      </x:c>
      <x:c r="AH166" s="48" t="n">
        <x:v>-5.461129326533865e-10</x:v>
      </x:c>
      <x:c r="AI166" s="48" t="n">
        <x:v>1.1920928955078125e-7</x:v>
      </x:c>
      <x:c r="AJ166" s="37" t="str">
        <x:v>passed</x:v>
      </x:c>
    </x:row>
    <x:row r="167" ht="21" customHeight="1">
      <x:c r="A167" s="2"/>
      <x:c r="B167" s="2"/>
      <x:c r="C167" s="2" t="str">
        <x:v>2022</x:v>
      </x:c>
      <x:c r="D167" s="5" t="n">
        <x:v>44622</x:v>
      </x:c>
      <x:c r="E167" s="2" t="str">
        <x:v>unhedged</x:v>
      </x:c>
      <x:c r="F167" s="37" t="n">
        <x:v>1240172.0356006203</x:v>
      </x:c>
      <x:c r="G167" s="37" t="n">
        <x:v>11528879.546611046</x:v>
      </x:c>
      <x:c r="H167" s="37" t="n">
        <x:v>20801.10497237569</x:v>
      </x:c>
      <x:c r="I167" s="37" t="n">
        <x:v>11508078.44163867</x:v>
      </x:c>
      <x:c r="J167" s="37" t="n">
        <x:v>11528879.546611046</x:v>
      </x:c>
      <x:c r="K167" s="37" t="n">
        <x:v>0</x:v>
      </x:c>
      <x:c r="L167" s="37" t="n">
        <x:v>12769051.582211666</x:v>
      </x:c>
      <x:c r="M167" s="37" t="n">
        <x:v>0</x:v>
      </x:c>
      <x:c r="N167" s="37" t="n">
        <x:v>0</x:v>
      </x:c>
      <x:c r="O167" s="37" t="n">
        <x:v>67.95090875029564</x:v>
      </x:c>
      <x:c r="P167" s="37" t="n">
        <x:v>0</x:v>
      </x:c>
      <x:c r="Q167" s="37" t="n">
        <x:v>0</x:v>
      </x:c>
      <x:c r="R167" s="37" t="n">
        <x:v>0</x:v>
      </x:c>
      <x:c r="S167" s="37" t="n">
        <x:v>0</x:v>
      </x:c>
      <x:c r="T167" s="37" t="n">
        <x:v>0</x:v>
      </x:c>
      <x:c r="U167" s="37" t="n">
        <x:v>37500</x:v>
      </x:c>
      <x:c r="V167" s="37" t="n">
        <x:v>0</x:v>
      </x:c>
      <x:c r="W167" s="37" t="n">
        <x:v>3846.754917345941</x:v>
      </x:c>
      <x:c r="X167" s="37" t="n">
        <x:v>0</x:v>
      </x:c>
      <x:c r="Y167" s="37" t="n">
        <x:v>1174.7193167256753</x:v>
      </x:c>
      <x:c r="Z167" s="37" t="n">
        <x:v>0</x:v>
      </x:c>
      <x:c r="AA167" s="37" t="n">
        <x:v>0</x:v>
      </x:c>
      <x:c r="AB167" s="37" t="n">
        <x:v>0</x:v>
      </x:c>
      <x:c r="AC167" s="37" t="n">
        <x:v>1240172.0356006203</x:v>
      </x:c>
      <x:c r="AD167" s="37" t="n">
        <x:v>0</x:v>
      </x:c>
      <x:c r="AE167" s="37" t="n">
        <x:v>0</x:v>
      </x:c>
      <x:c r="AF167" s="47" t="b">
        <x:v>0</x:v>
      </x:c>
      <x:c r="AG167" s="47" t="b">
        <x:v>0</x:v>
      </x:c>
      <x:c r="AH167" s="48" t="n">
        <x:v>0</x:v>
      </x:c>
      <x:c r="AI167" s="48" t="n">
        <x:v>1.1920928955078125e-7</x:v>
      </x:c>
      <x:c r="AJ167" s="37" t="str">
        <x:v>passed</x:v>
      </x:c>
    </x:row>
    <x:row r="168" ht="21" customHeight="1">
      <x:c r="A168" s="2"/>
      <x:c r="B168" s="2"/>
      <x:c r="C168" s="2" t="str">
        <x:v>2022</x:v>
      </x:c>
      <x:c r="D168" s="5" t="n">
        <x:v>44622</x:v>
      </x:c>
      <x:c r="E168" s="2" t="str">
        <x:v>duration</x:v>
      </x:c>
      <x:c r="F168" s="37" t="n">
        <x:v>9284305.18217417</x:v>
      </x:c>
      <x:c r="G168" s="37" t="n">
        <x:v>3644636.4908842416</x:v>
      </x:c>
      <x:c r="H168" s="37" t="n">
        <x:v>-12721.518512145016</x:v>
      </x:c>
      <x:c r="I168" s="37" t="n">
        <x:v>3657358.009396387</x:v>
      </x:c>
      <x:c r="J168" s="37" t="n">
        <x:v>11528879.546611046</x:v>
      </x:c>
      <x:c r="K168" s="37" t="n">
        <x:v>7884243.055726806</x:v>
      </x:c>
      <x:c r="L168" s="37" t="n">
        <x:v>12928941.673058413</x:v>
      </x:c>
      <x:c r="M168" s="37" t="n">
        <x:v>0</x:v>
      </x:c>
      <x:c r="N168" s="37" t="n">
        <x:v>0</x:v>
      </x:c>
      <x:c r="O168" s="37" t="n">
        <x:v>508.70117704197764</x:v>
      </x:c>
      <x:c r="P168" s="37" t="n">
        <x:v>0</x:v>
      </x:c>
      <x:c r="Q168" s="37" t="n">
        <x:v>0</x:v>
      </x:c>
      <x:c r="R168" s="37" t="n">
        <x:v>0</x:v>
      </x:c>
      <x:c r="S168" s="37" t="n">
        <x:v>0</x:v>
      </x:c>
      <x:c r="T168" s="37" t="n">
        <x:v>0</x:v>
      </x:c>
      <x:c r="U168" s="37" t="n">
        <x:v>37500</x:v>
      </x:c>
      <x:c r="V168" s="37" t="n">
        <x:v>0</x:v>
      </x:c>
      <x:c r="W168" s="37" t="n">
        <x:v>29492.690722167492</x:v>
      </x:c>
      <x:c r="X168" s="37" t="n">
        <x:v>0</x:v>
      </x:c>
      <x:c r="Y168" s="37" t="n">
        <x:v>1984.7112999648098</x:v>
      </x:c>
      <x:c r="Z168" s="37" t="n">
        <x:v>8041927.916841342</x:v>
      </x:c>
      <x:c r="AA168" s="37" t="n">
        <x:v>0</x:v>
      </x:c>
      <x:c r="AB168" s="37" t="n">
        <x:v>8041927.916841342</x:v>
      </x:c>
      <x:c r="AC168" s="37" t="n">
        <x:v>1242377.2653328283</x:v>
      </x:c>
      <x:c r="AD168" s="37" t="n">
        <x:v>0</x:v>
      </x:c>
      <x:c r="AE168" s="37" t="n">
        <x:v>0</x:v>
      </x:c>
      <x:c r="AF168" s="47" t="b">
        <x:v>0</x:v>
      </x:c>
      <x:c r="AG168" s="47" t="b">
        <x:v>0</x:v>
      </x:c>
      <x:c r="AH168" s="48" t="n">
        <x:v>0</x:v>
      </x:c>
      <x:c r="AI168" s="48" t="n">
        <x:v>1.1920928955078125e-7</x:v>
      </x:c>
      <x:c r="AJ168" s="37" t="str">
        <x:v>passed</x:v>
      </x:c>
    </x:row>
    <x:row r="169" ht="21" customHeight="1">
      <x:c r="A169" s="2"/>
      <x:c r="B169" s="2"/>
      <x:c r="C169" s="2" t="str">
        <x:v>2022</x:v>
      </x:c>
      <x:c r="D169" s="5" t="n">
        <x:v>44622</x:v>
      </x:c>
      <x:c r="E169" s="2" t="str">
        <x:v>unweighted</x:v>
      </x:c>
      <x:c r="F169" s="37" t="n">
        <x:v>12056642.157588638</x:v>
      </x:c>
      <x:c r="G169" s="37" t="n">
        <x:v>914591.0184910805</x:v>
      </x:c>
      <x:c r="H169" s="37" t="n">
        <x:v>-15324.162387514745</x:v>
      </x:c>
      <x:c r="I169" s="37" t="n">
        <x:v>929915.1808785952</x:v>
      </x:c>
      <x:c r="J169" s="37" t="n">
        <x:v>11528879.546611046</x:v>
      </x:c>
      <x:c r="K169" s="37" t="n">
        <x:v>10614288.528119966</x:v>
      </x:c>
      <x:c r="L169" s="37" t="n">
        <x:v>12971233.176079718</x:v>
      </x:c>
      <x:c r="M169" s="37" t="n">
        <x:v>0</x:v>
      </x:c>
      <x:c r="N169" s="37" t="n">
        <x:v>0</x:v>
      </x:c>
      <x:c r="O169" s="37" t="n">
        <x:v>660.6017290893942</x:v>
      </x:c>
      <x:c r="P169" s="37" t="n">
        <x:v>0</x:v>
      </x:c>
      <x:c r="Q169" s="37" t="n">
        <x:v>0</x:v>
      </x:c>
      <x:c r="R169" s="37" t="n">
        <x:v>0</x:v>
      </x:c>
      <x:c r="S169" s="37" t="n">
        <x:v>0</x:v>
      </x:c>
      <x:c r="T169" s="37" t="n">
        <x:v>0</x:v>
      </x:c>
      <x:c r="U169" s="37" t="n">
        <x:v>37500</x:v>
      </x:c>
      <x:c r="V169" s="37" t="n">
        <x:v>0</x:v>
      </x:c>
      <x:c r="W169" s="37" t="n">
        <x:v>38085.870512057096</x:v>
      </x:c>
      <x:c r="X169" s="37" t="n">
        <x:v>0</x:v>
      </x:c>
      <x:c r="Y169" s="37" t="n">
        <x:v>2253.495429621645</x:v>
      </x:c>
      <x:c r="Z169" s="37" t="n">
        <x:v>10826574.298682366</x:v>
      </x:c>
      <x:c r="AA169" s="37" t="n">
        <x:v>0</x:v>
      </x:c>
      <x:c r="AB169" s="37" t="n">
        <x:v>10826574.298682366</x:v>
      </x:c>
      <x:c r="AC169" s="37" t="n">
        <x:v>1230067.8589062728</x:v>
      </x:c>
      <x:c r="AD169" s="37" t="n">
        <x:v>0</x:v>
      </x:c>
      <x:c r="AE169" s="37" t="n">
        <x:v>0</x:v>
      </x:c>
      <x:c r="AF169" s="47" t="b">
        <x:v>0</x:v>
      </x:c>
      <x:c r="AG169" s="47" t="b">
        <x:v>0</x:v>
      </x:c>
      <x:c r="AH169" s="48" t="n">
        <x:v>0</x:v>
      </x:c>
      <x:c r="AI169" s="48" t="n">
        <x:v>1.1920928955078125e-7</x:v>
      </x:c>
      <x:c r="AJ169" s="37" t="str">
        <x:v>passed</x:v>
      </x:c>
    </x:row>
    <x:row r="170" ht="21" customHeight="1">
      <x:c r="A170" s="2"/>
      <x:c r="B170" s="2"/>
      <x:c r="C170" s="2" t="str">
        <x:v>2022</x:v>
      </x:c>
      <x:c r="D170" s="5" t="n">
        <x:v>44622</x:v>
      </x:c>
      <x:c r="E170" s="2" t="str">
        <x:v>constrained</x:v>
      </x:c>
      <x:c r="F170" s="37" t="n">
        <x:v>13079313.529331729</x:v>
      </x:c>
      <x:c r="G170" s="37" t="n">
        <x:v>-89764.30087027923</x:v>
      </x:c>
      <x:c r="H170" s="37" t="n">
        <x:v>-18142.56810635643</x:v>
      </x:c>
      <x:c r="I170" s="37" t="n">
        <x:v>-71621.7327639228</x:v>
      </x:c>
      <x:c r="J170" s="37" t="n">
        <x:v>11530254.656323295</x:v>
      </x:c>
      <x:c r="K170" s="37" t="n">
        <x:v>11620018.957193574</x:v>
      </x:c>
      <x:c r="L170" s="37" t="n">
        <x:v>12989549.22846145</x:v>
      </x:c>
      <x:c r="M170" s="37" t="n">
        <x:v>0</x:v>
      </x:c>
      <x:c r="N170" s="37" t="n">
        <x:v>0</x:v>
      </x:c>
      <x:c r="O170" s="37" t="n">
        <x:v>716.6354462411255</x:v>
      </x:c>
      <x:c r="P170" s="37" t="n">
        <x:v>0</x:v>
      </x:c>
      <x:c r="Q170" s="37" t="n">
        <x:v>0</x:v>
      </x:c>
      <x:c r="R170" s="37" t="n">
        <x:v>0</x:v>
      </x:c>
      <x:c r="S170" s="37" t="n">
        <x:v>0</x:v>
      </x:c>
      <x:c r="T170" s="37" t="n">
        <x:v>0</x:v>
      </x:c>
      <x:c r="U170" s="37" t="n">
        <x:v>37500</x:v>
      </x:c>
      <x:c r="V170" s="37" t="n">
        <x:v>0</x:v>
      </x:c>
      <x:c r="W170" s="37" t="n">
        <x:v>41402.94281760417</x:v>
      </x:c>
      <x:c r="X170" s="37" t="n">
        <x:v>0</x:v>
      </x:c>
      <x:c r="Y170" s="37" t="n">
        <x:v>2362.993695622981</x:v>
      </x:c>
      <x:c r="Z170" s="37" t="n">
        <x:v>11852419.336337445</x:v>
      </x:c>
      <x:c r="AA170" s="37" t="n">
        <x:v>0</x:v>
      </x:c>
      <x:c r="AB170" s="37" t="n">
        <x:v>11852419.336337445</x:v>
      </x:c>
      <x:c r="AC170" s="37" t="n">
        <x:v>1226894.1929942835</x:v>
      </x:c>
      <x:c r="AD170" s="37" t="n">
        <x:v>0</x:v>
      </x:c>
      <x:c r="AE170" s="37" t="n">
        <x:v>0</x:v>
      </x:c>
      <x:c r="AF170" s="47" t="b">
        <x:v>0</x:v>
      </x:c>
      <x:c r="AG170" s="47" t="b">
        <x:v>0</x:v>
      </x:c>
      <x:c r="AH170" s="48" t="n">
        <x:v>0</x:v>
      </x:c>
      <x:c r="AI170" s="48" t="n">
        <x:v>1.1920928955078125e-7</x:v>
      </x:c>
      <x:c r="AJ170" s="37" t="str">
        <x:v>passed</x:v>
      </x:c>
    </x:row>
    <x:row r="171" ht="21" customHeight="1">
      <x:c r="A171" s="2"/>
      <x:c r="B171" s="2"/>
      <x:c r="C171" s="2" t="str">
        <x:v>2022</x:v>
      </x:c>
      <x:c r="D171" s="5" t="n">
        <x:v>44623</x:v>
      </x:c>
      <x:c r="E171" s="2" t="str">
        <x:v>unhedged</x:v>
      </x:c>
      <x:c r="F171" s="37" t="n">
        <x:v>1240239.990232708</x:v>
      </x:c>
      <x:c r="G171" s="37" t="n">
        <x:v>11535216.295296038</x:v>
      </x:c>
      <x:c r="H171" s="37" t="n">
        <x:v>21153.31491712707</x:v>
      </x:c>
      <x:c r="I171" s="37" t="n">
        <x:v>11514062.98037891</x:v>
      </x:c>
      <x:c r="J171" s="37" t="n">
        <x:v>11535216.295296038</x:v>
      </x:c>
      <x:c r="K171" s="37" t="n">
        <x:v>0</x:v>
      </x:c>
      <x:c r="L171" s="37" t="n">
        <x:v>12775456.285528746</x:v>
      </x:c>
      <x:c r="M171" s="37" t="n">
        <x:v>0</x:v>
      </x:c>
      <x:c r="N171" s="37" t="n">
        <x:v>0</x:v>
      </x:c>
      <x:c r="O171" s="37" t="n">
        <x:v>67.95463208761066</x:v>
      </x:c>
      <x:c r="P171" s="37" t="n">
        <x:v>0</x:v>
      </x:c>
      <x:c r="Q171" s="37" t="n">
        <x:v>0</x:v>
      </x:c>
      <x:c r="R171" s="37" t="n">
        <x:v>0</x:v>
      </x:c>
      <x:c r="S171" s="37" t="n">
        <x:v>0</x:v>
      </x:c>
      <x:c r="T171" s="37" t="n">
        <x:v>0</x:v>
      </x:c>
      <x:c r="U171" s="37" t="n">
        <x:v>37500</x:v>
      </x:c>
      <x:c r="V171" s="37" t="n">
        <x:v>0</x:v>
      </x:c>
      <x:c r="W171" s="37" t="n">
        <x:v>3914.7095494335517</x:v>
      </x:c>
      <x:c r="X171" s="37" t="n">
        <x:v>0</x:v>
      </x:c>
      <x:c r="Y171" s="37" t="n">
        <x:v>1174.7193167256753</x:v>
      </x:c>
      <x:c r="Z171" s="37" t="n">
        <x:v>0</x:v>
      </x:c>
      <x:c r="AA171" s="37" t="n">
        <x:v>0</x:v>
      </x:c>
      <x:c r="AB171" s="37" t="n">
        <x:v>0</x:v>
      </x:c>
      <x:c r="AC171" s="37" t="n">
        <x:v>1240239.990232708</x:v>
      </x:c>
      <x:c r="AD171" s="37" t="n">
        <x:v>0</x:v>
      </x:c>
      <x:c r="AE171" s="37" t="n">
        <x:v>0</x:v>
      </x:c>
      <x:c r="AF171" s="47" t="b">
        <x:v>0</x:v>
      </x:c>
      <x:c r="AG171" s="47" t="b">
        <x:v>0</x:v>
      </x:c>
      <x:c r="AH171" s="48" t="n">
        <x:v>0</x:v>
      </x:c>
      <x:c r="AI171" s="48" t="n">
        <x:v>1.1920928955078125e-7</x:v>
      </x:c>
      <x:c r="AJ171" s="37" t="str">
        <x:v>passed</x:v>
      </x:c>
    </x:row>
    <x:row r="172" ht="21" customHeight="1">
      <x:c r="A172" s="2"/>
      <x:c r="B172" s="2"/>
      <x:c r="C172" s="2" t="str">
        <x:v>2022</x:v>
      </x:c>
      <x:c r="D172" s="5" t="n">
        <x:v>44623</x:v>
      </x:c>
      <x:c r="E172" s="2" t="str">
        <x:v>duration</x:v>
      </x:c>
      <x:c r="F172" s="37" t="n">
        <x:v>9284813.911225248</x:v>
      </x:c>
      <x:c r="G172" s="37" t="n">
        <x:v>3641710.295322216</x:v>
      </x:c>
      <x:c r="H172" s="37" t="n">
        <x:v>-12682.60411397794</x:v>
      </x:c>
      <x:c r="I172" s="37" t="n">
        <x:v>3654392.899436194</x:v>
      </x:c>
      <x:c r="J172" s="37" t="n">
        <x:v>11535216.295296038</x:v>
      </x:c>
      <x:c r="K172" s="37" t="n">
        <x:v>7893505.9999738205</x:v>
      </x:c>
      <x:c r="L172" s="37" t="n">
        <x:v>12926524.206547465</x:v>
      </x:c>
      <x:c r="M172" s="37" t="n">
        <x:v>0</x:v>
      </x:c>
      <x:c r="N172" s="37" t="n">
        <x:v>0</x:v>
      </x:c>
      <x:c r="O172" s="37" t="n">
        <x:v>508.7290510777384</x:v>
      </x:c>
      <x:c r="P172" s="37" t="n">
        <x:v>0</x:v>
      </x:c>
      <x:c r="Q172" s="37" t="n">
        <x:v>0</x:v>
      </x:c>
      <x:c r="R172" s="37" t="n">
        <x:v>0</x:v>
      </x:c>
      <x:c r="S172" s="37" t="n">
        <x:v>0</x:v>
      </x:c>
      <x:c r="T172" s="37" t="n">
        <x:v>0</x:v>
      </x:c>
      <x:c r="U172" s="37" t="n">
        <x:v>37500</x:v>
      </x:c>
      <x:c r="V172" s="37" t="n">
        <x:v>0</x:v>
      </x:c>
      <x:c r="W172" s="37" t="n">
        <x:v>30001.41977324523</x:v>
      </x:c>
      <x:c r="X172" s="37" t="n">
        <x:v>0</x:v>
      </x:c>
      <x:c r="Y172" s="37" t="n">
        <x:v>1984.7112999648098</x:v>
      </x:c>
      <x:c r="Z172" s="37" t="n">
        <x:v>8051376.119973297</x:v>
      </x:c>
      <x:c r="AA172" s="37" t="n">
        <x:v>0</x:v>
      </x:c>
      <x:c r="AB172" s="37" t="n">
        <x:v>8051376.119973297</x:v>
      </x:c>
      <x:c r="AC172" s="37" t="n">
        <x:v>1233437.791251951</x:v>
      </x:c>
      <x:c r="AD172" s="37" t="n">
        <x:v>0</x:v>
      </x:c>
      <x:c r="AE172" s="37" t="n">
        <x:v>0</x:v>
      </x:c>
      <x:c r="AF172" s="47" t="b">
        <x:v>0</x:v>
      </x:c>
      <x:c r="AG172" s="47" t="b">
        <x:v>0</x:v>
      </x:c>
      <x:c r="AH172" s="48" t="n">
        <x:v>0</x:v>
      </x:c>
      <x:c r="AI172" s="48" t="n">
        <x:v>1.1920928955078125e-7</x:v>
      </x:c>
      <x:c r="AJ172" s="37" t="str">
        <x:v>passed</x:v>
      </x:c>
    </x:row>
    <x:row r="173" ht="21" customHeight="1">
      <x:c r="A173" s="2"/>
      <x:c r="B173" s="2"/>
      <x:c r="C173" s="2" t="str">
        <x:v>2022</x:v>
      </x:c>
      <x:c r="D173" s="5" t="n">
        <x:v>44623</x:v>
      </x:c>
      <x:c r="E173" s="2" t="str">
        <x:v>unweighted</x:v>
      </x:c>
      <x:c r="F173" s="37" t="n">
        <x:v>12057302.79551508</x:v>
      </x:c>
      <x:c r="G173" s="37" t="n">
        <x:v>915214.9141930215</x:v>
      </x:c>
      <x:c r="H173" s="37" t="n">
        <x:v>-15331.261659896312</x:v>
      </x:c>
      <x:c r="I173" s="37" t="n">
        <x:v>930546.1758529178</x:v>
      </x:c>
      <x:c r="J173" s="37" t="n">
        <x:v>11535216.295296038</x:v>
      </x:c>
      <x:c r="K173" s="37" t="n">
        <x:v>10620001.381103015</x:v>
      </x:c>
      <x:c r="L173" s="37" t="n">
        <x:v>12972517.709708102</x:v>
      </x:c>
      <x:c r="M173" s="37" t="n">
        <x:v>0</x:v>
      </x:c>
      <x:c r="N173" s="37" t="n">
        <x:v>0</x:v>
      </x:c>
      <x:c r="O173" s="37" t="n">
        <x:v>660.6379264425486</x:v>
      </x:c>
      <x:c r="P173" s="37" t="n">
        <x:v>0</x:v>
      </x:c>
      <x:c r="Q173" s="37" t="n">
        <x:v>0</x:v>
      </x:c>
      <x:c r="R173" s="37" t="n">
        <x:v>0</x:v>
      </x:c>
      <x:c r="S173" s="37" t="n">
        <x:v>0</x:v>
      </x:c>
      <x:c r="T173" s="37" t="n">
        <x:v>0</x:v>
      </x:c>
      <x:c r="U173" s="37" t="n">
        <x:v>37500</x:v>
      </x:c>
      <x:c r="V173" s="37" t="n">
        <x:v>0</x:v>
      </x:c>
      <x:c r="W173" s="37" t="n">
        <x:v>38746.508438499644</x:v>
      </x:c>
      <x:c r="X173" s="37" t="n">
        <x:v>0</x:v>
      </x:c>
      <x:c r="Y173" s="37" t="n">
        <x:v>2253.495429621645</x:v>
      </x:c>
      <x:c r="Z173" s="37" t="n">
        <x:v>10832401.408725075</x:v>
      </x:c>
      <x:c r="AA173" s="37" t="n">
        <x:v>0</x:v>
      </x:c>
      <x:c r="AB173" s="37" t="n">
        <x:v>10832401.408725075</x:v>
      </x:c>
      <x:c r="AC173" s="37" t="n">
        <x:v>1224901.3867900055</x:v>
      </x:c>
      <x:c r="AD173" s="37" t="n">
        <x:v>0</x:v>
      </x:c>
      <x:c r="AE173" s="37" t="n">
        <x:v>0</x:v>
      </x:c>
      <x:c r="AF173" s="47" t="b">
        <x:v>0</x:v>
      </x:c>
      <x:c r="AG173" s="47" t="b">
        <x:v>0</x:v>
      </x:c>
      <x:c r="AH173" s="48" t="n">
        <x:v>0</x:v>
      </x:c>
      <x:c r="AI173" s="48" t="n">
        <x:v>1.1920928955078125e-7</x:v>
      </x:c>
      <x:c r="AJ173" s="37" t="str">
        <x:v>passed</x:v>
      </x:c>
    </x:row>
    <x:row r="174" ht="21" customHeight="1">
      <x:c r="A174" s="2"/>
      <x:c r="B174" s="2"/>
      <x:c r="C174" s="2" t="str">
        <x:v>2022</x:v>
      </x:c>
      <x:c r="D174" s="5" t="n">
        <x:v>44623</x:v>
      </x:c>
      <x:c r="E174" s="2" t="str">
        <x:v>constrained</x:v>
      </x:c>
      <x:c r="F174" s="37" t="n">
        <x:v>13080030.204045665</x:v>
      </x:c>
      <x:c r="G174" s="37" t="n">
        <x:v>-89293.14069127128</x:v>
      </x:c>
      <x:c r="H174" s="37" t="n">
        <x:v>-18178.965976690757</x:v>
      </x:c>
      <x:c r="I174" s="37" t="n">
        <x:v>-71114.17471458053</x:v>
      </x:c>
      <x:c r="J174" s="37" t="n">
        <x:v>11536589.420547059</x:v>
      </x:c>
      <x:c r="K174" s="37" t="n">
        <x:v>11625882.56123833</x:v>
      </x:c>
      <x:c r="L174" s="37" t="n">
        <x:v>12990737.063354393</x:v>
      </x:c>
      <x:c r="M174" s="37" t="n">
        <x:v>0</x:v>
      </x:c>
      <x:c r="N174" s="37" t="n">
        <x:v>0</x:v>
      </x:c>
      <x:c r="O174" s="37" t="n">
        <x:v>716.674713935703</x:v>
      </x:c>
      <x:c r="P174" s="37" t="n">
        <x:v>0</x:v>
      </x:c>
      <x:c r="Q174" s="37" t="n">
        <x:v>0</x:v>
      </x:c>
      <x:c r="R174" s="37" t="n">
        <x:v>0</x:v>
      </x:c>
      <x:c r="S174" s="37" t="n">
        <x:v>0</x:v>
      </x:c>
      <x:c r="T174" s="37" t="n">
        <x:v>0</x:v>
      </x:c>
      <x:c r="U174" s="37" t="n">
        <x:v>37500</x:v>
      </x:c>
      <x:c r="V174" s="37" t="n">
        <x:v>0</x:v>
      </x:c>
      <x:c r="W174" s="37" t="n">
        <x:v>42119.61753153987</x:v>
      </x:c>
      <x:c r="X174" s="37" t="n">
        <x:v>0</x:v>
      </x:c>
      <x:c r="Y174" s="37" t="n">
        <x:v>2362.993695622981</x:v>
      </x:c>
      <x:c r="Z174" s="37" t="n">
        <x:v>11858400.212463096</x:v>
      </x:c>
      <x:c r="AA174" s="37" t="n">
        <x:v>0</x:v>
      </x:c>
      <x:c r="AB174" s="37" t="n">
        <x:v>11858400.212463096</x:v>
      </x:c>
      <x:c r="AC174" s="37" t="n">
        <x:v>1221629.9915825687</x:v>
      </x:c>
      <x:c r="AD174" s="37" t="n">
        <x:v>0</x:v>
      </x:c>
      <x:c r="AE174" s="37" t="n">
        <x:v>0</x:v>
      </x:c>
      <x:c r="AF174" s="47" t="b">
        <x:v>0</x:v>
      </x:c>
      <x:c r="AG174" s="47" t="b">
        <x:v>0</x:v>
      </x:c>
      <x:c r="AH174" s="48" t="n">
        <x:v>0</x:v>
      </x:c>
      <x:c r="AI174" s="48" t="n">
        <x:v>1.1920928955078125e-7</x:v>
      </x:c>
      <x:c r="AJ174" s="37" t="str">
        <x:v>passed</x:v>
      </x:c>
    </x:row>
    <x:row r="175" ht="21" customHeight="1">
      <x:c r="A175" s="2"/>
      <x:c r="B175" s="2"/>
      <x:c r="C175" s="2" t="str">
        <x:v>2022</x:v>
      </x:c>
      <x:c r="D175" s="5" t="n">
        <x:v>44624</x:v>
      </x:c>
      <x:c r="E175" s="2" t="str">
        <x:v>unhedged</x:v>
      </x:c>
      <x:c r="F175" s="37" t="n">
        <x:v>1240307.9485883373</x:v>
      </x:c>
      <x:c r="G175" s="37" t="n">
        <x:v>11620368.813032338</x:v>
      </x:c>
      <x:c r="H175" s="37" t="n">
        <x:v>21505.524861878454</x:v>
      </x:c>
      <x:c r="I175" s="37" t="n">
        <x:v>11598863.28817046</x:v>
      </x:c>
      <x:c r="J175" s="37" t="n">
        <x:v>11620368.813032338</x:v>
      </x:c>
      <x:c r="K175" s="37" t="n">
        <x:v>0</x:v>
      </x:c>
      <x:c r="L175" s="37" t="n">
        <x:v>12860676.761620676</x:v>
      </x:c>
      <x:c r="M175" s="37" t="n">
        <x:v>0</x:v>
      </x:c>
      <x:c r="N175" s="37" t="n">
        <x:v>0</x:v>
      </x:c>
      <x:c r="O175" s="37" t="n">
        <x:v>67.95835562935099</x:v>
      </x:c>
      <x:c r="P175" s="37" t="n">
        <x:v>0</x:v>
      </x:c>
      <x:c r="Q175" s="37" t="n">
        <x:v>0</x:v>
      </x:c>
      <x:c r="R175" s="37" t="n">
        <x:v>0</x:v>
      </x:c>
      <x:c r="S175" s="37" t="n">
        <x:v>0</x:v>
      </x:c>
      <x:c r="T175" s="37" t="n">
        <x:v>0</x:v>
      </x:c>
      <x:c r="U175" s="37" t="n">
        <x:v>37500</x:v>
      </x:c>
      <x:c r="V175" s="37" t="n">
        <x:v>0</x:v>
      </x:c>
      <x:c r="W175" s="37" t="n">
        <x:v>3982.6679050629027</x:v>
      </x:c>
      <x:c r="X175" s="37" t="n">
        <x:v>0</x:v>
      </x:c>
      <x:c r="Y175" s="37" t="n">
        <x:v>1174.7193167256753</x:v>
      </x:c>
      <x:c r="Z175" s="37" t="n">
        <x:v>0</x:v>
      </x:c>
      <x:c r="AA175" s="37" t="n">
        <x:v>0</x:v>
      </x:c>
      <x:c r="AB175" s="37" t="n">
        <x:v>0</x:v>
      </x:c>
      <x:c r="AC175" s="37" t="n">
        <x:v>1240307.9485883373</x:v>
      </x:c>
      <x:c r="AD175" s="37" t="n">
        <x:v>0</x:v>
      </x:c>
      <x:c r="AE175" s="37" t="n">
        <x:v>0</x:v>
      </x:c>
      <x:c r="AF175" s="47" t="b">
        <x:v>0</x:v>
      </x:c>
      <x:c r="AG175" s="47" t="b">
        <x:v>0</x:v>
      </x:c>
      <x:c r="AH175" s="48" t="n">
        <x:v>0</x:v>
      </x:c>
      <x:c r="AI175" s="48" t="n">
        <x:v>1.1920928955078125e-7</x:v>
      </x:c>
      <x:c r="AJ175" s="37" t="str">
        <x:v>passed</x:v>
      </x:c>
    </x:row>
    <x:row r="176" ht="21" customHeight="1">
      <x:c r="A176" s="2"/>
      <x:c r="B176" s="2"/>
      <x:c r="C176" s="2" t="str">
        <x:v>2022</x:v>
      </x:c>
      <x:c r="D176" s="5" t="n">
        <x:v>44624</x:v>
      </x:c>
      <x:c r="E176" s="2" t="str">
        <x:v>duration</x:v>
      </x:c>
      <x:c r="F176" s="37" t="n">
        <x:v>9285322.668151893</x:v>
      </x:c>
      <x:c r="G176" s="37" t="n">
        <x:v>3631890.355195973</x:v>
      </x:c>
      <x:c r="H176" s="37" t="n">
        <x:v>-12643.689715810862</x:v>
      </x:c>
      <x:c r="I176" s="37" t="n">
        <x:v>3644534.044911784</x:v>
      </x:c>
      <x:c r="J176" s="37" t="n">
        <x:v>11620368.813032338</x:v>
      </x:c>
      <x:c r="K176" s="37" t="n">
        <x:v>7988478.457836364</x:v>
      </x:c>
      <x:c r="L176" s="37" t="n">
        <x:v>12917213.023347866</x:v>
      </x:c>
      <x:c r="M176" s="37" t="n">
        <x:v>0</x:v>
      </x:c>
      <x:c r="N176" s="37" t="n">
        <x:v>0</x:v>
      </x:c>
      <x:c r="O176" s="37" t="n">
        <x:v>508.7569266445935</x:v>
      </x:c>
      <x:c r="P176" s="37" t="n">
        <x:v>0</x:v>
      </x:c>
      <x:c r="Q176" s="37" t="n">
        <x:v>0</x:v>
      </x:c>
      <x:c r="R176" s="37" t="n">
        <x:v>0</x:v>
      </x:c>
      <x:c r="S176" s="37" t="n">
        <x:v>0</x:v>
      </x:c>
      <x:c r="T176" s="37" t="n">
        <x:v>0</x:v>
      </x:c>
      <x:c r="U176" s="37" t="n">
        <x:v>37500</x:v>
      </x:c>
      <x:c r="V176" s="37" t="n">
        <x:v>0</x:v>
      </x:c>
      <x:c r="W176" s="37" t="n">
        <x:v>30510.176699889824</x:v>
      </x:c>
      <x:c r="X176" s="37" t="n">
        <x:v>0</x:v>
      </x:c>
      <x:c r="Y176" s="37" t="n">
        <x:v>1984.7112999648098</x:v>
      </x:c>
      <x:c r="Z176" s="37" t="n">
        <x:v>8148248.026993092</x:v>
      </x:c>
      <x:c r="AA176" s="37" t="n">
        <x:v>0</x:v>
      </x:c>
      <x:c r="AB176" s="37" t="n">
        <x:v>8148248.026993092</x:v>
      </x:c>
      <x:c r="AC176" s="37" t="n">
        <x:v>1137074.6411588006</x:v>
      </x:c>
      <x:c r="AD176" s="37" t="n">
        <x:v>0</x:v>
      </x:c>
      <x:c r="AE176" s="37" t="n">
        <x:v>0</x:v>
      </x:c>
      <x:c r="AF176" s="47" t="b">
        <x:v>0</x:v>
      </x:c>
      <x:c r="AG176" s="47" t="b">
        <x:v>0</x:v>
      </x:c>
      <x:c r="AH176" s="48" t="n">
        <x:v>0</x:v>
      </x:c>
      <x:c r="AI176" s="48" t="n">
        <x:v>1.1920928955078125e-7</x:v>
      </x:c>
      <x:c r="AJ176" s="37" t="str">
        <x:v>passed</x:v>
      </x:c>
    </x:row>
    <x:row r="177" ht="21" customHeight="1">
      <x:c r="A177" s="2"/>
      <x:c r="B177" s="2"/>
      <x:c r="C177" s="2" t="str">
        <x:v>2022</x:v>
      </x:c>
      <x:c r="D177" s="5" t="n">
        <x:v>44624</x:v>
      </x:c>
      <x:c r="E177" s="2" t="str">
        <x:v>unweighted</x:v>
      </x:c>
      <x:c r="F177" s="37" t="n">
        <x:v>12057963.469640864</x:v>
      </x:c>
      <x:c r="G177" s="37" t="n">
        <x:v>920766.7481258685</x:v>
      </x:c>
      <x:c r="H177" s="37" t="n">
        <x:v>-15338.360932277881</x:v>
      </x:c>
      <x:c r="I177" s="37" t="n">
        <x:v>936105.1090581464</x:v>
      </x:c>
      <x:c r="J177" s="37" t="n">
        <x:v>11620368.813032338</x:v>
      </x:c>
      <x:c r="K177" s="37" t="n">
        <x:v>10699602.064906469</x:v>
      </x:c>
      <x:c r="L177" s="37" t="n">
        <x:v>12978730.217766732</x:v>
      </x:c>
      <x:c r="M177" s="37" t="n">
        <x:v>0</x:v>
      </x:c>
      <x:c r="N177" s="37" t="n">
        <x:v>0</x:v>
      </x:c>
      <x:c r="O177" s="37" t="n">
        <x:v>660.6741257831454</x:v>
      </x:c>
      <x:c r="P177" s="37" t="n">
        <x:v>0</x:v>
      </x:c>
      <x:c r="Q177" s="37" t="n">
        <x:v>0</x:v>
      </x:c>
      <x:c r="R177" s="37" t="n">
        <x:v>0</x:v>
      </x:c>
      <x:c r="S177" s="37" t="n">
        <x:v>0</x:v>
      </x:c>
      <x:c r="T177" s="37" t="n">
        <x:v>0</x:v>
      </x:c>
      <x:c r="U177" s="37" t="n">
        <x:v>37500</x:v>
      </x:c>
      <x:c r="V177" s="37" t="n">
        <x:v>0</x:v>
      </x:c>
      <x:c r="W177" s="37" t="n">
        <x:v>39407.18256428279</x:v>
      </x:c>
      <x:c r="X177" s="37" t="n">
        <x:v>0</x:v>
      </x:c>
      <x:c r="Y177" s="37" t="n">
        <x:v>2253.495429621645</x:v>
      </x:c>
      <x:c r="Z177" s="37" t="n">
        <x:v>10913594.106204597</x:v>
      </x:c>
      <x:c r="AA177" s="37" t="n">
        <x:v>0</x:v>
      </x:c>
      <x:c r="AB177" s="37" t="n">
        <x:v>10913594.106204597</x:v>
      </x:c>
      <x:c r="AC177" s="37" t="n">
        <x:v>1144369.3634362668</x:v>
      </x:c>
      <x:c r="AD177" s="37" t="n">
        <x:v>0</x:v>
      </x:c>
      <x:c r="AE177" s="37" t="n">
        <x:v>0</x:v>
      </x:c>
      <x:c r="AF177" s="47" t="b">
        <x:v>0</x:v>
      </x:c>
      <x:c r="AG177" s="47" t="b">
        <x:v>0</x:v>
      </x:c>
      <x:c r="AH177" s="48" t="n">
        <x:v>0</x:v>
      </x:c>
      <x:c r="AI177" s="48" t="n">
        <x:v>1.1920928955078125e-7</x:v>
      </x:c>
      <x:c r="AJ177" s="37" t="str">
        <x:v>passed</x:v>
      </x:c>
    </x:row>
    <x:row r="178" ht="21" customHeight="1">
      <x:c r="A178" s="2"/>
      <x:c r="B178" s="2"/>
      <x:c r="C178" s="2" t="str">
        <x:v>2022</x:v>
      </x:c>
      <x:c r="D178" s="5" t="n">
        <x:v>44624</x:v>
      </x:c>
      <x:c r="E178" s="2" t="str">
        <x:v>constrained</x:v>
      </x:c>
      <x:c r="F178" s="37" t="n">
        <x:v>13080746.91802945</x:v>
      </x:c>
      <x:c r="G178" s="37" t="n">
        <x:v>-88513.32863108111</x:v>
      </x:c>
      <x:c r="H178" s="37" t="n">
        <x:v>-18215.363847025084</x:v>
      </x:c>
      <x:c r="I178" s="37" t="n">
        <x:v>-70297.96478405602</x:v>
      </x:c>
      <x:c r="J178" s="37" t="n">
        <x:v>11621766.18119697</x:v>
      </x:c>
      <x:c r="K178" s="37" t="n">
        <x:v>11710279.509828052</x:v>
      </x:c>
      <x:c r="L178" s="37" t="n">
        <x:v>12992233.58939837</x:v>
      </x:c>
      <x:c r="M178" s="37" t="n">
        <x:v>0</x:v>
      </x:c>
      <x:c r="N178" s="37" t="n">
        <x:v>0</x:v>
      </x:c>
      <x:c r="O178" s="37" t="n">
        <x:v>716.713983785361</x:v>
      </x:c>
      <x:c r="P178" s="37" t="n">
        <x:v>0</x:v>
      </x:c>
      <x:c r="Q178" s="37" t="n">
        <x:v>0</x:v>
      </x:c>
      <x:c r="R178" s="37" t="n">
        <x:v>0</x:v>
      </x:c>
      <x:c r="S178" s="37" t="n">
        <x:v>0</x:v>
      </x:c>
      <x:c r="T178" s="37" t="n">
        <x:v>0</x:v>
      </x:c>
      <x:c r="U178" s="37" t="n">
        <x:v>37500</x:v>
      </x:c>
      <x:c r="V178" s="37" t="n">
        <x:v>0</x:v>
      </x:c>
      <x:c r="W178" s="37" t="n">
        <x:v>42836.33151532523</x:v>
      </x:c>
      <x:c r="X178" s="37" t="n">
        <x:v>0</x:v>
      </x:c>
      <x:c r="Y178" s="37" t="n">
        <x:v>2362.993695622981</x:v>
      </x:c>
      <x:c r="Z178" s="37" t="n">
        <x:v>11944485.100024613</x:v>
      </x:c>
      <x:c r="AA178" s="37" t="n">
        <x:v>0</x:v>
      </x:c>
      <x:c r="AB178" s="37" t="n">
        <x:v>11944485.100024613</x:v>
      </x:c>
      <x:c r="AC178" s="37" t="n">
        <x:v>1136261.8180048373</x:v>
      </x:c>
      <x:c r="AD178" s="37" t="n">
        <x:v>0</x:v>
      </x:c>
      <x:c r="AE178" s="37" t="n">
        <x:v>0</x:v>
      </x:c>
      <x:c r="AF178" s="47" t="b">
        <x:v>0</x:v>
      </x:c>
      <x:c r="AG178" s="47" t="b">
        <x:v>0</x:v>
      </x:c>
      <x:c r="AH178" s="48" t="n">
        <x:v>0</x:v>
      </x:c>
      <x:c r="AI178" s="48" t="n">
        <x:v>1.1920928955078125e-7</x:v>
      </x:c>
      <x:c r="AJ178" s="37" t="str">
        <x:v>passed</x:v>
      </x:c>
    </x:row>
    <x:row r="179" ht="21" customHeight="1">
      <x:c r="A179" s="2"/>
      <x:c r="B179" s="2"/>
      <x:c r="C179" s="2" t="str">
        <x:v>2022</x:v>
      </x:c>
      <x:c r="D179" s="5" t="n">
        <x:v>44627</x:v>
      </x:c>
      <x:c r="E179" s="2" t="str">
        <x:v>unhedged</x:v>
      </x:c>
      <x:c r="F179" s="37" t="n">
        <x:v>1240511.8459985142</x:v>
      </x:c>
      <x:c r="G179" s="37" t="n">
        <x:v>11583856.079802416</x:v>
      </x:c>
      <x:c r="H179" s="37" t="n">
        <x:v>22562.1546961326</x:v>
      </x:c>
      <x:c r="I179" s="37" t="n">
        <x:v>11561293.925106283</x:v>
      </x:c>
      <x:c r="J179" s="37" t="n">
        <x:v>11583856.079802416</x:v>
      </x:c>
      <x:c r="K179" s="37" t="n">
        <x:v>0</x:v>
      </x:c>
      <x:c r="L179" s="37" t="n">
        <x:v>12824367.92580093</x:v>
      </x:c>
      <x:c r="M179" s="37" t="n">
        <x:v>0</x:v>
      </x:c>
      <x:c r="N179" s="37" t="n">
        <x:v>0</x:v>
      </x:c>
      <x:c r="O179" s="37" t="n">
        <x:v>203.89741017692722</x:v>
      </x:c>
      <x:c r="P179" s="37" t="n">
        <x:v>0</x:v>
      </x:c>
      <x:c r="Q179" s="37" t="n">
        <x:v>0</x:v>
      </x:c>
      <x:c r="R179" s="37" t="n">
        <x:v>0</x:v>
      </x:c>
      <x:c r="S179" s="37" t="n">
        <x:v>0</x:v>
      </x:c>
      <x:c r="T179" s="37" t="n">
        <x:v>0</x:v>
      </x:c>
      <x:c r="U179" s="37" t="n">
        <x:v>37500</x:v>
      </x:c>
      <x:c r="V179" s="37" t="n">
        <x:v>0</x:v>
      </x:c>
      <x:c r="W179" s="37" t="n">
        <x:v>4186.56531523983</x:v>
      </x:c>
      <x:c r="X179" s="37" t="n">
        <x:v>0</x:v>
      </x:c>
      <x:c r="Y179" s="37" t="n">
        <x:v>1174.7193167256753</x:v>
      </x:c>
      <x:c r="Z179" s="37" t="n">
        <x:v>0</x:v>
      </x:c>
      <x:c r="AA179" s="37" t="n">
        <x:v>0</x:v>
      </x:c>
      <x:c r="AB179" s="37" t="n">
        <x:v>0</x:v>
      </x:c>
      <x:c r="AC179" s="37" t="n">
        <x:v>1240511.8459985142</x:v>
      </x:c>
      <x:c r="AD179" s="37" t="n">
        <x:v>0</x:v>
      </x:c>
      <x:c r="AE179" s="37" t="n">
        <x:v>0</x:v>
      </x:c>
      <x:c r="AF179" s="47" t="b">
        <x:v>0</x:v>
      </x:c>
      <x:c r="AG179" s="47" t="b">
        <x:v>0</x:v>
      </x:c>
      <x:c r="AH179" s="48" t="n">
        <x:v>0</x:v>
      </x:c>
      <x:c r="AI179" s="48" t="n">
        <x:v>1.1920928955078125e-7</x:v>
      </x:c>
      <x:c r="AJ179" s="37" t="str">
        <x:v>passed</x:v>
      </x:c>
    </x:row>
    <x:row r="180" ht="21" customHeight="1">
      <x:c r="A180" s="2"/>
      <x:c r="B180" s="2"/>
      <x:c r="C180" s="2" t="str">
        <x:v>2022</x:v>
      </x:c>
      <x:c r="D180" s="5" t="n">
        <x:v>44627</x:v>
      </x:c>
      <x:c r="E180" s="2" t="str">
        <x:v>duration</x:v>
      </x:c>
      <x:c r="F180" s="37" t="n">
        <x:v>9286849.106200483</x:v>
      </x:c>
      <x:c r="G180" s="37" t="n">
        <x:v>3629060.386598422</x:v>
      </x:c>
      <x:c r="H180" s="37" t="n">
        <x:v>-12526.946521309637</x:v>
      </x:c>
      <x:c r="I180" s="37" t="n">
        <x:v>3641587.333119732</x:v>
      </x:c>
      <x:c r="J180" s="37" t="n">
        <x:v>11583856.079802416</x:v>
      </x:c>
      <x:c r="K180" s="37" t="n">
        <x:v>7954795.693203993</x:v>
      </x:c>
      <x:c r="L180" s="37" t="n">
        <x:v>12915909.492798906</x:v>
      </x:c>
      <x:c r="M180" s="37" t="n">
        <x:v>0</x:v>
      </x:c>
      <x:c r="N180" s="37" t="n">
        <x:v>0</x:v>
      </x:c>
      <x:c r="O180" s="37" t="n">
        <x:v>1526.4380485899746</x:v>
      </x:c>
      <x:c r="P180" s="37" t="n">
        <x:v>0</x:v>
      </x:c>
      <x:c r="Q180" s="37" t="n">
        <x:v>0</x:v>
      </x:c>
      <x:c r="R180" s="37" t="n">
        <x:v>0</x:v>
      </x:c>
      <x:c r="S180" s="37" t="n">
        <x:v>0</x:v>
      </x:c>
      <x:c r="T180" s="37" t="n">
        <x:v>0</x:v>
      </x:c>
      <x:c r="U180" s="37" t="n">
        <x:v>37500</x:v>
      </x:c>
      <x:c r="V180" s="37" t="n">
        <x:v>0</x:v>
      </x:c>
      <x:c r="W180" s="37" t="n">
        <x:v>32036.6147484798</x:v>
      </x:c>
      <x:c r="X180" s="37" t="n">
        <x:v>0</x:v>
      </x:c>
      <x:c r="Y180" s="37" t="n">
        <x:v>1984.7112999648098</x:v>
      </x:c>
      <x:c r="Z180" s="37" t="n">
        <x:v>8113891.607068073</x:v>
      </x:c>
      <x:c r="AA180" s="37" t="n">
        <x:v>0</x:v>
      </x:c>
      <x:c r="AB180" s="37" t="n">
        <x:v>8113891.607068073</x:v>
      </x:c>
      <x:c r="AC180" s="37" t="n">
        <x:v>1172957.4991324097</x:v>
      </x:c>
      <x:c r="AD180" s="37" t="n">
        <x:v>0</x:v>
      </x:c>
      <x:c r="AE180" s="37" t="n">
        <x:v>0</x:v>
      </x:c>
      <x:c r="AF180" s="47" t="b">
        <x:v>0</x:v>
      </x:c>
      <x:c r="AG180" s="47" t="b">
        <x:v>0</x:v>
      </x:c>
      <x:c r="AH180" s="48" t="n">
        <x:v>0</x:v>
      </x:c>
      <x:c r="AI180" s="48" t="n">
        <x:v>1.1920928955078125e-7</x:v>
      </x:c>
      <x:c r="AJ180" s="37" t="str">
        <x:v>passed</x:v>
      </x:c>
    </x:row>
    <x:row r="181" ht="21" customHeight="1">
      <x:c r="A181" s="2"/>
      <x:c r="B181" s="2"/>
      <x:c r="C181" s="2" t="str">
        <x:v>2022</x:v>
      </x:c>
      <x:c r="D181" s="5" t="n">
        <x:v>44627</x:v>
      </x:c>
      <x:c r="E181" s="2" t="str">
        <x:v>unweighted</x:v>
      </x:c>
      <x:c r="F181" s="37" t="n">
        <x:v>12059945.70923408</x:v>
      </x:c>
      <x:c r="G181" s="37" t="n">
        <x:v>918033.0565273161</x:v>
      </x:c>
      <x:c r="H181" s="37" t="n">
        <x:v>-15359.658749422584</x:v>
      </x:c>
      <x:c r="I181" s="37" t="n">
        <x:v>933392.7152767387</x:v>
      </x:c>
      <x:c r="J181" s="37" t="n">
        <x:v>11583856.079802416</x:v>
      </x:c>
      <x:c r="K181" s="37" t="n">
        <x:v>10665823.0232751</x:v>
      </x:c>
      <x:c r="L181" s="37" t="n">
        <x:v>12977978.765761396</x:v>
      </x:c>
      <x:c r="M181" s="37" t="n">
        <x:v>0</x:v>
      </x:c>
      <x:c r="N181" s="37" t="n">
        <x:v>0</x:v>
      </x:c>
      <x:c r="O181" s="37" t="n">
        <x:v>1982.2395932152867</x:v>
      </x:c>
      <x:c r="P181" s="37" t="n">
        <x:v>0</x:v>
      </x:c>
      <x:c r="Q181" s="37" t="n">
        <x:v>0</x:v>
      </x:c>
      <x:c r="R181" s="37" t="n">
        <x:v>0</x:v>
      </x:c>
      <x:c r="S181" s="37" t="n">
        <x:v>0</x:v>
      </x:c>
      <x:c r="T181" s="37" t="n">
        <x:v>0</x:v>
      </x:c>
      <x:c r="U181" s="37" t="n">
        <x:v>37500</x:v>
      </x:c>
      <x:c r="V181" s="37" t="n">
        <x:v>0</x:v>
      </x:c>
      <x:c r="W181" s="37" t="n">
        <x:v>41389.42215749808</x:v>
      </x:c>
      <x:c r="X181" s="37" t="n">
        <x:v>0</x:v>
      </x:c>
      <x:c r="Y181" s="37" t="n">
        <x:v>2253.495429621645</x:v>
      </x:c>
      <x:c r="Z181" s="37" t="n">
        <x:v>10879139.483740602</x:v>
      </x:c>
      <x:c r="AA181" s="37" t="n">
        <x:v>0</x:v>
      </x:c>
      <x:c r="AB181" s="37" t="n">
        <x:v>10879139.483740602</x:v>
      </x:c>
      <x:c r="AC181" s="37" t="n">
        <x:v>1180806.2254934777</x:v>
      </x:c>
      <x:c r="AD181" s="37" t="n">
        <x:v>0</x:v>
      </x:c>
      <x:c r="AE181" s="37" t="n">
        <x:v>0</x:v>
      </x:c>
      <x:c r="AF181" s="47" t="b">
        <x:v>0</x:v>
      </x:c>
      <x:c r="AG181" s="47" t="b">
        <x:v>0</x:v>
      </x:c>
      <x:c r="AH181" s="48" t="n">
        <x:v>0</x:v>
      </x:c>
      <x:c r="AI181" s="48" t="n">
        <x:v>1.1920928955078125e-7</x:v>
      </x:c>
      <x:c r="AJ181" s="37" t="str">
        <x:v>passed</x:v>
      </x:c>
    </x:row>
    <x:row r="182" ht="21" customHeight="1">
      <x:c r="A182" s="2"/>
      <x:c r="B182" s="2"/>
      <x:c r="C182" s="2" t="str">
        <x:v>2022</x:v>
      </x:c>
      <x:c r="D182" s="5" t="n">
        <x:v>44627</x:v>
      </x:c>
      <x:c r="E182" s="2" t="str">
        <x:v>constrained</x:v>
      </x:c>
      <x:c r="F182" s="37" t="n">
        <x:v>13082897.295621406</x:v>
      </x:c>
      <x:c r="G182" s="37" t="n">
        <x:v>-88818.89641534178</x:v>
      </x:c>
      <x:c r="H182" s="37" t="n">
        <x:v>-18324.55745802807</x:v>
      </x:c>
      <x:c r="I182" s="37" t="n">
        <x:v>-70494.33895731371</x:v>
      </x:c>
      <x:c r="J182" s="37" t="n">
        <x:v>11585242.304020645</x:v>
      </x:c>
      <x:c r="K182" s="37" t="n">
        <x:v>11674061.200435987</x:v>
      </x:c>
      <x:c r="L182" s="37" t="n">
        <x:v>12994078.399206065</x:v>
      </x:c>
      <x:c r="M182" s="37" t="n">
        <x:v>0</x:v>
      </x:c>
      <x:c r="N182" s="37" t="n">
        <x:v>0</x:v>
      </x:c>
      <x:c r="O182" s="37" t="n">
        <x:v>2150.377591956407</x:v>
      </x:c>
      <x:c r="P182" s="37" t="n">
        <x:v>0</x:v>
      </x:c>
      <x:c r="Q182" s="37" t="n">
        <x:v>0</x:v>
      </x:c>
      <x:c r="R182" s="37" t="n">
        <x:v>0</x:v>
      </x:c>
      <x:c r="S182" s="37" t="n">
        <x:v>0</x:v>
      </x:c>
      <x:c r="T182" s="37" t="n">
        <x:v>0</x:v>
      </x:c>
      <x:c r="U182" s="37" t="n">
        <x:v>37500</x:v>
      </x:c>
      <x:c r="V182" s="37" t="n">
        <x:v>0</x:v>
      </x:c>
      <x:c r="W182" s="37" t="n">
        <x:v>44986.70910728164</x:v>
      </x:c>
      <x:c r="X182" s="37" t="n">
        <x:v>0</x:v>
      </x:c>
      <x:c r="Y182" s="37" t="n">
        <x:v>2362.993695622981</x:v>
      </x:c>
      <x:c r="Z182" s="37" t="n">
        <x:v>11907542.424444707</x:v>
      </x:c>
      <x:c r="AA182" s="37" t="n">
        <x:v>0</x:v>
      </x:c>
      <x:c r="AB182" s="37" t="n">
        <x:v>11907542.424444707</x:v>
      </x:c>
      <x:c r="AC182" s="37" t="n">
        <x:v>1175354.8711766992</x:v>
      </x:c>
      <x:c r="AD182" s="37" t="n">
        <x:v>0</x:v>
      </x:c>
      <x:c r="AE182" s="37" t="n">
        <x:v>0</x:v>
      </x:c>
      <x:c r="AF182" s="47" t="b">
        <x:v>0</x:v>
      </x:c>
      <x:c r="AG182" s="47" t="b">
        <x:v>0</x:v>
      </x:c>
      <x:c r="AH182" s="48" t="n">
        <x:v>0</x:v>
      </x:c>
      <x:c r="AI182" s="48" t="n">
        <x:v>1.1920928955078125e-7</x:v>
      </x:c>
      <x:c r="AJ182" s="37" t="str">
        <x:v>passed</x:v>
      </x:c>
    </x:row>
    <x:row r="183" ht="21" customHeight="1">
      <x:c r="A183" s="2"/>
      <x:c r="B183" s="2"/>
      <x:c r="C183" s="2" t="str">
        <x:v>2022</x:v>
      </x:c>
      <x:c r="D183" s="5" t="n">
        <x:v>44628</x:v>
      </x:c>
      <x:c r="E183" s="2" t="str">
        <x:v>unhedged</x:v>
      </x:c>
      <x:c r="F183" s="37" t="n">
        <x:v>1240579.81925035</x:v>
      </x:c>
      <x:c r="G183" s="37" t="n">
        <x:v>11524055.53453856</x:v>
      </x:c>
      <x:c r="H183" s="37" t="n">
        <x:v>22914.364640883978</x:v>
      </x:c>
      <x:c r="I183" s="37" t="n">
        <x:v>11501141.169897676</x:v>
      </x:c>
      <x:c r="J183" s="37" t="n">
        <x:v>11524055.53453856</x:v>
      </x:c>
      <x:c r="K183" s="37" t="n">
        <x:v>0</x:v>
      </x:c>
      <x:c r="L183" s="37" t="n">
        <x:v>12764635.353788909</x:v>
      </x:c>
      <x:c r="M183" s="37" t="n">
        <x:v>0</x:v>
      </x:c>
      <x:c r="N183" s="37" t="n">
        <x:v>0</x:v>
      </x:c>
      <x:c r="O183" s="37" t="n">
        <x:v>67.97325183567591</x:v>
      </x:c>
      <x:c r="P183" s="37" t="n">
        <x:v>0</x:v>
      </x:c>
      <x:c r="Q183" s="37" t="n">
        <x:v>0</x:v>
      </x:c>
      <x:c r="R183" s="37" t="n">
        <x:v>0</x:v>
      </x:c>
      <x:c r="S183" s="37" t="n">
        <x:v>0</x:v>
      </x:c>
      <x:c r="T183" s="37" t="n">
        <x:v>0</x:v>
      </x:c>
      <x:c r="U183" s="37" t="n">
        <x:v>37500</x:v>
      </x:c>
      <x:c r="V183" s="37" t="n">
        <x:v>0</x:v>
      </x:c>
      <x:c r="W183" s="37" t="n">
        <x:v>4254.538567075506</x:v>
      </x:c>
      <x:c r="X183" s="37" t="n">
        <x:v>0</x:v>
      </x:c>
      <x:c r="Y183" s="37" t="n">
        <x:v>1174.7193167256753</x:v>
      </x:c>
      <x:c r="Z183" s="37" t="n">
        <x:v>0</x:v>
      </x:c>
      <x:c r="AA183" s="37" t="n">
        <x:v>0</x:v>
      </x:c>
      <x:c r="AB183" s="37" t="n">
        <x:v>0</x:v>
      </x:c>
      <x:c r="AC183" s="37" t="n">
        <x:v>1240579.81925035</x:v>
      </x:c>
      <x:c r="AD183" s="37" t="n">
        <x:v>0</x:v>
      </x:c>
      <x:c r="AE183" s="37" t="n">
        <x:v>0</x:v>
      </x:c>
      <x:c r="AF183" s="47" t="b">
        <x:v>0</x:v>
      </x:c>
      <x:c r="AG183" s="47" t="b">
        <x:v>0</x:v>
      </x:c>
      <x:c r="AH183" s="48" t="n">
        <x:v>0</x:v>
      </x:c>
      <x:c r="AI183" s="48" t="n">
        <x:v>1.1920928955078125e-7</x:v>
      </x:c>
      <x:c r="AJ183" s="37" t="str">
        <x:v>passed</x:v>
      </x:c>
    </x:row>
    <x:row r="184" ht="21" customHeight="1">
      <x:c r="A184" s="2"/>
      <x:c r="B184" s="2"/>
      <x:c r="C184" s="2" t="str">
        <x:v>2022</x:v>
      </x:c>
      <x:c r="D184" s="5" t="n">
        <x:v>44628</x:v>
      </x:c>
      <x:c r="E184" s="2" t="str">
        <x:v>duration</x:v>
      </x:c>
      <x:c r="F184" s="37" t="n">
        <x:v>9287357.97464466</x:v>
      </x:c>
      <x:c r="G184" s="37" t="n">
        <x:v>3627156.0852568573</x:v>
      </x:c>
      <x:c r="H184" s="37" t="n">
        <x:v>-12488.032123142562</x:v>
      </x:c>
      <x:c r="I184" s="37" t="n">
        <x:v>3639644.1173799997</x:v>
      </x:c>
      <x:c r="J184" s="37" t="n">
        <x:v>11524055.53453856</x:v>
      </x:c>
      <x:c r="K184" s="37" t="n">
        <x:v>7896899.449281703</x:v>
      </x:c>
      <x:c r="L184" s="37" t="n">
        <x:v>12914514.059901517</x:v>
      </x:c>
      <x:c r="M184" s="37" t="n">
        <x:v>0</x:v>
      </x:c>
      <x:c r="N184" s="37" t="n">
        <x:v>0</x:v>
      </x:c>
      <x:c r="O184" s="37" t="n">
        <x:v>508.86844417639077</x:v>
      </x:c>
      <x:c r="P184" s="37" t="n">
        <x:v>0</x:v>
      </x:c>
      <x:c r="Q184" s="37" t="n">
        <x:v>0</x:v>
      </x:c>
      <x:c r="R184" s="37" t="n">
        <x:v>0</x:v>
      </x:c>
      <x:c r="S184" s="37" t="n">
        <x:v>0</x:v>
      </x:c>
      <x:c r="T184" s="37" t="n">
        <x:v>0</x:v>
      </x:c>
      <x:c r="U184" s="37" t="n">
        <x:v>37500</x:v>
      </x:c>
      <x:c r="V184" s="37" t="n">
        <x:v>0</x:v>
      </x:c>
      <x:c r="W184" s="37" t="n">
        <x:v>32545.48319265619</x:v>
      </x:c>
      <x:c r="X184" s="37" t="n">
        <x:v>0</x:v>
      </x:c>
      <x:c r="Y184" s="37" t="n">
        <x:v>1984.7112999648098</x:v>
      </x:c>
      <x:c r="Z184" s="37" t="n">
        <x:v>8054837.438267337</x:v>
      </x:c>
      <x:c r="AA184" s="37" t="n">
        <x:v>0</x:v>
      </x:c>
      <x:c r="AB184" s="37" t="n">
        <x:v>8054837.438267337</x:v>
      </x:c>
      <x:c r="AC184" s="37" t="n">
        <x:v>1232520.536377322</x:v>
      </x:c>
      <x:c r="AD184" s="37" t="n">
        <x:v>0</x:v>
      </x:c>
      <x:c r="AE184" s="37" t="n">
        <x:v>0</x:v>
      </x:c>
      <x:c r="AF184" s="47" t="b">
        <x:v>0</x:v>
      </x:c>
      <x:c r="AG184" s="47" t="b">
        <x:v>0</x:v>
      </x:c>
      <x:c r="AH184" s="48" t="n">
        <x:v>0</x:v>
      </x:c>
      <x:c r="AI184" s="48" t="n">
        <x:v>1.1920928955078125e-7</x:v>
      </x:c>
      <x:c r="AJ184" s="37" t="str">
        <x:v>passed</x:v>
      </x:c>
    </x:row>
    <x:row r="185" ht="21" customHeight="1">
      <x:c r="A185" s="2"/>
      <x:c r="B185" s="2"/>
      <x:c r="C185" s="2" t="str">
        <x:v>2022</x:v>
      </x:c>
      <x:c r="D185" s="5" t="n">
        <x:v>44628</x:v>
      </x:c>
      <x:c r="E185" s="2" t="str">
        <x:v>unweighted</x:v>
      </x:c>
      <x:c r="F185" s="37" t="n">
        <x:v>12060606.528177053</x:v>
      </x:c>
      <x:c r="G185" s="37" t="n">
        <x:v>914071.1953455423</x:v>
      </x:c>
      <x:c r="H185" s="37" t="n">
        <x:v>-15366.758021804157</x:v>
      </x:c>
      <x:c r="I185" s="37" t="n">
        <x:v>929437.9533673464</x:v>
      </x:c>
      <x:c r="J185" s="37" t="n">
        <x:v>11524055.53453856</x:v>
      </x:c>
      <x:c r="K185" s="37" t="n">
        <x:v>10609984.339193018</x:v>
      </x:c>
      <x:c r="L185" s="37" t="n">
        <x:v>12974677.723522594</x:v>
      </x:c>
      <x:c r="M185" s="37" t="n">
        <x:v>0</x:v>
      </x:c>
      <x:c r="N185" s="37" t="n">
        <x:v>0</x:v>
      </x:c>
      <x:c r="O185" s="37" t="n">
        <x:v>660.8189429733902</x:v>
      </x:c>
      <x:c r="P185" s="37" t="n">
        <x:v>0</x:v>
      </x:c>
      <x:c r="Q185" s="37" t="n">
        <x:v>0</x:v>
      </x:c>
      <x:c r="R185" s="37" t="n">
        <x:v>0</x:v>
      </x:c>
      <x:c r="S185" s="37" t="n">
        <x:v>0</x:v>
      </x:c>
      <x:c r="T185" s="37" t="n">
        <x:v>0</x:v>
      </x:c>
      <x:c r="U185" s="37" t="n">
        <x:v>37500</x:v>
      </x:c>
      <x:c r="V185" s="37" t="n">
        <x:v>0</x:v>
      </x:c>
      <x:c r="W185" s="37" t="n">
        <x:v>42050.24110047147</x:v>
      </x:c>
      <x:c r="X185" s="37" t="n">
        <x:v>0</x:v>
      </x:c>
      <x:c r="Y185" s="37" t="n">
        <x:v>2253.495429621645</x:v>
      </x:c>
      <x:c r="Z185" s="37" t="n">
        <x:v>10822184.02597688</x:v>
      </x:c>
      <x:c r="AA185" s="37" t="n">
        <x:v>0</x:v>
      </x:c>
      <x:c r="AB185" s="37" t="n">
        <x:v>10822184.02597688</x:v>
      </x:c>
      <x:c r="AC185" s="37" t="n">
        <x:v>1238422.5022001732</x:v>
      </x:c>
      <x:c r="AD185" s="37" t="n">
        <x:v>0</x:v>
      </x:c>
      <x:c r="AE185" s="37" t="n">
        <x:v>0</x:v>
      </x:c>
      <x:c r="AF185" s="47" t="b">
        <x:v>0</x:v>
      </x:c>
      <x:c r="AG185" s="47" t="b">
        <x:v>0</x:v>
      </x:c>
      <x:c r="AH185" s="48" t="n">
        <x:v>0</x:v>
      </x:c>
      <x:c r="AI185" s="48" t="n">
        <x:v>1.1920928955078125e-7</x:v>
      </x:c>
      <x:c r="AJ185" s="37" t="str">
        <x:v>passed</x:v>
      </x:c>
    </x:row>
    <x:row r="186" ht="21" customHeight="1">
      <x:c r="A186" s="2"/>
      <x:c r="B186" s="2"/>
      <x:c r="C186" s="2" t="str">
        <x:v>2022</x:v>
      </x:c>
      <x:c r="D186" s="5" t="n">
        <x:v>44628</x:v>
      </x:c>
      <x:c r="E186" s="2" t="str">
        <x:v>constrained</x:v>
      </x:c>
      <x:c r="F186" s="37" t="n">
        <x:v>13083614.166706098</x:v>
      </x:c>
      <x:c r="G186" s="37" t="n">
        <x:v>-88845.71955779425</x:v>
      </x:c>
      <x:c r="H186" s="37" t="n">
        <x:v>-18360.9553283624</x:v>
      </x:c>
      <x:c r="I186" s="37" t="n">
        <x:v>-70484.76422943185</x:v>
      </x:c>
      <x:c r="J186" s="37" t="n">
        <x:v>11525430.686290411</x:v>
      </x:c>
      <x:c r="K186" s="37" t="n">
        <x:v>11614276.405848205</x:v>
      </x:c>
      <x:c r="L186" s="37" t="n">
        <x:v>12994768.447148304</x:v>
      </x:c>
      <x:c r="M186" s="37" t="n">
        <x:v>0</x:v>
      </x:c>
      <x:c r="N186" s="37" t="n">
        <x:v>0</x:v>
      </x:c>
      <x:c r="O186" s="37" t="n">
        <x:v>716.8710846919566</x:v>
      </x:c>
      <x:c r="P186" s="37" t="n">
        <x:v>0</x:v>
      </x:c>
      <x:c r="Q186" s="37" t="n">
        <x:v>0</x:v>
      </x:c>
      <x:c r="R186" s="37" t="n">
        <x:v>0</x:v>
      </x:c>
      <x:c r="S186" s="37" t="n">
        <x:v>0</x:v>
      </x:c>
      <x:c r="T186" s="37" t="n">
        <x:v>0</x:v>
      </x:c>
      <x:c r="U186" s="37" t="n">
        <x:v>37500</x:v>
      </x:c>
      <x:c r="V186" s="37" t="n">
        <x:v>0</x:v>
      </x:c>
      <x:c r="W186" s="37" t="n">
        <x:v>45703.5801919736</x:v>
      </x:c>
      <x:c r="X186" s="37" t="n">
        <x:v>0</x:v>
      </x:c>
      <x:c r="Y186" s="37" t="n">
        <x:v>2362.993695622981</x:v>
      </x:c>
      <x:c r="Z186" s="37" t="n">
        <x:v>11846561.933965169</x:v>
      </x:c>
      <x:c r="AA186" s="37" t="n">
        <x:v>0</x:v>
      </x:c>
      <x:c r="AB186" s="37" t="n">
        <x:v>11846561.933965169</x:v>
      </x:c>
      <x:c r="AC186" s="37" t="n">
        <x:v>1237052.2327409294</x:v>
      </x:c>
      <x:c r="AD186" s="37" t="n">
        <x:v>0</x:v>
      </x:c>
      <x:c r="AE186" s="37" t="n">
        <x:v>0</x:v>
      </x:c>
      <x:c r="AF186" s="47" t="b">
        <x:v>0</x:v>
      </x:c>
      <x:c r="AG186" s="47" t="b">
        <x:v>0</x:v>
      </x:c>
      <x:c r="AH186" s="48" t="n">
        <x:v>0</x:v>
      </x:c>
      <x:c r="AI186" s="48" t="n">
        <x:v>1.1920928955078125e-7</x:v>
      </x:c>
      <x:c r="AJ186" s="37" t="str">
        <x:v>passed</x:v>
      </x:c>
    </x:row>
    <x:row r="187" ht="21" customHeight="1">
      <x:c r="A187" s="2"/>
      <x:c r="B187" s="2"/>
      <x:c r="C187" s="2" t="str">
        <x:v>2022</x:v>
      </x:c>
      <x:c r="D187" s="5" t="n">
        <x:v>44629</x:v>
      </x:c>
      <x:c r="E187" s="2" t="str">
        <x:v>unhedged</x:v>
      </x:c>
      <x:c r="F187" s="37" t="n">
        <x:v>1240647.7962267473</x:v>
      </x:c>
      <x:c r="G187" s="37" t="n">
        <x:v>11478083.604485787</x:v>
      </x:c>
      <x:c r="H187" s="37" t="n">
        <x:v>23266.574585635357</x:v>
      </x:c>
      <x:c r="I187" s="37" t="n">
        <x:v>11454817.029900152</x:v>
      </x:c>
      <x:c r="J187" s="37" t="n">
        <x:v>11478083.604485787</x:v>
      </x:c>
      <x:c r="K187" s="37" t="n">
        <x:v>0</x:v>
      </x:c>
      <x:c r="L187" s="37" t="n">
        <x:v>12718731.400712535</x:v>
      </x:c>
      <x:c r="M187" s="37" t="n">
        <x:v>0</x:v>
      </x:c>
      <x:c r="N187" s="37" t="n">
        <x:v>0</x:v>
      </x:c>
      <x:c r="O187" s="37" t="n">
        <x:v>67.97697639744729</x:v>
      </x:c>
      <x:c r="P187" s="37" t="n">
        <x:v>0</x:v>
      </x:c>
      <x:c r="Q187" s="37" t="n">
        <x:v>0</x:v>
      </x:c>
      <x:c r="R187" s="37" t="n">
        <x:v>0</x:v>
      </x:c>
      <x:c r="S187" s="37" t="n">
        <x:v>0</x:v>
      </x:c>
      <x:c r="T187" s="37" t="n">
        <x:v>0</x:v>
      </x:c>
      <x:c r="U187" s="37" t="n">
        <x:v>37500</x:v>
      </x:c>
      <x:c r="V187" s="37" t="n">
        <x:v>0</x:v>
      </x:c>
      <x:c r="W187" s="37" t="n">
        <x:v>4322.515543472953</x:v>
      </x:c>
      <x:c r="X187" s="37" t="n">
        <x:v>0</x:v>
      </x:c>
      <x:c r="Y187" s="37" t="n">
        <x:v>1174.7193167256753</x:v>
      </x:c>
      <x:c r="Z187" s="37" t="n">
        <x:v>0</x:v>
      </x:c>
      <x:c r="AA187" s="37" t="n">
        <x:v>0</x:v>
      </x:c>
      <x:c r="AB187" s="37" t="n">
        <x:v>0</x:v>
      </x:c>
      <x:c r="AC187" s="37" t="n">
        <x:v>1240647.7962267473</x:v>
      </x:c>
      <x:c r="AD187" s="37" t="n">
        <x:v>0</x:v>
      </x:c>
      <x:c r="AE187" s="37" t="n">
        <x:v>0</x:v>
      </x:c>
      <x:c r="AF187" s="47" t="b">
        <x:v>0</x:v>
      </x:c>
      <x:c r="AG187" s="47" t="b">
        <x:v>0</x:v>
      </x:c>
      <x:c r="AH187" s="48" t="n">
        <x:v>0</x:v>
      </x:c>
      <x:c r="AI187" s="48" t="n">
        <x:v>1.1920928955078125e-7</x:v>
      </x:c>
      <x:c r="AJ187" s="37" t="str">
        <x:v>passed</x:v>
      </x:c>
    </x:row>
    <x:row r="188" ht="21" customHeight="1">
      <x:c r="A188" s="2"/>
      <x:c r="B188" s="2"/>
      <x:c r="C188" s="2" t="str">
        <x:v>2022</x:v>
      </x:c>
      <x:c r="D188" s="5" t="n">
        <x:v>44629</x:v>
      </x:c>
      <x:c r="E188" s="2" t="str">
        <x:v>duration</x:v>
      </x:c>
      <x:c r="F188" s="37" t="n">
        <x:v>9287866.870972037</x:v>
      </x:c>
      <x:c r="G188" s="37" t="n">
        <x:v>3628038.3260705993</x:v>
      </x:c>
      <x:c r="H188" s="37" t="n">
        <x:v>-12449.117724975493</x:v>
      </x:c>
      <x:c r="I188" s="37" t="n">
        <x:v>3640487.443795575</x:v>
      </x:c>
      <x:c r="J188" s="37" t="n">
        <x:v>11478083.604485787</x:v>
      </x:c>
      <x:c r="K188" s="37" t="n">
        <x:v>7850045.278415188</x:v>
      </x:c>
      <x:c r="L188" s="37" t="n">
        <x:v>12915905.197042637</x:v>
      </x:c>
      <x:c r="M188" s="37" t="n">
        <x:v>0</x:v>
      </x:c>
      <x:c r="N188" s="37" t="n">
        <x:v>0</x:v>
      </x:c>
      <x:c r="O188" s="37" t="n">
        <x:v>508.8963273782283</x:v>
      </x:c>
      <x:c r="P188" s="37" t="n">
        <x:v>0</x:v>
      </x:c>
      <x:c r="Q188" s="37" t="n">
        <x:v>0</x:v>
      </x:c>
      <x:c r="R188" s="37" t="n">
        <x:v>0</x:v>
      </x:c>
      <x:c r="S188" s="37" t="n">
        <x:v>0</x:v>
      </x:c>
      <x:c r="T188" s="37" t="n">
        <x:v>0</x:v>
      </x:c>
      <x:c r="U188" s="37" t="n">
        <x:v>37500</x:v>
      </x:c>
      <x:c r="V188" s="37" t="n">
        <x:v>0</x:v>
      </x:c>
      <x:c r="W188" s="37" t="n">
        <x:v>33054.37952003442</x:v>
      </x:c>
      <x:c r="X188" s="37" t="n">
        <x:v>0</x:v>
      </x:c>
      <x:c r="Y188" s="37" t="n">
        <x:v>1984.7112999648098</x:v>
      </x:c>
      <x:c r="Z188" s="37" t="n">
        <x:v>8007046.183983492</x:v>
      </x:c>
      <x:c r="AA188" s="37" t="n">
        <x:v>0</x:v>
      </x:c>
      <x:c r="AB188" s="37" t="n">
        <x:v>8007046.183983492</x:v>
      </x:c>
      <x:c r="AC188" s="37" t="n">
        <x:v>1280820.6869885456</x:v>
      </x:c>
      <x:c r="AD188" s="37" t="n">
        <x:v>0</x:v>
      </x:c>
      <x:c r="AE188" s="37" t="n">
        <x:v>0</x:v>
      </x:c>
      <x:c r="AF188" s="47" t="b">
        <x:v>0</x:v>
      </x:c>
      <x:c r="AG188" s="47" t="b">
        <x:v>0</x:v>
      </x:c>
      <x:c r="AH188" s="48" t="n">
        <x:v>0</x:v>
      </x:c>
      <x:c r="AI188" s="48" t="n">
        <x:v>1.1920928955078125e-7</x:v>
      </x:c>
      <x:c r="AJ188" s="37" t="str">
        <x:v>passed</x:v>
      </x:c>
    </x:row>
    <x:row r="189" ht="21" customHeight="1">
      <x:c r="A189" s="2"/>
      <x:c r="B189" s="2"/>
      <x:c r="C189" s="2" t="str">
        <x:v>2022</x:v>
      </x:c>
      <x:c r="D189" s="5" t="n">
        <x:v>44629</x:v>
      </x:c>
      <x:c r="E189" s="2" t="str">
        <x:v>unweighted</x:v>
      </x:c>
      <x:c r="F189" s="37" t="n">
        <x:v>12061267.383329282</x:v>
      </x:c>
      <x:c r="G189" s="37" t="n">
        <x:v>910955.7947747943</x:v>
      </x:c>
      <x:c r="H189" s="37" t="n">
        <x:v>-15373.85729418572</x:v>
      </x:c>
      <x:c r="I189" s="37" t="n">
        <x:v>926329.6520689799</x:v>
      </x:c>
      <x:c r="J189" s="37" t="n">
        <x:v>11478083.604485787</x:v>
      </x:c>
      <x:c r="K189" s="37" t="n">
        <x:v>10567127.809710993</x:v>
      </x:c>
      <x:c r="L189" s="37" t="n">
        <x:v>12972223.178104077</x:v>
      </x:c>
      <x:c r="M189" s="37" t="n">
        <x:v>0</x:v>
      </x:c>
      <x:c r="N189" s="37" t="n">
        <x:v>0</x:v>
      </x:c>
      <x:c r="O189" s="37" t="n">
        <x:v>660.8551522288471</x:v>
      </x:c>
      <x:c r="P189" s="37" t="n">
        <x:v>0</x:v>
      </x:c>
      <x:c r="Q189" s="37" t="n">
        <x:v>0</x:v>
      </x:c>
      <x:c r="R189" s="37" t="n">
        <x:v>0</x:v>
      </x:c>
      <x:c r="S189" s="37" t="n">
        <x:v>0</x:v>
      </x:c>
      <x:c r="T189" s="37" t="n">
        <x:v>0</x:v>
      </x:c>
      <x:c r="U189" s="37" t="n">
        <x:v>37500</x:v>
      </x:c>
      <x:c r="V189" s="37" t="n">
        <x:v>0</x:v>
      </x:c>
      <x:c r="W189" s="37" t="n">
        <x:v>42711.096252700314</x:v>
      </x:c>
      <x:c r="X189" s="37" t="n">
        <x:v>0</x:v>
      </x:c>
      <x:c r="Y189" s="37" t="n">
        <x:v>2253.495429621645</x:v>
      </x:c>
      <x:c r="Z189" s="37" t="n">
        <x:v>10778470.365905212</x:v>
      </x:c>
      <x:c r="AA189" s="37" t="n">
        <x:v>0</x:v>
      </x:c>
      <x:c r="AB189" s="37" t="n">
        <x:v>10778470.365905212</x:v>
      </x:c>
      <x:c r="AC189" s="37" t="n">
        <x:v>1282797.0174240693</x:v>
      </x:c>
      <x:c r="AD189" s="37" t="n">
        <x:v>0</x:v>
      </x:c>
      <x:c r="AE189" s="37" t="n">
        <x:v>0</x:v>
      </x:c>
      <x:c r="AF189" s="47" t="b">
        <x:v>0</x:v>
      </x:c>
      <x:c r="AG189" s="47" t="b">
        <x:v>0</x:v>
      </x:c>
      <x:c r="AH189" s="48" t="n">
        <x:v>0</x:v>
      </x:c>
      <x:c r="AI189" s="48" t="n">
        <x:v>1.1920928955078125e-7</x:v>
      </x:c>
      <x:c r="AJ189" s="37" t="str">
        <x:v>passed</x:v>
      </x:c>
    </x:row>
    <x:row r="190" ht="21" customHeight="1">
      <x:c r="A190" s="2"/>
      <x:c r="B190" s="2"/>
      <x:c r="C190" s="2" t="str">
        <x:v>2022</x:v>
      </x:c>
      <x:c r="D190" s="5" t="n">
        <x:v>44629</x:v>
      </x:c>
      <x:c r="E190" s="2" t="str">
        <x:v>constrained</x:v>
      </x:c>
      <x:c r="F190" s="37" t="n">
        <x:v>13084331.077071398</x:v>
      </x:c>
      <x:c r="G190" s="37" t="n">
        <x:v>-89124.95246375988</x:v>
      </x:c>
      <x:c r="H190" s="37" t="n">
        <x:v>-18397.35319869673</x:v>
      </x:c>
      <x:c r="I190" s="37" t="n">
        <x:v>-70727.59926506315</x:v>
      </x:c>
      <x:c r="J190" s="37" t="n">
        <x:v>11479443.108002517</x:v>
      </x:c>
      <x:c r="K190" s="37" t="n">
        <x:v>11568568.060466276</x:v>
      </x:c>
      <x:c r="L190" s="37" t="n">
        <x:v>12995206.12460764</x:v>
      </x:c>
      <x:c r="M190" s="37" t="n">
        <x:v>0</x:v>
      </x:c>
      <x:c r="N190" s="37" t="n">
        <x:v>0</x:v>
      </x:c>
      <x:c r="O190" s="37" t="n">
        <x:v>716.910365300253</x:v>
      </x:c>
      <x:c r="P190" s="37" t="n">
        <x:v>0</x:v>
      </x:c>
      <x:c r="Q190" s="37" t="n">
        <x:v>0</x:v>
      </x:c>
      <x:c r="R190" s="37" t="n">
        <x:v>0</x:v>
      </x:c>
      <x:c r="S190" s="37" t="n">
        <x:v>0</x:v>
      </x:c>
      <x:c r="T190" s="37" t="n">
        <x:v>0</x:v>
      </x:c>
      <x:c r="U190" s="37" t="n">
        <x:v>37500</x:v>
      </x:c>
      <x:c r="V190" s="37" t="n">
        <x:v>0</x:v>
      </x:c>
      <x:c r="W190" s="37" t="n">
        <x:v>46420.49055727385</x:v>
      </x:c>
      <x:c r="X190" s="37" t="n">
        <x:v>0</x:v>
      </x:c>
      <x:c r="Y190" s="37" t="n">
        <x:v>2362.993695622981</x:v>
      </x:c>
      <x:c r="Z190" s="37" t="n">
        <x:v>11799939.421675602</x:v>
      </x:c>
      <x:c r="AA190" s="37" t="n">
        <x:v>0</x:v>
      </x:c>
      <x:c r="AB190" s="37" t="n">
        <x:v>11799939.421675602</x:v>
      </x:c>
      <x:c r="AC190" s="37" t="n">
        <x:v>1284391.6553957965</x:v>
      </x:c>
      <x:c r="AD190" s="37" t="n">
        <x:v>0</x:v>
      </x:c>
      <x:c r="AE190" s="37" t="n">
        <x:v>0</x:v>
      </x:c>
      <x:c r="AF190" s="47" t="b">
        <x:v>0</x:v>
      </x:c>
      <x:c r="AG190" s="47" t="b">
        <x:v>0</x:v>
      </x:c>
      <x:c r="AH190" s="48" t="n">
        <x:v>0</x:v>
      </x:c>
      <x:c r="AI190" s="48" t="n">
        <x:v>1.1920928955078125e-7</x:v>
      </x:c>
      <x:c r="AJ190" s="37" t="str">
        <x:v>passed</x:v>
      </x:c>
    </x:row>
    <x:row r="191" ht="21" customHeight="1">
      <x:c r="A191" s="2"/>
      <x:c r="B191" s="2"/>
      <x:c r="C191" s="2" t="str">
        <x:v>2022</x:v>
      </x:c>
      <x:c r="D191" s="5" t="n">
        <x:v>44630</x:v>
      </x:c>
      <x:c r="E191" s="2" t="str">
        <x:v>unhedged</x:v>
      </x:c>
      <x:c r="F191" s="37" t="n">
        <x:v>1240715.7769279107</x:v>
      </x:c>
      <x:c r="G191" s="37" t="n">
        <x:v>11442699.317467397</x:v>
      </x:c>
      <x:c r="H191" s="37" t="n">
        <x:v>23618.784530386743</x:v>
      </x:c>
      <x:c r="I191" s="37" t="n">
        <x:v>11419080.53293701</x:v>
      </x:c>
      <x:c r="J191" s="37" t="n">
        <x:v>11442699.317467397</x:v>
      </x:c>
      <x:c r="K191" s="37" t="n">
        <x:v>0</x:v>
      </x:c>
      <x:c r="L191" s="37" t="n">
        <x:v>12683415.094395308</x:v>
      </x:c>
      <x:c r="M191" s="37" t="n">
        <x:v>0</x:v>
      </x:c>
      <x:c r="N191" s="37" t="n">
        <x:v>0</x:v>
      </x:c>
      <x:c r="O191" s="37" t="n">
        <x:v>67.98070116341114</x:v>
      </x:c>
      <x:c r="P191" s="37" t="n">
        <x:v>0</x:v>
      </x:c>
      <x:c r="Q191" s="37" t="n">
        <x:v>0</x:v>
      </x:c>
      <x:c r="R191" s="37" t="n">
        <x:v>0</x:v>
      </x:c>
      <x:c r="S191" s="37" t="n">
        <x:v>0</x:v>
      </x:c>
      <x:c r="T191" s="37" t="n">
        <x:v>0</x:v>
      </x:c>
      <x:c r="U191" s="37" t="n">
        <x:v>37500</x:v>
      </x:c>
      <x:c r="V191" s="37" t="n">
        <x:v>0</x:v>
      </x:c>
      <x:c r="W191" s="37" t="n">
        <x:v>4390.496244636364</x:v>
      </x:c>
      <x:c r="X191" s="37" t="n">
        <x:v>0</x:v>
      </x:c>
      <x:c r="Y191" s="37" t="n">
        <x:v>1174.7193167256753</x:v>
      </x:c>
      <x:c r="Z191" s="37" t="n">
        <x:v>0</x:v>
      </x:c>
      <x:c r="AA191" s="37" t="n">
        <x:v>0</x:v>
      </x:c>
      <x:c r="AB191" s="37" t="n">
        <x:v>0</x:v>
      </x:c>
      <x:c r="AC191" s="37" t="n">
        <x:v>1240715.7769279107</x:v>
      </x:c>
      <x:c r="AD191" s="37" t="n">
        <x:v>0</x:v>
      </x:c>
      <x:c r="AE191" s="37" t="n">
        <x:v>0</x:v>
      </x:c>
      <x:c r="AF191" s="47" t="b">
        <x:v>0</x:v>
      </x:c>
      <x:c r="AG191" s="47" t="b">
        <x:v>0</x:v>
      </x:c>
      <x:c r="AH191" s="48" t="n">
        <x:v>0</x:v>
      </x:c>
      <x:c r="AI191" s="48" t="n">
        <x:v>1.1920928955078125e-7</x:v>
      </x:c>
      <x:c r="AJ191" s="37" t="str">
        <x:v>passed</x:v>
      </x:c>
    </x:row>
    <x:row r="192" ht="21" customHeight="1">
      <x:c r="A192" s="2"/>
      <x:c r="B192" s="2"/>
      <x:c r="C192" s="2" t="str">
        <x:v>2022</x:v>
      </x:c>
      <x:c r="D192" s="5" t="n">
        <x:v>44630</x:v>
      </x:c>
      <x:c r="E192" s="2" t="str">
        <x:v>duration</x:v>
      </x:c>
      <x:c r="F192" s="37" t="n">
        <x:v>9288375.795184145</x:v>
      </x:c>
      <x:c r="G192" s="37" t="n">
        <x:v>3627999.7862074617</x:v>
      </x:c>
      <x:c r="H192" s="37" t="n">
        <x:v>-12410.203326808414</x:v>
      </x:c>
      <x:c r="I192" s="37" t="n">
        <x:v>3640409.98953427</x:v>
      </x:c>
      <x:c r="J192" s="37" t="n">
        <x:v>11442699.317467397</x:v>
      </x:c>
      <x:c r="K192" s="37" t="n">
        <x:v>7814699.531259936</x:v>
      </x:c>
      <x:c r="L192" s="37" t="n">
        <x:v>12916375.581391606</x:v>
      </x:c>
      <x:c r="M192" s="37" t="n">
        <x:v>0</x:v>
      </x:c>
      <x:c r="N192" s="37" t="n">
        <x:v>0</x:v>
      </x:c>
      <x:c r="O192" s="37" t="n">
        <x:v>508.92421210743487</x:v>
      </x:c>
      <x:c r="P192" s="37" t="n">
        <x:v>0</x:v>
      </x:c>
      <x:c r="Q192" s="37" t="n">
        <x:v>0</x:v>
      </x:c>
      <x:c r="R192" s="37" t="n">
        <x:v>0</x:v>
      </x:c>
      <x:c r="S192" s="37" t="n">
        <x:v>0</x:v>
      </x:c>
      <x:c r="T192" s="37" t="n">
        <x:v>0</x:v>
      </x:c>
      <x:c r="U192" s="37" t="n">
        <x:v>37500</x:v>
      </x:c>
      <x:c r="V192" s="37" t="n">
        <x:v>0</x:v>
      </x:c>
      <x:c r="W192" s="37" t="n">
        <x:v>33563.30373214185</x:v>
      </x:c>
      <x:c r="X192" s="37" t="n">
        <x:v>0</x:v>
      </x:c>
      <x:c r="Y192" s="37" t="n">
        <x:v>1984.7112999648098</x:v>
      </x:c>
      <x:c r="Z192" s="37" t="n">
        <x:v>7970993.521885135</x:v>
      </x:c>
      <x:c r="AA192" s="37" t="n">
        <x:v>0</x:v>
      </x:c>
      <x:c r="AB192" s="37" t="n">
        <x:v>7970993.521885135</x:v>
      </x:c>
      <x:c r="AC192" s="37" t="n">
        <x:v>1317382.2732990095</x:v>
      </x:c>
      <x:c r="AD192" s="37" t="n">
        <x:v>0</x:v>
      </x:c>
      <x:c r="AE192" s="37" t="n">
        <x:v>0</x:v>
      </x:c>
      <x:c r="AF192" s="47" t="b">
        <x:v>0</x:v>
      </x:c>
      <x:c r="AG192" s="47" t="b">
        <x:v>0</x:v>
      </x:c>
      <x:c r="AH192" s="48" t="n">
        <x:v>0</x:v>
      </x:c>
      <x:c r="AI192" s="48" t="n">
        <x:v>1.1920928955078125e-7</x:v>
      </x:c>
      <x:c r="AJ192" s="37" t="str">
        <x:v>passed</x:v>
      </x:c>
    </x:row>
    <x:row r="193" ht="21" customHeight="1">
      <x:c r="A193" s="2"/>
      <x:c r="B193" s="2"/>
      <x:c r="C193" s="2" t="str">
        <x:v>2022</x:v>
      </x:c>
      <x:c r="D193" s="5" t="n">
        <x:v>44630</x:v>
      </x:c>
      <x:c r="E193" s="2" t="str">
        <x:v>unweighted</x:v>
      </x:c>
      <x:c r="F193" s="37" t="n">
        <x:v>12061928.274692751</x:v>
      </x:c>
      <x:c r="G193" s="37" t="n">
        <x:v>908659.1890716444</x:v>
      </x:c>
      <x:c r="H193" s="37" t="n">
        <x:v>-15380.956566567284</x:v>
      </x:c>
      <x:c r="I193" s="37" t="n">
        <x:v>924040.1456382117</x:v>
      </x:c>
      <x:c r="J193" s="37" t="n">
        <x:v>11442699.317467397</x:v>
      </x:c>
      <x:c r="K193" s="37" t="n">
        <x:v>10534040.128395753</x:v>
      </x:c>
      <x:c r="L193" s="37" t="n">
        <x:v>12970587.463764396</x:v>
      </x:c>
      <x:c r="M193" s="37" t="n">
        <x:v>0</x:v>
      </x:c>
      <x:c r="N193" s="37" t="n">
        <x:v>0</x:v>
      </x:c>
      <x:c r="O193" s="37" t="n">
        <x:v>660.8913634698838</x:v>
      </x:c>
      <x:c r="P193" s="37" t="n">
        <x:v>0</x:v>
      </x:c>
      <x:c r="Q193" s="37" t="n">
        <x:v>0</x:v>
      </x:c>
      <x:c r="R193" s="37" t="n">
        <x:v>0</x:v>
      </x:c>
      <x:c r="S193" s="37" t="n">
        <x:v>0</x:v>
      </x:c>
      <x:c r="T193" s="37" t="n">
        <x:v>0</x:v>
      </x:c>
      <x:c r="U193" s="37" t="n">
        <x:v>37500</x:v>
      </x:c>
      <x:c r="V193" s="37" t="n">
        <x:v>0</x:v>
      </x:c>
      <x:c r="W193" s="37" t="n">
        <x:v>43371.9876161702</x:v>
      </x:c>
      <x:c r="X193" s="37" t="n">
        <x:v>0</x:v>
      </x:c>
      <x:c r="Y193" s="37" t="n">
        <x:v>2253.495429621645</x:v>
      </x:c>
      <x:c r="Z193" s="37" t="n">
        <x:v>10744720.930963669</x:v>
      </x:c>
      <x:c r="AA193" s="37" t="n">
        <x:v>0</x:v>
      </x:c>
      <x:c r="AB193" s="37" t="n">
        <x:v>10744720.930963669</x:v>
      </x:c>
      <x:c r="AC193" s="37" t="n">
        <x:v>1317207.3437290825</x:v>
      </x:c>
      <x:c r="AD193" s="37" t="n">
        <x:v>0</x:v>
      </x:c>
      <x:c r="AE193" s="37" t="n">
        <x:v>0</x:v>
      </x:c>
      <x:c r="AF193" s="47" t="b">
        <x:v>0</x:v>
      </x:c>
      <x:c r="AG193" s="47" t="b">
        <x:v>0</x:v>
      </x:c>
      <x:c r="AH193" s="48" t="n">
        <x:v>0</x:v>
      </x:c>
      <x:c r="AI193" s="48" t="n">
        <x:v>1.1920928955078125e-7</x:v>
      </x:c>
      <x:c r="AJ193" s="37" t="str">
        <x:v>passed</x:v>
      </x:c>
    </x:row>
    <x:row r="194" ht="21" customHeight="1">
      <x:c r="A194" s="2"/>
      <x:c r="B194" s="2"/>
      <x:c r="C194" s="2" t="str">
        <x:v>2022</x:v>
      </x:c>
      <x:c r="D194" s="5" t="n">
        <x:v>44630</x:v>
      </x:c>
      <x:c r="E194" s="2" t="str">
        <x:v>constrained</x:v>
      </x:c>
      <x:c r="F194" s="37" t="n">
        <x:v>13085048.026719457</x:v>
      </x:c>
      <x:c r="G194" s="37" t="n">
        <x:v>-89181.27332685963</x:v>
      </x:c>
      <x:c r="H194" s="37" t="n">
        <x:v>-18433.751069031052</x:v>
      </x:c>
      <x:c r="I194" s="37" t="n">
        <x:v>-70747.52225782859</x:v>
      </x:c>
      <x:c r="J194" s="37" t="n">
        <x:v>11444032.442324508</x:v>
      </x:c>
      <x:c r="K194" s="37" t="n">
        <x:v>11533213.715651369</x:v>
      </x:c>
      <x:c r="L194" s="37" t="n">
        <x:v>12995866.753392598</x:v>
      </x:c>
      <x:c r="M194" s="37" t="n">
        <x:v>0</x:v>
      </x:c>
      <x:c r="N194" s="37" t="n">
        <x:v>0</x:v>
      </x:c>
      <x:c r="O194" s="37" t="n">
        <x:v>716.9496480580419</x:v>
      </x:c>
      <x:c r="P194" s="37" t="n">
        <x:v>0</x:v>
      </x:c>
      <x:c r="Q194" s="37" t="n">
        <x:v>0</x:v>
      </x:c>
      <x:c r="R194" s="37" t="n">
        <x:v>0</x:v>
      </x:c>
      <x:c r="S194" s="37" t="n">
        <x:v>0</x:v>
      </x:c>
      <x:c r="T194" s="37" t="n">
        <x:v>0</x:v>
      </x:c>
      <x:c r="U194" s="37" t="n">
        <x:v>37500</x:v>
      </x:c>
      <x:c r="V194" s="37" t="n">
        <x:v>0</x:v>
      </x:c>
      <x:c r="W194" s="37" t="n">
        <x:v>47137.44020533189</x:v>
      </x:c>
      <x:c r="X194" s="37" t="n">
        <x:v>0</x:v>
      </x:c>
      <x:c r="Y194" s="37" t="n">
        <x:v>2362.993695622981</x:v>
      </x:c>
      <x:c r="Z194" s="37" t="n">
        <x:v>11763877.989964396</x:v>
      </x:c>
      <x:c r="AA194" s="37" t="n">
        <x:v>0</x:v>
      </x:c>
      <x:c r="AB194" s="37" t="n">
        <x:v>11763877.989964396</x:v>
      </x:c>
      <x:c r="AC194" s="37" t="n">
        <x:v>1321170.0367550608</x:v>
      </x:c>
      <x:c r="AD194" s="37" t="n">
        <x:v>0</x:v>
      </x:c>
      <x:c r="AE194" s="37" t="n">
        <x:v>0</x:v>
      </x:c>
      <x:c r="AF194" s="47" t="b">
        <x:v>0</x:v>
      </x:c>
      <x:c r="AG194" s="47" t="b">
        <x:v>0</x:v>
      </x:c>
      <x:c r="AH194" s="48" t="n">
        <x:v>0</x:v>
      </x:c>
      <x:c r="AI194" s="48" t="n">
        <x:v>1.1920928955078125e-7</x:v>
      </x:c>
      <x:c r="AJ194" s="37" t="str">
        <x:v>passed</x:v>
      </x:c>
    </x:row>
    <x:row r="195" ht="21" customHeight="1">
      <x:c r="A195" s="2"/>
      <x:c r="B195" s="2"/>
      <x:c r="C195" s="2" t="str">
        <x:v>2022</x:v>
      </x:c>
      <x:c r="D195" s="5" t="n">
        <x:v>44631</x:v>
      </x:c>
      <x:c r="E195" s="2" t="str">
        <x:v>unhedged</x:v>
      </x:c>
      <x:c r="F195" s="37" t="n">
        <x:v>1240783.7613540438</x:v>
      </x:c>
      <x:c r="G195" s="37" t="n">
        <x:v>11428536.209617766</x:v>
      </x:c>
      <x:c r="H195" s="37" t="n">
        <x:v>23970.994475138123</x:v>
      </x:c>
      <x:c r="I195" s="37" t="n">
        <x:v>11404565.215142628</x:v>
      </x:c>
      <x:c r="J195" s="37" t="n">
        <x:v>11428536.209617766</x:v>
      </x:c>
      <x:c r="K195" s="37" t="n">
        <x:v>0</x:v>
      </x:c>
      <x:c r="L195" s="37" t="n">
        <x:v>12669319.97097181</x:v>
      </x:c>
      <x:c r="M195" s="37" t="n">
        <x:v>0</x:v>
      </x:c>
      <x:c r="N195" s="37" t="n">
        <x:v>0</x:v>
      </x:c>
      <x:c r="O195" s="37" t="n">
        <x:v>67.9844261331018</x:v>
      </x:c>
      <x:c r="P195" s="37" t="n">
        <x:v>0</x:v>
      </x:c>
      <x:c r="Q195" s="37" t="n">
        <x:v>0</x:v>
      </x:c>
      <x:c r="R195" s="37" t="n">
        <x:v>0</x:v>
      </x:c>
      <x:c r="S195" s="37" t="n">
        <x:v>0</x:v>
      </x:c>
      <x:c r="T195" s="37" t="n">
        <x:v>0</x:v>
      </x:c>
      <x:c r="U195" s="37" t="n">
        <x:v>37500</x:v>
      </x:c>
      <x:c r="V195" s="37" t="n">
        <x:v>0</x:v>
      </x:c>
      <x:c r="W195" s="37" t="n">
        <x:v>4458.480670769466</x:v>
      </x:c>
      <x:c r="X195" s="37" t="n">
        <x:v>0</x:v>
      </x:c>
      <x:c r="Y195" s="37" t="n">
        <x:v>1174.7193167256753</x:v>
      </x:c>
      <x:c r="Z195" s="37" t="n">
        <x:v>0</x:v>
      </x:c>
      <x:c r="AA195" s="37" t="n">
        <x:v>0</x:v>
      </x:c>
      <x:c r="AB195" s="37" t="n">
        <x:v>0</x:v>
      </x:c>
      <x:c r="AC195" s="37" t="n">
        <x:v>1240783.7613540438</x:v>
      </x:c>
      <x:c r="AD195" s="37" t="n">
        <x:v>0</x:v>
      </x:c>
      <x:c r="AE195" s="37" t="n">
        <x:v>0</x:v>
      </x:c>
      <x:c r="AF195" s="47" t="b">
        <x:v>0</x:v>
      </x:c>
      <x:c r="AG195" s="47" t="b">
        <x:v>0</x:v>
      </x:c>
      <x:c r="AH195" s="48" t="n">
        <x:v>0</x:v>
      </x:c>
      <x:c r="AI195" s="48" t="n">
        <x:v>1.1920928955078125e-7</x:v>
      </x:c>
      <x:c r="AJ195" s="37" t="str">
        <x:v>passed</x:v>
      </x:c>
    </x:row>
    <x:row r="196" ht="21" customHeight="1">
      <x:c r="A196" s="2"/>
      <x:c r="B196" s="2"/>
      <x:c r="C196" s="2" t="str">
        <x:v>2022</x:v>
      </x:c>
      <x:c r="D196" s="5" t="n">
        <x:v>44631</x:v>
      </x:c>
      <x:c r="E196" s="2" t="str">
        <x:v>duration</x:v>
      </x:c>
      <x:c r="F196" s="37" t="n">
        <x:v>9288884.747282512</x:v>
      </x:c>
      <x:c r="G196" s="37" t="n">
        <x:v>3623625.4495644234</x:v>
      </x:c>
      <x:c r="H196" s="37" t="n">
        <x:v>-12371.288928641337</x:v>
      </x:c>
      <x:c r="I196" s="37" t="n">
        <x:v>3635996.738493065</x:v>
      </x:c>
      <x:c r="J196" s="37" t="n">
        <x:v>11428536.209617766</x:v>
      </x:c>
      <x:c r="K196" s="37" t="n">
        <x:v>7804910.760053341</x:v>
      </x:c>
      <x:c r="L196" s="37" t="n">
        <x:v>12912510.196846936</x:v>
      </x:c>
      <x:c r="M196" s="37" t="n">
        <x:v>0</x:v>
      </x:c>
      <x:c r="N196" s="37" t="n">
        <x:v>0</x:v>
      </x:c>
      <x:c r="O196" s="37" t="n">
        <x:v>508.95209836773574</x:v>
      </x:c>
      <x:c r="P196" s="37" t="n">
        <x:v>0</x:v>
      </x:c>
      <x:c r="Q196" s="37" t="n">
        <x:v>0</x:v>
      </x:c>
      <x:c r="R196" s="37" t="n">
        <x:v>0</x:v>
      </x:c>
      <x:c r="S196" s="37" t="n">
        <x:v>0</x:v>
      </x:c>
      <x:c r="T196" s="37" t="n">
        <x:v>0</x:v>
      </x:c>
      <x:c r="U196" s="37" t="n">
        <x:v>37500</x:v>
      </x:c>
      <x:c r="V196" s="37" t="n">
        <x:v>0</x:v>
      </x:c>
      <x:c r="W196" s="37" t="n">
        <x:v>34072.25583050959</x:v>
      </x:c>
      <x:c r="X196" s="37" t="n">
        <x:v>0</x:v>
      </x:c>
      <x:c r="Y196" s="37" t="n">
        <x:v>1984.7112999648098</x:v>
      </x:c>
      <x:c r="Z196" s="37" t="n">
        <x:v>7961008.975254408</x:v>
      </x:c>
      <x:c r="AA196" s="37" t="n">
        <x:v>0</x:v>
      </x:c>
      <x:c r="AB196" s="37" t="n">
        <x:v>7961008.975254408</x:v>
      </x:c>
      <x:c r="AC196" s="37" t="n">
        <x:v>1327875.7720281044</x:v>
      </x:c>
      <x:c r="AD196" s="37" t="n">
        <x:v>0</x:v>
      </x:c>
      <x:c r="AE196" s="37" t="n">
        <x:v>0</x:v>
      </x:c>
      <x:c r="AF196" s="47" t="b">
        <x:v>0</x:v>
      </x:c>
      <x:c r="AG196" s="47" t="b">
        <x:v>0</x:v>
      </x:c>
      <x:c r="AH196" s="48" t="n">
        <x:v>0</x:v>
      </x:c>
      <x:c r="AI196" s="48" t="n">
        <x:v>1.1920928955078125e-7</x:v>
      </x:c>
      <x:c r="AJ196" s="37" t="str">
        <x:v>passed</x:v>
      </x:c>
    </x:row>
    <x:row r="197" ht="21" customHeight="1">
      <x:c r="A197" s="2"/>
      <x:c r="B197" s="2"/>
      <x:c r="C197" s="2" t="str">
        <x:v>2022</x:v>
      </x:c>
      <x:c r="D197" s="5" t="n">
        <x:v>44631</x:v>
      </x:c>
      <x:c r="E197" s="2" t="str">
        <x:v>unweighted</x:v>
      </x:c>
      <x:c r="F197" s="37" t="n">
        <x:v>12062589.202269448</x:v>
      </x:c>
      <x:c r="G197" s="37" t="n">
        <x:v>907417.0233799797</x:v>
      </x:c>
      <x:c r="H197" s="37" t="n">
        <x:v>-15388.055838948852</x:v>
      </x:c>
      <x:c r="I197" s="37" t="n">
        <x:v>922805.0792189285</x:v>
      </x:c>
      <x:c r="J197" s="37" t="n">
        <x:v>11428536.209617766</x:v>
      </x:c>
      <x:c r="K197" s="37" t="n">
        <x:v>10521119.186237786</x:v>
      </x:c>
      <x:c r="L197" s="37" t="n">
        <x:v>12970006.225649428</x:v>
      </x:c>
      <x:c r="M197" s="37" t="n">
        <x:v>0</x:v>
      </x:c>
      <x:c r="N197" s="37" t="n">
        <x:v>0</x:v>
      </x:c>
      <x:c r="O197" s="37" t="n">
        <x:v>660.9275766965002</x:v>
      </x:c>
      <x:c r="P197" s="37" t="n">
        <x:v>0</x:v>
      </x:c>
      <x:c r="Q197" s="37" t="n">
        <x:v>0</x:v>
      </x:c>
      <x:c r="R197" s="37" t="n">
        <x:v>0</x:v>
      </x:c>
      <x:c r="S197" s="37" t="n">
        <x:v>0</x:v>
      </x:c>
      <x:c r="T197" s="37" t="n">
        <x:v>0</x:v>
      </x:c>
      <x:c r="U197" s="37" t="n">
        <x:v>37500</x:v>
      </x:c>
      <x:c r="V197" s="37" t="n">
        <x:v>0</x:v>
      </x:c>
      <x:c r="W197" s="37" t="n">
        <x:v>44032.9151928667</x:v>
      </x:c>
      <x:c r="X197" s="37" t="n">
        <x:v>0</x:v>
      </x:c>
      <x:c r="Y197" s="37" t="n">
        <x:v>2253.495429621645</x:v>
      </x:c>
      <x:c r="Z197" s="37" t="n">
        <x:v>10731541.569962543</x:v>
      </x:c>
      <x:c r="AA197" s="37" t="n">
        <x:v>0</x:v>
      </x:c>
      <x:c r="AB197" s="37" t="n">
        <x:v>10731541.569962543</x:v>
      </x:c>
      <x:c r="AC197" s="37" t="n">
        <x:v>1331047.6323069055</x:v>
      </x:c>
      <x:c r="AD197" s="37" t="n">
        <x:v>0</x:v>
      </x:c>
      <x:c r="AE197" s="37" t="n">
        <x:v>0</x:v>
      </x:c>
      <x:c r="AF197" s="47" t="b">
        <x:v>0</x:v>
      </x:c>
      <x:c r="AG197" s="47" t="b">
        <x:v>0</x:v>
      </x:c>
      <x:c r="AH197" s="48" t="n">
        <x:v>0</x:v>
      </x:c>
      <x:c r="AI197" s="48" t="n">
        <x:v>1.1920928955078125e-7</x:v>
      </x:c>
      <x:c r="AJ197" s="37" t="str">
        <x:v>passed</x:v>
      </x:c>
    </x:row>
    <x:row r="198" ht="21" customHeight="1">
      <x:c r="A198" s="2"/>
      <x:c r="B198" s="2"/>
      <x:c r="C198" s="2" t="str">
        <x:v>2022</x:v>
      </x:c>
      <x:c r="D198" s="5" t="n">
        <x:v>44631</x:v>
      </x:c>
      <x:c r="E198" s="2" t="str">
        <x:v>constrained</x:v>
      </x:c>
      <x:c r="F198" s="37" t="n">
        <x:v>13085765.01565243</x:v>
      </x:c>
      <x:c r="G198" s="37" t="n">
        <x:v>-89302.53452247485</x:v>
      </x:c>
      <x:c r="H198" s="37" t="n">
        <x:v>-18470.14893936538</x:v>
      </x:c>
      <x:c r="I198" s="37" t="n">
        <x:v>-70832.38558310947</x:v>
      </x:c>
      <x:c r="J198" s="37" t="n">
        <x:v>11429875.960142536</x:v>
      </x:c>
      <x:c r="K198" s="37" t="n">
        <x:v>11519178.494665012</x:v>
      </x:c>
      <x:c r="L198" s="37" t="n">
        <x:v>12996462.481129954</x:v>
      </x:c>
      <x:c r="M198" s="37" t="n">
        <x:v>0</x:v>
      </x:c>
      <x:c r="N198" s="37" t="n">
        <x:v>0</x:v>
      </x:c>
      <x:c r="O198" s="37" t="n">
        <x:v>716.9889329727739</x:v>
      </x:c>
      <x:c r="P198" s="37" t="n">
        <x:v>0</x:v>
      </x:c>
      <x:c r="Q198" s="37" t="n">
        <x:v>0</x:v>
      </x:c>
      <x:c r="R198" s="37" t="n">
        <x:v>0</x:v>
      </x:c>
      <x:c r="S198" s="37" t="n">
        <x:v>0</x:v>
      </x:c>
      <x:c r="T198" s="37" t="n">
        <x:v>0</x:v>
      </x:c>
      <x:c r="U198" s="37" t="n">
        <x:v>37500</x:v>
      </x:c>
      <x:c r="V198" s="37" t="n">
        <x:v>0</x:v>
      </x:c>
      <x:c r="W198" s="37" t="n">
        <x:v>47854.429138304666</x:v>
      </x:c>
      <x:c r="X198" s="37" t="n">
        <x:v>0</x:v>
      </x:c>
      <x:c r="Y198" s="37" t="n">
        <x:v>2362.993695622981</x:v>
      </x:c>
      <x:c r="Z198" s="37" t="n">
        <x:v>11749562.064558312</x:v>
      </x:c>
      <x:c r="AA198" s="37" t="n">
        <x:v>0</x:v>
      </x:c>
      <x:c r="AB198" s="37" t="n">
        <x:v>11749562.064558312</x:v>
      </x:c>
      <x:c r="AC198" s="37" t="n">
        <x:v>1336202.951094117</x:v>
      </x:c>
      <x:c r="AD198" s="37" t="n">
        <x:v>0</x:v>
      </x:c>
      <x:c r="AE198" s="37" t="n">
        <x:v>0</x:v>
      </x:c>
      <x:c r="AF198" s="47" t="b">
        <x:v>0</x:v>
      </x:c>
      <x:c r="AG198" s="47" t="b">
        <x:v>0</x:v>
      </x:c>
      <x:c r="AH198" s="48" t="n">
        <x:v>0</x:v>
      </x:c>
      <x:c r="AI198" s="48" t="n">
        <x:v>1.1920928955078125e-7</x:v>
      </x:c>
      <x:c r="AJ198" s="37" t="str">
        <x:v>passed</x:v>
      </x:c>
    </x:row>
    <x:row r="199" ht="21" customHeight="1">
      <x:c r="A199" s="2"/>
      <x:c r="B199" s="2"/>
      <x:c r="C199" s="2" t="str">
        <x:v>2022</x:v>
      </x:c>
      <x:c r="D199" s="5" t="n">
        <x:v>44634</x:v>
      </x:c>
      <x:c r="E199" s="2" t="str">
        <x:v>unhedged</x:v>
      </x:c>
      <x:c r="F199" s="37" t="n">
        <x:v>1240987.736984304</x:v>
      </x:c>
      <x:c r="G199" s="37" t="n">
        <x:v>11329311.99378999</x:v>
      </x:c>
      <x:c r="H199" s="37" t="n">
        <x:v>25027.624309392264</x:v>
      </x:c>
      <x:c r="I199" s="37" t="n">
        <x:v>11304284.369480597</x:v>
      </x:c>
      <x:c r="J199" s="37" t="n">
        <x:v>11329311.99378999</x:v>
      </x:c>
      <x:c r="K199" s="37" t="n">
        <x:v>0</x:v>
      </x:c>
      <x:c r="L199" s="37" t="n">
        <x:v>12570299.730774293</x:v>
      </x:c>
      <x:c r="M199" s="37" t="n">
        <x:v>0</x:v>
      </x:c>
      <x:c r="N199" s="37" t="n">
        <x:v>0</x:v>
      </x:c>
      <x:c r="O199" s="37" t="n">
        <x:v>203.97563026007265</x:v>
      </x:c>
      <x:c r="P199" s="37" t="n">
        <x:v>0</x:v>
      </x:c>
      <x:c r="Q199" s="37" t="n">
        <x:v>0</x:v>
      </x:c>
      <x:c r="R199" s="37" t="n">
        <x:v>0</x:v>
      </x:c>
      <x:c r="S199" s="37" t="n">
        <x:v>0</x:v>
      </x:c>
      <x:c r="T199" s="37" t="n">
        <x:v>0</x:v>
      </x:c>
      <x:c r="U199" s="37" t="n">
        <x:v>37500</x:v>
      </x:c>
      <x:c r="V199" s="37" t="n">
        <x:v>0</x:v>
      </x:c>
      <x:c r="W199" s="37" t="n">
        <x:v>4662.456301029539</x:v>
      </x:c>
      <x:c r="X199" s="37" t="n">
        <x:v>0</x:v>
      </x:c>
      <x:c r="Y199" s="37" t="n">
        <x:v>1174.7193167256753</x:v>
      </x:c>
      <x:c r="Z199" s="37" t="n">
        <x:v>0</x:v>
      </x:c>
      <x:c r="AA199" s="37" t="n">
        <x:v>0</x:v>
      </x:c>
      <x:c r="AB199" s="37" t="n">
        <x:v>0</x:v>
      </x:c>
      <x:c r="AC199" s="37" t="n">
        <x:v>1240987.736984304</x:v>
      </x:c>
      <x:c r="AD199" s="37" t="n">
        <x:v>0</x:v>
      </x:c>
      <x:c r="AE199" s="37" t="n">
        <x:v>0</x:v>
      </x:c>
      <x:c r="AF199" s="47" t="b">
        <x:v>0</x:v>
      </x:c>
      <x:c r="AG199" s="47" t="b">
        <x:v>0</x:v>
      </x:c>
      <x:c r="AH199" s="48" t="n">
        <x:v>0</x:v>
      </x:c>
      <x:c r="AI199" s="48" t="n">
        <x:v>1.1920928955078125e-7</x:v>
      </x:c>
      <x:c r="AJ199" s="37" t="str">
        <x:v>passed</x:v>
      </x:c>
    </x:row>
    <x:row r="200" ht="21" customHeight="1">
      <x:c r="A200" s="2"/>
      <x:c r="B200" s="2"/>
      <x:c r="C200" s="2" t="str">
        <x:v>2022</x:v>
      </x:c>
      <x:c r="D200" s="5" t="n">
        <x:v>44634</x:v>
      </x:c>
      <x:c r="E200" s="2" t="str">
        <x:v>duration</x:v>
      </x:c>
      <x:c r="F200" s="37" t="n">
        <x:v>9290411.770910444</x:v>
      </x:c>
      <x:c r="G200" s="37" t="n">
        <x:v>3628145.407169832</x:v>
      </x:c>
      <x:c r="H200" s="37" t="n">
        <x:v>-12254.545734140109</x:v>
      </x:c>
      <x:c r="I200" s="37" t="n">
        <x:v>3640399.952903972</x:v>
      </x:c>
      <x:c r="J200" s="37" t="n">
        <x:v>11329311.99378999</x:v>
      </x:c>
      <x:c r="K200" s="37" t="n">
        <x:v>7701166.5866201585</x:v>
      </x:c>
      <x:c r="L200" s="37" t="n">
        <x:v>12918557.178080276</x:v>
      </x:c>
      <x:c r="M200" s="37" t="n">
        <x:v>0</x:v>
      </x:c>
      <x:c r="N200" s="37" t="n">
        <x:v>0</x:v>
      </x:c>
      <x:c r="O200" s="37" t="n">
        <x:v>1527.0236279312521</x:v>
      </x:c>
      <x:c r="P200" s="37" t="n">
        <x:v>0</x:v>
      </x:c>
      <x:c r="Q200" s="37" t="n">
        <x:v>0</x:v>
      </x:c>
      <x:c r="R200" s="37" t="n">
        <x:v>0</x:v>
      </x:c>
      <x:c r="S200" s="37" t="n">
        <x:v>0</x:v>
      </x:c>
      <x:c r="T200" s="37" t="n">
        <x:v>0</x:v>
      </x:c>
      <x:c r="U200" s="37" t="n">
        <x:v>37500</x:v>
      </x:c>
      <x:c r="V200" s="37" t="n">
        <x:v>0</x:v>
      </x:c>
      <x:c r="W200" s="37" t="n">
        <x:v>35599.27945844084</x:v>
      </x:c>
      <x:c r="X200" s="37" t="n">
        <x:v>0</x:v>
      </x:c>
      <x:c r="Y200" s="37" t="n">
        <x:v>1984.7112999648098</x:v>
      </x:c>
      <x:c r="Z200" s="37" t="n">
        <x:v>7855189.918352562</x:v>
      </x:c>
      <x:c r="AA200" s="37" t="n">
        <x:v>0</x:v>
      </x:c>
      <x:c r="AB200" s="37" t="n">
        <x:v>7855189.918352562</x:v>
      </x:c>
      <x:c r="AC200" s="37" t="n">
        <x:v>1435221.8525578817</x:v>
      </x:c>
      <x:c r="AD200" s="37" t="n">
        <x:v>0</x:v>
      </x:c>
      <x:c r="AE200" s="37" t="n">
        <x:v>0</x:v>
      </x:c>
      <x:c r="AF200" s="47" t="b">
        <x:v>0</x:v>
      </x:c>
      <x:c r="AG200" s="47" t="b">
        <x:v>0</x:v>
      </x:c>
      <x:c r="AH200" s="48" t="n">
        <x:v>0</x:v>
      </x:c>
      <x:c r="AI200" s="48" t="n">
        <x:v>1.1920928955078125e-7</x:v>
      </x:c>
      <x:c r="AJ200" s="37" t="str">
        <x:v>passed</x:v>
      </x:c>
    </x:row>
    <x:row r="201" ht="21" customHeight="1">
      <x:c r="A201" s="2"/>
      <x:c r="B201" s="2"/>
      <x:c r="C201" s="2" t="str">
        <x:v>2022</x:v>
      </x:c>
      <x:c r="D201" s="5" t="n">
        <x:v>44634</x:v>
      </x:c>
      <x:c r="E201" s="2" t="str">
        <x:v>unweighted</x:v>
      </x:c>
      <x:c r="F201" s="37" t="n">
        <x:v>12064572.202298732</x:v>
      </x:c>
      <x:c r="G201" s="37" t="n">
        <x:v>900899.2604205665</x:v>
      </x:c>
      <x:c r="H201" s="37" t="n">
        <x:v>-15409.353656093554</x:v>
      </x:c>
      <x:c r="I201" s="37" t="n">
        <x:v>916308.6140766601</x:v>
      </x:c>
      <x:c r="J201" s="37" t="n">
        <x:v>11329311.99378999</x:v>
      </x:c>
      <x:c r="K201" s="37" t="n">
        <x:v>10428412.733369423</x:v>
      </x:c>
      <x:c r="L201" s="37" t="n">
        <x:v>12965471.462719299</x:v>
      </x:c>
      <x:c r="M201" s="37" t="n">
        <x:v>0</x:v>
      </x:c>
      <x:c r="N201" s="37" t="n">
        <x:v>0</x:v>
      </x:c>
      <x:c r="O201" s="37" t="n">
        <x:v>1983.000029284507</x:v>
      </x:c>
      <x:c r="P201" s="37" t="n">
        <x:v>0</x:v>
      </x:c>
      <x:c r="Q201" s="37" t="n">
        <x:v>0</x:v>
      </x:c>
      <x:c r="R201" s="37" t="n">
        <x:v>0</x:v>
      </x:c>
      <x:c r="S201" s="37" t="n">
        <x:v>0</x:v>
      </x:c>
      <x:c r="T201" s="37" t="n">
        <x:v>0</x:v>
      </x:c>
      <x:c r="U201" s="37" t="n">
        <x:v>37500</x:v>
      </x:c>
      <x:c r="V201" s="37" t="n">
        <x:v>0</x:v>
      </x:c>
      <x:c r="W201" s="37" t="n">
        <x:v>46015.915222151205</x:v>
      </x:c>
      <x:c r="X201" s="37" t="n">
        <x:v>0</x:v>
      </x:c>
      <x:c r="Y201" s="37" t="n">
        <x:v>2253.495429621645</x:v>
      </x:c>
      <x:c r="Z201" s="37" t="n">
        <x:v>10636980.988036811</x:v>
      </x:c>
      <x:c r="AA201" s="37" t="n">
        <x:v>0</x:v>
      </x:c>
      <x:c r="AB201" s="37" t="n">
        <x:v>10636980.988036811</x:v>
      </x:c>
      <x:c r="AC201" s="37" t="n">
        <x:v>1427591.2142619211</x:v>
      </x:c>
      <x:c r="AD201" s="37" t="n">
        <x:v>0</x:v>
      </x:c>
      <x:c r="AE201" s="37" t="n">
        <x:v>0</x:v>
      </x:c>
      <x:c r="AF201" s="47" t="b">
        <x:v>0</x:v>
      </x:c>
      <x:c r="AG201" s="47" t="b">
        <x:v>0</x:v>
      </x:c>
      <x:c r="AH201" s="48" t="n">
        <x:v>0</x:v>
      </x:c>
      <x:c r="AI201" s="48" t="n">
        <x:v>1.1920928955078125e-7</x:v>
      </x:c>
      <x:c r="AJ201" s="37" t="str">
        <x:v>passed</x:v>
      </x:c>
    </x:row>
    <x:row r="202" ht="21" customHeight="1">
      <x:c r="A202" s="2"/>
      <x:c r="B202" s="2"/>
      <x:c r="C202" s="2" t="str">
        <x:v>2022</x:v>
      </x:c>
      <x:c r="D202" s="5" t="n">
        <x:v>44634</x:v>
      </x:c>
      <x:c r="E202" s="2" t="str">
        <x:v>constrained</x:v>
      </x:c>
      <x:c r="F202" s="37" t="n">
        <x:v>13087916.218182344</x:v>
      </x:c>
      <x:c r="G202" s="37" t="n">
        <x:v>-89783.87975910642</x:v>
      </x:c>
      <x:c r="H202" s="37" t="n">
        <x:v>-18579.342550368365</x:v>
      </x:c>
      <x:c r="I202" s="37" t="n">
        <x:v>-71204.53720873805</x:v>
      </x:c>
      <x:c r="J202" s="37" t="n">
        <x:v>11330620.43191568</x:v>
      </x:c>
      <x:c r="K202" s="37" t="n">
        <x:v>11420404.311674785</x:v>
      </x:c>
      <x:c r="L202" s="37" t="n">
        <x:v>12998132.338423237</x:v>
      </x:c>
      <x:c r="M202" s="37" t="n">
        <x:v>0</x:v>
      </x:c>
      <x:c r="N202" s="37" t="n">
        <x:v>0</x:v>
      </x:c>
      <x:c r="O202" s="37" t="n">
        <x:v>2151.202529914677</x:v>
      </x:c>
      <x:c r="P202" s="37" t="n">
        <x:v>0</x:v>
      </x:c>
      <x:c r="Q202" s="37" t="n">
        <x:v>0</x:v>
      </x:c>
      <x:c r="R202" s="37" t="n">
        <x:v>0</x:v>
      </x:c>
      <x:c r="S202" s="37" t="n">
        <x:v>0</x:v>
      </x:c>
      <x:c r="T202" s="37" t="n">
        <x:v>0</x:v>
      </x:c>
      <x:c r="U202" s="37" t="n">
        <x:v>37500</x:v>
      </x:c>
      <x:c r="V202" s="37" t="n">
        <x:v>0</x:v>
      </x:c>
      <x:c r="W202" s="37" t="n">
        <x:v>50005.63166821934</x:v>
      </x:c>
      <x:c r="X202" s="37" t="n">
        <x:v>0</x:v>
      </x:c>
      <x:c r="Y202" s="37" t="n">
        <x:v>2362.993695622981</x:v>
      </x:c>
      <x:c r="Z202" s="37" t="n">
        <x:v>11648812.397908282</x:v>
      </x:c>
      <x:c r="AA202" s="37" t="n">
        <x:v>0</x:v>
      </x:c>
      <x:c r="AB202" s="37" t="n">
        <x:v>11648812.397908282</x:v>
      </x:c>
      <x:c r="AC202" s="37" t="n">
        <x:v>1439103.8202740625</x:v>
      </x:c>
      <x:c r="AD202" s="37" t="n">
        <x:v>0</x:v>
      </x:c>
      <x:c r="AE202" s="37" t="n">
        <x:v>0</x:v>
      </x:c>
      <x:c r="AF202" s="47" t="b">
        <x:v>0</x:v>
      </x:c>
      <x:c r="AG202" s="47" t="b">
        <x:v>0</x:v>
      </x:c>
      <x:c r="AH202" s="48" t="n">
        <x:v>0</x:v>
      </x:c>
      <x:c r="AI202" s="48" t="n">
        <x:v>1.1920928955078125e-7</x:v>
      </x:c>
      <x:c r="AJ202" s="37" t="str">
        <x:v>passed</x:v>
      </x:c>
    </x:row>
    <x:row r="203" ht="21" customHeight="1">
      <x:c r="A203" s="2"/>
      <x:c r="B203" s="2"/>
      <x:c r="C203" s="2" t="str">
        <x:v>2022</x:v>
      </x:c>
      <x:c r="D203" s="5" t="n">
        <x:v>44635</x:v>
      </x:c>
      <x:c r="E203" s="2" t="str">
        <x:v>unhedged</x:v>
      </x:c>
      <x:c r="F203" s="37" t="n">
        <x:v>1241055.7363123577</x:v>
      </x:c>
      <x:c r="G203" s="37" t="n">
        <x:v>11326850.604767717</x:v>
      </x:c>
      <x:c r="H203" s="37" t="n">
        <x:v>25379.834254143647</x:v>
      </x:c>
      <x:c r="I203" s="37" t="n">
        <x:v>11301470.770513574</x:v>
      </x:c>
      <x:c r="J203" s="37" t="n">
        <x:v>11326850.604767717</x:v>
      </x:c>
      <x:c r="K203" s="37" t="n">
        <x:v>0</x:v>
      </x:c>
      <x:c r="L203" s="37" t="n">
        <x:v>12567906.341080075</x:v>
      </x:c>
      <x:c r="M203" s="37" t="n">
        <x:v>0</x:v>
      </x:c>
      <x:c r="N203" s="37" t="n">
        <x:v>0</x:v>
      </x:c>
      <x:c r="O203" s="37" t="n">
        <x:v>67.99932805378921</x:v>
      </x:c>
      <x:c r="P203" s="37" t="n">
        <x:v>0</x:v>
      </x:c>
      <x:c r="Q203" s="37" t="n">
        <x:v>0</x:v>
      </x:c>
      <x:c r="R203" s="37" t="n">
        <x:v>0</x:v>
      </x:c>
      <x:c r="S203" s="37" t="n">
        <x:v>0</x:v>
      </x:c>
      <x:c r="T203" s="37" t="n">
        <x:v>0</x:v>
      </x:c>
      <x:c r="U203" s="37" t="n">
        <x:v>37500</x:v>
      </x:c>
      <x:c r="V203" s="37" t="n">
        <x:v>0</x:v>
      </x:c>
      <x:c r="W203" s="37" t="n">
        <x:v>4730.455629083328</x:v>
      </x:c>
      <x:c r="X203" s="37" t="n">
        <x:v>0</x:v>
      </x:c>
      <x:c r="Y203" s="37" t="n">
        <x:v>1174.7193167256753</x:v>
      </x:c>
      <x:c r="Z203" s="37" t="n">
        <x:v>0</x:v>
      </x:c>
      <x:c r="AA203" s="37" t="n">
        <x:v>0</x:v>
      </x:c>
      <x:c r="AB203" s="37" t="n">
        <x:v>0</x:v>
      </x:c>
      <x:c r="AC203" s="37" t="n">
        <x:v>1241055.7363123577</x:v>
      </x:c>
      <x:c r="AD203" s="37" t="n">
        <x:v>0</x:v>
      </x:c>
      <x:c r="AE203" s="37" t="n">
        <x:v>0</x:v>
      </x:c>
      <x:c r="AF203" s="47" t="b">
        <x:v>0</x:v>
      </x:c>
      <x:c r="AG203" s="47" t="b">
        <x:v>0</x:v>
      </x:c>
      <x:c r="AH203" s="48" t="n">
        <x:v>0</x:v>
      </x:c>
      <x:c r="AI203" s="48" t="n">
        <x:v>1.1920928955078125e-7</x:v>
      </x:c>
      <x:c r="AJ203" s="37" t="str">
        <x:v>passed</x:v>
      </x:c>
    </x:row>
    <x:row r="204" ht="21" customHeight="1">
      <x:c r="A204" s="2"/>
      <x:c r="B204" s="2"/>
      <x:c r="C204" s="2" t="str">
        <x:v>2022</x:v>
      </x:c>
      <x:c r="D204" s="5" t="n">
        <x:v>44635</x:v>
      </x:c>
      <x:c r="E204" s="2" t="str">
        <x:v>duration</x:v>
      </x:c>
      <x:c r="F204" s="37" t="n">
        <x:v>9290920.834569125</x:v>
      </x:c>
      <x:c r="G204" s="37" t="n">
        <x:v>3628095.252350292</x:v>
      </x:c>
      <x:c r="H204" s="37" t="n">
        <x:v>-12215.63133597304</x:v>
      </x:c>
      <x:c r="I204" s="37" t="n">
        <x:v>3640310.883686265</x:v>
      </x:c>
      <x:c r="J204" s="37" t="n">
        <x:v>11326850.604767717</x:v>
      </x:c>
      <x:c r="K204" s="37" t="n">
        <x:v>7698755.352417425</x:v>
      </x:c>
      <x:c r="L204" s="37" t="n">
        <x:v>12919016.086919416</x:v>
      </x:c>
      <x:c r="M204" s="37" t="n">
        <x:v>0</x:v>
      </x:c>
      <x:c r="N204" s="37" t="n">
        <x:v>0</x:v>
      </x:c>
      <x:c r="O204" s="37" t="n">
        <x:v>509.0636586807668</x:v>
      </x:c>
      <x:c r="P204" s="37" t="n">
        <x:v>0</x:v>
      </x:c>
      <x:c r="Q204" s="37" t="n">
        <x:v>0</x:v>
      </x:c>
      <x:c r="R204" s="37" t="n">
        <x:v>0</x:v>
      </x:c>
      <x:c r="S204" s="37" t="n">
        <x:v>0</x:v>
      </x:c>
      <x:c r="T204" s="37" t="n">
        <x:v>0</x:v>
      </x:c>
      <x:c r="U204" s="37" t="n">
        <x:v>37500</x:v>
      </x:c>
      <x:c r="V204" s="37" t="n">
        <x:v>0</x:v>
      </x:c>
      <x:c r="W204" s="37" t="n">
        <x:v>36108.34311712161</x:v>
      </x:c>
      <x:c r="X204" s="37" t="n">
        <x:v>0</x:v>
      </x:c>
      <x:c r="Y204" s="37" t="n">
        <x:v>1984.7112999648098</x:v>
      </x:c>
      <x:c r="Z204" s="37" t="n">
        <x:v>7852730.459465774</x:v>
      </x:c>
      <x:c r="AA204" s="37" t="n">
        <x:v>0</x:v>
      </x:c>
      <x:c r="AB204" s="37" t="n">
        <x:v>7852730.459465774</x:v>
      </x:c>
      <x:c r="AC204" s="37" t="n">
        <x:v>1438190.3751033507</x:v>
      </x:c>
      <x:c r="AD204" s="37" t="n">
        <x:v>0</x:v>
      </x:c>
      <x:c r="AE204" s="37" t="n">
        <x:v>0</x:v>
      </x:c>
      <x:c r="AF204" s="47" t="b">
        <x:v>0</x:v>
      </x:c>
      <x:c r="AG204" s="47" t="b">
        <x:v>0</x:v>
      </x:c>
      <x:c r="AH204" s="48" t="n">
        <x:v>0</x:v>
      </x:c>
      <x:c r="AI204" s="48" t="n">
        <x:v>1.1920928955078125e-7</x:v>
      </x:c>
      <x:c r="AJ204" s="37" t="str">
        <x:v>passed</x:v>
      </x:c>
    </x:row>
    <x:row r="205" ht="21" customHeight="1">
      <x:c r="A205" s="2"/>
      <x:c r="B205" s="2"/>
      <x:c r="C205" s="2" t="str">
        <x:v>2022</x:v>
      </x:c>
      <x:c r="D205" s="5" t="n">
        <x:v>44635</x:v>
      </x:c>
      <x:c r="E205" s="2" t="str">
        <x:v>unweighted</x:v>
      </x:c>
      <x:c r="F205" s="37" t="n">
        <x:v>12065233.274748176</x:v>
      </x:c>
      <x:c r="G205" s="37" t="n">
        <x:v>900763.0034658052</x:v>
      </x:c>
      <x:c r="H205" s="37" t="n">
        <x:v>-15416.452928475119</x:v>
      </x:c>
      <x:c r="I205" s="37" t="n">
        <x:v>916179.4563942803</x:v>
      </x:c>
      <x:c r="J205" s="37" t="n">
        <x:v>11326850.604767717</x:v>
      </x:c>
      <x:c r="K205" s="37" t="n">
        <x:v>10426087.601301912</x:v>
      </x:c>
      <x:c r="L205" s="37" t="n">
        <x:v>12965996.278213982</x:v>
      </x:c>
      <x:c r="M205" s="37" t="n">
        <x:v>0</x:v>
      </x:c>
      <x:c r="N205" s="37" t="n">
        <x:v>0</x:v>
      </x:c>
      <x:c r="O205" s="37" t="n">
        <x:v>661.0724494438618</x:v>
      </x:c>
      <x:c r="P205" s="37" t="n">
        <x:v>0</x:v>
      </x:c>
      <x:c r="Q205" s="37" t="n">
        <x:v>0</x:v>
      </x:c>
      <x:c r="R205" s="37" t="n">
        <x:v>0</x:v>
      </x:c>
      <x:c r="S205" s="37" t="n">
        <x:v>0</x:v>
      </x:c>
      <x:c r="T205" s="37" t="n">
        <x:v>0</x:v>
      </x:c>
      <x:c r="U205" s="37" t="n">
        <x:v>37500</x:v>
      </x:c>
      <x:c r="V205" s="37" t="n">
        <x:v>0</x:v>
      </x:c>
      <x:c r="W205" s="37" t="n">
        <x:v>46676.98767159507</x:v>
      </x:c>
      <x:c r="X205" s="37" t="n">
        <x:v>0</x:v>
      </x:c>
      <x:c r="Y205" s="37" t="n">
        <x:v>2253.495429621645</x:v>
      </x:c>
      <x:c r="Z205" s="37" t="n">
        <x:v>10634609.35332795</x:v>
      </x:c>
      <x:c r="AA205" s="37" t="n">
        <x:v>0</x:v>
      </x:c>
      <x:c r="AB205" s="37" t="n">
        <x:v>10634609.35332795</x:v>
      </x:c>
      <x:c r="AC205" s="37" t="n">
        <x:v>1430623.9214202259</x:v>
      </x:c>
      <x:c r="AD205" s="37" t="n">
        <x:v>0</x:v>
      </x:c>
      <x:c r="AE205" s="37" t="n">
        <x:v>0</x:v>
      </x:c>
      <x:c r="AF205" s="47" t="b">
        <x:v>0</x:v>
      </x:c>
      <x:c r="AG205" s="47" t="b">
        <x:v>0</x:v>
      </x:c>
      <x:c r="AH205" s="48" t="n">
        <x:v>0</x:v>
      </x:c>
      <x:c r="AI205" s="48" t="n">
        <x:v>1.1920928955078125e-7</x:v>
      </x:c>
      <x:c r="AJ205" s="37" t="str">
        <x:v>passed</x:v>
      </x:c>
    </x:row>
    <x:row r="206" ht="21" customHeight="1">
      <x:c r="A206" s="2"/>
      <x:c r="B206" s="2"/>
      <x:c r="C206" s="2" t="str">
        <x:v>2022</x:v>
      </x:c>
      <x:c r="D206" s="5" t="n">
        <x:v>44635</x:v>
      </x:c>
      <x:c r="E206" s="2" t="str">
        <x:v>constrained</x:v>
      </x:c>
      <x:c r="F206" s="37" t="n">
        <x:v>13088633.364276493</x:v>
      </x:c>
      <x:c r="G206" s="37" t="n">
        <x:v>-89781.08560839006</x:v>
      </x:c>
      <x:c r="H206" s="37" t="n">
        <x:v>-18615.740420702692</x:v>
      </x:c>
      <x:c r="I206" s="37" t="n">
        <x:v>-71165.34518768737</x:v>
      </x:c>
      <x:c r="J206" s="37" t="n">
        <x:v>11328154.753445085</x:v>
      </x:c>
      <x:c r="K206" s="37" t="n">
        <x:v>11417935.839053474</x:v>
      </x:c>
      <x:c r="L206" s="37" t="n">
        <x:v>12998852.278668104</x:v>
      </x:c>
      <x:c r="M206" s="37" t="n">
        <x:v>0</x:v>
      </x:c>
      <x:c r="N206" s="37" t="n">
        <x:v>0</x:v>
      </x:c>
      <x:c r="O206" s="37" t="n">
        <x:v>717.1460941489786</x:v>
      </x:c>
      <x:c r="P206" s="37" t="n">
        <x:v>0</x:v>
      </x:c>
      <x:c r="Q206" s="37" t="n">
        <x:v>0</x:v>
      </x:c>
      <x:c r="R206" s="37" t="n">
        <x:v>0</x:v>
      </x:c>
      <x:c r="S206" s="37" t="n">
        <x:v>0</x:v>
      </x:c>
      <x:c r="T206" s="37" t="n">
        <x:v>0</x:v>
      </x:c>
      <x:c r="U206" s="37" t="n">
        <x:v>37500</x:v>
      </x:c>
      <x:c r="V206" s="37" t="n">
        <x:v>0</x:v>
      </x:c>
      <x:c r="W206" s="37" t="n">
        <x:v>50722.77776236832</x:v>
      </x:c>
      <x:c r="X206" s="37" t="n">
        <x:v>0</x:v>
      </x:c>
      <x:c r="Y206" s="37" t="n">
        <x:v>2362.993695622981</x:v>
      </x:c>
      <x:c r="Z206" s="37" t="n">
        <x:v>11646294.555834545</x:v>
      </x:c>
      <x:c r="AA206" s="37" t="n">
        <x:v>0</x:v>
      </x:c>
      <x:c r="AB206" s="37" t="n">
        <x:v>11646294.555834545</x:v>
      </x:c>
      <x:c r="AC206" s="37" t="n">
        <x:v>1442338.8084419481</x:v>
      </x:c>
      <x:c r="AD206" s="37" t="n">
        <x:v>0</x:v>
      </x:c>
      <x:c r="AE206" s="37" t="n">
        <x:v>0</x:v>
      </x:c>
      <x:c r="AF206" s="47" t="b">
        <x:v>0</x:v>
      </x:c>
      <x:c r="AG206" s="47" t="b">
        <x:v>0</x:v>
      </x:c>
      <x:c r="AH206" s="48" t="n">
        <x:v>0</x:v>
      </x:c>
      <x:c r="AI206" s="48" t="n">
        <x:v>1.1920928955078125e-7</x:v>
      </x:c>
      <x:c r="AJ206" s="37" t="str">
        <x:v>passed</x:v>
      </x:c>
    </x:row>
    <x:row r="207" ht="21" customHeight="1">
      <x:c r="A207" s="2"/>
      <x:c r="B207" s="2"/>
      <x:c r="C207" s="2" t="str">
        <x:v>2022</x:v>
      </x:c>
      <x:c r="D207" s="5" t="n">
        <x:v>44636</x:v>
      </x:c>
      <x:c r="E207" s="2" t="str">
        <x:v>unhedged</x:v>
      </x:c>
      <x:c r="F207" s="37" t="n">
        <x:v>1241123.7393664024</x:v>
      </x:c>
      <x:c r="G207" s="37" t="n">
        <x:v>11288818.197445594</x:v>
      </x:c>
      <x:c r="H207" s="37" t="n">
        <x:v>25732.044198895026</x:v>
      </x:c>
      <x:c r="I207" s="37" t="n">
        <x:v>11263086.153246699</x:v>
      </x:c>
      <x:c r="J207" s="37" t="n">
        <x:v>11288818.197445594</x:v>
      </x:c>
      <x:c r="K207" s="37" t="n">
        <x:v>0</x:v>
      </x:c>
      <x:c r="L207" s="37" t="n">
        <x:v>12529941.936811997</x:v>
      </x:c>
      <x:c r="M207" s="37" t="n">
        <x:v>0</x:v>
      </x:c>
      <x:c r="N207" s="37" t="n">
        <x:v>0</x:v>
      </x:c>
      <x:c r="O207" s="37" t="n">
        <x:v>68.00305404467508</x:v>
      </x:c>
      <x:c r="P207" s="37" t="n">
        <x:v>0</x:v>
      </x:c>
      <x:c r="Q207" s="37" t="n">
        <x:v>0</x:v>
      </x:c>
      <x:c r="R207" s="37" t="n">
        <x:v>0</x:v>
      </x:c>
      <x:c r="S207" s="37" t="n">
        <x:v>0</x:v>
      </x:c>
      <x:c r="T207" s="37" t="n">
        <x:v>0</x:v>
      </x:c>
      <x:c r="U207" s="37" t="n">
        <x:v>37500</x:v>
      </x:c>
      <x:c r="V207" s="37" t="n">
        <x:v>0</x:v>
      </x:c>
      <x:c r="W207" s="37" t="n">
        <x:v>4798.458683128003</x:v>
      </x:c>
      <x:c r="X207" s="37" t="n">
        <x:v>0</x:v>
      </x:c>
      <x:c r="Y207" s="37" t="n">
        <x:v>1174.7193167256753</x:v>
      </x:c>
      <x:c r="Z207" s="37" t="n">
        <x:v>0</x:v>
      </x:c>
      <x:c r="AA207" s="37" t="n">
        <x:v>0</x:v>
      </x:c>
      <x:c r="AB207" s="37" t="n">
        <x:v>0</x:v>
      </x:c>
      <x:c r="AC207" s="37" t="n">
        <x:v>1241123.7393664024</x:v>
      </x:c>
      <x:c r="AD207" s="37" t="n">
        <x:v>0</x:v>
      </x:c>
      <x:c r="AE207" s="37" t="n">
        <x:v>0</x:v>
      </x:c>
      <x:c r="AF207" s="47" t="b">
        <x:v>0</x:v>
      </x:c>
      <x:c r="AG207" s="47" t="b">
        <x:v>0</x:v>
      </x:c>
      <x:c r="AH207" s="48" t="n">
        <x:v>0</x:v>
      </x:c>
      <x:c r="AI207" s="48" t="n">
        <x:v>1.1920928955078125e-7</x:v>
      </x:c>
      <x:c r="AJ207" s="37" t="str">
        <x:v>passed</x:v>
      </x:c>
    </x:row>
    <x:row r="208" ht="21" customHeight="1">
      <x:c r="A208" s="2"/>
      <x:c r="B208" s="2"/>
      <x:c r="C208" s="2" t="str">
        <x:v>2022</x:v>
      </x:c>
      <x:c r="D208" s="5" t="n">
        <x:v>44636</x:v>
      </x:c>
      <x:c r="E208" s="2" t="str">
        <x:v>duration</x:v>
      </x:c>
      <x:c r="F208" s="37" t="n">
        <x:v>9291429.926121704</x:v>
      </x:c>
      <x:c r="G208" s="37" t="n">
        <x:v>3620668.7483838475</x:v>
      </x:c>
      <x:c r="H208" s="37" t="n">
        <x:v>-12176.716937805963</x:v>
      </x:c>
      <x:c r="I208" s="37" t="n">
        <x:v>3632845.4653216535</x:v>
      </x:c>
      <x:c r="J208" s="37" t="n">
        <x:v>11288818.197445594</x:v>
      </x:c>
      <x:c r="K208" s="37" t="n">
        <x:v>7668149.449061746</x:v>
      </x:c>
      <x:c r="L208" s="37" t="n">
        <x:v>12912098.674505552</x:v>
      </x:c>
      <x:c r="M208" s="37" t="n">
        <x:v>0</x:v>
      </x:c>
      <x:c r="N208" s="37" t="n">
        <x:v>0</x:v>
      </x:c>
      <x:c r="O208" s="37" t="n">
        <x:v>509.09155257977545</x:v>
      </x:c>
      <x:c r="P208" s="37" t="n">
        <x:v>0</x:v>
      </x:c>
      <x:c r="Q208" s="37" t="n">
        <x:v>0</x:v>
      </x:c>
      <x:c r="R208" s="37" t="n">
        <x:v>0</x:v>
      </x:c>
      <x:c r="S208" s="37" t="n">
        <x:v>0</x:v>
      </x:c>
      <x:c r="T208" s="37" t="n">
        <x:v>0</x:v>
      </x:c>
      <x:c r="U208" s="37" t="n">
        <x:v>37500</x:v>
      </x:c>
      <x:c r="V208" s="37" t="n">
        <x:v>0</x:v>
      </x:c>
      <x:c r="W208" s="37" t="n">
        <x:v>36617.43466970138</x:v>
      </x:c>
      <x:c r="X208" s="37" t="n">
        <x:v>0</x:v>
      </x:c>
      <x:c r="Y208" s="37" t="n">
        <x:v>1984.7112999648098</x:v>
      </x:c>
      <x:c r="Z208" s="37" t="n">
        <x:v>7821512.438042981</x:v>
      </x:c>
      <x:c r="AA208" s="37" t="n">
        <x:v>0</x:v>
      </x:c>
      <x:c r="AB208" s="37" t="n">
        <x:v>7821512.438042981</x:v>
      </x:c>
      <x:c r="AC208" s="37" t="n">
        <x:v>1469917.4880787237</x:v>
      </x:c>
      <x:c r="AD208" s="37" t="n">
        <x:v>0</x:v>
      </x:c>
      <x:c r="AE208" s="37" t="n">
        <x:v>0</x:v>
      </x:c>
      <x:c r="AF208" s="47" t="b">
        <x:v>0</x:v>
      </x:c>
      <x:c r="AG208" s="47" t="b">
        <x:v>0</x:v>
      </x:c>
      <x:c r="AH208" s="48" t="n">
        <x:v>0</x:v>
      </x:c>
      <x:c r="AI208" s="48" t="n">
        <x:v>1.1920928955078125e-7</x:v>
      </x:c>
      <x:c r="AJ208" s="37" t="str">
        <x:v>passed</x:v>
      </x:c>
    </x:row>
    <x:row r="209" ht="21" customHeight="1">
      <x:c r="A209" s="2"/>
      <x:c r="B209" s="2"/>
      <x:c r="C209" s="2" t="str">
        <x:v>2022</x:v>
      </x:c>
      <x:c r="D209" s="5" t="n">
        <x:v>44636</x:v>
      </x:c>
      <x:c r="E209" s="2" t="str">
        <x:v>unweighted</x:v>
      </x:c>
      <x:c r="F209" s="37" t="n">
        <x:v>12065894.383420765</x:v>
      </x:c>
      <x:c r="G209" s="37" t="n">
        <x:v>897707.3998037376</x:v>
      </x:c>
      <x:c r="H209" s="37" t="n">
        <x:v>-15423.55220085669</x:v>
      </x:c>
      <x:c r="I209" s="37" t="n">
        <x:v>913130.9520045944</x:v>
      </x:c>
      <x:c r="J209" s="37" t="n">
        <x:v>11288818.197445594</x:v>
      </x:c>
      <x:c r="K209" s="37" t="n">
        <x:v>10391110.797641857</x:v>
      </x:c>
      <x:c r="L209" s="37" t="n">
        <x:v>12963601.783224503</x:v>
      </x:c>
      <x:c r="M209" s="37" t="n">
        <x:v>0</x:v>
      </x:c>
      <x:c r="N209" s="37" t="n">
        <x:v>0</x:v>
      </x:c>
      <x:c r="O209" s="37" t="n">
        <x:v>661.1086725890636</x:v>
      </x:c>
      <x:c r="P209" s="37" t="n">
        <x:v>0</x:v>
      </x:c>
      <x:c r="Q209" s="37" t="n">
        <x:v>0</x:v>
      </x:c>
      <x:c r="R209" s="37" t="n">
        <x:v>0</x:v>
      </x:c>
      <x:c r="S209" s="37" t="n">
        <x:v>0</x:v>
      </x:c>
      <x:c r="T209" s="37" t="n">
        <x:v>0</x:v>
      </x:c>
      <x:c r="U209" s="37" t="n">
        <x:v>37500</x:v>
      </x:c>
      <x:c r="V209" s="37" t="n">
        <x:v>0</x:v>
      </x:c>
      <x:c r="W209" s="37" t="n">
        <x:v>47338.09634418413</x:v>
      </x:c>
      <x:c r="X209" s="37" t="n">
        <x:v>0</x:v>
      </x:c>
      <x:c r="Y209" s="37" t="n">
        <x:v>2253.495429621645</x:v>
      </x:c>
      <x:c r="Z209" s="37" t="n">
        <x:v>10598933.013594694</x:v>
      </x:c>
      <x:c r="AA209" s="37" t="n">
        <x:v>0</x:v>
      </x:c>
      <x:c r="AB209" s="37" t="n">
        <x:v>10598933.013594694</x:v>
      </x:c>
      <x:c r="AC209" s="37" t="n">
        <x:v>1466961.369826071</x:v>
      </x:c>
      <x:c r="AD209" s="37" t="n">
        <x:v>0</x:v>
      </x:c>
      <x:c r="AE209" s="37" t="n">
        <x:v>0</x:v>
      </x:c>
      <x:c r="AF209" s="47" t="b">
        <x:v>0</x:v>
      </x:c>
      <x:c r="AG209" s="47" t="b">
        <x:v>0</x:v>
      </x:c>
      <x:c r="AH209" s="48" t="n">
        <x:v>0</x:v>
      </x:c>
      <x:c r="AI209" s="48" t="n">
        <x:v>1.1920928955078125e-7</x:v>
      </x:c>
      <x:c r="AJ209" s="37" t="str">
        <x:v>passed</x:v>
      </x:c>
    </x:row>
    <x:row r="210" ht="21" customHeight="1">
      <x:c r="A210" s="2"/>
      <x:c r="B210" s="2"/>
      <x:c r="C210" s="2" t="str">
        <x:v>2022</x:v>
      </x:c>
      <x:c r="D210" s="5" t="n">
        <x:v>44636</x:v>
      </x:c>
      <x:c r="E210" s="2" t="str">
        <x:v>constrained</x:v>
      </x:c>
      <x:c r="F210" s="37" t="n">
        <x:v>13089350.549666317</x:v>
      </x:c>
      <x:c r="G210" s="37" t="n">
        <x:v>-89999.25377770815</x:v>
      </x:c>
      <x:c r="H210" s="37" t="n">
        <x:v>-18652.13829103702</x:v>
      </x:c>
      <x:c r="I210" s="37" t="n">
        <x:v>-71347.11548667113</x:v>
      </x:c>
      <x:c r="J210" s="37" t="n">
        <x:v>11290133.976371149</x:v>
      </x:c>
      <x:c r="K210" s="37" t="n">
        <x:v>11380133.230148856</x:v>
      </x:c>
      <x:c r="L210" s="37" t="n">
        <x:v>12999351.295888608</x:v>
      </x:c>
      <x:c r="M210" s="37" t="n">
        <x:v>0</x:v>
      </x:c>
      <x:c r="N210" s="37" t="n">
        <x:v>0</x:v>
      </x:c>
      <x:c r="O210" s="37" t="n">
        <x:v>717.1853898242116</x:v>
      </x:c>
      <x:c r="P210" s="37" t="n">
        <x:v>0</x:v>
      </x:c>
      <x:c r="Q210" s="37" t="n">
        <x:v>0</x:v>
      </x:c>
      <x:c r="R210" s="37" t="n">
        <x:v>0</x:v>
      </x:c>
      <x:c r="S210" s="37" t="n">
        <x:v>0</x:v>
      </x:c>
      <x:c r="T210" s="37" t="n">
        <x:v>0</x:v>
      </x:c>
      <x:c r="U210" s="37" t="n">
        <x:v>37500</x:v>
      </x:c>
      <x:c r="V210" s="37" t="n">
        <x:v>0</x:v>
      </x:c>
      <x:c r="W210" s="37" t="n">
        <x:v>51439.96315219253</x:v>
      </x:c>
      <x:c r="X210" s="37" t="n">
        <x:v>0</x:v>
      </x:c>
      <x:c r="Y210" s="37" t="n">
        <x:v>2362.993695622981</x:v>
      </x:c>
      <x:c r="Z210" s="37" t="n">
        <x:v>11607735.894751834</x:v>
      </x:c>
      <x:c r="AA210" s="37" t="n">
        <x:v>0</x:v>
      </x:c>
      <x:c r="AB210" s="37" t="n">
        <x:v>11607735.894751834</x:v>
      </x:c>
      <x:c r="AC210" s="37" t="n">
        <x:v>1481614.6549144834</x:v>
      </x:c>
      <x:c r="AD210" s="37" t="n">
        <x:v>0</x:v>
      </x:c>
      <x:c r="AE210" s="37" t="n">
        <x:v>0</x:v>
      </x:c>
      <x:c r="AF210" s="47" t="b">
        <x:v>0</x:v>
      </x:c>
      <x:c r="AG210" s="47" t="b">
        <x:v>0</x:v>
      </x:c>
      <x:c r="AH210" s="48" t="n">
        <x:v>0</x:v>
      </x:c>
      <x:c r="AI210" s="48" t="n">
        <x:v>1.1920928955078125e-7</x:v>
      </x:c>
      <x:c r="AJ210" s="37" t="str">
        <x:v>passed</x:v>
      </x:c>
    </x:row>
    <x:row r="211" ht="21" customHeight="1">
      <x:c r="A211" s="2"/>
      <x:c r="B211" s="2"/>
      <x:c r="C211" s="2" t="str">
        <x:v>2022</x:v>
      </x:c>
      <x:c r="D211" s="5" t="n">
        <x:v>44637</x:v>
      </x:c>
      <x:c r="E211" s="2" t="str">
        <x:v>unhedged</x:v>
      </x:c>
      <x:c r="F211" s="37" t="n">
        <x:v>1241191.746146642</x:v>
      </x:c>
      <x:c r="G211" s="37" t="n">
        <x:v>11282406.0333426</x:v>
      </x:c>
      <x:c r="H211" s="37" t="n">
        <x:v>26084.25414364641</x:v>
      </x:c>
      <x:c r="I211" s="37" t="n">
        <x:v>11256321.779198954</x:v>
      </x:c>
      <x:c r="J211" s="37" t="n">
        <x:v>11282406.0333426</x:v>
      </x:c>
      <x:c r="K211" s="37" t="n">
        <x:v>0</x:v>
      </x:c>
      <x:c r="L211" s="37" t="n">
        <x:v>12523597.779489242</x:v>
      </x:c>
      <x:c r="M211" s="37" t="n">
        <x:v>0</x:v>
      </x:c>
      <x:c r="N211" s="37" t="n">
        <x:v>0</x:v>
      </x:c>
      <x:c r="O211" s="37" t="n">
        <x:v>68.0067802395206</x:v>
      </x:c>
      <x:c r="P211" s="37" t="n">
        <x:v>0</x:v>
      </x:c>
      <x:c r="Q211" s="37" t="n">
        <x:v>0</x:v>
      </x:c>
      <x:c r="R211" s="37" t="n">
        <x:v>0</x:v>
      </x:c>
      <x:c r="S211" s="37" t="n">
        <x:v>0</x:v>
      </x:c>
      <x:c r="T211" s="37" t="n">
        <x:v>0</x:v>
      </x:c>
      <x:c r="U211" s="37" t="n">
        <x:v>37500</x:v>
      </x:c>
      <x:c r="V211" s="37" t="n">
        <x:v>0</x:v>
      </x:c>
      <x:c r="W211" s="37" t="n">
        <x:v>4866.465463367524</x:v>
      </x:c>
      <x:c r="X211" s="37" t="n">
        <x:v>0</x:v>
      </x:c>
      <x:c r="Y211" s="37" t="n">
        <x:v>1174.7193167256753</x:v>
      </x:c>
      <x:c r="Z211" s="37" t="n">
        <x:v>0</x:v>
      </x:c>
      <x:c r="AA211" s="37" t="n">
        <x:v>0</x:v>
      </x:c>
      <x:c r="AB211" s="37" t="n">
        <x:v>0</x:v>
      </x:c>
      <x:c r="AC211" s="37" t="n">
        <x:v>1241191.746146642</x:v>
      </x:c>
      <x:c r="AD211" s="37" t="n">
        <x:v>0</x:v>
      </x:c>
      <x:c r="AE211" s="37" t="n">
        <x:v>0</x:v>
      </x:c>
      <x:c r="AF211" s="47" t="b">
        <x:v>0</x:v>
      </x:c>
      <x:c r="AG211" s="47" t="b">
        <x:v>0</x:v>
      </x:c>
      <x:c r="AH211" s="48" t="n">
        <x:v>0</x:v>
      </x:c>
      <x:c r="AI211" s="48" t="n">
        <x:v>1.1920928955078125e-7</x:v>
      </x:c>
      <x:c r="AJ211" s="37" t="str">
        <x:v>passed</x:v>
      </x:c>
    </x:row>
    <x:row r="212" ht="21" customHeight="1">
      <x:c r="A212" s="2"/>
      <x:c r="B212" s="2"/>
      <x:c r="C212" s="2" t="str">
        <x:v>2022</x:v>
      </x:c>
      <x:c r="D212" s="5" t="n">
        <x:v>44637</x:v>
      </x:c>
      <x:c r="E212" s="2" t="str">
        <x:v>duration</x:v>
      </x:c>
      <x:c r="F212" s="37" t="n">
        <x:v>9291939.045569712</x:v>
      </x:c>
      <x:c r="G212" s="37" t="n">
        <x:v>3625433.624720601</x:v>
      </x:c>
      <x:c r="H212" s="37" t="n">
        <x:v>-12137.802539638886</x:v>
      </x:c>
      <x:c r="I212" s="37" t="n">
        <x:v>3637571.4272602396</x:v>
      </x:c>
      <x:c r="J212" s="37" t="n">
        <x:v>11282406.0333426</x:v>
      </x:c>
      <x:c r="K212" s="37" t="n">
        <x:v>7656972.4086219985</x:v>
      </x:c>
      <x:c r="L212" s="37" t="n">
        <x:v>12917372.670290314</x:v>
      </x:c>
      <x:c r="M212" s="37" t="n">
        <x:v>0</x:v>
      </x:c>
      <x:c r="N212" s="37" t="n">
        <x:v>0</x:v>
      </x:c>
      <x:c r="O212" s="37" t="n">
        <x:v>509.11944800801575</x:v>
      </x:c>
      <x:c r="P212" s="37" t="n">
        <x:v>0</x:v>
      </x:c>
      <x:c r="Q212" s="37" t="n">
        <x:v>0</x:v>
      </x:c>
      <x:c r="R212" s="37" t="n">
        <x:v>0</x:v>
      </x:c>
      <x:c r="S212" s="37" t="n">
        <x:v>0</x:v>
      </x:c>
      <x:c r="T212" s="37" t="n">
        <x:v>0</x:v>
      </x:c>
      <x:c r="U212" s="37" t="n">
        <x:v>37500</x:v>
      </x:c>
      <x:c r="V212" s="37" t="n">
        <x:v>0</x:v>
      </x:c>
      <x:c r="W212" s="37" t="n">
        <x:v>37126.5541177094</x:v>
      </x:c>
      <x:c r="X212" s="37" t="n">
        <x:v>0</x:v>
      </x:c>
      <x:c r="Y212" s="37" t="n">
        <x:v>1984.7112999648098</x:v>
      </x:c>
      <x:c r="Z212" s="37" t="n">
        <x:v>7810111.856794438</x:v>
      </x:c>
      <x:c r="AA212" s="37" t="n">
        <x:v>0</x:v>
      </x:c>
      <x:c r="AB212" s="37" t="n">
        <x:v>7810111.856794438</x:v>
      </x:c>
      <x:c r="AC212" s="37" t="n">
        <x:v>1481827.188775274</x:v>
      </x:c>
      <x:c r="AD212" s="37" t="n">
        <x:v>0</x:v>
      </x:c>
      <x:c r="AE212" s="37" t="n">
        <x:v>0</x:v>
      </x:c>
      <x:c r="AF212" s="47" t="b">
        <x:v>0</x:v>
      </x:c>
      <x:c r="AG212" s="47" t="b">
        <x:v>0</x:v>
      </x:c>
      <x:c r="AH212" s="48" t="n">
        <x:v>0</x:v>
      </x:c>
      <x:c r="AI212" s="48" t="n">
        <x:v>1.1920928955078125e-7</x:v>
      </x:c>
      <x:c r="AJ212" s="37" t="str">
        <x:v>passed</x:v>
      </x:c>
    </x:row>
    <x:row r="213" ht="21" customHeight="1">
      <x:c r="A213" s="2"/>
      <x:c r="B213" s="2"/>
      <x:c r="C213" s="2" t="str">
        <x:v>2022</x:v>
      </x:c>
      <x:c r="D213" s="5" t="n">
        <x:v>44637</x:v>
      </x:c>
      <x:c r="E213" s="2" t="str">
        <x:v>unweighted</x:v>
      </x:c>
      <x:c r="F213" s="37" t="n">
        <x:v>12066555.528318487</x:v>
      </x:c>
      <x:c r="G213" s="37" t="n">
        <x:v>897762.7116987361</x:v>
      </x:c>
      <x:c r="H213" s="37" t="n">
        <x:v>-15430.651473238258</x:v>
      </x:c>
      <x:c r="I213" s="37" t="n">
        <x:v>913193.3631719743</x:v>
      </x:c>
      <x:c r="J213" s="37" t="n">
        <x:v>11282406.0333426</x:v>
      </x:c>
      <x:c r="K213" s="37" t="n">
        <x:v>10384643.321643863</x:v>
      </x:c>
      <x:c r="L213" s="37" t="n">
        <x:v>12964318.240017224</x:v>
      </x:c>
      <x:c r="M213" s="37" t="n">
        <x:v>0</x:v>
      </x:c>
      <x:c r="N213" s="37" t="n">
        <x:v>0</x:v>
      </x:c>
      <x:c r="O213" s="37" t="n">
        <x:v>661.1448977217078</x:v>
      </x:c>
      <x:c r="P213" s="37" t="n">
        <x:v>0</x:v>
      </x:c>
      <x:c r="Q213" s="37" t="n">
        <x:v>0</x:v>
      </x:c>
      <x:c r="R213" s="37" t="n">
        <x:v>0</x:v>
      </x:c>
      <x:c r="S213" s="37" t="n">
        <x:v>0</x:v>
      </x:c>
      <x:c r="T213" s="37" t="n">
        <x:v>0</x:v>
      </x:c>
      <x:c r="U213" s="37" t="n">
        <x:v>37500</x:v>
      </x:c>
      <x:c r="V213" s="37" t="n">
        <x:v>0</x:v>
      </x:c>
      <x:c r="W213" s="37" t="n">
        <x:v>47999.24124190584</x:v>
      </x:c>
      <x:c r="X213" s="37" t="n">
        <x:v>0</x:v>
      </x:c>
      <x:c r="Y213" s="37" t="n">
        <x:v>2253.495429621645</x:v>
      </x:c>
      <x:c r="Z213" s="37" t="n">
        <x:v>10592336.18807674</x:v>
      </x:c>
      <x:c r="AA213" s="37" t="n">
        <x:v>0</x:v>
      </x:c>
      <x:c r="AB213" s="37" t="n">
        <x:v>10592336.18807674</x:v>
      </x:c>
      <x:c r="AC213" s="37" t="n">
        <x:v>1474219.340241747</x:v>
      </x:c>
      <x:c r="AD213" s="37" t="n">
        <x:v>0</x:v>
      </x:c>
      <x:c r="AE213" s="37" t="n">
        <x:v>0</x:v>
      </x:c>
      <x:c r="AF213" s="47" t="b">
        <x:v>0</x:v>
      </x:c>
      <x:c r="AG213" s="47" t="b">
        <x:v>0</x:v>
      </x:c>
      <x:c r="AH213" s="48" t="n">
        <x:v>0</x:v>
      </x:c>
      <x:c r="AI213" s="48" t="n">
        <x:v>1.1920928955078125e-7</x:v>
      </x:c>
      <x:c r="AJ213" s="37" t="str">
        <x:v>passed</x:v>
      </x:c>
    </x:row>
    <x:row r="214" ht="21" customHeight="1">
      <x:c r="A214" s="2"/>
      <x:c r="B214" s="2"/>
      <x:c r="C214" s="2" t="str">
        <x:v>2022</x:v>
      </x:c>
      <x:c r="D214" s="5" t="n">
        <x:v>44637</x:v>
      </x:c>
      <x:c r="E214" s="2" t="str">
        <x:v>constrained</x:v>
      </x:c>
      <x:c r="F214" s="37" t="n">
        <x:v>13090067.774353972</x:v>
      </x:c>
      <x:c r="G214" s="37" t="n">
        <x:v>-89758.13167475649</x:v>
      </x:c>
      <x:c r="H214" s="37" t="n">
        <x:v>-18688.536161371347</x:v>
      </x:c>
      <x:c r="I214" s="37" t="n">
        <x:v>-71069.59551338514</x:v>
      </x:c>
      <x:c r="J214" s="37" t="n">
        <x:v>11283708.862728124</x:v>
      </x:c>
      <x:c r="K214" s="37" t="n">
        <x:v>11373466.994402882</x:v>
      </x:c>
      <x:c r="L214" s="37" t="n">
        <x:v>13000309.642679214</x:v>
      </x:c>
      <x:c r="M214" s="37" t="n">
        <x:v>0</x:v>
      </x:c>
      <x:c r="N214" s="37" t="n">
        <x:v>0</x:v>
      </x:c>
      <x:c r="O214" s="37" t="n">
        <x:v>717.224687654525</x:v>
      </x:c>
      <x:c r="P214" s="37" t="n">
        <x:v>0</x:v>
      </x:c>
      <x:c r="Q214" s="37" t="n">
        <x:v>0</x:v>
      </x:c>
      <x:c r="R214" s="37" t="n">
        <x:v>0</x:v>
      </x:c>
      <x:c r="S214" s="37" t="n">
        <x:v>0</x:v>
      </x:c>
      <x:c r="T214" s="37" t="n">
        <x:v>0</x:v>
      </x:c>
      <x:c r="U214" s="37" t="n">
        <x:v>37500</x:v>
      </x:c>
      <x:c r="V214" s="37" t="n">
        <x:v>0</x:v>
      </x:c>
      <x:c r="W214" s="37" t="n">
        <x:v>52157.18783984706</x:v>
      </x:c>
      <x:c r="X214" s="37" t="n">
        <x:v>0</x:v>
      </x:c>
      <x:c r="Y214" s="37" t="n">
        <x:v>2362.993695622981</x:v>
      </x:c>
      <x:c r="Z214" s="37" t="n">
        <x:v>11600936.33429094</x:v>
      </x:c>
      <x:c r="AA214" s="37" t="n">
        <x:v>0</x:v>
      </x:c>
      <x:c r="AB214" s="37" t="n">
        <x:v>11600936.33429094</x:v>
      </x:c>
      <x:c r="AC214" s="37" t="n">
        <x:v>1489131.4400630314</x:v>
      </x:c>
      <x:c r="AD214" s="37" t="n">
        <x:v>0</x:v>
      </x:c>
      <x:c r="AE214" s="37" t="n">
        <x:v>0</x:v>
      </x:c>
      <x:c r="AF214" s="47" t="b">
        <x:v>0</x:v>
      </x:c>
      <x:c r="AG214" s="47" t="b">
        <x:v>0</x:v>
      </x:c>
      <x:c r="AH214" s="48" t="n">
        <x:v>0</x:v>
      </x:c>
      <x:c r="AI214" s="48" t="n">
        <x:v>1.1920928955078125e-7</x:v>
      </x:c>
      <x:c r="AJ214" s="37" t="str">
        <x:v>passed</x:v>
      </x:c>
    </x:row>
    <x:row r="215" ht="21" customHeight="1">
      <x:c r="A215" s="2"/>
      <x:c r="B215" s="2"/>
      <x:c r="C215" s="2" t="str">
        <x:v>2022</x:v>
      </x:c>
      <x:c r="D215" s="5" t="n">
        <x:v>44638</x:v>
      </x:c>
      <x:c r="E215" s="2" t="str">
        <x:v>unhedged</x:v>
      </x:c>
      <x:c r="F215" s="37" t="n">
        <x:v>1241259.75665328</x:v>
      </x:c>
      <x:c r="G215" s="37" t="n">
        <x:v>11317745.859312573</x:v>
      </x:c>
      <x:c r="H215" s="37" t="n">
        <x:v>26436.464088397788</x:v>
      </x:c>
      <x:c r="I215" s="37" t="n">
        <x:v>11291309.395224176</x:v>
      </x:c>
      <x:c r="J215" s="37" t="n">
        <x:v>11317745.859312573</x:v>
      </x:c>
      <x:c r="K215" s="37" t="n">
        <x:v>0</x:v>
      </x:c>
      <x:c r="L215" s="37" t="n">
        <x:v>12559005.615965854</x:v>
      </x:c>
      <x:c r="M215" s="37" t="n">
        <x:v>0</x:v>
      </x:c>
      <x:c r="N215" s="37" t="n">
        <x:v>0</x:v>
      </x:c>
      <x:c r="O215" s="37" t="n">
        <x:v>68.01050663809292</x:v>
      </x:c>
      <x:c r="P215" s="37" t="n">
        <x:v>0</x:v>
      </x:c>
      <x:c r="Q215" s="37" t="n">
        <x:v>0</x:v>
      </x:c>
      <x:c r="R215" s="37" t="n">
        <x:v>0</x:v>
      </x:c>
      <x:c r="S215" s="37" t="n">
        <x:v>0</x:v>
      </x:c>
      <x:c r="T215" s="37" t="n">
        <x:v>0</x:v>
      </x:c>
      <x:c r="U215" s="37" t="n">
        <x:v>37500</x:v>
      </x:c>
      <x:c r="V215" s="37" t="n">
        <x:v>0</x:v>
      </x:c>
      <x:c r="W215" s="37" t="n">
        <x:v>4934.475970005617</x:v>
      </x:c>
      <x:c r="X215" s="37" t="n">
        <x:v>0</x:v>
      </x:c>
      <x:c r="Y215" s="37" t="n">
        <x:v>1174.7193167256753</x:v>
      </x:c>
      <x:c r="Z215" s="37" t="n">
        <x:v>0</x:v>
      </x:c>
      <x:c r="AA215" s="37" t="n">
        <x:v>0</x:v>
      </x:c>
      <x:c r="AB215" s="37" t="n">
        <x:v>0</x:v>
      </x:c>
      <x:c r="AC215" s="37" t="n">
        <x:v>1241259.75665328</x:v>
      </x:c>
      <x:c r="AD215" s="37" t="n">
        <x:v>0</x:v>
      </x:c>
      <x:c r="AE215" s="37" t="n">
        <x:v>0</x:v>
      </x:c>
      <x:c r="AF215" s="47" t="b">
        <x:v>0</x:v>
      </x:c>
      <x:c r="AG215" s="47" t="b">
        <x:v>0</x:v>
      </x:c>
      <x:c r="AH215" s="48" t="n">
        <x:v>0</x:v>
      </x:c>
      <x:c r="AI215" s="48" t="n">
        <x:v>1.1920928955078125e-7</x:v>
      </x:c>
      <x:c r="AJ215" s="37" t="str">
        <x:v>passed</x:v>
      </x:c>
    </x:row>
    <x:row r="216" ht="21" customHeight="1">
      <x:c r="A216" s="2"/>
      <x:c r="B216" s="2"/>
      <x:c r="C216" s="2" t="str">
        <x:v>2022</x:v>
      </x:c>
      <x:c r="D216" s="5" t="n">
        <x:v>44638</x:v>
      </x:c>
      <x:c r="E216" s="2" t="str">
        <x:v>duration</x:v>
      </x:c>
      <x:c r="F216" s="37" t="n">
        <x:v>9292448.192914674</x:v>
      </x:c>
      <x:c r="G216" s="37" t="n">
        <x:v>3614695.1068174094</x:v>
      </x:c>
      <x:c r="H216" s="37" t="n">
        <x:v>-12098.888141471807</x:v>
      </x:c>
      <x:c r="I216" s="37" t="n">
        <x:v>3626793.9949588813</x:v>
      </x:c>
      <x:c r="J216" s="37" t="n">
        <x:v>11317745.859312573</x:v>
      </x:c>
      <x:c r="K216" s="37" t="n">
        <x:v>7703050.752495164</x:v>
      </x:c>
      <x:c r="L216" s="37" t="n">
        <x:v>12907143.299732083</x:v>
      </x:c>
      <x:c r="M216" s="37" t="n">
        <x:v>0</x:v>
      </x:c>
      <x:c r="N216" s="37" t="n">
        <x:v>0</x:v>
      </x:c>
      <x:c r="O216" s="37" t="n">
        <x:v>509.1473449617624</x:v>
      </x:c>
      <x:c r="P216" s="37" t="n">
        <x:v>0</x:v>
      </x:c>
      <x:c r="Q216" s="37" t="n">
        <x:v>0</x:v>
      </x:c>
      <x:c r="R216" s="37" t="n">
        <x:v>0</x:v>
      </x:c>
      <x:c r="S216" s="37" t="n">
        <x:v>0</x:v>
      </x:c>
      <x:c r="T216" s="37" t="n">
        <x:v>0</x:v>
      </x:c>
      <x:c r="U216" s="37" t="n">
        <x:v>37500</x:v>
      </x:c>
      <x:c r="V216" s="37" t="n">
        <x:v>0</x:v>
      </x:c>
      <x:c r="W216" s="37" t="n">
        <x:v>37635.70146267116</x:v>
      </x:c>
      <x:c r="X216" s="37" t="n">
        <x:v>0</x:v>
      </x:c>
      <x:c r="Y216" s="37" t="n">
        <x:v>1984.7112999648098</x:v>
      </x:c>
      <x:c r="Z216" s="37" t="n">
        <x:v>7857111.767545068</x:v>
      </x:c>
      <x:c r="AA216" s="37" t="n">
        <x:v>0</x:v>
      </x:c>
      <x:c r="AB216" s="37" t="n">
        <x:v>7857111.767545068</x:v>
      </x:c>
      <x:c r="AC216" s="37" t="n">
        <x:v>1435336.4253696064</x:v>
      </x:c>
      <x:c r="AD216" s="37" t="n">
        <x:v>0</x:v>
      </x:c>
      <x:c r="AE216" s="37" t="n">
        <x:v>0</x:v>
      </x:c>
      <x:c r="AF216" s="47" t="b">
        <x:v>0</x:v>
      </x:c>
      <x:c r="AG216" s="47" t="b">
        <x:v>0</x:v>
      </x:c>
      <x:c r="AH216" s="48" t="n">
        <x:v>0</x:v>
      </x:c>
      <x:c r="AI216" s="48" t="n">
        <x:v>1.1920928955078125e-7</x:v>
      </x:c>
      <x:c r="AJ216" s="37" t="str">
        <x:v>passed</x:v>
      </x:c>
    </x:row>
    <x:row r="217" ht="21" customHeight="1">
      <x:c r="A217" s="2"/>
      <x:c r="B217" s="2"/>
      <x:c r="C217" s="2" t="str">
        <x:v>2022</x:v>
      </x:c>
      <x:c r="D217" s="5" t="n">
        <x:v>44638</x:v>
      </x:c>
      <x:c r="E217" s="2" t="str">
        <x:v>unweighted</x:v>
      </x:c>
      <x:c r="F217" s="37" t="n">
        <x:v>12067216.709443327</x:v>
      </x:c>
      <x:c r="G217" s="37" t="n">
        <x:v>899775.2545788737</x:v>
      </x:c>
      <x:c r="H217" s="37" t="n">
        <x:v>-15437.750745619822</x:v>
      </x:c>
      <x:c r="I217" s="37" t="n">
        <x:v>915213.0053244936</x:v>
      </x:c>
      <x:c r="J217" s="37" t="n">
        <x:v>11317745.859312573</x:v>
      </x:c>
      <x:c r="K217" s="37" t="n">
        <x:v>10417970.6047337</x:v>
      </x:c>
      <x:c r="L217" s="37" t="n">
        <x:v>12966991.9640222</x:v>
      </x:c>
      <x:c r="M217" s="37" t="n">
        <x:v>0</x:v>
      </x:c>
      <x:c r="N217" s="37" t="n">
        <x:v>0</x:v>
      </x:c>
      <x:c r="O217" s="37" t="n">
        <x:v>661.1811248399317</x:v>
      </x:c>
      <x:c r="P217" s="37" t="n">
        <x:v>0</x:v>
      </x:c>
      <x:c r="Q217" s="37" t="n">
        <x:v>0</x:v>
      </x:c>
      <x:c r="R217" s="37" t="n">
        <x:v>0</x:v>
      </x:c>
      <x:c r="S217" s="37" t="n">
        <x:v>0</x:v>
      </x:c>
      <x:c r="T217" s="37" t="n">
        <x:v>0</x:v>
      </x:c>
      <x:c r="U217" s="37" t="n">
        <x:v>37500</x:v>
      </x:c>
      <x:c r="V217" s="37" t="n">
        <x:v>0</x:v>
      </x:c>
      <x:c r="W217" s="37" t="n">
        <x:v>48660.42236674577</x:v>
      </x:c>
      <x:c r="X217" s="37" t="n">
        <x:v>0</x:v>
      </x:c>
      <x:c r="Y217" s="37" t="n">
        <x:v>2253.495429621645</x:v>
      </x:c>
      <x:c r="Z217" s="37" t="n">
        <x:v>10626330.016828375</x:v>
      </x:c>
      <x:c r="AA217" s="37" t="n">
        <x:v>0</x:v>
      </x:c>
      <x:c r="AB217" s="37" t="n">
        <x:v>10626330.016828375</x:v>
      </x:c>
      <x:c r="AC217" s="37" t="n">
        <x:v>1440886.692614952</x:v>
      </x:c>
      <x:c r="AD217" s="37" t="n">
        <x:v>0</x:v>
      </x:c>
      <x:c r="AE217" s="37" t="n">
        <x:v>0</x:v>
      </x:c>
      <x:c r="AF217" s="47" t="b">
        <x:v>0</x:v>
      </x:c>
      <x:c r="AG217" s="47" t="b">
        <x:v>0</x:v>
      </x:c>
      <x:c r="AH217" s="48" t="n">
        <x:v>0</x:v>
      </x:c>
      <x:c r="AI217" s="48" t="n">
        <x:v>1.1920928955078125e-7</x:v>
      </x:c>
      <x:c r="AJ217" s="37" t="str">
        <x:v>passed</x:v>
      </x:c>
    </x:row>
    <x:row r="218" ht="21" customHeight="1">
      <x:c r="A218" s="2"/>
      <x:c r="B218" s="2"/>
      <x:c r="C218" s="2" t="str">
        <x:v>2022</x:v>
      </x:c>
      <x:c r="D218" s="5" t="n">
        <x:v>44638</x:v>
      </x:c>
      <x:c r="E218" s="2" t="str">
        <x:v>constrained</x:v>
      </x:c>
      <x:c r="F218" s="37" t="n">
        <x:v>13090785.038341606</x:v>
      </x:c>
      <x:c r="G218" s="37" t="n">
        <x:v>-89293.34019050775</x:v>
      </x:c>
      <x:c r="H218" s="37" t="n">
        <x:v>-18724.934031705674</x:v>
      </x:c>
      <x:c r="I218" s="37" t="n">
        <x:v>-70568.40615880207</x:v>
      </x:c>
      <x:c r="J218" s="37" t="n">
        <x:v>11319072.39285615</x:v>
      </x:c>
      <x:c r="K218" s="37" t="n">
        <x:v>11408365.733046658</x:v>
      </x:c>
      <x:c r="L218" s="37" t="n">
        <x:v>13001491.698151099</x:v>
      </x:c>
      <x:c r="M218" s="37" t="n">
        <x:v>0</x:v>
      </x:c>
      <x:c r="N218" s="37" t="n">
        <x:v>0</x:v>
      </x:c>
      <x:c r="O218" s="37" t="n">
        <x:v>717.263987634331</x:v>
      </x:c>
      <x:c r="P218" s="37" t="n">
        <x:v>0</x:v>
      </x:c>
      <x:c r="Q218" s="37" t="n">
        <x:v>0</x:v>
      </x:c>
      <x:c r="R218" s="37" t="n">
        <x:v>0</x:v>
      </x:c>
      <x:c r="S218" s="37" t="n">
        <x:v>0</x:v>
      </x:c>
      <x:c r="T218" s="37" t="n">
        <x:v>0</x:v>
      </x:c>
      <x:c r="U218" s="37" t="n">
        <x:v>37500</x:v>
      </x:c>
      <x:c r="V218" s="37" t="n">
        <x:v>0</x:v>
      </x:c>
      <x:c r="W218" s="37" t="n">
        <x:v>52874.45182748139</x:v>
      </x:c>
      <x:c r="X218" s="37" t="n">
        <x:v>0</x:v>
      </x:c>
      <x:c r="Y218" s="37" t="n">
        <x:v>2362.993695622981</x:v>
      </x:c>
      <x:c r="Z218" s="37" t="n">
        <x:v>11636533.047707591</x:v>
      </x:c>
      <x:c r="AA218" s="37" t="n">
        <x:v>0</x:v>
      </x:c>
      <x:c r="AB218" s="37" t="n">
        <x:v>11636533.047707591</x:v>
      </x:c>
      <x:c r="AC218" s="37" t="n">
        <x:v>1454251.9906340148</x:v>
      </x:c>
      <x:c r="AD218" s="37" t="n">
        <x:v>0</x:v>
      </x:c>
      <x:c r="AE218" s="37" t="n">
        <x:v>0</x:v>
      </x:c>
      <x:c r="AF218" s="47" t="b">
        <x:v>0</x:v>
      </x:c>
      <x:c r="AG218" s="47" t="b">
        <x:v>0</x:v>
      </x:c>
      <x:c r="AH218" s="48" t="n">
        <x:v>0</x:v>
      </x:c>
      <x:c r="AI218" s="48" t="n">
        <x:v>1.1920928955078125e-7</x:v>
      </x:c>
      <x:c r="AJ218" s="37" t="str">
        <x:v>passed</x:v>
      </x:c>
    </x:row>
    <x:row r="219" ht="21" customHeight="1">
      <x:c r="A219" s="2"/>
      <x:c r="B219" s="2"/>
      <x:c r="C219" s="2" t="str">
        <x:v>2022</x:v>
      </x:c>
      <x:c r="D219" s="5" t="n">
        <x:v>44641</x:v>
      </x:c>
      <x:c r="E219" s="2" t="str">
        <x:v>unhedged</x:v>
      </x:c>
      <x:c r="F219" s="37" t="n">
        <x:v>1241463.8105336302</x:v>
      </x:c>
      <x:c r="G219" s="37" t="n">
        <x:v>11193538.134030467</x:v>
      </x:c>
      <x:c r="H219" s="37" t="n">
        <x:v>27493.093922651933</x:v>
      </x:c>
      <x:c r="I219" s="37" t="n">
        <x:v>11166045.040107815</x:v>
      </x:c>
      <x:c r="J219" s="37" t="n">
        <x:v>11193538.134030467</x:v>
      </x:c>
      <x:c r="K219" s="37" t="n">
        <x:v>0</x:v>
      </x:c>
      <x:c r="L219" s="37" t="n">
        <x:v>12435001.944564097</x:v>
      </x:c>
      <x:c r="M219" s="37" t="n">
        <x:v>0</x:v>
      </x:c>
      <x:c r="N219" s="37" t="n">
        <x:v>0</x:v>
      </x:c>
      <x:c r="O219" s="37" t="n">
        <x:v>204.0538803501986</x:v>
      </x:c>
      <x:c r="P219" s="37" t="n">
        <x:v>0</x:v>
      </x:c>
      <x:c r="Q219" s="37" t="n">
        <x:v>0</x:v>
      </x:c>
      <x:c r="R219" s="37" t="n">
        <x:v>0</x:v>
      </x:c>
      <x:c r="S219" s="37" t="n">
        <x:v>0</x:v>
      </x:c>
      <x:c r="T219" s="37" t="n">
        <x:v>0</x:v>
      </x:c>
      <x:c r="U219" s="37" t="n">
        <x:v>37500</x:v>
      </x:c>
      <x:c r="V219" s="37" t="n">
        <x:v>0</x:v>
      </x:c>
      <x:c r="W219" s="37" t="n">
        <x:v>5138.529850355815</x:v>
      </x:c>
      <x:c r="X219" s="37" t="n">
        <x:v>0</x:v>
      </x:c>
      <x:c r="Y219" s="37" t="n">
        <x:v>1174.7193167256753</x:v>
      </x:c>
      <x:c r="Z219" s="37" t="n">
        <x:v>0</x:v>
      </x:c>
      <x:c r="AA219" s="37" t="n">
        <x:v>0</x:v>
      </x:c>
      <x:c r="AB219" s="37" t="n">
        <x:v>0</x:v>
      </x:c>
      <x:c r="AC219" s="37" t="n">
        <x:v>1241463.8105336302</x:v>
      </x:c>
      <x:c r="AD219" s="37" t="n">
        <x:v>0</x:v>
      </x:c>
      <x:c r="AE219" s="37" t="n">
        <x:v>0</x:v>
      </x:c>
      <x:c r="AF219" s="47" t="b">
        <x:v>0</x:v>
      </x:c>
      <x:c r="AG219" s="47" t="b">
        <x:v>0</x:v>
      </x:c>
      <x:c r="AH219" s="48" t="n">
        <x:v>0</x:v>
      </x:c>
      <x:c r="AI219" s="48" t="n">
        <x:v>1.1920928955078125e-7</x:v>
      </x:c>
      <x:c r="AJ219" s="37" t="str">
        <x:v>passed</x:v>
      </x:c>
    </x:row>
    <x:row r="220" ht="21" customHeight="1">
      <x:c r="A220" s="2"/>
      <x:c r="B220" s="2"/>
      <x:c r="C220" s="2" t="str">
        <x:v>2022</x:v>
      </x:c>
      <x:c r="D220" s="5" t="n">
        <x:v>44641</x:v>
      </x:c>
      <x:c r="E220" s="2" t="str">
        <x:v>duration</x:v>
      </x:c>
      <x:c r="F220" s="37" t="n">
        <x:v>9293975.802346587</x:v>
      </x:c>
      <x:c r="G220" s="37" t="n">
        <x:v>3612565.019360084</x:v>
      </x:c>
      <x:c r="H220" s="37" t="n">
        <x:v>-11982.144946970584</x:v>
      </x:c>
      <x:c r="I220" s="37" t="n">
        <x:v>3624547.1643070546</x:v>
      </x:c>
      <x:c r="J220" s="37" t="n">
        <x:v>11193538.134030467</x:v>
      </x:c>
      <x:c r="K220" s="37" t="n">
        <x:v>7580973.114670384</x:v>
      </x:c>
      <x:c r="L220" s="37" t="n">
        <x:v>12906540.821706671</x:v>
      </x:c>
      <x:c r="M220" s="37" t="n">
        <x:v>0</x:v>
      </x:c>
      <x:c r="N220" s="37" t="n">
        <x:v>0</x:v>
      </x:c>
      <x:c r="O220" s="37" t="n">
        <x:v>1527.6094319131225</x:v>
      </x:c>
      <x:c r="P220" s="37" t="n">
        <x:v>0</x:v>
      </x:c>
      <x:c r="Q220" s="37" t="n">
        <x:v>0</x:v>
      </x:c>
      <x:c r="R220" s="37" t="n">
        <x:v>0</x:v>
      </x:c>
      <x:c r="S220" s="37" t="n">
        <x:v>0</x:v>
      </x:c>
      <x:c r="T220" s="37" t="n">
        <x:v>0</x:v>
      </x:c>
      <x:c r="U220" s="37" t="n">
        <x:v>37500</x:v>
      </x:c>
      <x:c r="V220" s="37" t="n">
        <x:v>0</x:v>
      </x:c>
      <x:c r="W220" s="37" t="n">
        <x:v>39163.31089458428</x:v>
      </x:c>
      <x:c r="X220" s="37" t="n">
        <x:v>0</x:v>
      </x:c>
      <x:c r="Y220" s="37" t="n">
        <x:v>1984.7112999648098</x:v>
      </x:c>
      <x:c r="Z220" s="37" t="n">
        <x:v>7732592.576963792</x:v>
      </x:c>
      <x:c r="AA220" s="37" t="n">
        <x:v>0</x:v>
      </x:c>
      <x:c r="AB220" s="37" t="n">
        <x:v>7732592.576963792</x:v>
      </x:c>
      <x:c r="AC220" s="37" t="n">
        <x:v>1561383.2253827956</x:v>
      </x:c>
      <x:c r="AD220" s="37" t="n">
        <x:v>0</x:v>
      </x:c>
      <x:c r="AE220" s="37" t="n">
        <x:v>0</x:v>
      </x:c>
      <x:c r="AF220" s="47" t="b">
        <x:v>0</x:v>
      </x:c>
      <x:c r="AG220" s="47" t="b">
        <x:v>0</x:v>
      </x:c>
      <x:c r="AH220" s="48" t="n">
        <x:v>0</x:v>
      </x:c>
      <x:c r="AI220" s="48" t="n">
        <x:v>1.1920928955078125e-7</x:v>
      </x:c>
      <x:c r="AJ220" s="37" t="str">
        <x:v>passed</x:v>
      </x:c>
    </x:row>
    <x:row r="221" ht="21" customHeight="1">
      <x:c r="A221" s="2"/>
      <x:c r="B221" s="2"/>
      <x:c r="C221" s="2" t="str">
        <x:v>2022</x:v>
      </x:c>
      <x:c r="D221" s="5" t="n">
        <x:v>44641</x:v>
      </x:c>
      <x:c r="E221" s="2" t="str">
        <x:v>unweighted</x:v>
      </x:c>
      <x:c r="F221" s="37" t="n">
        <x:v>12069200.470200405</x:v>
      </x:c>
      <x:c r="G221" s="37" t="n">
        <x:v>891414.5454267461</x:v>
      </x:c>
      <x:c r="H221" s="37" t="n">
        <x:v>-15459.048562764521</x:v>
      </x:c>
      <x:c r="I221" s="37" t="n">
        <x:v>906873.5939895107</x:v>
      </x:c>
      <x:c r="J221" s="37" t="n">
        <x:v>11193538.134030467</x:v>
      </x:c>
      <x:c r="K221" s="37" t="n">
        <x:v>10302123.588603722</x:v>
      </x:c>
      <x:c r="L221" s="37" t="n">
        <x:v>12960615.015627151</x:v>
      </x:c>
      <x:c r="M221" s="37" t="n">
        <x:v>0</x:v>
      </x:c>
      <x:c r="N221" s="37" t="n">
        <x:v>0</x:v>
      </x:c>
      <x:c r="O221" s="37" t="n">
        <x:v>1983.7607570774853</x:v>
      </x:c>
      <x:c r="P221" s="37" t="n">
        <x:v>0</x:v>
      </x:c>
      <x:c r="Q221" s="37" t="n">
        <x:v>0</x:v>
      </x:c>
      <x:c r="R221" s="37" t="n">
        <x:v>0</x:v>
      </x:c>
      <x:c r="S221" s="37" t="n">
        <x:v>0</x:v>
      </x:c>
      <x:c r="T221" s="37" t="n">
        <x:v>0</x:v>
      </x:c>
      <x:c r="U221" s="37" t="n">
        <x:v>37500</x:v>
      </x:c>
      <x:c r="V221" s="37" t="n">
        <x:v>0</x:v>
      </x:c>
      <x:c r="W221" s="37" t="n">
        <x:v>50644.183123823255</x:v>
      </x:c>
      <x:c r="X221" s="37" t="n">
        <x:v>0</x:v>
      </x:c>
      <x:c r="Y221" s="37" t="n">
        <x:v>2253.495429621645</x:v>
      </x:c>
      <x:c r="Z221" s="37" t="n">
        <x:v>10508166.060375797</x:v>
      </x:c>
      <x:c r="AA221" s="37" t="n">
        <x:v>0</x:v>
      </x:c>
      <x:c r="AB221" s="37" t="n">
        <x:v>10508166.060375797</x:v>
      </x:c>
      <x:c r="AC221" s="37" t="n">
        <x:v>1561034.409824608</x:v>
      </x:c>
      <x:c r="AD221" s="37" t="n">
        <x:v>0</x:v>
      </x:c>
      <x:c r="AE221" s="37" t="n">
        <x:v>0</x:v>
      </x:c>
      <x:c r="AF221" s="47" t="b">
        <x:v>0</x:v>
      </x:c>
      <x:c r="AG221" s="47" t="b">
        <x:v>0</x:v>
      </x:c>
      <x:c r="AH221" s="48" t="n">
        <x:v>0</x:v>
      </x:c>
      <x:c r="AI221" s="48" t="n">
        <x:v>1.1920928955078125e-7</x:v>
      </x:c>
      <x:c r="AJ221" s="37" t="str">
        <x:v>passed</x:v>
      </x:c>
    </x:row>
    <x:row r="222" ht="21" customHeight="1">
      <x:c r="A222" s="2"/>
      <x:c r="B222" s="2"/>
      <x:c r="C222" s="2" t="str">
        <x:v>2022</x:v>
      </x:c>
      <x:c r="D222" s="5" t="n">
        <x:v>44641</x:v>
      </x:c>
      <x:c r="E222" s="2" t="str">
        <x:v>constrained</x:v>
      </x:c>
      <x:c r="F222" s="37" t="n">
        <x:v>13092937.06612595</x:v>
      </x:c>
      <x:c r="G222" s="37" t="n">
        <x:v>-89631.7759390529</x:v>
      </x:c>
      <x:c r="H222" s="37" t="n">
        <x:v>-18834.12764270866</x:v>
      </x:c>
      <x:c r="I222" s="37" t="n">
        <x:v>-70797.64829634424</x:v>
      </x:c>
      <x:c r="J222" s="37" t="n">
        <x:v>11194829.66113321</x:v>
      </x:c>
      <x:c r="K222" s="37" t="n">
        <x:v>11284461.437072262</x:v>
      </x:c>
      <x:c r="L222" s="37" t="n">
        <x:v>13003305.290186897</x:v>
      </x:c>
      <x:c r="M222" s="37" t="n">
        <x:v>0</x:v>
      </x:c>
      <x:c r="N222" s="37" t="n">
        <x:v>0</x:v>
      </x:c>
      <x:c r="O222" s="37" t="n">
        <x:v>2152.027784343809</x:v>
      </x:c>
      <x:c r="P222" s="37" t="n">
        <x:v>0</x:v>
      </x:c>
      <x:c r="Q222" s="37" t="n">
        <x:v>0</x:v>
      </x:c>
      <x:c r="R222" s="37" t="n">
        <x:v>0</x:v>
      </x:c>
      <x:c r="S222" s="37" t="n">
        <x:v>0</x:v>
      </x:c>
      <x:c r="T222" s="37" t="n">
        <x:v>0</x:v>
      </x:c>
      <x:c r="U222" s="37" t="n">
        <x:v>37500</x:v>
      </x:c>
      <x:c r="V222" s="37" t="n">
        <x:v>0</x:v>
      </x:c>
      <x:c r="W222" s="37" t="n">
        <x:v>55026.4796118252</x:v>
      </x:c>
      <x:c r="X222" s="37" t="n">
        <x:v>0</x:v>
      </x:c>
      <x:c r="Y222" s="37" t="n">
        <x:v>2362.993695622981</x:v>
      </x:c>
      <x:c r="Z222" s="37" t="n">
        <x:v>11510150.665813707</x:v>
      </x:c>
      <x:c r="AA222" s="37" t="n">
        <x:v>0</x:v>
      </x:c>
      <x:c r="AB222" s="37" t="n">
        <x:v>11510150.665813707</x:v>
      </x:c>
      <x:c r="AC222" s="37" t="n">
        <x:v>1582786.400312243</x:v>
      </x:c>
      <x:c r="AD222" s="37" t="n">
        <x:v>0</x:v>
      </x:c>
      <x:c r="AE222" s="37" t="n">
        <x:v>0</x:v>
      </x:c>
      <x:c r="AF222" s="47" t="b">
        <x:v>0</x:v>
      </x:c>
      <x:c r="AG222" s="47" t="b">
        <x:v>0</x:v>
      </x:c>
      <x:c r="AH222" s="48" t="n">
        <x:v>0</x:v>
      </x:c>
      <x:c r="AI222" s="48" t="n">
        <x:v>1.1920928955078125e-7</x:v>
      </x:c>
      <x:c r="AJ222" s="37" t="str">
        <x:v>passed</x:v>
      </x:c>
    </x:row>
    <x:row r="223" ht="21" customHeight="1">
      <x:c r="A223" s="2"/>
      <x:c r="B223" s="2"/>
      <x:c r="C223" s="2" t="str">
        <x:v>2022</x:v>
      </x:c>
      <x:c r="D223" s="5" t="n">
        <x:v>44642</x:v>
      </x:c>
      <x:c r="E223" s="2" t="str">
        <x:v>unhedged</x:v>
      </x:c>
      <x:c r="F223" s="37" t="n">
        <x:v>1241531.8359479061</x:v>
      </x:c>
      <x:c r="G223" s="37" t="n">
        <x:v>11153270.32265364</x:v>
      </x:c>
      <x:c r="H223" s="37" t="n">
        <x:v>27845.303867403312</x:v>
      </x:c>
      <x:c r="I223" s="37" t="n">
        <x:v>11125425.018786237</x:v>
      </x:c>
      <x:c r="J223" s="37" t="n">
        <x:v>11153270.32265364</x:v>
      </x:c>
      <x:c r="K223" s="37" t="n">
        <x:v>0</x:v>
      </x:c>
      <x:c r="L223" s="37" t="n">
        <x:v>12394802.158601547</x:v>
      </x:c>
      <x:c r="M223" s="37" t="n">
        <x:v>0</x:v>
      </x:c>
      <x:c r="N223" s="37" t="n">
        <x:v>0</x:v>
      </x:c>
      <x:c r="O223" s="37" t="n">
        <x:v>68.02541427593678</x:v>
      </x:c>
      <x:c r="P223" s="37" t="n">
        <x:v>0</x:v>
      </x:c>
      <x:c r="Q223" s="37" t="n">
        <x:v>0</x:v>
      </x:c>
      <x:c r="R223" s="37" t="n">
        <x:v>0</x:v>
      </x:c>
      <x:c r="S223" s="37" t="n">
        <x:v>0</x:v>
      </x:c>
      <x:c r="T223" s="37" t="n">
        <x:v>0</x:v>
      </x:c>
      <x:c r="U223" s="37" t="n">
        <x:v>37500</x:v>
      </x:c>
      <x:c r="V223" s="37" t="n">
        <x:v>0</x:v>
      </x:c>
      <x:c r="W223" s="37" t="n">
        <x:v>5206.555264631752</x:v>
      </x:c>
      <x:c r="X223" s="37" t="n">
        <x:v>0</x:v>
      </x:c>
      <x:c r="Y223" s="37" t="n">
        <x:v>1174.7193167256753</x:v>
      </x:c>
      <x:c r="Z223" s="37" t="n">
        <x:v>0</x:v>
      </x:c>
      <x:c r="AA223" s="37" t="n">
        <x:v>0</x:v>
      </x:c>
      <x:c r="AB223" s="37" t="n">
        <x:v>0</x:v>
      </x:c>
      <x:c r="AC223" s="37" t="n">
        <x:v>1241531.8359479061</x:v>
      </x:c>
      <x:c r="AD223" s="37" t="n">
        <x:v>0</x:v>
      </x:c>
      <x:c r="AE223" s="37" t="n">
        <x:v>0</x:v>
      </x:c>
      <x:c r="AF223" s="47" t="b">
        <x:v>0</x:v>
      </x:c>
      <x:c r="AG223" s="47" t="b">
        <x:v>0</x:v>
      </x:c>
      <x:c r="AH223" s="48" t="n">
        <x:v>0</x:v>
      </x:c>
      <x:c r="AI223" s="48" t="n">
        <x:v>1.1920928955078125e-7</x:v>
      </x:c>
      <x:c r="AJ223" s="37" t="str">
        <x:v>passed</x:v>
      </x:c>
    </x:row>
    <x:row r="224" ht="21" customHeight="1">
      <x:c r="A224" s="2"/>
      <x:c r="B224" s="2"/>
      <x:c r="C224" s="2" t="str">
        <x:v>2022</x:v>
      </x:c>
      <x:c r="D224" s="5" t="n">
        <x:v>44642</x:v>
      </x:c>
      <x:c r="E224" s="2" t="str">
        <x:v>duration</x:v>
      </x:c>
      <x:c r="F224" s="37" t="n">
        <x:v>9294485.061294662</x:v>
      </x:c>
      <x:c r="G224" s="37" t="n">
        <x:v>3614648.717492038</x:v>
      </x:c>
      <x:c r="H224" s="37" t="n">
        <x:v>-11943.230548803507</x:v>
      </x:c>
      <x:c r="I224" s="37" t="n">
        <x:v>3626591.9480408416</x:v>
      </x:c>
      <x:c r="J224" s="37" t="n">
        <x:v>11153270.32265364</x:v>
      </x:c>
      <x:c r="K224" s="37" t="n">
        <x:v>7538621.605161603</x:v>
      </x:c>
      <x:c r="L224" s="37" t="n">
        <x:v>12909133.7787867</x:v>
      </x:c>
      <x:c r="M224" s="37" t="n">
        <x:v>0</x:v>
      </x:c>
      <x:c r="N224" s="37" t="n">
        <x:v>0</x:v>
      </x:c>
      <x:c r="O224" s="37" t="n">
        <x:v>509.25894807465374</x:v>
      </x:c>
      <x:c r="P224" s="37" t="n">
        <x:v>0</x:v>
      </x:c>
      <x:c r="Q224" s="37" t="n">
        <x:v>0</x:v>
      </x:c>
      <x:c r="R224" s="37" t="n">
        <x:v>0</x:v>
      </x:c>
      <x:c r="S224" s="37" t="n">
        <x:v>0</x:v>
      </x:c>
      <x:c r="T224" s="37" t="n">
        <x:v>0</x:v>
      </x:c>
      <x:c r="U224" s="37" t="n">
        <x:v>37500</x:v>
      </x:c>
      <x:c r="V224" s="37" t="n">
        <x:v>0</x:v>
      </x:c>
      <x:c r="W224" s="37" t="n">
        <x:v>39672.56984265894</x:v>
      </x:c>
      <x:c r="X224" s="37" t="n">
        <x:v>0</x:v>
      </x:c>
      <x:c r="Y224" s="37" t="n">
        <x:v>1984.7112999648098</x:v>
      </x:c>
      <x:c r="Z224" s="37" t="n">
        <x:v>7689394.037264835</x:v>
      </x:c>
      <x:c r="AA224" s="37" t="n">
        <x:v>0</x:v>
      </x:c>
      <x:c r="AB224" s="37" t="n">
        <x:v>7689394.037264835</x:v>
      </x:c>
      <x:c r="AC224" s="37" t="n">
        <x:v>1605091.0240298267</x:v>
      </x:c>
      <x:c r="AD224" s="37" t="n">
        <x:v>0</x:v>
      </x:c>
      <x:c r="AE224" s="37" t="n">
        <x:v>0</x:v>
      </x:c>
      <x:c r="AF224" s="47" t="b">
        <x:v>0</x:v>
      </x:c>
      <x:c r="AG224" s="47" t="b">
        <x:v>0</x:v>
      </x:c>
      <x:c r="AH224" s="48" t="n">
        <x:v>0</x:v>
      </x:c>
      <x:c r="AI224" s="48" t="n">
        <x:v>1.1920928955078125e-7</x:v>
      </x:c>
      <x:c r="AJ224" s="37" t="str">
        <x:v>passed</x:v>
      </x:c>
    </x:row>
    <x:row r="225" ht="21" customHeight="1">
      <x:c r="A225" s="2"/>
      <x:c r="B225" s="2"/>
      <x:c r="C225" s="2" t="str">
        <x:v>2022</x:v>
      </x:c>
      <x:c r="D225" s="5" t="n">
        <x:v>44642</x:v>
      </x:c>
      <x:c r="E225" s="2" t="str">
        <x:v>unweighted</x:v>
      </x:c>
      <x:c r="F225" s="37" t="n">
        <x:v>12069861.796253568</x:v>
      </x:c>
      <x:c r="G225" s="37" t="n">
        <x:v>888630.7484387356</x:v>
      </x:c>
      <x:c r="H225" s="37" t="n">
        <x:v>-15466.14783514609</x:v>
      </x:c>
      <x:c r="I225" s="37" t="n">
        <x:v>904096.8962738817</x:v>
      </x:c>
      <x:c r="J225" s="37" t="n">
        <x:v>11153270.32265364</x:v>
      </x:c>
      <x:c r="K225" s="37" t="n">
        <x:v>10264639.574214906</x:v>
      </x:c>
      <x:c r="L225" s="37" t="n">
        <x:v>12958492.544692304</x:v>
      </x:c>
      <x:c r="M225" s="37" t="n">
        <x:v>0</x:v>
      </x:c>
      <x:c r="N225" s="37" t="n">
        <x:v>0</x:v>
      </x:c>
      <x:c r="O225" s="37" t="n">
        <x:v>661.3260531630367</x:v>
      </x:c>
      <x:c r="P225" s="37" t="n">
        <x:v>0</x:v>
      </x:c>
      <x:c r="Q225" s="37" t="n">
        <x:v>0</x:v>
      </x:c>
      <x:c r="R225" s="37" t="n">
        <x:v>0</x:v>
      </x:c>
      <x:c r="S225" s="37" t="n">
        <x:v>0</x:v>
      </x:c>
      <x:c r="T225" s="37" t="n">
        <x:v>0</x:v>
      </x:c>
      <x:c r="U225" s="37" t="n">
        <x:v>37500</x:v>
      </x:c>
      <x:c r="V225" s="37" t="n">
        <x:v>0</x:v>
      </x:c>
      <x:c r="W225" s="37" t="n">
        <x:v>51305.50917698629</x:v>
      </x:c>
      <x:c r="X225" s="37" t="n">
        <x:v>0</x:v>
      </x:c>
      <x:c r="Y225" s="37" t="n">
        <x:v>2253.495429621645</x:v>
      </x:c>
      <x:c r="Z225" s="37" t="n">
        <x:v>10469932.365699204</x:v>
      </x:c>
      <x:c r="AA225" s="37" t="n">
        <x:v>0</x:v>
      </x:c>
      <x:c r="AB225" s="37" t="n">
        <x:v>10469932.365699204</x:v>
      </x:c>
      <x:c r="AC225" s="37" t="n">
        <x:v>1599929.4305543639</x:v>
      </x:c>
      <x:c r="AD225" s="37" t="n">
        <x:v>0</x:v>
      </x:c>
      <x:c r="AE225" s="37" t="n">
        <x:v>0</x:v>
      </x:c>
      <x:c r="AF225" s="47" t="b">
        <x:v>0</x:v>
      </x:c>
      <x:c r="AG225" s="47" t="b">
        <x:v>0</x:v>
      </x:c>
      <x:c r="AH225" s="48" t="n">
        <x:v>0</x:v>
      </x:c>
      <x:c r="AI225" s="48" t="n">
        <x:v>1.1920928955078125e-7</x:v>
      </x:c>
      <x:c r="AJ225" s="37" t="str">
        <x:v>passed</x:v>
      </x:c>
    </x:row>
    <x:row r="226" ht="21" customHeight="1">
      <x:c r="A226" s="2"/>
      <x:c r="B226" s="2"/>
      <x:c r="C226" s="2" t="str">
        <x:v>2022</x:v>
      </x:c>
      <x:c r="D226" s="5" t="n">
        <x:v>44642</x:v>
      </x:c>
      <x:c r="E226" s="2" t="str">
        <x:v>constrained</x:v>
      </x:c>
      <x:c r="F226" s="37" t="n">
        <x:v>13093654.487335054</x:v>
      </x:c>
      <x:c r="G226" s="37" t="n">
        <x:v>-90018.48937972156</x:v>
      </x:c>
      <x:c r="H226" s="37" t="n">
        <x:v>-18870.525513042987</x:v>
      </x:c>
      <x:c r="I226" s="37" t="n">
        <x:v>-71147.96386667858</x:v>
      </x:c>
      <x:c r="J226" s="37" t="n">
        <x:v>11154549.570037583</x:v>
      </x:c>
      <x:c r="K226" s="37" t="n">
        <x:v>11244568.059417306</x:v>
      </x:c>
      <x:c r="L226" s="37" t="n">
        <x:v>13003635.997955333</x:v>
      </x:c>
      <x:c r="M226" s="37" t="n">
        <x:v>0</x:v>
      </x:c>
      <x:c r="N226" s="37" t="n">
        <x:v>0</x:v>
      </x:c>
      <x:c r="O226" s="37" t="n">
        <x:v>717.4212091043591</x:v>
      </x:c>
      <x:c r="P226" s="37" t="n">
        <x:v>0</x:v>
      </x:c>
      <x:c r="Q226" s="37" t="n">
        <x:v>0</x:v>
      </x:c>
      <x:c r="R226" s="37" t="n">
        <x:v>0</x:v>
      </x:c>
      <x:c r="S226" s="37" t="n">
        <x:v>0</x:v>
      </x:c>
      <x:c r="T226" s="37" t="n">
        <x:v>0</x:v>
      </x:c>
      <x:c r="U226" s="37" t="n">
        <x:v>37500</x:v>
      </x:c>
      <x:c r="V226" s="37" t="n">
        <x:v>0</x:v>
      </x:c>
      <x:c r="W226" s="37" t="n">
        <x:v>55743.90082092956</x:v>
      </x:c>
      <x:c r="X226" s="37" t="n">
        <x:v>0</x:v>
      </x:c>
      <x:c r="Y226" s="37" t="n">
        <x:v>2362.993695622981</x:v>
      </x:c>
      <x:c r="Z226" s="37" t="n">
        <x:v>11469459.420605652</x:v>
      </x:c>
      <x:c r="AA226" s="37" t="n">
        <x:v>0</x:v>
      </x:c>
      <x:c r="AB226" s="37" t="n">
        <x:v>11469459.420605652</x:v>
      </x:c>
      <x:c r="AC226" s="37" t="n">
        <x:v>1624195.0667294022</x:v>
      </x:c>
      <x:c r="AD226" s="37" t="n">
        <x:v>0</x:v>
      </x:c>
      <x:c r="AE226" s="37" t="n">
        <x:v>0</x:v>
      </x:c>
      <x:c r="AF226" s="47" t="b">
        <x:v>0</x:v>
      </x:c>
      <x:c r="AG226" s="47" t="b">
        <x:v>0</x:v>
      </x:c>
      <x:c r="AH226" s="48" t="n">
        <x:v>0</x:v>
      </x:c>
      <x:c r="AI226" s="48" t="n">
        <x:v>1.1920928955078125e-7</x:v>
      </x:c>
      <x:c r="AJ226" s="37" t="str">
        <x:v>passed</x:v>
      </x:c>
    </x:row>
    <x:row r="227" ht="21" customHeight="1">
      <x:c r="A227" s="2"/>
      <x:c r="B227" s="2"/>
      <x:c r="C227" s="2" t="str">
        <x:v>2022</x:v>
      </x:c>
      <x:c r="D227" s="5" t="n">
        <x:v>44643</x:v>
      </x:c>
      <x:c r="E227" s="2" t="str">
        <x:v>unhedged</x:v>
      </x:c>
      <x:c r="F227" s="37" t="n">
        <x:v>1241599.865089602</x:v>
      </x:c>
      <x:c r="G227" s="37" t="n">
        <x:v>11187244.47416847</x:v>
      </x:c>
      <x:c r="H227" s="37" t="n">
        <x:v>28197.513812154695</x:v>
      </x:c>
      <x:c r="I227" s="37" t="n">
        <x:v>11159046.960356316</x:v>
      </x:c>
      <x:c r="J227" s="37" t="n">
        <x:v>11187244.47416847</x:v>
      </x:c>
      <x:c r="K227" s="37" t="n">
        <x:v>0</x:v>
      </x:c>
      <x:c r="L227" s="37" t="n">
        <x:v>12428844.339258073</x:v>
      </x:c>
      <x:c r="M227" s="37" t="n">
        <x:v>0</x:v>
      </x:c>
      <x:c r="N227" s="37" t="n">
        <x:v>0</x:v>
      </x:c>
      <x:c r="O227" s="37" t="n">
        <x:v>68.02914169593714</x:v>
      </x:c>
      <x:c r="P227" s="37" t="n">
        <x:v>0</x:v>
      </x:c>
      <x:c r="Q227" s="37" t="n">
        <x:v>0</x:v>
      </x:c>
      <x:c r="R227" s="37" t="n">
        <x:v>0</x:v>
      </x:c>
      <x:c r="S227" s="37" t="n">
        <x:v>0</x:v>
      </x:c>
      <x:c r="T227" s="37" t="n">
        <x:v>0</x:v>
      </x:c>
      <x:c r="U227" s="37" t="n">
        <x:v>37500</x:v>
      </x:c>
      <x:c r="V227" s="37" t="n">
        <x:v>0</x:v>
      </x:c>
      <x:c r="W227" s="37" t="n">
        <x:v>5274.584406327689</x:v>
      </x:c>
      <x:c r="X227" s="37" t="n">
        <x:v>0</x:v>
      </x:c>
      <x:c r="Y227" s="37" t="n">
        <x:v>1174.7193167256753</x:v>
      </x:c>
      <x:c r="Z227" s="37" t="n">
        <x:v>0</x:v>
      </x:c>
      <x:c r="AA227" s="37" t="n">
        <x:v>0</x:v>
      </x:c>
      <x:c r="AB227" s="37" t="n">
        <x:v>0</x:v>
      </x:c>
      <x:c r="AC227" s="37" t="n">
        <x:v>1241599.865089602</x:v>
      </x:c>
      <x:c r="AD227" s="37" t="n">
        <x:v>0</x:v>
      </x:c>
      <x:c r="AE227" s="37" t="n">
        <x:v>0</x:v>
      </x:c>
      <x:c r="AF227" s="47" t="b">
        <x:v>0</x:v>
      </x:c>
      <x:c r="AG227" s="47" t="b">
        <x:v>0</x:v>
      </x:c>
      <x:c r="AH227" s="48" t="n">
        <x:v>0</x:v>
      </x:c>
      <x:c r="AI227" s="48" t="n">
        <x:v>1.1920928955078125e-7</x:v>
      </x:c>
      <x:c r="AJ227" s="37" t="str">
        <x:v>passed</x:v>
      </x:c>
    </x:row>
    <x:row r="228" ht="21" customHeight="1">
      <x:c r="A228" s="2"/>
      <x:c r="B228" s="2"/>
      <x:c r="C228" s="2" t="str">
        <x:v>2022</x:v>
      </x:c>
      <x:c r="D228" s="5" t="n">
        <x:v>44643</x:v>
      </x:c>
      <x:c r="E228" s="2" t="str">
        <x:v>duration</x:v>
      </x:c>
      <x:c r="F228" s="37" t="n">
        <x:v>9294994.348147336</x:v>
      </x:c>
      <x:c r="G228" s="37" t="n">
        <x:v>3615900.842156499</x:v>
      </x:c>
      <x:c r="H228" s="37" t="n">
        <x:v>-11904.31615063643</x:v>
      </x:c>
      <x:c r="I228" s="37" t="n">
        <x:v>3627805.1583071356</x:v>
      </x:c>
      <x:c r="J228" s="37" t="n">
        <x:v>11187244.47416847</x:v>
      </x:c>
      <x:c r="K228" s="37" t="n">
        <x:v>7571343.6320119705</x:v>
      </x:c>
      <x:c r="L228" s="37" t="n">
        <x:v>12910895.190303836</x:v>
      </x:c>
      <x:c r="M228" s="37" t="n">
        <x:v>0</x:v>
      </x:c>
      <x:c r="N228" s="37" t="n">
        <x:v>0</x:v>
      </x:c>
      <x:c r="O228" s="37" t="n">
        <x:v>509.28685267455876</x:v>
      </x:c>
      <x:c r="P228" s="37" t="n">
        <x:v>0</x:v>
      </x:c>
      <x:c r="Q228" s="37" t="n">
        <x:v>0</x:v>
      </x:c>
      <x:c r="R228" s="37" t="n">
        <x:v>0</x:v>
      </x:c>
      <x:c r="S228" s="37" t="n">
        <x:v>0</x:v>
      </x:c>
      <x:c r="T228" s="37" t="n">
        <x:v>0</x:v>
      </x:c>
      <x:c r="U228" s="37" t="n">
        <x:v>37500</x:v>
      </x:c>
      <x:c r="V228" s="37" t="n">
        <x:v>0</x:v>
      </x:c>
      <x:c r="W228" s="37" t="n">
        <x:v>40181.856695333496</x:v>
      </x:c>
      <x:c r="X228" s="37" t="n">
        <x:v>0</x:v>
      </x:c>
      <x:c r="Y228" s="37" t="n">
        <x:v>1984.7112999648098</x:v>
      </x:c>
      <x:c r="Z228" s="37" t="n">
        <x:v>7722770.5046522105</x:v>
      </x:c>
      <x:c r="AA228" s="37" t="n">
        <x:v>0</x:v>
      </x:c>
      <x:c r="AB228" s="37" t="n">
        <x:v>7722770.5046522105</x:v>
      </x:c>
      <x:c r="AC228" s="37" t="n">
        <x:v>1572223.8434951259</x:v>
      </x:c>
      <x:c r="AD228" s="37" t="n">
        <x:v>0</x:v>
      </x:c>
      <x:c r="AE228" s="37" t="n">
        <x:v>0</x:v>
      </x:c>
      <x:c r="AF228" s="47" t="b">
        <x:v>0</x:v>
      </x:c>
      <x:c r="AG228" s="47" t="b">
        <x:v>0</x:v>
      </x:c>
      <x:c r="AH228" s="48" t="n">
        <x:v>0</x:v>
      </x:c>
      <x:c r="AI228" s="48" t="n">
        <x:v>1.1920928955078125e-7</x:v>
      </x:c>
      <x:c r="AJ228" s="37" t="str">
        <x:v>passed</x:v>
      </x:c>
    </x:row>
    <x:row r="229" ht="21" customHeight="1">
      <x:c r="A229" s="2"/>
      <x:c r="B229" s="2"/>
      <x:c r="C229" s="2" t="str">
        <x:v>2022</x:v>
      </x:c>
      <x:c r="D229" s="5" t="n">
        <x:v>44643</x:v>
      </x:c>
      <x:c r="E229" s="2" t="str">
        <x:v>unweighted</x:v>
      </x:c>
      <x:c r="F229" s="37" t="n">
        <x:v>12070523.158543775</x:v>
      </x:c>
      <x:c r="G229" s="37" t="n">
        <x:v>890645.6498973616</x:v>
      </x:c>
      <x:c r="H229" s="37" t="n">
        <x:v>-15473.247107527657</x:v>
      </x:c>
      <x:c r="I229" s="37" t="n">
        <x:v>906118.8970048893</x:v>
      </x:c>
      <x:c r="J229" s="37" t="n">
        <x:v>11187244.47416847</x:v>
      </x:c>
      <x:c r="K229" s="37" t="n">
        <x:v>10296598.824271109</x:v>
      </x:c>
      <x:c r="L229" s="37" t="n">
        <x:v>12961168.808441136</x:v>
      </x:c>
      <x:c r="M229" s="37" t="n">
        <x:v>0</x:v>
      </x:c>
      <x:c r="N229" s="37" t="n">
        <x:v>0</x:v>
      </x:c>
      <x:c r="O229" s="37" t="n">
        <x:v>661.3622902072966</x:v>
      </x:c>
      <x:c r="P229" s="37" t="n">
        <x:v>0</x:v>
      </x:c>
      <x:c r="Q229" s="37" t="n">
        <x:v>0</x:v>
      </x:c>
      <x:c r="R229" s="37" t="n">
        <x:v>0</x:v>
      </x:c>
      <x:c r="S229" s="37" t="n">
        <x:v>0</x:v>
      </x:c>
      <x:c r="T229" s="37" t="n">
        <x:v>0</x:v>
      </x:c>
      <x:c r="U229" s="37" t="n">
        <x:v>37500</x:v>
      </x:c>
      <x:c r="V229" s="37" t="n">
        <x:v>0</x:v>
      </x:c>
      <x:c r="W229" s="37" t="n">
        <x:v>51966.87146719359</x:v>
      </x:c>
      <x:c r="X229" s="37" t="n">
        <x:v>0</x:v>
      </x:c>
      <x:c r="Y229" s="37" t="n">
        <x:v>2253.495429621645</x:v>
      </x:c>
      <x:c r="Z229" s="37" t="n">
        <x:v>10502530.80075653</x:v>
      </x:c>
      <x:c r="AA229" s="37" t="n">
        <x:v>0</x:v>
      </x:c>
      <x:c r="AB229" s="37" t="n">
        <x:v>10502530.80075653</x:v>
      </x:c>
      <x:c r="AC229" s="37" t="n">
        <x:v>1567992.357787244</x:v>
      </x:c>
      <x:c r="AD229" s="37" t="n">
        <x:v>0</x:v>
      </x:c>
      <x:c r="AE229" s="37" t="n">
        <x:v>0</x:v>
      </x:c>
      <x:c r="AF229" s="47" t="b">
        <x:v>0</x:v>
      </x:c>
      <x:c r="AG229" s="47" t="b">
        <x:v>0</x:v>
      </x:c>
      <x:c r="AH229" s="48" t="n">
        <x:v>0</x:v>
      </x:c>
      <x:c r="AI229" s="48" t="n">
        <x:v>1.1920928955078125e-7</x:v>
      </x:c>
      <x:c r="AJ229" s="37" t="str">
        <x:v>passed</x:v>
      </x:c>
    </x:row>
    <x:row r="230" ht="21" customHeight="1">
      <x:c r="A230" s="2"/>
      <x:c r="B230" s="2"/>
      <x:c r="C230" s="2" t="str">
        <x:v>2022</x:v>
      </x:c>
      <x:c r="D230" s="5" t="n">
        <x:v>44643</x:v>
      </x:c>
      <x:c r="E230" s="2" t="str">
        <x:v>constrained</x:v>
      </x:c>
      <x:c r="F230" s="37" t="n">
        <x:v>13094371.947854908</x:v>
      </x:c>
      <x:c r="G230" s="37" t="n">
        <x:v>-90282.91726153206</x:v>
      </x:c>
      <x:c r="H230" s="37" t="n">
        <x:v>-18906.923383377318</x:v>
      </x:c>
      <x:c r="I230" s="37" t="n">
        <x:v>-71375.99387815474</x:v>
      </x:c>
      <x:c r="J230" s="37" t="n">
        <x:v>11188545.21534155</x:v>
      </x:c>
      <x:c r="K230" s="37" t="n">
        <x:v>11278828.132603081</x:v>
      </x:c>
      <x:c r="L230" s="37" t="n">
        <x:v>13004089.030593377</x:v>
      </x:c>
      <x:c r="M230" s="37" t="n">
        <x:v>0</x:v>
      </x:c>
      <x:c r="N230" s="37" t="n">
        <x:v>0</x:v>
      </x:c>
      <x:c r="O230" s="37" t="n">
        <x:v>717.4605198539793</x:v>
      </x:c>
      <x:c r="P230" s="37" t="n">
        <x:v>0</x:v>
      </x:c>
      <x:c r="Q230" s="37" t="n">
        <x:v>0</x:v>
      </x:c>
      <x:c r="R230" s="37" t="n">
        <x:v>0</x:v>
      </x:c>
      <x:c r="S230" s="37" t="n">
        <x:v>0</x:v>
      </x:c>
      <x:c r="T230" s="37" t="n">
        <x:v>0</x:v>
      </x:c>
      <x:c r="U230" s="37" t="n">
        <x:v>37500</x:v>
      </x:c>
      <x:c r="V230" s="37" t="n">
        <x:v>0</x:v>
      </x:c>
      <x:c r="W230" s="37" t="n">
        <x:v>56461.36134078354</x:v>
      </x:c>
      <x:c r="X230" s="37" t="n">
        <x:v>0</x:v>
      </x:c>
      <x:c r="Y230" s="37" t="n">
        <x:v>2362.993695622981</x:v>
      </x:c>
      <x:c r="Z230" s="37" t="n">
        <x:v>11504404.695255144</x:v>
      </x:c>
      <x:c r="AA230" s="37" t="n">
        <x:v>0</x:v>
      </x:c>
      <x:c r="AB230" s="37" t="n">
        <x:v>11504404.695255144</x:v>
      </x:c>
      <x:c r="AC230" s="37" t="n">
        <x:v>1589967.2525997646</x:v>
      </x:c>
      <x:c r="AD230" s="37" t="n">
        <x:v>0</x:v>
      </x:c>
      <x:c r="AE230" s="37" t="n">
        <x:v>0</x:v>
      </x:c>
      <x:c r="AF230" s="47" t="b">
        <x:v>0</x:v>
      </x:c>
      <x:c r="AG230" s="47" t="b">
        <x:v>0</x:v>
      </x:c>
      <x:c r="AH230" s="48" t="n">
        <x:v>0</x:v>
      </x:c>
      <x:c r="AI230" s="48" t="n">
        <x:v>1.1920928955078125e-7</x:v>
      </x:c>
      <x:c r="AJ230" s="37" t="str">
        <x:v>passed</x:v>
      </x:c>
    </x:row>
    <x:row r="231" ht="21" customHeight="1">
      <x:c r="A231" s="2"/>
      <x:c r="B231" s="2"/>
      <x:c r="C231" s="2" t="str">
        <x:v>2022</x:v>
      </x:c>
      <x:c r="D231" s="5" t="n">
        <x:v>44644</x:v>
      </x:c>
      <x:c r="E231" s="2" t="str">
        <x:v>unhedged</x:v>
      </x:c>
      <x:c r="F231" s="37" t="n">
        <x:v>1241667.897958922</x:v>
      </x:c>
      <x:c r="G231" s="37" t="n">
        <x:v>11171999.479364805</x:v>
      </x:c>
      <x:c r="H231" s="37" t="n">
        <x:v>28549.72375690608</x:v>
      </x:c>
      <x:c r="I231" s="37" t="n">
        <x:v>11143449.7556079</x:v>
      </x:c>
      <x:c r="J231" s="37" t="n">
        <x:v>11171999.479364805</x:v>
      </x:c>
      <x:c r="K231" s="37" t="n">
        <x:v>0</x:v>
      </x:c>
      <x:c r="L231" s="37" t="n">
        <x:v>12413667.377323726</x:v>
      </x:c>
      <x:c r="M231" s="37" t="n">
        <x:v>0</x:v>
      </x:c>
      <x:c r="N231" s="37" t="n">
        <x:v>0</x:v>
      </x:c>
      <x:c r="O231" s="37" t="n">
        <x:v>68.03286931989715</x:v>
      </x:c>
      <x:c r="P231" s="37" t="n">
        <x:v>0</x:v>
      </x:c>
      <x:c r="Q231" s="37" t="n">
        <x:v>0</x:v>
      </x:c>
      <x:c r="R231" s="37" t="n">
        <x:v>0</x:v>
      </x:c>
      <x:c r="S231" s="37" t="n">
        <x:v>0</x:v>
      </x:c>
      <x:c r="T231" s="37" t="n">
        <x:v>0</x:v>
      </x:c>
      <x:c r="U231" s="37" t="n">
        <x:v>37500</x:v>
      </x:c>
      <x:c r="V231" s="37" t="n">
        <x:v>0</x:v>
      </x:c>
      <x:c r="W231" s="37" t="n">
        <x:v>5342.617275647586</x:v>
      </x:c>
      <x:c r="X231" s="37" t="n">
        <x:v>0</x:v>
      </x:c>
      <x:c r="Y231" s="37" t="n">
        <x:v>1174.7193167256753</x:v>
      </x:c>
      <x:c r="Z231" s="37" t="n">
        <x:v>0</x:v>
      </x:c>
      <x:c r="AA231" s="37" t="n">
        <x:v>0</x:v>
      </x:c>
      <x:c r="AB231" s="37" t="n">
        <x:v>0</x:v>
      </x:c>
      <x:c r="AC231" s="37" t="n">
        <x:v>1241667.897958922</x:v>
      </x:c>
      <x:c r="AD231" s="37" t="n">
        <x:v>0</x:v>
      </x:c>
      <x:c r="AE231" s="37" t="n">
        <x:v>0</x:v>
      </x:c>
      <x:c r="AF231" s="47" t="b">
        <x:v>0</x:v>
      </x:c>
      <x:c r="AG231" s="47" t="b">
        <x:v>0</x:v>
      </x:c>
      <x:c r="AH231" s="48" t="n">
        <x:v>0</x:v>
      </x:c>
      <x:c r="AI231" s="48" t="n">
        <x:v>1.1920928955078125e-7</x:v>
      </x:c>
      <x:c r="AJ231" s="37" t="str">
        <x:v>passed</x:v>
      </x:c>
    </x:row>
    <x:row r="232" ht="21" customHeight="1">
      <x:c r="A232" s="2"/>
      <x:c r="B232" s="2"/>
      <x:c r="C232" s="2" t="str">
        <x:v>2022</x:v>
      </x:c>
      <x:c r="D232" s="5" t="n">
        <x:v>44644</x:v>
      </x:c>
      <x:c r="E232" s="2" t="str">
        <x:v>duration</x:v>
      </x:c>
      <x:c r="F232" s="37" t="n">
        <x:v>9295503.66290614</x:v>
      </x:c>
      <x:c r="G232" s="37" t="n">
        <x:v>3614644.685800327</x:v>
      </x:c>
      <x:c r="H232" s="37" t="n">
        <x:v>-11865.40175246935</x:v>
      </x:c>
      <x:c r="I232" s="37" t="n">
        <x:v>3626510.087552796</x:v>
      </x:c>
      <x:c r="J232" s="37" t="n">
        <x:v>11171999.479364805</x:v>
      </x:c>
      <x:c r="K232" s="37" t="n">
        <x:v>7557354.793564479</x:v>
      </x:c>
      <x:c r="L232" s="37" t="n">
        <x:v>12910148.348706467</x:v>
      </x:c>
      <x:c r="M232" s="37" t="n">
        <x:v>0</x:v>
      </x:c>
      <x:c r="N232" s="37" t="n">
        <x:v>0</x:v>
      </x:c>
      <x:c r="O232" s="37" t="n">
        <x:v>509.31475880369544</x:v>
      </x:c>
      <x:c r="P232" s="37" t="n">
        <x:v>0</x:v>
      </x:c>
      <x:c r="Q232" s="37" t="n">
        <x:v>0</x:v>
      </x:c>
      <x:c r="R232" s="37" t="n">
        <x:v>0</x:v>
      </x:c>
      <x:c r="S232" s="37" t="n">
        <x:v>0</x:v>
      </x:c>
      <x:c r="T232" s="37" t="n">
        <x:v>0</x:v>
      </x:c>
      <x:c r="U232" s="37" t="n">
        <x:v>37500</x:v>
      </x:c>
      <x:c r="V232" s="37" t="n">
        <x:v>0</x:v>
      </x:c>
      <x:c r="W232" s="37" t="n">
        <x:v>40691.17145413719</x:v>
      </x:c>
      <x:c r="X232" s="37" t="n">
        <x:v>0</x:v>
      </x:c>
      <x:c r="Y232" s="37" t="n">
        <x:v>1984.7112999648098</x:v>
      </x:c>
      <x:c r="Z232" s="37" t="n">
        <x:v>7708501.889435768</x:v>
      </x:c>
      <x:c r="AA232" s="37" t="n">
        <x:v>0</x:v>
      </x:c>
      <x:c r="AB232" s="37" t="n">
        <x:v>7708501.889435768</x:v>
      </x:c>
      <x:c r="AC232" s="37" t="n">
        <x:v>1587001.773470372</x:v>
      </x:c>
      <x:c r="AD232" s="37" t="n">
        <x:v>0</x:v>
      </x:c>
      <x:c r="AE232" s="37" t="n">
        <x:v>0</x:v>
      </x:c>
      <x:c r="AF232" s="47" t="b">
        <x:v>0</x:v>
      </x:c>
      <x:c r="AG232" s="47" t="b">
        <x:v>0</x:v>
      </x:c>
      <x:c r="AH232" s="48" t="n">
        <x:v>0</x:v>
      </x:c>
      <x:c r="AI232" s="48" t="n">
        <x:v>1.1920928955078125e-7</x:v>
      </x:c>
      <x:c r="AJ232" s="37" t="str">
        <x:v>passed</x:v>
      </x:c>
    </x:row>
    <x:row r="233" ht="21" customHeight="1">
      <x:c r="A233" s="2"/>
      <x:c r="B233" s="2"/>
      <x:c r="C233" s="2" t="str">
        <x:v>2022</x:v>
      </x:c>
      <x:c r="D233" s="5" t="n">
        <x:v>44644</x:v>
      </x:c>
      <x:c r="E233" s="2" t="str">
        <x:v>unweighted</x:v>
      </x:c>
      <x:c r="F233" s="37" t="n">
        <x:v>12071184.557073012</x:v>
      </x:c>
      <x:c r="G233" s="37" t="n">
        <x:v>889367.0814905963</x:v>
      </x:c>
      <x:c r="H233" s="37" t="n">
        <x:v>-15480.346379909219</x:v>
      </x:c>
      <x:c r="I233" s="37" t="n">
        <x:v>904847.4278705055</x:v>
      </x:c>
      <x:c r="J233" s="37" t="n">
        <x:v>11171999.479364805</x:v>
      </x:c>
      <x:c r="K233" s="37" t="n">
        <x:v>10282632.39787421</x:v>
      </x:c>
      <x:c r="L233" s="37" t="n">
        <x:v>12960551.638563609</x:v>
      </x:c>
      <x:c r="M233" s="37" t="n">
        <x:v>0</x:v>
      </x:c>
      <x:c r="N233" s="37" t="n">
        <x:v>0</x:v>
      </x:c>
      <x:c r="O233" s="37" t="n">
        <x:v>661.3985292371362</x:v>
      </x:c>
      <x:c r="P233" s="37" t="n">
        <x:v>0</x:v>
      </x:c>
      <x:c r="Q233" s="37" t="n">
        <x:v>0</x:v>
      </x:c>
      <x:c r="R233" s="37" t="n">
        <x:v>0</x:v>
      </x:c>
      <x:c r="S233" s="37" t="n">
        <x:v>0</x:v>
      </x:c>
      <x:c r="T233" s="37" t="n">
        <x:v>0</x:v>
      </x:c>
      <x:c r="U233" s="37" t="n">
        <x:v>37500</x:v>
      </x:c>
      <x:c r="V233" s="37" t="n">
        <x:v>0</x:v>
      </x:c>
      <x:c r="W233" s="37" t="n">
        <x:v>52628.269996430725</x:v>
      </x:c>
      <x:c r="X233" s="37" t="n">
        <x:v>0</x:v>
      </x:c>
      <x:c r="Y233" s="37" t="n">
        <x:v>2253.495429621645</x:v>
      </x:c>
      <x:c r="Z233" s="37" t="n">
        <x:v>10488285.045831695</x:v>
      </x:c>
      <x:c r="AA233" s="37" t="n">
        <x:v>0</x:v>
      </x:c>
      <x:c r="AB233" s="37" t="n">
        <x:v>10488285.045831695</x:v>
      </x:c>
      <x:c r="AC233" s="37" t="n">
        <x:v>1582899.5112413168</x:v>
      </x:c>
      <x:c r="AD233" s="37" t="n">
        <x:v>0</x:v>
      </x:c>
      <x:c r="AE233" s="37" t="n">
        <x:v>0</x:v>
      </x:c>
      <x:c r="AF233" s="47" t="b">
        <x:v>0</x:v>
      </x:c>
      <x:c r="AG233" s="47" t="b">
        <x:v>0</x:v>
      </x:c>
      <x:c r="AH233" s="48" t="n">
        <x:v>0</x:v>
      </x:c>
      <x:c r="AI233" s="48" t="n">
        <x:v>1.1920928955078125e-7</x:v>
      </x:c>
      <x:c r="AJ233" s="37" t="str">
        <x:v>passed</x:v>
      </x:c>
    </x:row>
    <x:row r="234" ht="21" customHeight="1">
      <x:c r="A234" s="2"/>
      <x:c r="B234" s="2"/>
      <x:c r="C234" s="2" t="str">
        <x:v>2022</x:v>
      </x:c>
      <x:c r="D234" s="5" t="n">
        <x:v>44644</x:v>
      </x:c>
      <x:c r="E234" s="2" t="str">
        <x:v>constrained</x:v>
      </x:c>
      <x:c r="F234" s="37" t="n">
        <x:v>13095089.44768767</x:v>
      </x:c>
      <x:c r="G234" s="37" t="n">
        <x:v>-90576.98344094971</x:v>
      </x:c>
      <x:c r="H234" s="37" t="n">
        <x:v>-18943.321253711638</x:v>
      </x:c>
      <x:c r="I234" s="37" t="n">
        <x:v>-71633.66218723808</x:v>
      </x:c>
      <x:c r="J234" s="37" t="n">
        <x:v>11173305.149148708</x:v>
      </x:c>
      <x:c r="K234" s="37" t="n">
        <x:v>11263882.132589659</x:v>
      </x:c>
      <x:c r="L234" s="37" t="n">
        <x:v>13004512.46424672</x:v>
      </x:c>
      <x:c r="M234" s="37" t="n">
        <x:v>0</x:v>
      </x:c>
      <x:c r="N234" s="37" t="n">
        <x:v>0</x:v>
      </x:c>
      <x:c r="O234" s="37" t="n">
        <x:v>717.4998327624053</x:v>
      </x:c>
      <x:c r="P234" s="37" t="n">
        <x:v>0</x:v>
      </x:c>
      <x:c r="Q234" s="37" t="n">
        <x:v>0</x:v>
      </x:c>
      <x:c r="R234" s="37" t="n">
        <x:v>0</x:v>
      </x:c>
      <x:c r="S234" s="37" t="n">
        <x:v>0</x:v>
      </x:c>
      <x:c r="T234" s="37" t="n">
        <x:v>0</x:v>
      </x:c>
      <x:c r="U234" s="37" t="n">
        <x:v>37500</x:v>
      </x:c>
      <x:c r="V234" s="37" t="n">
        <x:v>0</x:v>
      </x:c>
      <x:c r="W234" s="37" t="n">
        <x:v>57178.86117354594</x:v>
      </x:c>
      <x:c r="X234" s="37" t="n">
        <x:v>0</x:v>
      </x:c>
      <x:c r="Y234" s="37" t="n">
        <x:v>2362.993695622981</x:v>
      </x:c>
      <x:c r="Z234" s="37" t="n">
        <x:v>11489159.775241451</x:v>
      </x:c>
      <x:c r="AA234" s="37" t="n">
        <x:v>0</x:v>
      </x:c>
      <x:c r="AB234" s="37" t="n">
        <x:v>11489159.775241451</x:v>
      </x:c>
      <x:c r="AC234" s="37" t="n">
        <x:v>1605929.6724462193</x:v>
      </x:c>
      <x:c r="AD234" s="37" t="n">
        <x:v>0</x:v>
      </x:c>
      <x:c r="AE234" s="37" t="n">
        <x:v>0</x:v>
      </x:c>
      <x:c r="AF234" s="47" t="b">
        <x:v>0</x:v>
      </x:c>
      <x:c r="AG234" s="47" t="b">
        <x:v>0</x:v>
      </x:c>
      <x:c r="AH234" s="48" t="n">
        <x:v>0</x:v>
      </x:c>
      <x:c r="AI234" s="48" t="n">
        <x:v>1.1920928955078125e-7</x:v>
      </x:c>
      <x:c r="AJ234" s="37" t="str">
        <x:v>passed</x:v>
      </x:c>
    </x:row>
    <x:row r="235" ht="21" customHeight="1">
      <x:c r="A235" s="2"/>
      <x:c r="B235" s="2"/>
      <x:c r="C235" s="2" t="str">
        <x:v>2022</x:v>
      </x:c>
      <x:c r="D235" s="5" t="n">
        <x:v>44645</x:v>
      </x:c>
      <x:c r="E235" s="2" t="str">
        <x:v>unhedged</x:v>
      </x:c>
      <x:c r="F235" s="37" t="n">
        <x:v>1241735.9345560707</x:v>
      </x:c>
      <x:c r="G235" s="37" t="n">
        <x:v>11061951.430132052</x:v>
      </x:c>
      <x:c r="H235" s="37" t="n">
        <x:v>28901.933701657457</x:v>
      </x:c>
      <x:c r="I235" s="37" t="n">
        <x:v>11033049.496430395</x:v>
      </x:c>
      <x:c r="J235" s="37" t="n">
        <x:v>11061951.430132052</x:v>
      </x:c>
      <x:c r="K235" s="37" t="n">
        <x:v>0</x:v>
      </x:c>
      <x:c r="L235" s="37" t="n">
        <x:v>12303687.364688123</x:v>
      </x:c>
      <x:c r="M235" s="37" t="n">
        <x:v>0</x:v>
      </x:c>
      <x:c r="N235" s="37" t="n">
        <x:v>0</x:v>
      </x:c>
      <x:c r="O235" s="37" t="n">
        <x:v>68.03659714874811</x:v>
      </x:c>
      <x:c r="P235" s="37" t="n">
        <x:v>0</x:v>
      </x:c>
      <x:c r="Q235" s="37" t="n">
        <x:v>0</x:v>
      </x:c>
      <x:c r="R235" s="37" t="n">
        <x:v>0</x:v>
      </x:c>
      <x:c r="S235" s="37" t="n">
        <x:v>0</x:v>
      </x:c>
      <x:c r="T235" s="37" t="n">
        <x:v>0</x:v>
      </x:c>
      <x:c r="U235" s="37" t="n">
        <x:v>37500</x:v>
      </x:c>
      <x:c r="V235" s="37" t="n">
        <x:v>0</x:v>
      </x:c>
      <x:c r="W235" s="37" t="n">
        <x:v>5410.653872796334</x:v>
      </x:c>
      <x:c r="X235" s="37" t="n">
        <x:v>0</x:v>
      </x:c>
      <x:c r="Y235" s="37" t="n">
        <x:v>1174.7193167256753</x:v>
      </x:c>
      <x:c r="Z235" s="37" t="n">
        <x:v>0</x:v>
      </x:c>
      <x:c r="AA235" s="37" t="n">
        <x:v>0</x:v>
      </x:c>
      <x:c r="AB235" s="37" t="n">
        <x:v>0</x:v>
      </x:c>
      <x:c r="AC235" s="37" t="n">
        <x:v>1241735.9345560707</x:v>
      </x:c>
      <x:c r="AD235" s="37" t="n">
        <x:v>0</x:v>
      </x:c>
      <x:c r="AE235" s="37" t="n">
        <x:v>0</x:v>
      </x:c>
      <x:c r="AF235" s="47" t="b">
        <x:v>0</x:v>
      </x:c>
      <x:c r="AG235" s="47" t="b">
        <x:v>0</x:v>
      </x:c>
      <x:c r="AH235" s="48" t="n">
        <x:v>0</x:v>
      </x:c>
      <x:c r="AI235" s="48" t="n">
        <x:v>1.1920928955078125e-7</x:v>
      </x:c>
      <x:c r="AJ235" s="37" t="str">
        <x:v>passed</x:v>
      </x:c>
    </x:row>
    <x:row r="236" ht="21" customHeight="1">
      <x:c r="A236" s="2"/>
      <x:c r="B236" s="2"/>
      <x:c r="C236" s="2" t="str">
        <x:v>2022</x:v>
      </x:c>
      <x:c r="D236" s="5" t="n">
        <x:v>44645</x:v>
      </x:c>
      <x:c r="E236" s="2" t="str">
        <x:v>duration</x:v>
      </x:c>
      <x:c r="F236" s="37" t="n">
        <x:v>9296013.005572602</x:v>
      </x:c>
      <x:c r="G236" s="37" t="n">
        <x:v>3609178.3814275633</x:v>
      </x:c>
      <x:c r="H236" s="37" t="n">
        <x:v>-11826.487354302277</x:v>
      </x:c>
      <x:c r="I236" s="37" t="n">
        <x:v>3621004.8687818656</x:v>
      </x:c>
      <x:c r="J236" s="37" t="n">
        <x:v>11061951.430132052</x:v>
      </x:c>
      <x:c r="K236" s="37" t="n">
        <x:v>7452773.048704489</x:v>
      </x:c>
      <x:c r="L236" s="37" t="n">
        <x:v>12905191.387000166</x:v>
      </x:c>
      <x:c r="M236" s="37" t="n">
        <x:v>0</x:v>
      </x:c>
      <x:c r="N236" s="37" t="n">
        <x:v>0</x:v>
      </x:c>
      <x:c r="O236" s="37" t="n">
        <x:v>509.3426664620638</x:v>
      </x:c>
      <x:c r="P236" s="37" t="n">
        <x:v>0</x:v>
      </x:c>
      <x:c r="Q236" s="37" t="n">
        <x:v>0</x:v>
      </x:c>
      <x:c r="R236" s="37" t="n">
        <x:v>0</x:v>
      </x:c>
      <x:c r="S236" s="37" t="n">
        <x:v>0</x:v>
      </x:c>
      <x:c r="T236" s="37" t="n">
        <x:v>0</x:v>
      </x:c>
      <x:c r="U236" s="37" t="n">
        <x:v>37500</x:v>
      </x:c>
      <x:c r="V236" s="37" t="n">
        <x:v>0</x:v>
      </x:c>
      <x:c r="W236" s="37" t="n">
        <x:v>41200.514120599255</x:v>
      </x:c>
      <x:c r="X236" s="37" t="n">
        <x:v>0</x:v>
      </x:c>
      <x:c r="Y236" s="37" t="n">
        <x:v>1984.7112999648098</x:v>
      </x:c>
      <x:c r="Z236" s="37" t="n">
        <x:v>7601828.509678579</x:v>
      </x:c>
      <x:c r="AA236" s="37" t="n">
        <x:v>0</x:v>
      </x:c>
      <x:c r="AB236" s="37" t="n">
        <x:v>7601828.509678579</x:v>
      </x:c>
      <x:c r="AC236" s="37" t="n">
        <x:v>1694184.4958940232</x:v>
      </x:c>
      <x:c r="AD236" s="37" t="n">
        <x:v>0</x:v>
      </x:c>
      <x:c r="AE236" s="37" t="n">
        <x:v>0</x:v>
      </x:c>
      <x:c r="AF236" s="47" t="b">
        <x:v>0</x:v>
      </x:c>
      <x:c r="AG236" s="47" t="b">
        <x:v>0</x:v>
      </x:c>
      <x:c r="AH236" s="48" t="n">
        <x:v>0</x:v>
      </x:c>
      <x:c r="AI236" s="48" t="n">
        <x:v>1.1920928955078125e-7</x:v>
      </x:c>
      <x:c r="AJ236" s="37" t="str">
        <x:v>passed</x:v>
      </x:c>
    </x:row>
    <x:row r="237" ht="21" customHeight="1">
      <x:c r="A237" s="2"/>
      <x:c r="B237" s="2"/>
      <x:c r="C237" s="2" t="str">
        <x:v>2022</x:v>
      </x:c>
      <x:c r="D237" s="5" t="n">
        <x:v>44645</x:v>
      </x:c>
      <x:c r="E237" s="2" t="str">
        <x:v>unweighted</x:v>
      </x:c>
      <x:c r="F237" s="37" t="n">
        <x:v>12071845.991843263</x:v>
      </x:c>
      <x:c r="G237" s="37" t="n">
        <x:v>880737.1281660661</x:v>
      </x:c>
      <x:c r="H237" s="37" t="n">
        <x:v>-15487.445652290788</x:v>
      </x:c>
      <x:c r="I237" s="37" t="n">
        <x:v>896224.573818357</x:v>
      </x:c>
      <x:c r="J237" s="37" t="n">
        <x:v>11061951.430132052</x:v>
      </x:c>
      <x:c r="K237" s="37" t="n">
        <x:v>10181214.301965985</x:v>
      </x:c>
      <x:c r="L237" s="37" t="n">
        <x:v>12952583.12000933</x:v>
      </x:c>
      <x:c r="M237" s="37" t="n">
        <x:v>0</x:v>
      </x:c>
      <x:c r="N237" s="37" t="n">
        <x:v>0</x:v>
      </x:c>
      <x:c r="O237" s="37" t="n">
        <x:v>661.434770250693</x:v>
      </x:c>
      <x:c r="P237" s="37" t="n">
        <x:v>0</x:v>
      </x:c>
      <x:c r="Q237" s="37" t="n">
        <x:v>0</x:v>
      </x:c>
      <x:c r="R237" s="37" t="n">
        <x:v>0</x:v>
      </x:c>
      <x:c r="S237" s="37" t="n">
        <x:v>0</x:v>
      </x:c>
      <x:c r="T237" s="37" t="n">
        <x:v>0</x:v>
      </x:c>
      <x:c r="U237" s="37" t="n">
        <x:v>37500</x:v>
      </x:c>
      <x:c r="V237" s="37" t="n">
        <x:v>0</x:v>
      </x:c>
      <x:c r="W237" s="37" t="n">
        <x:v>53289.70476668142</x:v>
      </x:c>
      <x:c r="X237" s="37" t="n">
        <x:v>0</x:v>
      </x:c>
      <x:c r="Y237" s="37" t="n">
        <x:v>2253.495429621645</x:v>
      </x:c>
      <x:c r="Z237" s="37" t="n">
        <x:v>10384838.588005306</x:v>
      </x:c>
      <x:c r="AA237" s="37" t="n">
        <x:v>0</x:v>
      </x:c>
      <x:c r="AB237" s="37" t="n">
        <x:v>10384838.588005306</x:v>
      </x:c>
      <x:c r="AC237" s="37" t="n">
        <x:v>1687007.4038379565</x:v>
      </x:c>
      <x:c r="AD237" s="37" t="n">
        <x:v>0</x:v>
      </x:c>
      <x:c r="AE237" s="37" t="n">
        <x:v>0</x:v>
      </x:c>
      <x:c r="AF237" s="47" t="b">
        <x:v>0</x:v>
      </x:c>
      <x:c r="AG237" s="47" t="b">
        <x:v>0</x:v>
      </x:c>
      <x:c r="AH237" s="48" t="n">
        <x:v>0</x:v>
      </x:c>
      <x:c r="AI237" s="48" t="n">
        <x:v>1.1920928955078125e-7</x:v>
      </x:c>
      <x:c r="AJ237" s="37" t="str">
        <x:v>passed</x:v>
      </x:c>
    </x:row>
    <x:row r="238" ht="21" customHeight="1">
      <x:c r="A238" s="2"/>
      <x:c r="B238" s="2"/>
      <x:c r="C238" s="2" t="str">
        <x:v>2022</x:v>
      </x:c>
      <x:c r="D238" s="5" t="n">
        <x:v>44645</x:v>
      </x:c>
      <x:c r="E238" s="2" t="str">
        <x:v>constrained</x:v>
      </x:c>
      <x:c r="F238" s="37" t="n">
        <x:v>13095806.986835489</x:v>
      </x:c>
      <x:c r="G238" s="37" t="n">
        <x:v>-92117.97226891278</x:v>
      </x:c>
      <x:c r="H238" s="37" t="n">
        <x:v>-18979.71912404597</x:v>
      </x:c>
      <x:c r="I238" s="37" t="n">
        <x:v>-73138.25314486682</x:v>
      </x:c>
      <x:c r="J238" s="37" t="n">
        <x:v>11063219.028561387</x:v>
      </x:c>
      <x:c r="K238" s="37" t="n">
        <x:v>11155337.0008303</x:v>
      </x:c>
      <x:c r="L238" s="37" t="n">
        <x:v>13003689.014566576</x:v>
      </x:c>
      <x:c r="M238" s="37" t="n">
        <x:v>0</x:v>
      </x:c>
      <x:c r="N238" s="37" t="n">
        <x:v>0</x:v>
      </x:c>
      <x:c r="O238" s="37" t="n">
        <x:v>717.5391478184611</x:v>
      </x:c>
      <x:c r="P238" s="37" t="n">
        <x:v>0</x:v>
      </x:c>
      <x:c r="Q238" s="37" t="n">
        <x:v>0</x:v>
      </x:c>
      <x:c r="R238" s="37" t="n">
        <x:v>0</x:v>
      </x:c>
      <x:c r="S238" s="37" t="n">
        <x:v>0</x:v>
      </x:c>
      <x:c r="T238" s="37" t="n">
        <x:v>0</x:v>
      </x:c>
      <x:c r="U238" s="37" t="n">
        <x:v>37500</x:v>
      </x:c>
      <x:c r="V238" s="37" t="n">
        <x:v>0</x:v>
      </x:c>
      <x:c r="W238" s="37" t="n">
        <x:v>57896.4003213644</x:v>
      </x:c>
      <x:c r="X238" s="37" t="n">
        <x:v>0</x:v>
      </x:c>
      <x:c r="Y238" s="37" t="n">
        <x:v>2362.993695622981</x:v>
      </x:c>
      <x:c r="Z238" s="37" t="n">
        <x:v>11378443.740846906</x:v>
      </x:c>
      <x:c r="AA238" s="37" t="n">
        <x:v>0</x:v>
      </x:c>
      <x:c r="AB238" s="37" t="n">
        <x:v>11378443.740846906</x:v>
      </x:c>
      <x:c r="AC238" s="37" t="n">
        <x:v>1717363.2459885832</x:v>
      </x:c>
      <x:c r="AD238" s="37" t="n">
        <x:v>0</x:v>
      </x:c>
      <x:c r="AE238" s="37" t="n">
        <x:v>0</x:v>
      </x:c>
      <x:c r="AF238" s="47" t="b">
        <x:v>0</x:v>
      </x:c>
      <x:c r="AG238" s="47" t="b">
        <x:v>0</x:v>
      </x:c>
      <x:c r="AH238" s="48" t="n">
        <x:v>0</x:v>
      </x:c>
      <x:c r="AI238" s="48" t="n">
        <x:v>1.1920928955078125e-7</x:v>
      </x:c>
      <x:c r="AJ238" s="37" t="str">
        <x:v>passed</x:v>
      </x:c>
    </x:row>
    <x:row r="239" ht="21" customHeight="1">
      <x:c r="A239" s="2"/>
      <x:c r="B239" s="2"/>
      <x:c r="C239" s="2" t="str">
        <x:v>2022</x:v>
      </x:c>
      <x:c r="D239" s="5" t="n">
        <x:v>44648</x:v>
      </x:c>
      <x:c r="E239" s="2" t="str">
        <x:v>unhedged</x:v>
      </x:c>
      <x:c r="F239" s="37" t="n">
        <x:v>1241940.0667165294</x:v>
      </x:c>
      <x:c r="G239" s="37" t="n">
        <x:v>11082808.312698819</x:v>
      </x:c>
      <x:c r="H239" s="37" t="n">
        <x:v>29958.563535911606</x:v>
      </x:c>
      <x:c r="I239" s="37" t="n">
        <x:v>11052849.749162907</x:v>
      </x:c>
      <x:c r="J239" s="37" t="n">
        <x:v>11082808.312698819</x:v>
      </x:c>
      <x:c r="K239" s="37" t="n">
        <x:v>0</x:v>
      </x:c>
      <x:c r="L239" s="37" t="n">
        <x:v>12324748.379415348</x:v>
      </x:c>
      <x:c r="M239" s="37" t="n">
        <x:v>0</x:v>
      </x:c>
      <x:c r="N239" s="37" t="n">
        <x:v>0</x:v>
      </x:c>
      <x:c r="O239" s="37" t="n">
        <x:v>204.13216045871377</x:v>
      </x:c>
      <x:c r="P239" s="37" t="n">
        <x:v>0</x:v>
      </x:c>
      <x:c r="Q239" s="37" t="n">
        <x:v>0</x:v>
      </x:c>
      <x:c r="R239" s="37" t="n">
        <x:v>0</x:v>
      </x:c>
      <x:c r="S239" s="37" t="n">
        <x:v>0</x:v>
      </x:c>
      <x:c r="T239" s="37" t="n">
        <x:v>0</x:v>
      </x:c>
      <x:c r="U239" s="37" t="n">
        <x:v>37500</x:v>
      </x:c>
      <x:c r="V239" s="37" t="n">
        <x:v>0</x:v>
      </x:c>
      <x:c r="W239" s="37" t="n">
        <x:v>5614.786033255048</x:v>
      </x:c>
      <x:c r="X239" s="37" t="n">
        <x:v>0</x:v>
      </x:c>
      <x:c r="Y239" s="37" t="n">
        <x:v>1174.7193167256753</x:v>
      </x:c>
      <x:c r="Z239" s="37" t="n">
        <x:v>0</x:v>
      </x:c>
      <x:c r="AA239" s="37" t="n">
        <x:v>0</x:v>
      </x:c>
      <x:c r="AB239" s="37" t="n">
        <x:v>0</x:v>
      </x:c>
      <x:c r="AC239" s="37" t="n">
        <x:v>1241940.0667165294</x:v>
      </x:c>
      <x:c r="AD239" s="37" t="n">
        <x:v>0</x:v>
      </x:c>
      <x:c r="AE239" s="37" t="n">
        <x:v>0</x:v>
      </x:c>
      <x:c r="AF239" s="47" t="b">
        <x:v>0</x:v>
      </x:c>
      <x:c r="AG239" s="47" t="b">
        <x:v>0</x:v>
      </x:c>
      <x:c r="AH239" s="48" t="n">
        <x:v>0</x:v>
      </x:c>
      <x:c r="AI239" s="48" t="n">
        <x:v>1.1920928955078125e-7</x:v>
      </x:c>
      <x:c r="AJ239" s="37" t="str">
        <x:v>passed</x:v>
      </x:c>
    </x:row>
    <x:row r="240" ht="21" customHeight="1">
      <x:c r="A240" s="2"/>
      <x:c r="B240" s="2"/>
      <x:c r="C240" s="2" t="str">
        <x:v>2022</x:v>
      </x:c>
      <x:c r="D240" s="5" t="n">
        <x:v>44648</x:v>
      </x:c>
      <x:c r="E240" s="2" t="str">
        <x:v>duration</x:v>
      </x:c>
      <x:c r="F240" s="37" t="n">
        <x:v>9297541.201033225</x:v>
      </x:c>
      <x:c r="G240" s="37" t="n">
        <x:v>3600445.8528900696</x:v>
      </x:c>
      <x:c r="H240" s="37" t="n">
        <x:v>-11709.744159801048</x:v>
      </x:c>
      <x:c r="I240" s="37" t="n">
        <x:v>3612155.5970498705</x:v>
      </x:c>
      <x:c r="J240" s="37" t="n">
        <x:v>11082808.312698819</x:v>
      </x:c>
      <x:c r="K240" s="37" t="n">
        <x:v>7482362.459808748</x:v>
      </x:c>
      <x:c r="L240" s="37" t="n">
        <x:v>12897987.053923294</x:v>
      </x:c>
      <x:c r="M240" s="37" t="n">
        <x:v>0</x:v>
      </x:c>
      <x:c r="N240" s="37" t="n">
        <x:v>0</x:v>
      </x:c>
      <x:c r="O240" s="37" t="n">
        <x:v>1528.1954606231302</x:v>
      </x:c>
      <x:c r="P240" s="37" t="n">
        <x:v>0</x:v>
      </x:c>
      <x:c r="Q240" s="37" t="n">
        <x:v>0</x:v>
      </x:c>
      <x:c r="R240" s="37" t="n">
        <x:v>0</x:v>
      </x:c>
      <x:c r="S240" s="37" t="n">
        <x:v>0</x:v>
      </x:c>
      <x:c r="T240" s="37" t="n">
        <x:v>0</x:v>
      </x:c>
      <x:c r="U240" s="37" t="n">
        <x:v>37500</x:v>
      </x:c>
      <x:c r="V240" s="37" t="n">
        <x:v>0</x:v>
      </x:c>
      <x:c r="W240" s="37" t="n">
        <x:v>42728.709581222385</x:v>
      </x:c>
      <x:c r="X240" s="37" t="n">
        <x:v>0</x:v>
      </x:c>
      <x:c r="Y240" s="37" t="n">
        <x:v>1984.7112999648098</x:v>
      </x:c>
      <x:c r="Z240" s="37" t="n">
        <x:v>7632009.709004924</x:v>
      </x:c>
      <x:c r="AA240" s="37" t="n">
        <x:v>0</x:v>
      </x:c>
      <x:c r="AB240" s="37" t="n">
        <x:v>7632009.709004924</x:v>
      </x:c>
      <x:c r="AC240" s="37" t="n">
        <x:v>1665531.4920283016</x:v>
      </x:c>
      <x:c r="AD240" s="37" t="n">
        <x:v>0</x:v>
      </x:c>
      <x:c r="AE240" s="37" t="n">
        <x:v>0</x:v>
      </x:c>
      <x:c r="AF240" s="47" t="b">
        <x:v>0</x:v>
      </x:c>
      <x:c r="AG240" s="47" t="b">
        <x:v>0</x:v>
      </x:c>
      <x:c r="AH240" s="48" t="n">
        <x:v>0</x:v>
      </x:c>
      <x:c r="AI240" s="48" t="n">
        <x:v>1.1920928955078125e-7</x:v>
      </x:c>
      <x:c r="AJ240" s="37" t="str">
        <x:v>passed</x:v>
      </x:c>
    </x:row>
    <x:row r="241" ht="21" customHeight="1">
      <x:c r="A241" s="2"/>
      <x:c r="B241" s="2"/>
      <x:c r="C241" s="2" t="str">
        <x:v>2022</x:v>
      </x:c>
      <x:c r="D241" s="5" t="n">
        <x:v>44648</x:v>
      </x:c>
      <x:c r="E241" s="2" t="str">
        <x:v>unweighted</x:v>
      </x:c>
      <x:c r="F241" s="37" t="n">
        <x:v>12073830.513619969</x:v>
      </x:c>
      <x:c r="G241" s="37" t="n">
        <x:v>882954.5213776822</x:v>
      </x:c>
      <x:c r="H241" s="37" t="n">
        <x:v>-15508.743469435492</x:v>
      </x:c>
      <x:c r="I241" s="37" t="n">
        <x:v>898463.2648471177</x:v>
      </x:c>
      <x:c r="J241" s="37" t="n">
        <x:v>11082808.312698819</x:v>
      </x:c>
      <x:c r="K241" s="37" t="n">
        <x:v>10199853.791321136</x:v>
      </x:c>
      <x:c r="L241" s="37" t="n">
        <x:v>12956785.034997651</x:v>
      </x:c>
      <x:c r="M241" s="37" t="n">
        <x:v>0</x:v>
      </x:c>
      <x:c r="N241" s="37" t="n">
        <x:v>0</x:v>
      </x:c>
      <x:c r="O241" s="37" t="n">
        <x:v>1984.5217767059803</x:v>
      </x:c>
      <x:c r="P241" s="37" t="n">
        <x:v>0</x:v>
      </x:c>
      <x:c r="Q241" s="37" t="n">
        <x:v>0</x:v>
      </x:c>
      <x:c r="R241" s="37" t="n">
        <x:v>0</x:v>
      </x:c>
      <x:c r="S241" s="37" t="n">
        <x:v>0</x:v>
      </x:c>
      <x:c r="T241" s="37" t="n">
        <x:v>0</x:v>
      </x:c>
      <x:c r="U241" s="37" t="n">
        <x:v>37500</x:v>
      </x:c>
      <x:c r="V241" s="37" t="n">
        <x:v>0</x:v>
      </x:c>
      <x:c r="W241" s="37" t="n">
        <x:v>55274.2265433874</x:v>
      </x:c>
      <x:c r="X241" s="37" t="n">
        <x:v>0</x:v>
      </x:c>
      <x:c r="Y241" s="37" t="n">
        <x:v>2253.495429621645</x:v>
      </x:c>
      <x:c r="Z241" s="37" t="n">
        <x:v>10403850.86714756</x:v>
      </x:c>
      <x:c r="AA241" s="37" t="n">
        <x:v>0</x:v>
      </x:c>
      <x:c r="AB241" s="37" t="n">
        <x:v>10403850.86714756</x:v>
      </x:c>
      <x:c r="AC241" s="37" t="n">
        <x:v>1669979.6464724094</x:v>
      </x:c>
      <x:c r="AD241" s="37" t="n">
        <x:v>0</x:v>
      </x:c>
      <x:c r="AE241" s="37" t="n">
        <x:v>0</x:v>
      </x:c>
      <x:c r="AF241" s="47" t="b">
        <x:v>0</x:v>
      </x:c>
      <x:c r="AG241" s="47" t="b">
        <x:v>0</x:v>
      </x:c>
      <x:c r="AH241" s="48" t="n">
        <x:v>0</x:v>
      </x:c>
      <x:c r="AI241" s="48" t="n">
        <x:v>1.1920928955078125e-7</x:v>
      </x:c>
      <x:c r="AJ241" s="37" t="str">
        <x:v>passed</x:v>
      </x:c>
    </x:row>
    <x:row r="242" ht="21" customHeight="1">
      <x:c r="A242" s="2"/>
      <x:c r="B242" s="2"/>
      <x:c r="C242" s="2" t="str">
        <x:v>2022</x:v>
      </x:c>
      <x:c r="D242" s="5" t="n">
        <x:v>44648</x:v>
      </x:c>
      <x:c r="E242" s="2" t="str">
        <x:v>constrained</x:v>
      </x:c>
      <x:c r="F242" s="37" t="n">
        <x:v>13097959.840190846</x:v>
      </x:c>
      <x:c r="G242" s="37" t="n">
        <x:v>-90459.34283695513</x:v>
      </x:c>
      <x:c r="H242" s="37" t="n">
        <x:v>-19088.91273504895</x:v>
      </x:c>
      <x:c r="I242" s="37" t="n">
        <x:v>-71370.43010190618</x:v>
      </x:c>
      <x:c r="J242" s="37" t="n">
        <x:v>11084099.600351006</x:v>
      </x:c>
      <x:c r="K242" s="37" t="n">
        <x:v>11174558.94318796</x:v>
      </x:c>
      <x:c r="L242" s="37" t="n">
        <x:v>13007500.49735389</x:v>
      </x:c>
      <x:c r="M242" s="37" t="n">
        <x:v>0</x:v>
      </x:c>
      <x:c r="N242" s="37" t="n">
        <x:v>0</x:v>
      </x:c>
      <x:c r="O242" s="37" t="n">
        <x:v>2152.8533553574234</x:v>
      </x:c>
      <x:c r="P242" s="37" t="n">
        <x:v>0</x:v>
      </x:c>
      <x:c r="Q242" s="37" t="n">
        <x:v>0</x:v>
      </x:c>
      <x:c r="R242" s="37" t="n">
        <x:v>0</x:v>
      </x:c>
      <x:c r="S242" s="37" t="n">
        <x:v>0</x:v>
      </x:c>
      <x:c r="T242" s="37" t="n">
        <x:v>0</x:v>
      </x:c>
      <x:c r="U242" s="37" t="n">
        <x:v>37500</x:v>
      </x:c>
      <x:c r="V242" s="37" t="n">
        <x:v>0</x:v>
      </x:c>
      <x:c r="W242" s="37" t="n">
        <x:v>60049.253676721826</x:v>
      </x:c>
      <x:c r="X242" s="37" t="n">
        <x:v>0</x:v>
      </x:c>
      <x:c r="Y242" s="37" t="n">
        <x:v>2362.993695622981</x:v>
      </x:c>
      <x:c r="Z242" s="37" t="n">
        <x:v>11398050.12205172</x:v>
      </x:c>
      <x:c r="AA242" s="37" t="n">
        <x:v>0</x:v>
      </x:c>
      <x:c r="AB242" s="37" t="n">
        <x:v>11398050.12205172</x:v>
      </x:c>
      <x:c r="AC242" s="37" t="n">
        <x:v>1699909.718139127</x:v>
      </x:c>
      <x:c r="AD242" s="37" t="n">
        <x:v>0</x:v>
      </x:c>
      <x:c r="AE242" s="37" t="n">
        <x:v>0</x:v>
      </x:c>
      <x:c r="AF242" s="47" t="b">
        <x:v>0</x:v>
      </x:c>
      <x:c r="AG242" s="47" t="b">
        <x:v>0</x:v>
      </x:c>
      <x:c r="AH242" s="48" t="n">
        <x:v>0</x:v>
      </x:c>
      <x:c r="AI242" s="48" t="n">
        <x:v>1.1920928955078125e-7</x:v>
      </x:c>
      <x:c r="AJ242" s="37" t="str">
        <x:v>passed</x:v>
      </x:c>
    </x:row>
    <x:row r="243" ht="21" customHeight="1">
      <x:c r="A243" s="2"/>
      <x:c r="B243" s="2"/>
      <x:c r="C243" s="2" t="str">
        <x:v>2022</x:v>
      </x:c>
      <x:c r="D243" s="5" t="n">
        <x:v>44649</x:v>
      </x:c>
      <x:c r="E243" s="2" t="str">
        <x:v>unhedged</x:v>
      </x:c>
      <x:c r="F243" s="37" t="n">
        <x:v>1242008.1182270346</x:v>
      </x:c>
      <x:c r="G243" s="37" t="n">
        <x:v>11119529.435009401</x:v>
      </x:c>
      <x:c r="H243" s="37" t="n">
        <x:v>30310.77348066298</x:v>
      </x:c>
      <x:c r="I243" s="37" t="n">
        <x:v>11089218.661528738</x:v>
      </x:c>
      <x:c r="J243" s="37" t="n">
        <x:v>11119529.435009401</x:v>
      </x:c>
      <x:c r="K243" s="37" t="n">
        <x:v>0</x:v>
      </x:c>
      <x:c r="L243" s="37" t="n">
        <x:v>12361537.553236436</x:v>
      </x:c>
      <x:c r="M243" s="37" t="n">
        <x:v>0</x:v>
      </x:c>
      <x:c r="N243" s="37" t="n">
        <x:v>0</x:v>
      </x:c>
      <x:c r="O243" s="37" t="n">
        <x:v>68.05151050514542</x:v>
      </x:c>
      <x:c r="P243" s="37" t="n">
        <x:v>0</x:v>
      </x:c>
      <x:c r="Q243" s="37" t="n">
        <x:v>0</x:v>
      </x:c>
      <x:c r="R243" s="37" t="n">
        <x:v>0</x:v>
      </x:c>
      <x:c r="S243" s="37" t="n">
        <x:v>0</x:v>
      </x:c>
      <x:c r="T243" s="37" t="n">
        <x:v>0</x:v>
      </x:c>
      <x:c r="U243" s="37" t="n">
        <x:v>37500</x:v>
      </x:c>
      <x:c r="V243" s="37" t="n">
        <x:v>0</x:v>
      </x:c>
      <x:c r="W243" s="37" t="n">
        <x:v>5682.8375437601935</x:v>
      </x:c>
      <x:c r="X243" s="37" t="n">
        <x:v>0</x:v>
      </x:c>
      <x:c r="Y243" s="37" t="n">
        <x:v>1174.7193167256753</x:v>
      </x:c>
      <x:c r="Z243" s="37" t="n">
        <x:v>0</x:v>
      </x:c>
      <x:c r="AA243" s="37" t="n">
        <x:v>0</x:v>
      </x:c>
      <x:c r="AB243" s="37" t="n">
        <x:v>0</x:v>
      </x:c>
      <x:c r="AC243" s="37" t="n">
        <x:v>1242008.1182270346</x:v>
      </x:c>
      <x:c r="AD243" s="37" t="n">
        <x:v>0</x:v>
      </x:c>
      <x:c r="AE243" s="37" t="n">
        <x:v>0</x:v>
      </x:c>
      <x:c r="AF243" s="47" t="b">
        <x:v>0</x:v>
      </x:c>
      <x:c r="AG243" s="47" t="b">
        <x:v>0</x:v>
      </x:c>
      <x:c r="AH243" s="48" t="n">
        <x:v>0</x:v>
      </x:c>
      <x:c r="AI243" s="48" t="n">
        <x:v>1.1920928955078125e-7</x:v>
      </x:c>
      <x:c r="AJ243" s="37" t="str">
        <x:v>passed</x:v>
      </x:c>
    </x:row>
    <x:row r="244" ht="21" customHeight="1">
      <x:c r="A244" s="2"/>
      <x:c r="B244" s="2"/>
      <x:c r="C244" s="2" t="str">
        <x:v>2022</x:v>
      </x:c>
      <x:c r="D244" s="5" t="n">
        <x:v>44649</x:v>
      </x:c>
      <x:c r="E244" s="2" t="str">
        <x:v>duration</x:v>
      </x:c>
      <x:c r="F244" s="37" t="n">
        <x:v>9298050.655345611</x:v>
      </x:c>
      <x:c r="G244" s="37" t="n">
        <x:v>3595899.480450835</x:v>
      </x:c>
      <x:c r="H244" s="37" t="n">
        <x:v>-11670.829761633977</x:v>
      </x:c>
      <x:c r="I244" s="37" t="n">
        <x:v>3607570.310212469</x:v>
      </x:c>
      <x:c r="J244" s="37" t="n">
        <x:v>11119529.435009401</x:v>
      </x:c>
      <x:c r="K244" s="37" t="n">
        <x:v>7523629.954558566</x:v>
      </x:c>
      <x:c r="L244" s="37" t="n">
        <x:v>12893950.135796446</x:v>
      </x:c>
      <x:c r="M244" s="37" t="n">
        <x:v>0</x:v>
      </x:c>
      <x:c r="N244" s="37" t="n">
        <x:v>0</x:v>
      </x:c>
      <x:c r="O244" s="37" t="n">
        <x:v>509.4543123859912</x:v>
      </x:c>
      <x:c r="P244" s="37" t="n">
        <x:v>0</x:v>
      </x:c>
      <x:c r="Q244" s="37" t="n">
        <x:v>0</x:v>
      </x:c>
      <x:c r="R244" s="37" t="n">
        <x:v>0</x:v>
      </x:c>
      <x:c r="S244" s="37" t="n">
        <x:v>0</x:v>
      </x:c>
      <x:c r="T244" s="37" t="n">
        <x:v>0</x:v>
      </x:c>
      <x:c r="U244" s="37" t="n">
        <x:v>37500</x:v>
      </x:c>
      <x:c r="V244" s="37" t="n">
        <x:v>0</x:v>
      </x:c>
      <x:c r="W244" s="37" t="n">
        <x:v>43238.16389360838</x:v>
      </x:c>
      <x:c r="X244" s="37" t="n">
        <x:v>0</x:v>
      </x:c>
      <x:c r="Y244" s="37" t="n">
        <x:v>1984.7112999648098</x:v>
      </x:c>
      <x:c r="Z244" s="37" t="n">
        <x:v>7674102.5536497375</x:v>
      </x:c>
      <x:c r="AA244" s="37" t="n">
        <x:v>0</x:v>
      </x:c>
      <x:c r="AB244" s="37" t="n">
        <x:v>7674102.5536497375</x:v>
      </x:c>
      <x:c r="AC244" s="37" t="n">
        <x:v>1623948.1016958738</x:v>
      </x:c>
      <x:c r="AD244" s="37" t="n">
        <x:v>0</x:v>
      </x:c>
      <x:c r="AE244" s="37" t="n">
        <x:v>0</x:v>
      </x:c>
      <x:c r="AF244" s="47" t="b">
        <x:v>0</x:v>
      </x:c>
      <x:c r="AG244" s="47" t="b">
        <x:v>0</x:v>
      </x:c>
      <x:c r="AH244" s="48" t="n">
        <x:v>0</x:v>
      </x:c>
      <x:c r="AI244" s="48" t="n">
        <x:v>1.1920928955078125e-7</x:v>
      </x:c>
      <x:c r="AJ244" s="37" t="str">
        <x:v>passed</x:v>
      </x:c>
    </x:row>
    <x:row r="245" ht="21" customHeight="1">
      <x:c r="A245" s="2"/>
      <x:c r="B245" s="2"/>
      <x:c r="C245" s="2" t="str">
        <x:v>2022</x:v>
      </x:c>
      <x:c r="D245" s="5" t="n">
        <x:v>44649</x:v>
      </x:c>
      <x:c r="E245" s="2" t="str">
        <x:v>unweighted</x:v>
      </x:c>
      <x:c r="F245" s="37" t="n">
        <x:v>12074492.093374139</x:v>
      </x:c>
      <x:c r="G245" s="37" t="n">
        <x:v>885576.5211537008</x:v>
      </x:c>
      <x:c r="H245" s="37" t="n">
        <x:v>-15515.84274181706</x:v>
      </x:c>
      <x:c r="I245" s="37" t="n">
        <x:v>901092.3638955178</x:v>
      </x:c>
      <x:c r="J245" s="37" t="n">
        <x:v>11119529.435009401</x:v>
      </x:c>
      <x:c r="K245" s="37" t="n">
        <x:v>10233952.9138557</x:v>
      </x:c>
      <x:c r="L245" s="37" t="n">
        <x:v>12960068.61452784</x:v>
      </x:c>
      <x:c r="M245" s="37" t="n">
        <x:v>0</x:v>
      </x:c>
      <x:c r="N245" s="37" t="n">
        <x:v>0</x:v>
      </x:c>
      <x:c r="O245" s="37" t="n">
        <x:v>661.5797541700304</x:v>
      </x:c>
      <x:c r="P245" s="37" t="n">
        <x:v>0</x:v>
      </x:c>
      <x:c r="Q245" s="37" t="n">
        <x:v>0</x:v>
      </x:c>
      <x:c r="R245" s="37" t="n">
        <x:v>0</x:v>
      </x:c>
      <x:c r="S245" s="37" t="n">
        <x:v>0</x:v>
      </x:c>
      <x:c r="T245" s="37" t="n">
        <x:v>0</x:v>
      </x:c>
      <x:c r="U245" s="37" t="n">
        <x:v>37500</x:v>
      </x:c>
      <x:c r="V245" s="37" t="n">
        <x:v>0</x:v>
      </x:c>
      <x:c r="W245" s="37" t="n">
        <x:v>55935.80629755743</x:v>
      </x:c>
      <x:c r="X245" s="37" t="n">
        <x:v>0</x:v>
      </x:c>
      <x:c r="Y245" s="37" t="n">
        <x:v>2253.495429621645</x:v>
      </x:c>
      <x:c r="Z245" s="37" t="n">
        <x:v>10438631.972132813</x:v>
      </x:c>
      <x:c r="AA245" s="37" t="n">
        <x:v>0</x:v>
      </x:c>
      <x:c r="AB245" s="37" t="n">
        <x:v>10438631.972132813</x:v>
      </x:c>
      <x:c r="AC245" s="37" t="n">
        <x:v>1635860.1212413255</x:v>
      </x:c>
      <x:c r="AD245" s="37" t="n">
        <x:v>0</x:v>
      </x:c>
      <x:c r="AE245" s="37" t="n">
        <x:v>0</x:v>
      </x:c>
      <x:c r="AF245" s="47" t="b">
        <x:v>0</x:v>
      </x:c>
      <x:c r="AG245" s="47" t="b">
        <x:v>0</x:v>
      </x:c>
      <x:c r="AH245" s="48" t="n">
        <x:v>0</x:v>
      </x:c>
      <x:c r="AI245" s="48" t="n">
        <x:v>1.1920928955078125e-7</x:v>
      </x:c>
      <x:c r="AJ245" s="37" t="str">
        <x:v>passed</x:v>
      </x:c>
    </x:row>
    <x:row r="246" ht="21" customHeight="1">
      <x:c r="A246" s="2"/>
      <x:c r="B246" s="2"/>
      <x:c r="C246" s="2" t="str">
        <x:v>2022</x:v>
      </x:c>
      <x:c r="D246" s="5" t="n">
        <x:v>44649</x:v>
      </x:c>
      <x:c r="E246" s="2" t="str">
        <x:v>constrained</x:v>
      </x:c>
      <x:c r="F246" s="37" t="n">
        <x:v>13098677.536620446</x:v>
      </x:c>
      <x:c r="G246" s="37" t="n">
        <x:v>-89816.29303930742</x:v>
      </x:c>
      <x:c r="H246" s="37" t="n">
        <x:v>-19125.31060538328</x:v>
      </x:c>
      <x:c r="I246" s="37" t="n">
        <x:v>-70690.98243392413</x:v>
      </x:c>
      <x:c r="J246" s="37" t="n">
        <x:v>11120828.280574</x:v>
      </x:c>
      <x:c r="K246" s="37" t="n">
        <x:v>11210644.573613307</x:v>
      </x:c>
      <x:c r="L246" s="37" t="n">
        <x:v>13008861.243581139</x:v>
      </x:c>
      <x:c r="M246" s="37" t="n">
        <x:v>0</x:v>
      </x:c>
      <x:c r="N246" s="37" t="n">
        <x:v>0</x:v>
      </x:c>
      <x:c r="O246" s="37" t="n">
        <x:v>717.6964295990765</x:v>
      </x:c>
      <x:c r="P246" s="37" t="n">
        <x:v>0</x:v>
      </x:c>
      <x:c r="Q246" s="37" t="n">
        <x:v>0</x:v>
      </x:c>
      <x:c r="R246" s="37" t="n">
        <x:v>0</x:v>
      </x:c>
      <x:c r="S246" s="37" t="n">
        <x:v>0</x:v>
      </x:c>
      <x:c r="T246" s="37" t="n">
        <x:v>0</x:v>
      </x:c>
      <x:c r="U246" s="37" t="n">
        <x:v>37500</x:v>
      </x:c>
      <x:c r="V246" s="37" t="n">
        <x:v>0</x:v>
      </x:c>
      <x:c r="W246" s="37" t="n">
        <x:v>60766.9501063209</x:v>
      </x:c>
      <x:c r="X246" s="37" t="n">
        <x:v>0</x:v>
      </x:c>
      <x:c r="Y246" s="37" t="n">
        <x:v>2362.993695622981</x:v>
      </x:c>
      <x:c r="Z246" s="37" t="n">
        <x:v>11434857.465085573</x:v>
      </x:c>
      <x:c r="AA246" s="37" t="n">
        <x:v>0</x:v>
      </x:c>
      <x:c r="AB246" s="37" t="n">
        <x:v>11434857.465085573</x:v>
      </x:c>
      <x:c r="AC246" s="37" t="n">
        <x:v>1663820.071534872</x:v>
      </x:c>
      <x:c r="AD246" s="37" t="n">
        <x:v>0</x:v>
      </x:c>
      <x:c r="AE246" s="37" t="n">
        <x:v>0</x:v>
      </x:c>
      <x:c r="AF246" s="47" t="b">
        <x:v>0</x:v>
      </x:c>
      <x:c r="AG246" s="47" t="b">
        <x:v>0</x:v>
      </x:c>
      <x:c r="AH246" s="48" t="n">
        <x:v>0</x:v>
      </x:c>
      <x:c r="AI246" s="48" t="n">
        <x:v>1.1920928955078125e-7</x:v>
      </x:c>
      <x:c r="AJ246" s="37" t="str">
        <x:v>passed</x:v>
      </x:c>
    </x:row>
    <x:row r="247" ht="21" customHeight="1">
      <x:c r="A247" s="2"/>
      <x:c r="B247" s="2"/>
      <x:c r="C247" s="2" t="str">
        <x:v>2022</x:v>
      </x:c>
      <x:c r="D247" s="5" t="n">
        <x:v>44650</x:v>
      </x:c>
      <x:c r="E247" s="2" t="str">
        <x:v>unhedged</x:v>
      </x:c>
      <x:c r="F247" s="37" t="n">
        <x:v>1242076.1734663895</x:v>
      </x:c>
      <x:c r="G247" s="37" t="n">
        <x:v>11156814.17305934</x:v>
      </x:c>
      <x:c r="H247" s="37" t="n">
        <x:v>30662.983425414364</x:v>
      </x:c>
      <x:c r="I247" s="37" t="n">
        <x:v>11126151.189633926</x:v>
      </x:c>
      <x:c r="J247" s="37" t="n">
        <x:v>11156814.17305934</x:v>
      </x:c>
      <x:c r="K247" s="37" t="n">
        <x:v>0</x:v>
      </x:c>
      <x:c r="L247" s="37" t="n">
        <x:v>12398890.34652573</x:v>
      </x:c>
      <x:c r="M247" s="37" t="n">
        <x:v>0</x:v>
      </x:c>
      <x:c r="N247" s="37" t="n">
        <x:v>0</x:v>
      </x:c>
      <x:c r="O247" s="37" t="n">
        <x:v>68.05523935495876</x:v>
      </x:c>
      <x:c r="P247" s="37" t="n">
        <x:v>0</x:v>
      </x:c>
      <x:c r="Q247" s="37" t="n">
        <x:v>0</x:v>
      </x:c>
      <x:c r="R247" s="37" t="n">
        <x:v>0</x:v>
      </x:c>
      <x:c r="S247" s="37" t="n">
        <x:v>0</x:v>
      </x:c>
      <x:c r="T247" s="37" t="n">
        <x:v>0</x:v>
      </x:c>
      <x:c r="U247" s="37" t="n">
        <x:v>37500</x:v>
      </x:c>
      <x:c r="V247" s="37" t="n">
        <x:v>0</x:v>
      </x:c>
      <x:c r="W247" s="37" t="n">
        <x:v>5750.892783115152</x:v>
      </x:c>
      <x:c r="X247" s="37" t="n">
        <x:v>0</x:v>
      </x:c>
      <x:c r="Y247" s="37" t="n">
        <x:v>1174.7193167256753</x:v>
      </x:c>
      <x:c r="Z247" s="37" t="n">
        <x:v>0</x:v>
      </x:c>
      <x:c r="AA247" s="37" t="n">
        <x:v>0</x:v>
      </x:c>
      <x:c r="AB247" s="37" t="n">
        <x:v>0</x:v>
      </x:c>
      <x:c r="AC247" s="37" t="n">
        <x:v>1242076.1734663895</x:v>
      </x:c>
      <x:c r="AD247" s="37" t="n">
        <x:v>0</x:v>
      </x:c>
      <x:c r="AE247" s="37" t="n">
        <x:v>0</x:v>
      </x:c>
      <x:c r="AF247" s="47" t="b">
        <x:v>0</x:v>
      </x:c>
      <x:c r="AG247" s="47" t="b">
        <x:v>0</x:v>
      </x:c>
      <x:c r="AH247" s="48" t="n">
        <x:v>0</x:v>
      </x:c>
      <x:c r="AI247" s="48" t="n">
        <x:v>1.1920928955078125e-7</x:v>
      </x:c>
      <x:c r="AJ247" s="37" t="str">
        <x:v>passed</x:v>
      </x:c>
    </x:row>
    <x:row r="248" ht="21" customHeight="1">
      <x:c r="A248" s="2"/>
      <x:c r="B248" s="2"/>
      <x:c r="C248" s="2" t="str">
        <x:v>2022</x:v>
      </x:c>
      <x:c r="D248" s="5" t="n">
        <x:v>44650</x:v>
      </x:c>
      <x:c r="E248" s="2" t="str">
        <x:v>duration</x:v>
      </x:c>
      <x:c r="F248" s="37" t="n">
        <x:v>9298560.137573302</x:v>
      </x:c>
      <x:c r="G248" s="37" t="n">
        <x:v>3595438.6663640533</x:v>
      </x:c>
      <x:c r="H248" s="37" t="n">
        <x:v>-11631.915363466907</x:v>
      </x:c>
      <x:c r="I248" s="37" t="n">
        <x:v>3607070.58172752</x:v>
      </x:c>
      <x:c r="J248" s="37" t="n">
        <x:v>11156814.17305934</x:v>
      </x:c>
      <x:c r="K248" s="37" t="n">
        <x:v>7561375.506695287</x:v>
      </x:c>
      <x:c r="L248" s="37" t="n">
        <x:v>12893998.803937355</x:v>
      </x:c>
      <x:c r="M248" s="37" t="n">
        <x:v>0</x:v>
      </x:c>
      <x:c r="N248" s="37" t="n">
        <x:v>0</x:v>
      </x:c>
      <x:c r="O248" s="37" t="n">
        <x:v>509.4822276905179</x:v>
      </x:c>
      <x:c r="P248" s="37" t="n">
        <x:v>0</x:v>
      </x:c>
      <x:c r="Q248" s="37" t="n">
        <x:v>0</x:v>
      </x:c>
      <x:c r="R248" s="37" t="n">
        <x:v>0</x:v>
      </x:c>
      <x:c r="S248" s="37" t="n">
        <x:v>0</x:v>
      </x:c>
      <x:c r="T248" s="37" t="n">
        <x:v>0</x:v>
      </x:c>
      <x:c r="U248" s="37" t="n">
        <x:v>37500</x:v>
      </x:c>
      <x:c r="V248" s="37" t="n">
        <x:v>0</x:v>
      </x:c>
      <x:c r="W248" s="37" t="n">
        <x:v>43747.646121298894</x:v>
      </x:c>
      <x:c r="X248" s="37" t="n">
        <x:v>0</x:v>
      </x:c>
      <x:c r="Y248" s="37" t="n">
        <x:v>1984.7112999648098</x:v>
      </x:c>
      <x:c r="Z248" s="37" t="n">
        <x:v>7712603.016829194</x:v>
      </x:c>
      <x:c r="AA248" s="37" t="n">
        <x:v>0</x:v>
      </x:c>
      <x:c r="AB248" s="37" t="n">
        <x:v>7712603.016829194</x:v>
      </x:c>
      <x:c r="AC248" s="37" t="n">
        <x:v>1585957.1207441082</x:v>
      </x:c>
      <x:c r="AD248" s="37" t="n">
        <x:v>0</x:v>
      </x:c>
      <x:c r="AE248" s="37" t="n">
        <x:v>0</x:v>
      </x:c>
      <x:c r="AF248" s="47" t="b">
        <x:v>0</x:v>
      </x:c>
      <x:c r="AG248" s="47" t="b">
        <x:v>0</x:v>
      </x:c>
      <x:c r="AH248" s="48" t="n">
        <x:v>0</x:v>
      </x:c>
      <x:c r="AI248" s="48" t="n">
        <x:v>1.1920928955078125e-7</x:v>
      </x:c>
      <x:c r="AJ248" s="37" t="str">
        <x:v>passed</x:v>
      </x:c>
    </x:row>
    <x:row r="249" ht="21" customHeight="1">
      <x:c r="A249" s="2"/>
      <x:c r="B249" s="2"/>
      <x:c r="C249" s="2" t="str">
        <x:v>2022</x:v>
      </x:c>
      <x:c r="D249" s="5" t="n">
        <x:v>44650</x:v>
      </x:c>
      <x:c r="E249" s="2" t="str">
        <x:v>unweighted</x:v>
      </x:c>
      <x:c r="F249" s="37" t="n">
        <x:v>12075153.709379256</x:v>
      </x:c>
      <x:c r="G249" s="37" t="n">
        <x:v>888068.1705045005</x:v>
      </x:c>
      <x:c r="H249" s="37" t="n">
        <x:v>-15522.94201419863</x:v>
      </x:c>
      <x:c r="I249" s="37" t="n">
        <x:v>903591.1125186991</x:v>
      </x:c>
      <x:c r="J249" s="37" t="n">
        <x:v>11156814.17305934</x:v>
      </x:c>
      <x:c r="K249" s="37" t="n">
        <x:v>10268746.00255484</x:v>
      </x:c>
      <x:c r="L249" s="37" t="n">
        <x:v>12963221.879883757</x:v>
      </x:c>
      <x:c r="M249" s="37" t="n">
        <x:v>0</x:v>
      </x:c>
      <x:c r="N249" s="37" t="n">
        <x:v>0</x:v>
      </x:c>
      <x:c r="O249" s="37" t="n">
        <x:v>661.6160051170737</x:v>
      </x:c>
      <x:c r="P249" s="37" t="n">
        <x:v>0</x:v>
      </x:c>
      <x:c r="Q249" s="37" t="n">
        <x:v>0</x:v>
      </x:c>
      <x:c r="R249" s="37" t="n">
        <x:v>0</x:v>
      </x:c>
      <x:c r="S249" s="37" t="n">
        <x:v>0</x:v>
      </x:c>
      <x:c r="T249" s="37" t="n">
        <x:v>0</x:v>
      </x:c>
      <x:c r="U249" s="37" t="n">
        <x:v>37500</x:v>
      </x:c>
      <x:c r="V249" s="37" t="n">
        <x:v>0</x:v>
      </x:c>
      <x:c r="W249" s="37" t="n">
        <x:v>56597.4223026745</x:v>
      </x:c>
      <x:c r="X249" s="37" t="n">
        <x:v>0</x:v>
      </x:c>
      <x:c r="Y249" s="37" t="n">
        <x:v>2253.495429621645</x:v>
      </x:c>
      <x:c r="Z249" s="37" t="n">
        <x:v>10474120.922605937</x:v>
      </x:c>
      <x:c r="AA249" s="37" t="n">
        <x:v>0</x:v>
      </x:c>
      <x:c r="AB249" s="37" t="n">
        <x:v>10474120.922605937</x:v>
      </x:c>
      <x:c r="AC249" s="37" t="n">
        <x:v>1601032.7867733184</x:v>
      </x:c>
      <x:c r="AD249" s="37" t="n">
        <x:v>0</x:v>
      </x:c>
      <x:c r="AE249" s="37" t="n">
        <x:v>0</x:v>
      </x:c>
      <x:c r="AF249" s="47" t="b">
        <x:v>0</x:v>
      </x:c>
      <x:c r="AG249" s="47" t="b">
        <x:v>0</x:v>
      </x:c>
      <x:c r="AH249" s="48" t="n">
        <x:v>0</x:v>
      </x:c>
      <x:c r="AI249" s="48" t="n">
        <x:v>1.1920928955078125e-7</x:v>
      </x:c>
      <x:c r="AJ249" s="37" t="str">
        <x:v>passed</x:v>
      </x:c>
    </x:row>
    <x:row r="250" ht="21" customHeight="1">
      <x:c r="A250" s="2"/>
      <x:c r="B250" s="2"/>
      <x:c r="C250" s="2" t="str">
        <x:v>2022</x:v>
      </x:c>
      <x:c r="D250" s="5" t="n">
        <x:v>44650</x:v>
      </x:c>
      <x:c r="E250" s="2" t="str">
        <x:v>constrained</x:v>
      </x:c>
      <x:c r="F250" s="37" t="n">
        <x:v>13099395.272375878</x:v>
      </x:c>
      <x:c r="G250" s="37" t="n">
        <x:v>-89669.88353810583</x:v>
      </x:c>
      <x:c r="H250" s="37" t="n">
        <x:v>-19161.708475717613</x:v>
      </x:c>
      <x:c r="I250" s="37" t="n">
        <x:v>-70508.17506238821</x:v>
      </x:c>
      <x:c r="J250" s="37" t="n">
        <x:v>11158128.270490414</x:v>
      </x:c>
      <x:c r="K250" s="37" t="n">
        <x:v>11247798.154028518</x:v>
      </x:c>
      <x:c r="L250" s="37" t="n">
        <x:v>13009725.388837771</x:v>
      </x:c>
      <x:c r="M250" s="37" t="n">
        <x:v>0</x:v>
      </x:c>
      <x:c r="N250" s="37" t="n">
        <x:v>0</x:v>
      </x:c>
      <x:c r="O250" s="37" t="n">
        <x:v>717.7357554323971</x:v>
      </x:c>
      <x:c r="P250" s="37" t="n">
        <x:v>0</x:v>
      </x:c>
      <x:c r="Q250" s="37" t="n">
        <x:v>0</x:v>
      </x:c>
      <x:c r="R250" s="37" t="n">
        <x:v>0</x:v>
      </x:c>
      <x:c r="S250" s="37" t="n">
        <x:v>0</x:v>
      </x:c>
      <x:c r="T250" s="37" t="n">
        <x:v>0</x:v>
      </x:c>
      <x:c r="U250" s="37" t="n">
        <x:v>37500</x:v>
      </x:c>
      <x:c r="V250" s="37" t="n">
        <x:v>0</x:v>
      </x:c>
      <x:c r="W250" s="37" t="n">
        <x:v>61484.6858617533</x:v>
      </x:c>
      <x:c r="X250" s="37" t="n">
        <x:v>0</x:v>
      </x:c>
      <x:c r="Y250" s="37" t="n">
        <x:v>2362.993695622981</x:v>
      </x:c>
      <x:c r="Z250" s="37" t="n">
        <x:v>11472754.117109088</x:v>
      </x:c>
      <x:c r="AA250" s="37" t="n">
        <x:v>0</x:v>
      </x:c>
      <x:c r="AB250" s="37" t="n">
        <x:v>11472754.117109088</x:v>
      </x:c>
      <x:c r="AC250" s="37" t="n">
        <x:v>1626641.1552667897</x:v>
      </x:c>
      <x:c r="AD250" s="37" t="n">
        <x:v>0</x:v>
      </x:c>
      <x:c r="AE250" s="37" t="n">
        <x:v>0</x:v>
      </x:c>
      <x:c r="AF250" s="47" t="b">
        <x:v>0</x:v>
      </x:c>
      <x:c r="AG250" s="47" t="b">
        <x:v>0</x:v>
      </x:c>
      <x:c r="AH250" s="48" t="n">
        <x:v>0</x:v>
      </x:c>
      <x:c r="AI250" s="48" t="n">
        <x:v>1.1920928955078125e-7</x:v>
      </x:c>
      <x:c r="AJ250" s="37" t="str">
        <x:v>passed</x:v>
      </x:c>
    </x:row>
    <x:row r="251" ht="21" customHeight="1">
      <x:c r="A251" s="2"/>
      <x:c r="B251" s="2"/>
      <x:c r="C251" s="2" t="str">
        <x:v>2022</x:v>
      </x:c>
      <x:c r="D251" s="5" t="n">
        <x:v>44651</x:v>
      </x:c>
      <x:c r="E251" s="2" t="str">
        <x:v>unhedged</x:v>
      </x:c>
      <x:c r="F251" s="37" t="n">
        <x:v>1242144.232434799</x:v>
      </x:c>
      <x:c r="G251" s="37" t="n">
        <x:v>11177094.39000411</x:v>
      </x:c>
      <x:c r="H251" s="37" t="n">
        <x:v>31015.193370165747</x:v>
      </x:c>
      <x:c r="I251" s="37" t="n">
        <x:v>11146079.196633944</x:v>
      </x:c>
      <x:c r="J251" s="37" t="n">
        <x:v>11177094.39000411</x:v>
      </x:c>
      <x:c r="K251" s="37" t="n">
        <x:v>0</x:v>
      </x:c>
      <x:c r="L251" s="37" t="n">
        <x:v>12419238.622438908</x:v>
      </x:c>
      <x:c r="M251" s="37" t="n">
        <x:v>0</x:v>
      </x:c>
      <x:c r="N251" s="37" t="n">
        <x:v>0</x:v>
      </x:c>
      <x:c r="O251" s="37" t="n">
        <x:v>68.05896840943024</x:v>
      </x:c>
      <x:c r="P251" s="37" t="n">
        <x:v>0</x:v>
      </x:c>
      <x:c r="Q251" s="37" t="n">
        <x:v>0</x:v>
      </x:c>
      <x:c r="R251" s="37" t="n">
        <x:v>0</x:v>
      </x:c>
      <x:c r="S251" s="37" t="n">
        <x:v>0</x:v>
      </x:c>
      <x:c r="T251" s="37" t="n">
        <x:v>0</x:v>
      </x:c>
      <x:c r="U251" s="37" t="n">
        <x:v>37500</x:v>
      </x:c>
      <x:c r="V251" s="37" t="n">
        <x:v>0</x:v>
      </x:c>
      <x:c r="W251" s="37" t="n">
        <x:v>5818.9517515245825</x:v>
      </x:c>
      <x:c r="X251" s="37" t="n">
        <x:v>0</x:v>
      </x:c>
      <x:c r="Y251" s="37" t="n">
        <x:v>1174.7193167256753</x:v>
      </x:c>
      <x:c r="Z251" s="37" t="n">
        <x:v>0</x:v>
      </x:c>
      <x:c r="AA251" s="37" t="n">
        <x:v>0</x:v>
      </x:c>
      <x:c r="AB251" s="37" t="n">
        <x:v>0</x:v>
      </x:c>
      <x:c r="AC251" s="37" t="n">
        <x:v>1242144.232434799</x:v>
      </x:c>
      <x:c r="AD251" s="37" t="n">
        <x:v>0</x:v>
      </x:c>
      <x:c r="AE251" s="37" t="n">
        <x:v>0</x:v>
      </x:c>
      <x:c r="AF251" s="47" t="b">
        <x:v>0</x:v>
      </x:c>
      <x:c r="AG251" s="47" t="b">
        <x:v>0</x:v>
      </x:c>
      <x:c r="AH251" s="48" t="n">
        <x:v>0</x:v>
      </x:c>
      <x:c r="AI251" s="48" t="n">
        <x:v>1.1920928955078125e-7</x:v>
      </x:c>
      <x:c r="AJ251" s="37" t="str">
        <x:v>passed</x:v>
      </x:c>
    </x:row>
    <x:row r="252" ht="21" customHeight="1">
      <x:c r="A252" s="2"/>
      <x:c r="B252" s="2"/>
      <x:c r="C252" s="2" t="str">
        <x:v>2022</x:v>
      </x:c>
      <x:c r="D252" s="5" t="n">
        <x:v>44651</x:v>
      </x:c>
      <x:c r="E252" s="2" t="str">
        <x:v>duration</x:v>
      </x:c>
      <x:c r="F252" s="37" t="n">
        <x:v>9299069.647717828</x:v>
      </x:c>
      <x:c r="G252" s="37" t="n">
        <x:v>3594922.5281757694</x:v>
      </x:c>
      <x:c r="H252" s="37" t="n">
        <x:v>-11593.00096529982</x:v>
      </x:c>
      <x:c r="I252" s="37" t="n">
        <x:v>3606515.5291410694</x:v>
      </x:c>
      <x:c r="J252" s="37" t="n">
        <x:v>11177094.39000411</x:v>
      </x:c>
      <x:c r="K252" s="37" t="n">
        <x:v>7582171.86182834</x:v>
      </x:c>
      <x:c r="L252" s="37" t="n">
        <x:v>12893992.175893597</x:v>
      </x:c>
      <x:c r="M252" s="37" t="n">
        <x:v>0</x:v>
      </x:c>
      <x:c r="N252" s="37" t="n">
        <x:v>0</x:v>
      </x:c>
      <x:c r="O252" s="37" t="n">
        <x:v>509.5101445261389</x:v>
      </x:c>
      <x:c r="P252" s="37" t="n">
        <x:v>0</x:v>
      </x:c>
      <x:c r="Q252" s="37" t="n">
        <x:v>0</x:v>
      </x:c>
      <x:c r="R252" s="37" t="n">
        <x:v>0</x:v>
      </x:c>
      <x:c r="S252" s="37" t="n">
        <x:v>0</x:v>
      </x:c>
      <x:c r="T252" s="37" t="n">
        <x:v>0</x:v>
      </x:c>
      <x:c r="U252" s="37" t="n">
        <x:v>37500</x:v>
      </x:c>
      <x:c r="V252" s="37" t="n">
        <x:v>0</x:v>
      </x:c>
      <x:c r="W252" s="37" t="n">
        <x:v>44257.15626582503</x:v>
      </x:c>
      <x:c r="X252" s="37" t="n">
        <x:v>0</x:v>
      </x:c>
      <x:c r="Y252" s="37" t="n">
        <x:v>1984.7112999648098</x:v>
      </x:c>
      <x:c r="Z252" s="37" t="n">
        <x:v>7733815.299064907</x:v>
      </x:c>
      <x:c r="AA252" s="37" t="n">
        <x:v>0</x:v>
      </x:c>
      <x:c r="AB252" s="37" t="n">
        <x:v>7733815.299064907</x:v>
      </x:c>
      <x:c r="AC252" s="37" t="n">
        <x:v>1565254.3486529207</x:v>
      </x:c>
      <x:c r="AD252" s="37" t="n">
        <x:v>0</x:v>
      </x:c>
      <x:c r="AE252" s="37" t="n">
        <x:v>0</x:v>
      </x:c>
      <x:c r="AF252" s="47" t="b">
        <x:v>0</x:v>
      </x:c>
      <x:c r="AG252" s="47" t="b">
        <x:v>0</x:v>
      </x:c>
      <x:c r="AH252" s="48" t="n">
        <x:v>0</x:v>
      </x:c>
      <x:c r="AI252" s="48" t="n">
        <x:v>1.1920928955078125e-7</x:v>
      </x:c>
      <x:c r="AJ252" s="37" t="str">
        <x:v>passed</x:v>
      </x:c>
    </x:row>
    <x:row r="253" ht="21" customHeight="1">
      <x:c r="A253" s="2"/>
      <x:c r="B253" s="2"/>
      <x:c r="C253" s="2" t="str">
        <x:v>2022</x:v>
      </x:c>
      <x:c r="D253" s="5" t="n">
        <x:v>44651</x:v>
      </x:c>
      <x:c r="E253" s="2" t="str">
        <x:v>unweighted</x:v>
      </x:c>
      <x:c r="F253" s="37" t="n">
        <x:v>12075815.361637305</x:v>
      </x:c>
      <x:c r="G253" s="37" t="n">
        <x:v>889234.7558727923</x:v>
      </x:c>
      <x:c r="H253" s="37" t="n">
        <x:v>-15530.04128658019</x:v>
      </x:c>
      <x:c r="I253" s="37" t="n">
        <x:v>904764.7971593725</x:v>
      </x:c>
      <x:c r="J253" s="37" t="n">
        <x:v>11177094.39000411</x:v>
      </x:c>
      <x:c r="K253" s="37" t="n">
        <x:v>10287859.634131318</x:v>
      </x:c>
      <x:c r="L253" s="37" t="n">
        <x:v>12965050.117510097</x:v>
      </x:c>
      <x:c r="M253" s="37" t="n">
        <x:v>0</x:v>
      </x:c>
      <x:c r="N253" s="37" t="n">
        <x:v>0</x:v>
      </x:c>
      <x:c r="O253" s="37" t="n">
        <x:v>661.6522580496967</x:v>
      </x:c>
      <x:c r="P253" s="37" t="n">
        <x:v>0</x:v>
      </x:c>
      <x:c r="Q253" s="37" t="n">
        <x:v>0</x:v>
      </x:c>
      <x:c r="R253" s="37" t="n">
        <x:v>0</x:v>
      </x:c>
      <x:c r="S253" s="37" t="n">
        <x:v>0</x:v>
      </x:c>
      <x:c r="T253" s="37" t="n">
        <x:v>0</x:v>
      </x:c>
      <x:c r="U253" s="37" t="n">
        <x:v>37500</x:v>
      </x:c>
      <x:c r="V253" s="37" t="n">
        <x:v>0</x:v>
      </x:c>
      <x:c r="W253" s="37" t="n">
        <x:v>57259.0745607242</x:v>
      </x:c>
      <x:c r="X253" s="37" t="n">
        <x:v>0</x:v>
      </x:c>
      <x:c r="Y253" s="37" t="n">
        <x:v>2253.495429621645</x:v>
      </x:c>
      <x:c r="Z253" s="37" t="n">
        <x:v>10493616.826813944</x:v>
      </x:c>
      <x:c r="AA253" s="37" t="n">
        <x:v>0</x:v>
      </x:c>
      <x:c r="AB253" s="37" t="n">
        <x:v>10493616.826813944</x:v>
      </x:c>
      <x:c r="AC253" s="37" t="n">
        <x:v>1582198.5348233618</x:v>
      </x:c>
      <x:c r="AD253" s="37" t="n">
        <x:v>0</x:v>
      </x:c>
      <x:c r="AE253" s="37" t="n">
        <x:v>0</x:v>
      </x:c>
      <x:c r="AF253" s="47" t="b">
        <x:v>0</x:v>
      </x:c>
      <x:c r="AG253" s="47" t="b">
        <x:v>0</x:v>
      </x:c>
      <x:c r="AH253" s="48" t="n">
        <x:v>0</x:v>
      </x:c>
      <x:c r="AI253" s="48" t="n">
        <x:v>1.1920928955078125e-7</x:v>
      </x:c>
      <x:c r="AJ253" s="37" t="str">
        <x:v>passed</x:v>
      </x:c>
    </x:row>
    <x:row r="254" ht="21" customHeight="1">
      <x:c r="A254" s="2"/>
      <x:c r="B254" s="2"/>
      <x:c r="C254" s="2" t="str">
        <x:v>2022</x:v>
      </x:c>
      <x:c r="D254" s="5" t="n">
        <x:v>44651</x:v>
      </x:c>
      <x:c r="E254" s="2" t="str">
        <x:v>constrained</x:v>
      </x:c>
      <x:c r="F254" s="37" t="n">
        <x:v>13100113.047459299</x:v>
      </x:c>
      <x:c r="G254" s="37" t="n">
        <x:v>-89811.3237048998</x:v>
      </x:c>
      <x:c r="H254" s="37" t="n">
        <x:v>-19198.106346051933</x:v>
      </x:c>
      <x:c r="I254" s="37" t="n">
        <x:v>-70613.21735884786</x:v>
      </x:c>
      <x:c r="J254" s="37" t="n">
        <x:v>11178418.815180093</x:v>
      </x:c>
      <x:c r="K254" s="37" t="n">
        <x:v>11268230.138884993</x:v>
      </x:c>
      <x:c r="L254" s="37" t="n">
        <x:v>13010301.723754399</x:v>
      </x:c>
      <x:c r="M254" s="37" t="n">
        <x:v>0</x:v>
      </x:c>
      <x:c r="N254" s="37" t="n">
        <x:v>0</x:v>
      </x:c>
      <x:c r="O254" s="37" t="n">
        <x:v>717.7750834207982</x:v>
      </x:c>
      <x:c r="P254" s="37" t="n">
        <x:v>0</x:v>
      </x:c>
      <x:c r="Q254" s="37" t="n">
        <x:v>0</x:v>
      </x:c>
      <x:c r="R254" s="37" t="n">
        <x:v>0</x:v>
      </x:c>
      <x:c r="S254" s="37" t="n">
        <x:v>0</x:v>
      </x:c>
      <x:c r="T254" s="37" t="n">
        <x:v>0</x:v>
      </x:c>
      <x:c r="U254" s="37" t="n">
        <x:v>37500</x:v>
      </x:c>
      <x:c r="V254" s="37" t="n">
        <x:v>0</x:v>
      </x:c>
      <x:c r="W254" s="37" t="n">
        <x:v>62202.4609451741</x:v>
      </x:c>
      <x:c r="X254" s="37" t="n">
        <x:v>0</x:v>
      </x:c>
      <x:c r="Y254" s="37" t="n">
        <x:v>2362.993695622981</x:v>
      </x:c>
      <x:c r="Z254" s="37" t="n">
        <x:v>11493594.741662694</x:v>
      </x:c>
      <x:c r="AA254" s="37" t="n">
        <x:v>0</x:v>
      </x:c>
      <x:c r="AB254" s="37" t="n">
        <x:v>11493594.741662694</x:v>
      </x:c>
      <x:c r="AC254" s="37" t="n">
        <x:v>1606518.3057966046</x:v>
      </x:c>
      <x:c r="AD254" s="37" t="n">
        <x:v>0</x:v>
      </x:c>
      <x:c r="AE254" s="37" t="n">
        <x:v>0</x:v>
      </x:c>
      <x:c r="AF254" s="47" t="b">
        <x:v>0</x:v>
      </x:c>
      <x:c r="AG254" s="47" t="b">
        <x:v>0</x:v>
      </x:c>
      <x:c r="AH254" s="48" t="n">
        <x:v>0</x:v>
      </x:c>
      <x:c r="AI254" s="48" t="n">
        <x:v>1.1920928955078125e-7</x:v>
      </x:c>
      <x:c r="AJ254" s="37" t="str">
        <x:v>passed</x:v>
      </x:c>
    </x:row>
    <x:row r="255" ht="21" customHeight="1">
      <x:c r="A255" s="2"/>
      <x:c r="B255" s="2"/>
      <x:c r="C255" s="2" t="str">
        <x:v>2022</x:v>
      </x:c>
      <x:c r="D255" s="5" t="n">
        <x:v>44652</x:v>
      </x:c>
      <x:c r="E255" s="2" t="str">
        <x:v>unhedged</x:v>
      </x:c>
      <x:c r="F255" s="37" t="n">
        <x:v>1242212.2951324666</x:v>
      </x:c>
      <x:c r="G255" s="37" t="n">
        <x:v>11119875.712065013</x:v>
      </x:c>
      <x:c r="H255" s="37" t="n">
        <x:v>31367.40331491713</x:v>
      </x:c>
      <x:c r="I255" s="37" t="n">
        <x:v>11088508.308750097</x:v>
      </x:c>
      <x:c r="J255" s="37" t="n">
        <x:v>11119875.712065013</x:v>
      </x:c>
      <x:c r="K255" s="37" t="n">
        <x:v>0</x:v>
      </x:c>
      <x:c r="L255" s="37" t="n">
        <x:v>12362088.00719748</x:v>
      </x:c>
      <x:c r="M255" s="37" t="n">
        <x:v>0</x:v>
      </x:c>
      <x:c r="N255" s="37" t="n">
        <x:v>0</x:v>
      </x:c>
      <x:c r="O255" s="37" t="n">
        <x:v>68.06269766762853</x:v>
      </x:c>
      <x:c r="P255" s="37" t="n">
        <x:v>0</x:v>
      </x:c>
      <x:c r="Q255" s="37" t="n">
        <x:v>0</x:v>
      </x:c>
      <x:c r="R255" s="37" t="n">
        <x:v>0</x:v>
      </x:c>
      <x:c r="S255" s="37" t="n">
        <x:v>0</x:v>
      </x:c>
      <x:c r="T255" s="37" t="n">
        <x:v>0</x:v>
      </x:c>
      <x:c r="U255" s="37" t="n">
        <x:v>37500</x:v>
      </x:c>
      <x:c r="V255" s="37" t="n">
        <x:v>0</x:v>
      </x:c>
      <x:c r="W255" s="37" t="n">
        <x:v>5887.014449192211</x:v>
      </x:c>
      <x:c r="X255" s="37" t="n">
        <x:v>0</x:v>
      </x:c>
      <x:c r="Y255" s="37" t="n">
        <x:v>1174.7193167256753</x:v>
      </x:c>
      <x:c r="Z255" s="37" t="n">
        <x:v>0</x:v>
      </x:c>
      <x:c r="AA255" s="37" t="n">
        <x:v>0</x:v>
      </x:c>
      <x:c r="AB255" s="37" t="n">
        <x:v>0</x:v>
      </x:c>
      <x:c r="AC255" s="37" t="n">
        <x:v>1242212.2951324666</x:v>
      </x:c>
      <x:c r="AD255" s="37" t="n">
        <x:v>0</x:v>
      </x:c>
      <x:c r="AE255" s="37" t="n">
        <x:v>0</x:v>
      </x:c>
      <x:c r="AF255" s="47" t="b">
        <x:v>0</x:v>
      </x:c>
      <x:c r="AG255" s="47" t="b">
        <x:v>0</x:v>
      </x:c>
      <x:c r="AH255" s="48" t="n">
        <x:v>0</x:v>
      </x:c>
      <x:c r="AI255" s="48" t="n">
        <x:v>1.1920928955078125e-7</x:v>
      </x:c>
      <x:c r="AJ255" s="37" t="str">
        <x:v>passed</x:v>
      </x:c>
    </x:row>
    <x:row r="256" ht="21" customHeight="1">
      <x:c r="A256" s="2"/>
      <x:c r="B256" s="2"/>
      <x:c r="C256" s="2" t="str">
        <x:v>2022</x:v>
      </x:c>
      <x:c r="D256" s="5" t="n">
        <x:v>44652</x:v>
      </x:c>
      <x:c r="E256" s="2" t="str">
        <x:v>duration</x:v>
      </x:c>
      <x:c r="F256" s="37" t="n">
        <x:v>9300255.14266709</x:v>
      </x:c>
      <x:c r="G256" s="37" t="n">
        <x:v>3577282.400818175</x:v>
      </x:c>
      <x:c r="H256" s="37" t="n">
        <x:v>-11557.9338618131</x:v>
      </x:c>
      <x:c r="I256" s="37" t="n">
        <x:v>3588840.334679988</x:v>
      </x:c>
      <x:c r="J256" s="37" t="n">
        <x:v>11119875.712065013</x:v>
      </x:c>
      <x:c r="K256" s="37" t="n">
        <x:v>7542593.311246838</x:v>
      </x:c>
      <x:c r="L256" s="37" t="n">
        <x:v>12877537.543485265</x:v>
      </x:c>
      <x:c r="M256" s="37" t="n">
        <x:v>0</x:v>
      </x:c>
      <x:c r="N256" s="37" t="n">
        <x:v>0</x:v>
      </x:c>
      <x:c r="O256" s="37" t="n">
        <x:v>509.5380628891289</x:v>
      </x:c>
      <x:c r="P256" s="37" t="n">
        <x:v>0</x:v>
      </x:c>
      <x:c r="Q256" s="37" t="n">
        <x:v>0.06760244888224934</x:v>
      </x:c>
      <x:c r="R256" s="37" t="n">
        <x:v>676.0244888224934</x:v>
      </x:c>
      <x:c r="S256" s="37" t="n">
        <x:v>676.0244888224934</x:v>
      </x:c>
      <x:c r="T256" s="37" t="n">
        <x:v>0</x:v>
      </x:c>
      <x:c r="U256" s="37" t="n">
        <x:v>37500</x:v>
      </x:c>
      <x:c r="V256" s="37" t="n">
        <x:v>0</x:v>
      </x:c>
      <x:c r="W256" s="37" t="n">
        <x:v>44766.69432871416</x:v>
      </x:c>
      <x:c r="X256" s="37" t="n">
        <x:v>0</x:v>
      </x:c>
      <x:c r="Y256" s="37" t="n">
        <x:v>1984.778902413692</x:v>
      </x:c>
      <x:c r="Z256" s="37" t="n">
        <x:v>7693445.177471776</x:v>
      </x:c>
      <x:c r="AA256" s="37" t="n">
        <x:v>0</x:v>
      </x:c>
      <x:c r="AB256" s="37" t="n">
        <x:v>7693445.177471776</x:v>
      </x:c>
      <x:c r="AC256" s="37" t="n">
        <x:v>1606809.965195315</x:v>
      </x:c>
      <x:c r="AD256" s="37" t="n">
        <x:v>0</x:v>
      </x:c>
      <x:c r="AE256" s="37" t="n">
        <x:v>0</x:v>
      </x:c>
      <x:c r="AF256" s="47" t="b">
        <x:v>0</x:v>
      </x:c>
      <x:c r="AG256" s="47" t="b">
        <x:v>0</x:v>
      </x:c>
      <x:c r="AH256" s="48" t="n">
        <x:v>-1.5082532445198638e-10</x:v>
      </x:c>
      <x:c r="AI256" s="48" t="n">
        <x:v>1.1920928955078125e-7</x:v>
      </x:c>
      <x:c r="AJ256" s="37" t="str">
        <x:v>passed</x:v>
      </x:c>
    </x:row>
    <x:row r="257" ht="21" customHeight="1">
      <x:c r="A257" s="2"/>
      <x:c r="B257" s="2"/>
      <x:c r="C257" s="2" t="str">
        <x:v>2022</x:v>
      </x:c>
      <x:c r="D257" s="5" t="n">
        <x:v>44652</x:v>
      </x:c>
      <x:c r="E257" s="2" t="str">
        <x:v>unweighted</x:v>
      </x:c>
      <x:c r="F257" s="37" t="n">
        <x:v>12117410.461232372</x:v>
      </x:c>
      <x:c r="G257" s="37" t="n">
        <x:v>843691.5591338472</x:v>
      </x:c>
      <x:c r="H257" s="37" t="n">
        <x:v>-15650.012591253992</x:v>
      </x:c>
      <x:c r="I257" s="37" t="n">
        <x:v>859341.5717251012</x:v>
      </x:c>
      <x:c r="J257" s="37" t="n">
        <x:v>11119875.712065013</x:v>
      </x:c>
      <x:c r="K257" s="37" t="n">
        <x:v>10276184.152931167</x:v>
      </x:c>
      <x:c r="L257" s="37" t="n">
        <x:v>12961102.020366218</x:v>
      </x:c>
      <x:c r="M257" s="37" t="n">
        <x:v>0</x:v>
      </x:c>
      <x:c r="N257" s="37" t="n">
        <x:v>0</x:v>
      </x:c>
      <x:c r="O257" s="37" t="n">
        <x:v>661.6885129678994</x:v>
      </x:c>
      <x:c r="P257" s="37" t="n">
        <x:v>0</x:v>
      </x:c>
      <x:c r="Q257" s="37" t="n">
        <x:v>4.461963435071633</x:v>
      </x:c>
      <x:c r="R257" s="37" t="n">
        <x:v>40937.87304553429</x:v>
      </x:c>
      <x:c r="S257" s="37" t="n">
        <x:v>44619.634350716326</x:v>
      </x:c>
      <x:c r="T257" s="37" t="n">
        <x:v>0</x:v>
      </x:c>
      <x:c r="U257" s="37" t="n">
        <x:v>37500</x:v>
      </x:c>
      <x:c r="V257" s="37" t="n">
        <x:v>0</x:v>
      </x:c>
      <x:c r="W257" s="37" t="n">
        <x:v>57920.7630736921</x:v>
      </x:c>
      <x:c r="X257" s="37" t="n">
        <x:v>0</x:v>
      </x:c>
      <x:c r="Y257" s="37" t="n">
        <x:v>2257.9573930567167</x:v>
      </x:c>
      <x:c r="Z257" s="37" t="n">
        <x:v>10481707.83598979</x:v>
      </x:c>
      <x:c r="AA257" s="37" t="n">
        <x:v>0</x:v>
      </x:c>
      <x:c r="AB257" s="37" t="n">
        <x:v>10481707.83598979</x:v>
      </x:c>
      <x:c r="AC257" s="37" t="n">
        <x:v>1635702.6252425816</x:v>
      </x:c>
      <x:c r="AD257" s="37" t="n">
        <x:v>0</x:v>
      </x:c>
      <x:c r="AE257" s="37" t="n">
        <x:v>0</x:v>
      </x:c>
      <x:c r="AF257" s="47" t="b">
        <x:v>0</x:v>
      </x:c>
      <x:c r="AG257" s="47" t="b">
        <x:v>0</x:v>
      </x:c>
      <x:c r="AH257" s="48" t="n">
        <x:v>-9.562395320017458e-10</x:v>
      </x:c>
      <x:c r="AI257" s="48" t="n">
        <x:v>1.1920928955078125e-7</x:v>
      </x:c>
      <x:c r="AJ257" s="37" t="str">
        <x:v>passed</x:v>
      </x:c>
    </x:row>
    <x:row r="258" ht="21" customHeight="1">
      <x:c r="A258" s="2"/>
      <x:c r="B258" s="2"/>
      <x:c r="C258" s="2" t="str">
        <x:v>2022</x:v>
      </x:c>
      <x:c r="D258" s="5" t="n">
        <x:v>44652</x:v>
      </x:c>
      <x:c r="E258" s="2" t="str">
        <x:v>constrained</x:v>
      </x:c>
      <x:c r="F258" s="37" t="n">
        <x:v>13093264.946993725</x:v>
      </x:c>
      <x:c r="G258" s="37" t="n">
        <x:v>-82255.66345277338</x:v>
      </x:c>
      <x:c r="H258" s="37" t="n">
        <x:v>-19207.562331833466</x:v>
      </x:c>
      <x:c r="I258" s="37" t="n">
        <x:v>-63048.101120939915</x:v>
      </x:c>
      <x:c r="J258" s="37" t="n">
        <x:v>11119875.712065013</x:v>
      </x:c>
      <x:c r="K258" s="37" t="n">
        <x:v>11202131.375517787</x:v>
      </x:c>
      <x:c r="L258" s="37" t="n">
        <x:v>13011009.283540951</x:v>
      </x:c>
      <x:c r="M258" s="37" t="n">
        <x:v>0</x:v>
      </x:c>
      <x:c r="N258" s="37" t="n">
        <x:v>0</x:v>
      </x:c>
      <x:c r="O258" s="37" t="n">
        <x:v>717.8144135605544</x:v>
      </x:c>
      <x:c r="P258" s="37" t="n">
        <x:v>0</x:v>
      </x:c>
      <x:c r="Q258" s="37" t="n">
        <x:v>4.02074397030211</x:v>
      </x:c>
      <x:c r="R258" s="37" t="n">
        <x:v>-7561.894135164909</x:v>
      </x:c>
      <x:c r="S258" s="37" t="n">
        <x:v>40207.4397030211</x:v>
      </x:c>
      <x:c r="T258" s="37" t="n">
        <x:v>0</x:v>
      </x:c>
      <x:c r="U258" s="37" t="n">
        <x:v>37500</x:v>
      </x:c>
      <x:c r="V258" s="37" t="n">
        <x:v>0</x:v>
      </x:c>
      <x:c r="W258" s="37" t="n">
        <x:v>62920.27535873465</x:v>
      </x:c>
      <x:c r="X258" s="37" t="n">
        <x:v>0</x:v>
      </x:c>
      <x:c r="Y258" s="37" t="n">
        <x:v>2367.014439593283</x:v>
      </x:c>
      <x:c r="Z258" s="37" t="n">
        <x:v>11426174.003028143</x:v>
      </x:c>
      <x:c r="AA258" s="37" t="n">
        <x:v>0</x:v>
      </x:c>
      <x:c r="AB258" s="37" t="n">
        <x:v>11426174.003028143</x:v>
      </x:c>
      <x:c r="AC258" s="37" t="n">
        <x:v>1667090.9439655822</x:v>
      </x:c>
      <x:c r="AD258" s="37" t="n">
        <x:v>0</x:v>
      </x:c>
      <x:c r="AE258" s="37" t="n">
        <x:v>0</x:v>
      </x:c>
      <x:c r="AF258" s="47" t="b">
        <x:v>0</x:v>
      </x:c>
      <x:c r="AG258" s="47" t="b">
        <x:v>0</x:v>
      </x:c>
      <x:c r="AH258" s="48" t="n">
        <x:v>1.2863985432431946e-9</x:v>
      </x:c>
      <x:c r="AI258" s="48" t="n">
        <x:v>1.1920928955078125e-7</x:v>
      </x:c>
      <x:c r="AJ258" s="37" t="str">
        <x:v>passed</x:v>
      </x:c>
    </x:row>
    <x:row r="259" ht="21" customHeight="1">
      <x:c r="A259" s="2"/>
      <x:c r="B259" s="2"/>
      <x:c r="C259" s="2" t="str">
        <x:v>2022</x:v>
      </x:c>
      <x:c r="D259" s="5" t="n">
        <x:v>44655</x:v>
      </x:c>
      <x:c r="E259" s="2" t="str">
        <x:v>unhedged</x:v>
      </x:c>
      <x:c r="F259" s="37" t="n">
        <x:v>1242416.5056030648</x:v>
      </x:c>
      <x:c r="G259" s="37" t="n">
        <x:v>11104649.024944806</x:v>
      </x:c>
      <x:c r="H259" s="37" t="n">
        <x:v>32424.03314917127</x:v>
      </x:c>
      <x:c r="I259" s="37" t="n">
        <x:v>11072224.991795635</x:v>
      </x:c>
      <x:c r="J259" s="37" t="n">
        <x:v>11104649.024944806</x:v>
      </x:c>
      <x:c r="K259" s="37" t="n">
        <x:v>0</x:v>
      </x:c>
      <x:c r="L259" s="37" t="n">
        <x:v>12347065.530547872</x:v>
      </x:c>
      <x:c r="M259" s="37" t="n">
        <x:v>0</x:v>
      </x:c>
      <x:c r="N259" s="37" t="n">
        <x:v>0</x:v>
      </x:c>
      <x:c r="O259" s="37" t="n">
        <x:v>204.21047059819102</x:v>
      </x:c>
      <x:c r="P259" s="37" t="n">
        <x:v>0</x:v>
      </x:c>
      <x:c r="Q259" s="37" t="n">
        <x:v>0</x:v>
      </x:c>
      <x:c r="R259" s="37" t="n">
        <x:v>0</x:v>
      </x:c>
      <x:c r="S259" s="37" t="n">
        <x:v>0</x:v>
      </x:c>
      <x:c r="T259" s="37" t="n">
        <x:v>0</x:v>
      </x:c>
      <x:c r="U259" s="37" t="n">
        <x:v>37500</x:v>
      </x:c>
      <x:c r="V259" s="37" t="n">
        <x:v>0</x:v>
      </x:c>
      <x:c r="W259" s="37" t="n">
        <x:v>6091.224919790402</x:v>
      </x:c>
      <x:c r="X259" s="37" t="n">
        <x:v>0</x:v>
      </x:c>
      <x:c r="Y259" s="37" t="n">
        <x:v>1174.7193167256753</x:v>
      </x:c>
      <x:c r="Z259" s="37" t="n">
        <x:v>0</x:v>
      </x:c>
      <x:c r="AA259" s="37" t="n">
        <x:v>0</x:v>
      </x:c>
      <x:c r="AB259" s="37" t="n">
        <x:v>0</x:v>
      </x:c>
      <x:c r="AC259" s="37" t="n">
        <x:v>1242416.5056030648</x:v>
      </x:c>
      <x:c r="AD259" s="37" t="n">
        <x:v>0</x:v>
      </x:c>
      <x:c r="AE259" s="37" t="n">
        <x:v>0</x:v>
      </x:c>
      <x:c r="AF259" s="47" t="b">
        <x:v>0</x:v>
      </x:c>
      <x:c r="AG259" s="47" t="b">
        <x:v>0</x:v>
      </x:c>
      <x:c r="AH259" s="48" t="n">
        <x:v>0</x:v>
      </x:c>
      <x:c r="AI259" s="48" t="n">
        <x:v>1.1920928955078125e-7</x:v>
      </x:c>
      <x:c r="AJ259" s="37" t="str">
        <x:v>passed</x:v>
      </x:c>
    </x:row>
    <x:row r="260" ht="21" customHeight="1">
      <x:c r="A260" s="2"/>
      <x:c r="B260" s="2"/>
      <x:c r="C260" s="2" t="str">
        <x:v>2022</x:v>
      </x:c>
      <x:c r="D260" s="5" t="n">
        <x:v>44655</x:v>
      </x:c>
      <x:c r="E260" s="2" t="str">
        <x:v>duration</x:v>
      </x:c>
      <x:c r="F260" s="37" t="n">
        <x:v>9301784.03550353</x:v>
      </x:c>
      <x:c r="G260" s="37" t="n">
        <x:v>3586069.65528026</x:v>
      </x:c>
      <x:c r="H260" s="37" t="n">
        <x:v>-11441.274914640642</x:v>
      </x:c>
      <x:c r="I260" s="37" t="n">
        <x:v>3597510.9301949004</x:v>
      </x:c>
      <x:c r="J260" s="37" t="n">
        <x:v>11104649.024944806</x:v>
      </x:c>
      <x:c r="K260" s="37" t="n">
        <x:v>7518579.369664547</x:v>
      </x:c>
      <x:c r="L260" s="37" t="n">
        <x:v>12887853.690783791</x:v>
      </x:c>
      <x:c r="M260" s="37" t="n">
        <x:v>0</x:v>
      </x:c>
      <x:c r="N260" s="37" t="n">
        <x:v>0</x:v>
      </x:c>
      <x:c r="O260" s="37" t="n">
        <x:v>1528.8928364403546</x:v>
      </x:c>
      <x:c r="P260" s="37" t="n">
        <x:v>0</x:v>
      </x:c>
      <x:c r="Q260" s="37" t="n">
        <x:v>0</x:v>
      </x:c>
      <x:c r="R260" s="37" t="n">
        <x:v>0</x:v>
      </x:c>
      <x:c r="S260" s="37" t="n">
        <x:v>0</x:v>
      </x:c>
      <x:c r="T260" s="37" t="n">
        <x:v>0</x:v>
      </x:c>
      <x:c r="U260" s="37" t="n">
        <x:v>37500</x:v>
      </x:c>
      <x:c r="V260" s="37" t="n">
        <x:v>0</x:v>
      </x:c>
      <x:c r="W260" s="37" t="n">
        <x:v>46295.58716515452</x:v>
      </x:c>
      <x:c r="X260" s="37" t="n">
        <x:v>0</x:v>
      </x:c>
      <x:c r="Y260" s="37" t="n">
        <x:v>1984.778902413692</x:v>
      </x:c>
      <x:c r="Z260" s="37" t="n">
        <x:v>7668950.957057838</x:v>
      </x:c>
      <x:c r="AA260" s="37" t="n">
        <x:v>0</x:v>
      </x:c>
      <x:c r="AB260" s="37" t="n">
        <x:v>7668950.957057838</x:v>
      </x:c>
      <x:c r="AC260" s="37" t="n">
        <x:v>1632833.0784456925</x:v>
      </x:c>
      <x:c r="AD260" s="37" t="n">
        <x:v>0</x:v>
      </x:c>
      <x:c r="AE260" s="37" t="n">
        <x:v>0</x:v>
      </x:c>
      <x:c r="AF260" s="47" t="b">
        <x:v>0</x:v>
      </x:c>
      <x:c r="AG260" s="47" t="b">
        <x:v>0</x:v>
      </x:c>
      <x:c r="AH260" s="48" t="n">
        <x:v>0</x:v>
      </x:c>
      <x:c r="AI260" s="48" t="n">
        <x:v>1.1920928955078125e-7</x:v>
      </x:c>
      <x:c r="AJ260" s="37" t="str">
        <x:v>passed</x:v>
      </x:c>
    </x:row>
    <x:row r="261" ht="21" customHeight="1">
      <x:c r="A261" s="2"/>
      <x:c r="B261" s="2"/>
      <x:c r="C261" s="2" t="str">
        <x:v>2022</x:v>
      </x:c>
      <x:c r="D261" s="5" t="n">
        <x:v>44655</x:v>
      </x:c>
      <x:c r="E261" s="2" t="str">
        <x:v>unweighted</x:v>
      </x:c>
      <x:c r="F261" s="37" t="n">
        <x:v>12119402.473469261</x:v>
      </x:c>
      <x:c r="G261" s="37" t="n">
        <x:v>843094.4531636438</x:v>
      </x:c>
      <x:c r="H261" s="37" t="n">
        <x:v>-15673.970293135444</x:v>
      </x:c>
      <x:c r="I261" s="37" t="n">
        <x:v>858768.4234567793</x:v>
      </x:c>
      <x:c r="J261" s="37" t="n">
        <x:v>11104649.024944806</x:v>
      </x:c>
      <x:c r="K261" s="37" t="n">
        <x:v>10261554.571781164</x:v>
      </x:c>
      <x:c r="L261" s="37" t="n">
        <x:v>12962496.926632905</x:v>
      </x:c>
      <x:c r="M261" s="37" t="n">
        <x:v>0</x:v>
      </x:c>
      <x:c r="N261" s="37" t="n">
        <x:v>0</x:v>
      </x:c>
      <x:c r="O261" s="37" t="n">
        <x:v>1992.0122368894517</x:v>
      </x:c>
      <x:c r="P261" s="37" t="n">
        <x:v>0</x:v>
      </x:c>
      <x:c r="Q261" s="37" t="n">
        <x:v>0</x:v>
      </x:c>
      <x:c r="R261" s="37" t="n">
        <x:v>0</x:v>
      </x:c>
      <x:c r="S261" s="37" t="n">
        <x:v>0</x:v>
      </x:c>
      <x:c r="T261" s="37" t="n">
        <x:v>0</x:v>
      </x:c>
      <x:c r="U261" s="37" t="n">
        <x:v>37500</x:v>
      </x:c>
      <x:c r="V261" s="37" t="n">
        <x:v>0</x:v>
      </x:c>
      <x:c r="W261" s="37" t="n">
        <x:v>59912.77531058155</x:v>
      </x:c>
      <x:c r="X261" s="37" t="n">
        <x:v>0</x:v>
      </x:c>
      <x:c r="Y261" s="37" t="n">
        <x:v>2257.9573930567167</x:v>
      </x:c>
      <x:c r="Z261" s="37" t="n">
        <x:v>10466785.663216788</x:v>
      </x:c>
      <x:c r="AA261" s="37" t="n">
        <x:v>0</x:v>
      </x:c>
      <x:c r="AB261" s="37" t="n">
        <x:v>10466785.663216788</x:v>
      </x:c>
      <x:c r="AC261" s="37" t="n">
        <x:v>1652616.8102524728</x:v>
      </x:c>
      <x:c r="AD261" s="37" t="n">
        <x:v>0</x:v>
      </x:c>
      <x:c r="AE261" s="37" t="n">
        <x:v>0</x:v>
      </x:c>
      <x:c r="AF261" s="47" t="b">
        <x:v>0</x:v>
      </x:c>
      <x:c r="AG261" s="47" t="b">
        <x:v>0</x:v>
      </x:c>
      <x:c r="AH261" s="48" t="n">
        <x:v>0</x:v>
      </x:c>
      <x:c r="AI261" s="48" t="n">
        <x:v>1.1920928955078125e-7</x:v>
      </x:c>
      <x:c r="AJ261" s="37" t="str">
        <x:v>passed</x:v>
      </x:c>
    </x:row>
    <x:row r="262" ht="21" customHeight="1">
      <x:c r="A262" s="2"/>
      <x:c r="B262" s="2"/>
      <x:c r="C262" s="2" t="str">
        <x:v>2022</x:v>
      </x:c>
      <x:c r="D262" s="5" t="n">
        <x:v>44655</x:v>
      </x:c>
      <x:c r="E262" s="2" t="str">
        <x:v>constrained</x:v>
      </x:c>
      <x:c r="F262" s="37" t="n">
        <x:v>13095417.382456623</x:v>
      </x:c>
      <x:c r="G262" s="37" t="n">
        <x:v>-82391.68229792253</x:v>
      </x:c>
      <x:c r="H262" s="37" t="n">
        <x:v>-19316.061288942496</x:v>
      </x:c>
      <x:c r="I262" s="37" t="n">
        <x:v>-63075.62100898003</x:v>
      </x:c>
      <x:c r="J262" s="37" t="n">
        <x:v>11104649.024944806</x:v>
      </x:c>
      <x:c r="K262" s="37" t="n">
        <x:v>11187040.70724273</x:v>
      </x:c>
      <x:c r="L262" s="37" t="n">
        <x:v>13013025.7001587</x:v>
      </x:c>
      <x:c r="M262" s="37" t="n">
        <x:v>0</x:v>
      </x:c>
      <x:c r="N262" s="37" t="n">
        <x:v>0</x:v>
      </x:c>
      <x:c r="O262" s="37" t="n">
        <x:v>2152.4354628976434</x:v>
      </x:c>
      <x:c r="P262" s="37" t="n">
        <x:v>0</x:v>
      </x:c>
      <x:c r="Q262" s="37" t="n">
        <x:v>0</x:v>
      </x:c>
      <x:c r="R262" s="37" t="n">
        <x:v>0</x:v>
      </x:c>
      <x:c r="S262" s="37" t="n">
        <x:v>0</x:v>
      </x:c>
      <x:c r="T262" s="37" t="n">
        <x:v>0</x:v>
      </x:c>
      <x:c r="U262" s="37" t="n">
        <x:v>37500</x:v>
      </x:c>
      <x:c r="V262" s="37" t="n">
        <x:v>0</x:v>
      </x:c>
      <x:c r="W262" s="37" t="n">
        <x:v>65072.710821632296</x:v>
      </x:c>
      <x:c r="X262" s="37" t="n">
        <x:v>0</x:v>
      </x:c>
      <x:c r="Y262" s="37" t="n">
        <x:v>2367.014439593283</x:v>
      </x:c>
      <x:c r="Z262" s="37" t="n">
        <x:v>11410781.521387585</x:v>
      </x:c>
      <x:c r="AA262" s="37" t="n">
        <x:v>0</x:v>
      </x:c>
      <x:c r="AB262" s="37" t="n">
        <x:v>11410781.521387585</x:v>
      </x:c>
      <x:c r="AC262" s="37" t="n">
        <x:v>1684635.8610690385</x:v>
      </x:c>
      <x:c r="AD262" s="37" t="n">
        <x:v>0</x:v>
      </x:c>
      <x:c r="AE262" s="37" t="n">
        <x:v>0</x:v>
      </x:c>
      <x:c r="AF262" s="47" t="b">
        <x:v>0</x:v>
      </x:c>
      <x:c r="AG262" s="47" t="b">
        <x:v>0</x:v>
      </x:c>
      <x:c r="AH262" s="48" t="n">
        <x:v>0</x:v>
      </x:c>
      <x:c r="AI262" s="48" t="n">
        <x:v>1.1920928955078125e-7</x:v>
      </x:c>
      <x:c r="AJ262" s="37" t="str">
        <x:v>passed</x:v>
      </x:c>
    </x:row>
    <x:row r="263" ht="21" customHeight="1">
      <x:c r="A263" s="2"/>
      <x:c r="B263" s="2"/>
      <x:c r="C263" s="2" t="str">
        <x:v>2022</x:v>
      </x:c>
      <x:c r="D263" s="5" t="n">
        <x:v>44656</x:v>
      </x:c>
      <x:c r="E263" s="2" t="str">
        <x:v>unhedged</x:v>
      </x:c>
      <x:c r="F263" s="37" t="n">
        <x:v>1242484.5832198102</x:v>
      </x:c>
      <x:c r="G263" s="37" t="n">
        <x:v>11024562.41766625</x:v>
      </x:c>
      <x:c r="H263" s="37" t="n">
        <x:v>32776.243093922654</x:v>
      </x:c>
      <x:c r="I263" s="37" t="n">
        <x:v>10991786.174572328</x:v>
      </x:c>
      <x:c r="J263" s="37" t="n">
        <x:v>11024562.41766625</x:v>
      </x:c>
      <x:c r="K263" s="37" t="n">
        <x:v>0</x:v>
      </x:c>
      <x:c r="L263" s="37" t="n">
        <x:v>12267047.00088606</x:v>
      </x:c>
      <x:c r="M263" s="37" t="n">
        <x:v>0</x:v>
      </x:c>
      <x:c r="N263" s="37" t="n">
        <x:v>0</x:v>
      </x:c>
      <x:c r="O263" s="37" t="n">
        <x:v>68.07761674537323</x:v>
      </x:c>
      <x:c r="P263" s="37" t="n">
        <x:v>0</x:v>
      </x:c>
      <x:c r="Q263" s="37" t="n">
        <x:v>0</x:v>
      </x:c>
      <x:c r="R263" s="37" t="n">
        <x:v>0</x:v>
      </x:c>
      <x:c r="S263" s="37" t="n">
        <x:v>0</x:v>
      </x:c>
      <x:c r="T263" s="37" t="n">
        <x:v>0</x:v>
      </x:c>
      <x:c r="U263" s="37" t="n">
        <x:v>37500</x:v>
      </x:c>
      <x:c r="V263" s="37" t="n">
        <x:v>0</x:v>
      </x:c>
      <x:c r="W263" s="37" t="n">
        <x:v>6159.302536535775</x:v>
      </x:c>
      <x:c r="X263" s="37" t="n">
        <x:v>0</x:v>
      </x:c>
      <x:c r="Y263" s="37" t="n">
        <x:v>1174.7193167256753</x:v>
      </x:c>
      <x:c r="Z263" s="37" t="n">
        <x:v>0</x:v>
      </x:c>
      <x:c r="AA263" s="37" t="n">
        <x:v>0</x:v>
      </x:c>
      <x:c r="AB263" s="37" t="n">
        <x:v>0</x:v>
      </x:c>
      <x:c r="AC263" s="37" t="n">
        <x:v>1242484.5832198102</x:v>
      </x:c>
      <x:c r="AD263" s="37" t="n">
        <x:v>0</x:v>
      </x:c>
      <x:c r="AE263" s="37" t="n">
        <x:v>0</x:v>
      </x:c>
      <x:c r="AF263" s="47" t="b">
        <x:v>0</x:v>
      </x:c>
      <x:c r="AG263" s="47" t="b">
        <x:v>0</x:v>
      </x:c>
      <x:c r="AH263" s="48" t="n">
        <x:v>0</x:v>
      </x:c>
      <x:c r="AI263" s="48" t="n">
        <x:v>1.1920928955078125e-7</x:v>
      </x:c>
      <x:c r="AJ263" s="37" t="str">
        <x:v>passed</x:v>
      </x:c>
    </x:row>
    <x:row r="264" ht="21" customHeight="1">
      <x:c r="A264" s="2"/>
      <x:c r="B264" s="2"/>
      <x:c r="C264" s="2" t="str">
        <x:v>2022</x:v>
      </x:c>
      <x:c r="D264" s="5" t="n">
        <x:v>44656</x:v>
      </x:c>
      <x:c r="E264" s="2" t="str">
        <x:v>duration</x:v>
      </x:c>
      <x:c r="F264" s="37" t="n">
        <x:v>9302293.722299997</x:v>
      </x:c>
      <x:c r="G264" s="37" t="n">
        <x:v>3589390.975064609</x:v>
      </x:c>
      <x:c r="H264" s="37" t="n">
        <x:v>-11402.388598916492</x:v>
      </x:c>
      <x:c r="I264" s="37" t="n">
        <x:v>3600793.363663526</x:v>
      </x:c>
      <x:c r="J264" s="37" t="n">
        <x:v>11024562.41766625</x:v>
      </x:c>
      <x:c r="K264" s="37" t="n">
        <x:v>7435171.442601642</x:v>
      </x:c>
      <x:c r="L264" s="37" t="n">
        <x:v>12891684.697364606</x:v>
      </x:c>
      <x:c r="M264" s="37" t="n">
        <x:v>0</x:v>
      </x:c>
      <x:c r="N264" s="37" t="n">
        <x:v>0</x:v>
      </x:c>
      <x:c r="O264" s="37" t="n">
        <x:v>509.6867964658886</x:v>
      </x:c>
      <x:c r="P264" s="37" t="n">
        <x:v>0</x:v>
      </x:c>
      <x:c r="Q264" s="37" t="n">
        <x:v>0</x:v>
      </x:c>
      <x:c r="R264" s="37" t="n">
        <x:v>0</x:v>
      </x:c>
      <x:c r="S264" s="37" t="n">
        <x:v>0</x:v>
      </x:c>
      <x:c r="T264" s="37" t="n">
        <x:v>0</x:v>
      </x:c>
      <x:c r="U264" s="37" t="n">
        <x:v>37500</x:v>
      </x:c>
      <x:c r="V264" s="37" t="n">
        <x:v>0</x:v>
      </x:c>
      <x:c r="W264" s="37" t="n">
        <x:v>46805.273961620405</x:v>
      </x:c>
      <x:c r="X264" s="37" t="n">
        <x:v>0</x:v>
      </x:c>
      <x:c r="Y264" s="37" t="n">
        <x:v>1984.778902413692</x:v>
      </x:c>
      <x:c r="Z264" s="37" t="n">
        <x:v>7583874.8714536745</x:v>
      </x:c>
      <x:c r="AA264" s="37" t="n">
        <x:v>0</x:v>
      </x:c>
      <x:c r="AB264" s="37" t="n">
        <x:v>7583874.8714536745</x:v>
      </x:c>
      <x:c r="AC264" s="37" t="n">
        <x:v>1718418.8508463223</x:v>
      </x:c>
      <x:c r="AD264" s="37" t="n">
        <x:v>0</x:v>
      </x:c>
      <x:c r="AE264" s="37" t="n">
        <x:v>0</x:v>
      </x:c>
      <x:c r="AF264" s="47" t="b">
        <x:v>0</x:v>
      </x:c>
      <x:c r="AG264" s="47" t="b">
        <x:v>0</x:v>
      </x:c>
      <x:c r="AH264" s="48" t="n">
        <x:v>0</x:v>
      </x:c>
      <x:c r="AI264" s="48" t="n">
        <x:v>1.1920928955078125e-7</x:v>
      </x:c>
      <x:c r="AJ264" s="37" t="str">
        <x:v>passed</x:v>
      </x:c>
    </x:row>
    <x:row r="265" ht="21" customHeight="1">
      <x:c r="A265" s="2"/>
      <x:c r="B265" s="2"/>
      <x:c r="C265" s="2" t="str">
        <x:v>2022</x:v>
      </x:c>
      <x:c r="D265" s="5" t="n">
        <x:v>44656</x:v>
      </x:c>
      <x:c r="E265" s="2" t="str">
        <x:v>unweighted</x:v>
      </x:c>
      <x:c r="F265" s="37" t="n">
        <x:v>12120066.550317124</x:v>
      </x:c>
      <x:c r="G265" s="37" t="n">
        <x:v>837758.3057432127</x:v>
      </x:c>
      <x:c r="H265" s="37" t="n">
        <x:v>-15681.956193762595</x:v>
      </x:c>
      <x:c r="I265" s="37" t="n">
        <x:v>853440.2619369753</x:v>
      </x:c>
      <x:c r="J265" s="37" t="n">
        <x:v>11024562.41766625</x:v>
      </x:c>
      <x:c r="K265" s="37" t="n">
        <x:v>10186804.111923037</x:v>
      </x:c>
      <x:c r="L265" s="37" t="n">
        <x:v>12957824.856060335</x:v>
      </x:c>
      <x:c r="M265" s="37" t="n">
        <x:v>0</x:v>
      </x:c>
      <x:c r="N265" s="37" t="n">
        <x:v>0</x:v>
      </x:c>
      <x:c r="O265" s="37" t="n">
        <x:v>664.0768478624523</x:v>
      </x:c>
      <x:c r="P265" s="37" t="n">
        <x:v>0</x:v>
      </x:c>
      <x:c r="Q265" s="37" t="n">
        <x:v>0</x:v>
      </x:c>
      <x:c r="R265" s="37" t="n">
        <x:v>0</x:v>
      </x:c>
      <x:c r="S265" s="37" t="n">
        <x:v>0</x:v>
      </x:c>
      <x:c r="T265" s="37" t="n">
        <x:v>0</x:v>
      </x:c>
      <x:c r="U265" s="37" t="n">
        <x:v>37500</x:v>
      </x:c>
      <x:c r="V265" s="37" t="n">
        <x:v>0</x:v>
      </x:c>
      <x:c r="W265" s="37" t="n">
        <x:v>60576.852158444</x:v>
      </x:c>
      <x:c r="X265" s="37" t="n">
        <x:v>0</x:v>
      </x:c>
      <x:c r="Y265" s="37" t="n">
        <x:v>2257.9573930567167</x:v>
      </x:c>
      <x:c r="Z265" s="37" t="n">
        <x:v>10390540.194161499</x:v>
      </x:c>
      <x:c r="AA265" s="37" t="n">
        <x:v>0</x:v>
      </x:c>
      <x:c r="AB265" s="37" t="n">
        <x:v>10390540.194161499</x:v>
      </x:c>
      <x:c r="AC265" s="37" t="n">
        <x:v>1729526.3561556246</x:v>
      </x:c>
      <x:c r="AD265" s="37" t="n">
        <x:v>0</x:v>
      </x:c>
      <x:c r="AE265" s="37" t="n">
        <x:v>0</x:v>
      </x:c>
      <x:c r="AF265" s="47" t="b">
        <x:v>0</x:v>
      </x:c>
      <x:c r="AG265" s="47" t="b">
        <x:v>0</x:v>
      </x:c>
      <x:c r="AH265" s="48" t="n">
        <x:v>0</x:v>
      </x:c>
      <x:c r="AI265" s="48" t="n">
        <x:v>1.1920928955078125e-7</x:v>
      </x:c>
      <x:c r="AJ265" s="37" t="str">
        <x:v>passed</x:v>
      </x:c>
    </x:row>
    <x:row r="266" ht="21" customHeight="1">
      <x:c r="A266" s="2"/>
      <x:c r="B266" s="2"/>
      <x:c r="C266" s="2" t="str">
        <x:v>2022</x:v>
      </x:c>
      <x:c r="D266" s="5" t="n">
        <x:v>44656</x:v>
      </x:c>
      <x:c r="E266" s="2" t="str">
        <x:v>constrained</x:v>
      </x:c>
      <x:c r="F266" s="37" t="n">
        <x:v>13096134.93957347</x:v>
      </x:c>
      <x:c r="G266" s="37" t="n">
        <x:v>-83028.08852453892</x:v>
      </x:c>
      <x:c r="H266" s="37" t="n">
        <x:v>-19352.227607978843</x:v>
      </x:c>
      <x:c r="I266" s="37" t="n">
        <x:v>-63675.86091656008</x:v>
      </x:c>
      <x:c r="J266" s="37" t="n">
        <x:v>11024562.41766625</x:v>
      </x:c>
      <x:c r="K266" s="37" t="n">
        <x:v>11107590.50619079</x:v>
      </x:c>
      <x:c r="L266" s="37" t="n">
        <x:v>13013106.851048931</x:v>
      </x:c>
      <x:c r="M266" s="37" t="n">
        <x:v>0</x:v>
      </x:c>
      <x:c r="N266" s="37" t="n">
        <x:v>0</x:v>
      </x:c>
      <x:c r="O266" s="37" t="n">
        <x:v>717.5571168474853</x:v>
      </x:c>
      <x:c r="P266" s="37" t="n">
        <x:v>0</x:v>
      </x:c>
      <x:c r="Q266" s="37" t="n">
        <x:v>0</x:v>
      </x:c>
      <x:c r="R266" s="37" t="n">
        <x:v>0</x:v>
      </x:c>
      <x:c r="S266" s="37" t="n">
        <x:v>0</x:v>
      </x:c>
      <x:c r="T266" s="37" t="n">
        <x:v>0</x:v>
      </x:c>
      <x:c r="U266" s="37" t="n">
        <x:v>37500</x:v>
      </x:c>
      <x:c r="V266" s="37" t="n">
        <x:v>0</x:v>
      </x:c>
      <x:c r="W266" s="37" t="n">
        <x:v>65790.26793847978</x:v>
      </x:c>
      <x:c r="X266" s="37" t="n">
        <x:v>0</x:v>
      </x:c>
      <x:c r="Y266" s="37" t="n">
        <x:v>2367.014439593283</x:v>
      </x:c>
      <x:c r="Z266" s="37" t="n">
        <x:v>11329742.316314606</x:v>
      </x:c>
      <x:c r="AA266" s="37" t="n">
        <x:v>0</x:v>
      </x:c>
      <x:c r="AB266" s="37" t="n">
        <x:v>11329742.316314606</x:v>
      </x:c>
      <x:c r="AC266" s="37" t="n">
        <x:v>1766392.6232588645</x:v>
      </x:c>
      <x:c r="AD266" s="37" t="n">
        <x:v>0</x:v>
      </x:c>
      <x:c r="AE266" s="37" t="n">
        <x:v>0</x:v>
      </x:c>
      <x:c r="AF266" s="47" t="b">
        <x:v>0</x:v>
      </x:c>
      <x:c r="AG266" s="47" t="b">
        <x:v>0</x:v>
      </x:c>
      <x:c r="AH266" s="48" t="n">
        <x:v>0</x:v>
      </x:c>
      <x:c r="AI266" s="48" t="n">
        <x:v>1.1920928955078125e-7</x:v>
      </x:c>
      <x:c r="AJ266" s="37" t="str">
        <x:v>passed</x:v>
      </x:c>
    </x:row>
    <x:row r="267" ht="21" customHeight="1">
      <x:c r="A267" s="2"/>
      <x:c r="B267" s="2"/>
      <x:c r="C267" s="2" t="str">
        <x:v>2022</x:v>
      </x:c>
      <x:c r="D267" s="5" t="n">
        <x:v>44657</x:v>
      </x:c>
      <x:c r="E267" s="2" t="str">
        <x:v>unhedged</x:v>
      </x:c>
      <x:c r="F267" s="37" t="n">
        <x:v>1242552.6645668359</x:v>
      </x:c>
      <x:c r="G267" s="37" t="n">
        <x:v>10993334.747682082</x:v>
      </x:c>
      <x:c r="H267" s="37" t="n">
        <x:v>33128.45303867404</x:v>
      </x:c>
      <x:c r="I267" s="37" t="n">
        <x:v>10960206.294643408</x:v>
      </x:c>
      <x:c r="J267" s="37" t="n">
        <x:v>10993334.747682082</x:v>
      </x:c>
      <x:c r="K267" s="37" t="n">
        <x:v>0</x:v>
      </x:c>
      <x:c r="L267" s="37" t="n">
        <x:v>12235887.412248917</x:v>
      </x:c>
      <x:c r="M267" s="37" t="n">
        <x:v>0</x:v>
      </x:c>
      <x:c r="N267" s="37" t="n">
        <x:v>0</x:v>
      </x:c>
      <x:c r="O267" s="37" t="n">
        <x:v>68.08134702569805</x:v>
      </x:c>
      <x:c r="P267" s="37" t="n">
        <x:v>0</x:v>
      </x:c>
      <x:c r="Q267" s="37" t="n">
        <x:v>0</x:v>
      </x:c>
      <x:c r="R267" s="37" t="n">
        <x:v>0</x:v>
      </x:c>
      <x:c r="S267" s="37" t="n">
        <x:v>0</x:v>
      </x:c>
      <x:c r="T267" s="37" t="n">
        <x:v>0</x:v>
      </x:c>
      <x:c r="U267" s="37" t="n">
        <x:v>37500</x:v>
      </x:c>
      <x:c r="V267" s="37" t="n">
        <x:v>0</x:v>
      </x:c>
      <x:c r="W267" s="37" t="n">
        <x:v>6227.383883561473</x:v>
      </x:c>
      <x:c r="X267" s="37" t="n">
        <x:v>0</x:v>
      </x:c>
      <x:c r="Y267" s="37" t="n">
        <x:v>1174.7193167256753</x:v>
      </x:c>
      <x:c r="Z267" s="37" t="n">
        <x:v>0</x:v>
      </x:c>
      <x:c r="AA267" s="37" t="n">
        <x:v>0</x:v>
      </x:c>
      <x:c r="AB267" s="37" t="n">
        <x:v>0</x:v>
      </x:c>
      <x:c r="AC267" s="37" t="n">
        <x:v>1242552.6645668359</x:v>
      </x:c>
      <x:c r="AD267" s="37" t="n">
        <x:v>0</x:v>
      </x:c>
      <x:c r="AE267" s="37" t="n">
        <x:v>0</x:v>
      </x:c>
      <x:c r="AF267" s="47" t="b">
        <x:v>0</x:v>
      </x:c>
      <x:c r="AG267" s="47" t="b">
        <x:v>0</x:v>
      </x:c>
      <x:c r="AH267" s="48" t="n">
        <x:v>0</x:v>
      </x:c>
      <x:c r="AI267" s="48" t="n">
        <x:v>1.1920928955078125e-7</x:v>
      </x:c>
      <x:c r="AJ267" s="37" t="str">
        <x:v>passed</x:v>
      </x:c>
    </x:row>
    <x:row r="268" ht="21" customHeight="1">
      <x:c r="A268" s="2"/>
      <x:c r="B268" s="2"/>
      <x:c r="C268" s="2" t="str">
        <x:v>2022</x:v>
      </x:c>
      <x:c r="D268" s="5" t="n">
        <x:v>44657</x:v>
      </x:c>
      <x:c r="E268" s="2" t="str">
        <x:v>duration</x:v>
      </x:c>
      <x:c r="F268" s="37" t="n">
        <x:v>9302803.437024508</x:v>
      </x:c>
      <x:c r="G268" s="37" t="n">
        <x:v>3602183.7282451494</x:v>
      </x:c>
      <x:c r="H268" s="37" t="n">
        <x:v>-11363.502283192343</x:v>
      </x:c>
      <x:c r="I268" s="37" t="n">
        <x:v>3613547.2305283416</x:v>
      </x:c>
      <x:c r="J268" s="37" t="n">
        <x:v>10993334.747682082</x:v>
      </x:c>
      <x:c r="K268" s="37" t="n">
        <x:v>7391151.019436931</x:v>
      </x:c>
      <x:c r="L268" s="37" t="n">
        <x:v>12904987.165269658</x:v>
      </x:c>
      <x:c r="M268" s="37" t="n">
        <x:v>0</x:v>
      </x:c>
      <x:c r="N268" s="37" t="n">
        <x:v>0</x:v>
      </x:c>
      <x:c r="O268" s="37" t="n">
        <x:v>509.7147245109081</x:v>
      </x:c>
      <x:c r="P268" s="37" t="n">
        <x:v>0</x:v>
      </x:c>
      <x:c r="Q268" s="37" t="n">
        <x:v>0</x:v>
      </x:c>
      <x:c r="R268" s="37" t="n">
        <x:v>0</x:v>
      </x:c>
      <x:c r="S268" s="37" t="n">
        <x:v>0</x:v>
      </x:c>
      <x:c r="T268" s="37" t="n">
        <x:v>0</x:v>
      </x:c>
      <x:c r="U268" s="37" t="n">
        <x:v>37500</x:v>
      </x:c>
      <x:c r="V268" s="37" t="n">
        <x:v>0</x:v>
      </x:c>
      <x:c r="W268" s="37" t="n">
        <x:v>47314.98868613131</x:v>
      </x:c>
      <x:c r="X268" s="37" t="n">
        <x:v>0</x:v>
      </x:c>
      <x:c r="Y268" s="37" t="n">
        <x:v>1984.778902413692</x:v>
      </x:c>
      <x:c r="Z268" s="37" t="n">
        <x:v>7538974.03982567</x:v>
      </x:c>
      <x:c r="AA268" s="37" t="n">
        <x:v>0</x:v>
      </x:c>
      <x:c r="AB268" s="37" t="n">
        <x:v>7538974.03982567</x:v>
      </x:c>
      <x:c r="AC268" s="37" t="n">
        <x:v>1763829.3971988373</x:v>
      </x:c>
      <x:c r="AD268" s="37" t="n">
        <x:v>0</x:v>
      </x:c>
      <x:c r="AE268" s="37" t="n">
        <x:v>0</x:v>
      </x:c>
      <x:c r="AF268" s="47" t="b">
        <x:v>0</x:v>
      </x:c>
      <x:c r="AG268" s="47" t="b">
        <x:v>0</x:v>
      </x:c>
      <x:c r="AH268" s="48" t="n">
        <x:v>0</x:v>
      </x:c>
      <x:c r="AI268" s="48" t="n">
        <x:v>1.1920928955078125e-7</x:v>
      </x:c>
      <x:c r="AJ268" s="37" t="str">
        <x:v>passed</x:v>
      </x:c>
    </x:row>
    <x:row r="269" ht="21" customHeight="1">
      <x:c r="A269" s="2"/>
      <x:c r="B269" s="2"/>
      <x:c r="C269" s="2" t="str">
        <x:v>2022</x:v>
      </x:c>
      <x:c r="D269" s="5" t="n">
        <x:v>44657</x:v>
      </x:c>
      <x:c r="E269" s="2" t="str">
        <x:v>unweighted</x:v>
      </x:c>
      <x:c r="F269" s="37" t="n">
        <x:v>12120730.663552757</x:v>
      </x:c>
      <x:c r="G269" s="37" t="n">
        <x:v>836157.7577129296</x:v>
      </x:c>
      <x:c r="H269" s="37" t="n">
        <x:v>-15689.942094389753</x:v>
      </x:c>
      <x:c r="I269" s="37" t="n">
        <x:v>851847.6998073193</x:v>
      </x:c>
      <x:c r="J269" s="37" t="n">
        <x:v>10993334.747682082</x:v>
      </x:c>
      <x:c r="K269" s="37" t="n">
        <x:v>10157176.989969151</x:v>
      </x:c>
      <x:c r="L269" s="37" t="n">
        <x:v>12956888.421265688</x:v>
      </x:c>
      <x:c r="M269" s="37" t="n">
        <x:v>0</x:v>
      </x:c>
      <x:c r="N269" s="37" t="n">
        <x:v>0</x:v>
      </x:c>
      <x:c r="O269" s="37" t="n">
        <x:v>664.1132356338203</x:v>
      </x:c>
      <x:c r="P269" s="37" t="n">
        <x:v>0</x:v>
      </x:c>
      <x:c r="Q269" s="37" t="n">
        <x:v>0</x:v>
      </x:c>
      <x:c r="R269" s="37" t="n">
        <x:v>0</x:v>
      </x:c>
      <x:c r="S269" s="37" t="n">
        <x:v>0</x:v>
      </x:c>
      <x:c r="T269" s="37" t="n">
        <x:v>0</x:v>
      </x:c>
      <x:c r="U269" s="37" t="n">
        <x:v>37500</x:v>
      </x:c>
      <x:c r="V269" s="37" t="n">
        <x:v>0</x:v>
      </x:c>
      <x:c r="W269" s="37" t="n">
        <x:v>61240.96539407782</x:v>
      </x:c>
      <x:c r="X269" s="37" t="n">
        <x:v>0</x:v>
      </x:c>
      <x:c r="Y269" s="37" t="n">
        <x:v>2257.9573930567167</x:v>
      </x:c>
      <x:c r="Z269" s="37" t="n">
        <x:v>10360320.529768534</x:v>
      </x:c>
      <x:c r="AA269" s="37" t="n">
        <x:v>0</x:v>
      </x:c>
      <x:c r="AB269" s="37" t="n">
        <x:v>10360320.529768534</x:v>
      </x:c>
      <x:c r="AC269" s="37" t="n">
        <x:v>1760410.1337842233</x:v>
      </x:c>
      <x:c r="AD269" s="37" t="n">
        <x:v>0</x:v>
      </x:c>
      <x:c r="AE269" s="37" t="n">
        <x:v>0</x:v>
      </x:c>
      <x:c r="AF269" s="47" t="b">
        <x:v>0</x:v>
      </x:c>
      <x:c r="AG269" s="47" t="b">
        <x:v>0</x:v>
      </x:c>
      <x:c r="AH269" s="48" t="n">
        <x:v>0</x:v>
      </x:c>
      <x:c r="AI269" s="48" t="n">
        <x:v>1.1920928955078125e-7</x:v>
      </x:c>
      <x:c r="AJ269" s="37" t="str">
        <x:v>passed</x:v>
      </x:c>
    </x:row>
    <x:row r="270" ht="21" customHeight="1">
      <x:c r="A270" s="2"/>
      <x:c r="B270" s="2"/>
      <x:c r="C270" s="2" t="str">
        <x:v>2022</x:v>
      </x:c>
      <x:c r="D270" s="5" t="n">
        <x:v>44657</x:v>
      </x:c>
      <x:c r="E270" s="2" t="str">
        <x:v>constrained</x:v>
      </x:c>
      <x:c r="F270" s="37" t="n">
        <x:v>13096852.536008516</x:v>
      </x:c>
      <x:c r="G270" s="37" t="n">
        <x:v>-83401.75352393057</x:v>
      </x:c>
      <x:c r="H270" s="37" t="n">
        <x:v>-19388.39392701519</x:v>
      </x:c>
      <x:c r="I270" s="37" t="n">
        <x:v>-64013.35959691538</x:v>
      </x:c>
      <x:c r="J270" s="37" t="n">
        <x:v>10993334.747682082</x:v>
      </x:c>
      <x:c r="K270" s="37" t="n">
        <x:v>11076736.50120601</x:v>
      </x:c>
      <x:c r="L270" s="37" t="n">
        <x:v>13013450.782484585</x:v>
      </x:c>
      <x:c r="M270" s="37" t="n">
        <x:v>0</x:v>
      </x:c>
      <x:c r="N270" s="37" t="n">
        <x:v>0</x:v>
      </x:c>
      <x:c r="O270" s="37" t="n">
        <x:v>717.5964350458235</x:v>
      </x:c>
      <x:c r="P270" s="37" t="n">
        <x:v>0</x:v>
      </x:c>
      <x:c r="Q270" s="37" t="n">
        <x:v>0</x:v>
      </x:c>
      <x:c r="R270" s="37" t="n">
        <x:v>0</x:v>
      </x:c>
      <x:c r="S270" s="37" t="n">
        <x:v>0</x:v>
      </x:c>
      <x:c r="T270" s="37" t="n">
        <x:v>0</x:v>
      </x:c>
      <x:c r="U270" s="37" t="n">
        <x:v>37500</x:v>
      </x:c>
      <x:c r="V270" s="37" t="n">
        <x:v>0</x:v>
      </x:c>
      <x:c r="W270" s="37" t="n">
        <x:v>66507.8643735256</x:v>
      </x:c>
      <x:c r="X270" s="37" t="n">
        <x:v>0</x:v>
      </x:c>
      <x:c r="Y270" s="37" t="n">
        <x:v>2367.014439593283</x:v>
      </x:c>
      <x:c r="Z270" s="37" t="n">
        <x:v>11298271.23123013</x:v>
      </x:c>
      <x:c r="AA270" s="37" t="n">
        <x:v>0</x:v>
      </x:c>
      <x:c r="AB270" s="37" t="n">
        <x:v>11298271.23123013</x:v>
      </x:c>
      <x:c r="AC270" s="37" t="n">
        <x:v>1798581.304778386</x:v>
      </x:c>
      <x:c r="AD270" s="37" t="n">
        <x:v>0</x:v>
      </x:c>
      <x:c r="AE270" s="37" t="n">
        <x:v>0</x:v>
      </x:c>
      <x:c r="AF270" s="47" t="b">
        <x:v>0</x:v>
      </x:c>
      <x:c r="AG270" s="47" t="b">
        <x:v>0</x:v>
      </x:c>
      <x:c r="AH270" s="48" t="n">
        <x:v>0</x:v>
      </x:c>
      <x:c r="AI270" s="48" t="n">
        <x:v>1.1920928955078125e-7</x:v>
      </x:c>
      <x:c r="AJ270" s="37" t="str">
        <x:v>passed</x:v>
      </x:c>
    </x:row>
    <x:row r="271" ht="21" customHeight="1">
      <x:c r="A271" s="2"/>
      <x:c r="B271" s="2"/>
      <x:c r="C271" s="2" t="str">
        <x:v>2022</x:v>
      </x:c>
      <x:c r="D271" s="5" t="n">
        <x:v>44658</x:v>
      </x:c>
      <x:c r="E271" s="2" t="str">
        <x:v>unhedged</x:v>
      </x:c>
      <x:c r="F271" s="37" t="n">
        <x:v>1242620.7496443468</x:v>
      </x:c>
      <x:c r="G271" s="37" t="n">
        <x:v>10968060.45046657</x:v>
      </x:c>
      <x:c r="H271" s="37" t="n">
        <x:v>33480.66298342541</x:v>
      </x:c>
      <x:c r="I271" s="37" t="n">
        <x:v>10934579.787483145</x:v>
      </x:c>
      <x:c r="J271" s="37" t="n">
        <x:v>10968060.45046657</x:v>
      </x:c>
      <x:c r="K271" s="37" t="n">
        <x:v>0</x:v>
      </x:c>
      <x:c r="L271" s="37" t="n">
        <x:v>12210681.200110916</x:v>
      </x:c>
      <x:c r="M271" s="37" t="n">
        <x:v>0</x:v>
      </x:c>
      <x:c r="N271" s="37" t="n">
        <x:v>0</x:v>
      </x:c>
      <x:c r="O271" s="37" t="n">
        <x:v>68.08507751091383</x:v>
      </x:c>
      <x:c r="P271" s="37" t="n">
        <x:v>0</x:v>
      </x:c>
      <x:c r="Q271" s="37" t="n">
        <x:v>0</x:v>
      </x:c>
      <x:c r="R271" s="37" t="n">
        <x:v>0</x:v>
      </x:c>
      <x:c r="S271" s="37" t="n">
        <x:v>0</x:v>
      </x:c>
      <x:c r="T271" s="37" t="n">
        <x:v>0</x:v>
      </x:c>
      <x:c r="U271" s="37" t="n">
        <x:v>37500</x:v>
      </x:c>
      <x:c r="V271" s="37" t="n">
        <x:v>0</x:v>
      </x:c>
      <x:c r="W271" s="37" t="n">
        <x:v>6295.468961072387</x:v>
      </x:c>
      <x:c r="X271" s="37" t="n">
        <x:v>0</x:v>
      </x:c>
      <x:c r="Y271" s="37" t="n">
        <x:v>1174.7193167256753</x:v>
      </x:c>
      <x:c r="Z271" s="37" t="n">
        <x:v>0</x:v>
      </x:c>
      <x:c r="AA271" s="37" t="n">
        <x:v>0</x:v>
      </x:c>
      <x:c r="AB271" s="37" t="n">
        <x:v>0</x:v>
      </x:c>
      <x:c r="AC271" s="37" t="n">
        <x:v>1242620.7496443468</x:v>
      </x:c>
      <x:c r="AD271" s="37" t="n">
        <x:v>0</x:v>
      </x:c>
      <x:c r="AE271" s="37" t="n">
        <x:v>0</x:v>
      </x:c>
      <x:c r="AF271" s="47" t="b">
        <x:v>0</x:v>
      </x:c>
      <x:c r="AG271" s="47" t="b">
        <x:v>0</x:v>
      </x:c>
      <x:c r="AH271" s="48" t="n">
        <x:v>0</x:v>
      </x:c>
      <x:c r="AI271" s="48" t="n">
        <x:v>1.1920928955078125e-7</x:v>
      </x:c>
      <x:c r="AJ271" s="37" t="str">
        <x:v>passed</x:v>
      </x:c>
    </x:row>
    <x:row r="272" ht="21" customHeight="1">
      <x:c r="A272" s="2"/>
      <x:c r="B272" s="2"/>
      <x:c r="C272" s="2" t="str">
        <x:v>2022</x:v>
      </x:c>
      <x:c r="D272" s="5" t="n">
        <x:v>44658</x:v>
      </x:c>
      <x:c r="E272" s="2" t="str">
        <x:v>duration</x:v>
      </x:c>
      <x:c r="F272" s="37" t="n">
        <x:v>9303313.179678591</x:v>
      </x:c>
      <x:c r="G272" s="37" t="n">
        <x:v>3614840.8387986426</x:v>
      </x:c>
      <x:c r="H272" s="37" t="n">
        <x:v>-11324.615967468184</x:v>
      </x:c>
      <x:c r="I272" s="37" t="n">
        <x:v>3626165.454766111</x:v>
      </x:c>
      <x:c r="J272" s="37" t="n">
        <x:v>10968060.45046657</x:v>
      </x:c>
      <x:c r="K272" s="37" t="n">
        <x:v>7353219.611667926</x:v>
      </x:c>
      <x:c r="L272" s="37" t="n">
        <x:v>12918154.018477233</x:v>
      </x:c>
      <x:c r="M272" s="37" t="n">
        <x:v>0</x:v>
      </x:c>
      <x:c r="N272" s="37" t="n">
        <x:v>0</x:v>
      </x:c>
      <x:c r="O272" s="37" t="n">
        <x:v>509.74265408329666</x:v>
      </x:c>
      <x:c r="P272" s="37" t="n">
        <x:v>0</x:v>
      </x:c>
      <x:c r="Q272" s="37" t="n">
        <x:v>0</x:v>
      </x:c>
      <x:c r="R272" s="37" t="n">
        <x:v>0</x:v>
      </x:c>
      <x:c r="S272" s="37" t="n">
        <x:v>0</x:v>
      </x:c>
      <x:c r="T272" s="37" t="n">
        <x:v>0</x:v>
      </x:c>
      <x:c r="U272" s="37" t="n">
        <x:v>37500</x:v>
      </x:c>
      <x:c r="V272" s="37" t="n">
        <x:v>0</x:v>
      </x:c>
      <x:c r="W272" s="37" t="n">
        <x:v>47824.73134021461</x:v>
      </x:c>
      <x:c r="X272" s="37" t="n">
        <x:v>0</x:v>
      </x:c>
      <x:c r="Y272" s="37" t="n">
        <x:v>1984.778902413692</x:v>
      </x:c>
      <x:c r="Z272" s="37" t="n">
        <x:v>7500284.003901285</x:v>
      </x:c>
      <x:c r="AA272" s="37" t="n">
        <x:v>0</x:v>
      </x:c>
      <x:c r="AB272" s="37" t="n">
        <x:v>7500284.003901285</x:v>
      </x:c>
      <x:c r="AC272" s="37" t="n">
        <x:v>1803029.1757773058</x:v>
      </x:c>
      <x:c r="AD272" s="37" t="n">
        <x:v>0</x:v>
      </x:c>
      <x:c r="AE272" s="37" t="n">
        <x:v>0</x:v>
      </x:c>
      <x:c r="AF272" s="47" t="b">
        <x:v>0</x:v>
      </x:c>
      <x:c r="AG272" s="47" t="b">
        <x:v>0</x:v>
      </x:c>
      <x:c r="AH272" s="48" t="n">
        <x:v>0</x:v>
      </x:c>
      <x:c r="AI272" s="48" t="n">
        <x:v>1.1920928955078125e-7</x:v>
      </x:c>
      <x:c r="AJ272" s="37" t="str">
        <x:v>passed</x:v>
      </x:c>
    </x:row>
    <x:row r="273" ht="21" customHeight="1">
      <x:c r="A273" s="2"/>
      <x:c r="B273" s="2"/>
      <x:c r="C273" s="2" t="str">
        <x:v>2022</x:v>
      </x:c>
      <x:c r="D273" s="5" t="n">
        <x:v>44658</x:v>
      </x:c>
      <x:c r="E273" s="2" t="str">
        <x:v>unweighted</x:v>
      </x:c>
      <x:c r="F273" s="37" t="n">
        <x:v>12121394.813178157</x:v>
      </x:c>
      <x:c r="G273" s="37" t="n">
        <x:v>834943.8243094068</x:v>
      </x:c>
      <x:c r="H273" s="37" t="n">
        <x:v>-15697.927995016902</x:v>
      </x:c>
      <x:c r="I273" s="37" t="n">
        <x:v>850641.7523044237</x:v>
      </x:c>
      <x:c r="J273" s="37" t="n">
        <x:v>10968060.45046657</x:v>
      </x:c>
      <x:c r="K273" s="37" t="n">
        <x:v>10133116.626157163</x:v>
      </x:c>
      <x:c r="L273" s="37" t="n">
        <x:v>12956338.637487564</x:v>
      </x:c>
      <x:c r="M273" s="37" t="n">
        <x:v>0</x:v>
      </x:c>
      <x:c r="N273" s="37" t="n">
        <x:v>0</x:v>
      </x:c>
      <x:c r="O273" s="37" t="n">
        <x:v>664.1496254000813</x:v>
      </x:c>
      <x:c r="P273" s="37" t="n">
        <x:v>0</x:v>
      </x:c>
      <x:c r="Q273" s="37" t="n">
        <x:v>0</x:v>
      </x:c>
      <x:c r="R273" s="37" t="n">
        <x:v>0</x:v>
      </x:c>
      <x:c r="S273" s="37" t="n">
        <x:v>0</x:v>
      </x:c>
      <x:c r="T273" s="37" t="n">
        <x:v>0</x:v>
      </x:c>
      <x:c r="U273" s="37" t="n">
        <x:v>37500</x:v>
      </x:c>
      <x:c r="V273" s="37" t="n">
        <x:v>0</x:v>
      </x:c>
      <x:c r="W273" s="37" t="n">
        <x:v>61905.115019477904</x:v>
      </x:c>
      <x:c r="X273" s="37" t="n">
        <x:v>0</x:v>
      </x:c>
      <x:c r="Y273" s="37" t="n">
        <x:v>2257.9573930567167</x:v>
      </x:c>
      <x:c r="Z273" s="37" t="n">
        <x:v>10335778.958680306</x:v>
      </x:c>
      <x:c r="AA273" s="37" t="n">
        <x:v>0</x:v>
      </x:c>
      <x:c r="AB273" s="37" t="n">
        <x:v>10335778.958680306</x:v>
      </x:c>
      <x:c r="AC273" s="37" t="n">
        <x:v>1785615.8544978518</x:v>
      </x:c>
      <x:c r="AD273" s="37" t="n">
        <x:v>0</x:v>
      </x:c>
      <x:c r="AE273" s="37" t="n">
        <x:v>0</x:v>
      </x:c>
      <x:c r="AF273" s="47" t="b">
        <x:v>0</x:v>
      </x:c>
      <x:c r="AG273" s="47" t="b">
        <x:v>0</x:v>
      </x:c>
      <x:c r="AH273" s="48" t="n">
        <x:v>0</x:v>
      </x:c>
      <x:c r="AI273" s="48" t="n">
        <x:v>1.1920928955078125e-7</x:v>
      </x:c>
      <x:c r="AJ273" s="37" t="str">
        <x:v>passed</x:v>
      </x:c>
    </x:row>
    <x:row r="274" ht="21" customHeight="1">
      <x:c r="A274" s="2"/>
      <x:c r="B274" s="2"/>
      <x:c r="C274" s="2" t="str">
        <x:v>2022</x:v>
      </x:c>
      <x:c r="D274" s="5" t="n">
        <x:v>44658</x:v>
      </x:c>
      <x:c r="E274" s="2" t="str">
        <x:v>constrained</x:v>
      </x:c>
      <x:c r="F274" s="37" t="n">
        <x:v>13097570.171763916</x:v>
      </x:c>
      <x:c r="G274" s="37" t="n">
        <x:v>-83759.10381855283</x:v>
      </x:c>
      <x:c r="H274" s="37" t="n">
        <x:v>-19424.560246051537</x:v>
      </x:c>
      <x:c r="I274" s="37" t="n">
        <x:v>-64334.543572501294</x:v>
      </x:c>
      <x:c r="J274" s="37" t="n">
        <x:v>10968060.45046657</x:v>
      </x:c>
      <x:c r="K274" s="37" t="n">
        <x:v>11051819.554285122</x:v>
      </x:c>
      <x:c r="L274" s="37" t="n">
        <x:v>13013811.067945363</x:v>
      </x:c>
      <x:c r="M274" s="37" t="n">
        <x:v>0</x:v>
      </x:c>
      <x:c r="N274" s="37" t="n">
        <x:v>0</x:v>
      </x:c>
      <x:c r="O274" s="37" t="n">
        <x:v>717.635755399242</x:v>
      </x:c>
      <x:c r="P274" s="37" t="n">
        <x:v>0</x:v>
      </x:c>
      <x:c r="Q274" s="37" t="n">
        <x:v>0</x:v>
      </x:c>
      <x:c r="R274" s="37" t="n">
        <x:v>0</x:v>
      </x:c>
      <x:c r="S274" s="37" t="n">
        <x:v>0</x:v>
      </x:c>
      <x:c r="T274" s="37" t="n">
        <x:v>0</x:v>
      </x:c>
      <x:c r="U274" s="37" t="n">
        <x:v>37500</x:v>
      </x:c>
      <x:c r="V274" s="37" t="n">
        <x:v>0</x:v>
      </x:c>
      <x:c r="W274" s="37" t="n">
        <x:v>67225.50012892485</x:v>
      </x:c>
      <x:c r="X274" s="37" t="n">
        <x:v>0</x:v>
      </x:c>
      <x:c r="Y274" s="37" t="n">
        <x:v>2367.014439593283</x:v>
      </x:c>
      <x:c r="Z274" s="37" t="n">
        <x:v>11272855.945370825</x:v>
      </x:c>
      <x:c r="AA274" s="37" t="n">
        <x:v>0</x:v>
      </x:c>
      <x:c r="AB274" s="37" t="n">
        <x:v>11272855.945370825</x:v>
      </x:c>
      <x:c r="AC274" s="37" t="n">
        <x:v>1824714.2263930906</x:v>
      </x:c>
      <x:c r="AD274" s="37" t="n">
        <x:v>0</x:v>
      </x:c>
      <x:c r="AE274" s="37" t="n">
        <x:v>0</x:v>
      </x:c>
      <x:c r="AF274" s="47" t="b">
        <x:v>0</x:v>
      </x:c>
      <x:c r="AG274" s="47" t="b">
        <x:v>0</x:v>
      </x:c>
      <x:c r="AH274" s="48" t="n">
        <x:v>0</x:v>
      </x:c>
      <x:c r="AI274" s="48" t="n">
        <x:v>1.1920928955078125e-7</x:v>
      </x:c>
      <x:c r="AJ274" s="37" t="str">
        <x:v>passed</x:v>
      </x:c>
    </x:row>
    <x:row r="275" ht="21" customHeight="1">
      <x:c r="A275" s="2"/>
      <x:c r="B275" s="2"/>
      <x:c r="C275" s="2" t="str">
        <x:v>2022</x:v>
      </x:c>
      <x:c r="D275" s="5" t="n">
        <x:v>44659</x:v>
      </x:c>
      <x:c r="E275" s="2" t="str">
        <x:v>unhedged</x:v>
      </x:c>
      <x:c r="F275" s="37" t="n">
        <x:v>1242688.8384525462</x:v>
      </x:c>
      <x:c r="G275" s="37" t="n">
        <x:v>10927303.676171375</x:v>
      </x:c>
      <x:c r="H275" s="37" t="n">
        <x:v>33832.872928176796</x:v>
      </x:c>
      <x:c r="I275" s="37" t="n">
        <x:v>10893470.8032432</x:v>
      </x:c>
      <x:c r="J275" s="37" t="n">
        <x:v>10927303.676171375</x:v>
      </x:c>
      <x:c r="K275" s="37" t="n">
        <x:v>0</x:v>
      </x:c>
      <x:c r="L275" s="37" t="n">
        <x:v>12169992.514623921</x:v>
      </x:c>
      <x:c r="M275" s="37" t="n">
        <x:v>0</x:v>
      </x:c>
      <x:c r="N275" s="37" t="n">
        <x:v>0</x:v>
      </x:c>
      <x:c r="O275" s="37" t="n">
        <x:v>68.08880819939077</x:v>
      </x:c>
      <x:c r="P275" s="37" t="n">
        <x:v>0</x:v>
      </x:c>
      <x:c r="Q275" s="37" t="n">
        <x:v>0</x:v>
      </x:c>
      <x:c r="R275" s="37" t="n">
        <x:v>0</x:v>
      </x:c>
      <x:c r="S275" s="37" t="n">
        <x:v>0</x:v>
      </x:c>
      <x:c r="T275" s="37" t="n">
        <x:v>0</x:v>
      </x:c>
      <x:c r="U275" s="37" t="n">
        <x:v>37500</x:v>
      </x:c>
      <x:c r="V275" s="37" t="n">
        <x:v>0</x:v>
      </x:c>
      <x:c r="W275" s="37" t="n">
        <x:v>6363.557769271778</x:v>
      </x:c>
      <x:c r="X275" s="37" t="n">
        <x:v>0</x:v>
      </x:c>
      <x:c r="Y275" s="37" t="n">
        <x:v>1174.7193167256753</x:v>
      </x:c>
      <x:c r="Z275" s="37" t="n">
        <x:v>0</x:v>
      </x:c>
      <x:c r="AA275" s="37" t="n">
        <x:v>0</x:v>
      </x:c>
      <x:c r="AB275" s="37" t="n">
        <x:v>0</x:v>
      </x:c>
      <x:c r="AC275" s="37" t="n">
        <x:v>1242688.8384525462</x:v>
      </x:c>
      <x:c r="AD275" s="37" t="n">
        <x:v>0</x:v>
      </x:c>
      <x:c r="AE275" s="37" t="n">
        <x:v>0</x:v>
      </x:c>
      <x:c r="AF275" s="47" t="b">
        <x:v>0</x:v>
      </x:c>
      <x:c r="AG275" s="47" t="b">
        <x:v>0</x:v>
      </x:c>
      <x:c r="AH275" s="48" t="n">
        <x:v>0</x:v>
      </x:c>
      <x:c r="AI275" s="48" t="n">
        <x:v>1.1920928955078125e-7</x:v>
      </x:c>
      <x:c r="AJ275" s="37" t="str">
        <x:v>passed</x:v>
      </x:c>
    </x:row>
    <x:row r="276" ht="21" customHeight="1">
      <x:c r="A276" s="2"/>
      <x:c r="B276" s="2"/>
      <x:c r="C276" s="2" t="str">
        <x:v>2022</x:v>
      </x:c>
      <x:c r="D276" s="5" t="n">
        <x:v>44659</x:v>
      </x:c>
      <x:c r="E276" s="2" t="str">
        <x:v>duration</x:v>
      </x:c>
      <x:c r="F276" s="37" t="n">
        <x:v>9303822.950263781</x:v>
      </x:c>
      <x:c r="G276" s="37" t="n">
        <x:v>3615306.114991252</x:v>
      </x:c>
      <x:c r="H276" s="37" t="n">
        <x:v>-11285.729651744032</x:v>
      </x:c>
      <x:c r="I276" s="37" t="n">
        <x:v>3626591.844642996</x:v>
      </x:c>
      <x:c r="J276" s="37" t="n">
        <x:v>10927303.676171375</x:v>
      </x:c>
      <x:c r="K276" s="37" t="n">
        <x:v>7311997.561180123</x:v>
      </x:c>
      <x:c r="L276" s="37" t="n">
        <x:v>12919129.065255033</x:v>
      </x:c>
      <x:c r="M276" s="37" t="n">
        <x:v>0</x:v>
      </x:c>
      <x:c r="N276" s="37" t="n">
        <x:v>0</x:v>
      </x:c>
      <x:c r="O276" s="37" t="n">
        <x:v>509.7705851905048</x:v>
      </x:c>
      <x:c r="P276" s="37" t="n">
        <x:v>0</x:v>
      </x:c>
      <x:c r="Q276" s="37" t="n">
        <x:v>0</x:v>
      </x:c>
      <x:c r="R276" s="37" t="n">
        <x:v>0</x:v>
      </x:c>
      <x:c r="S276" s="37" t="n">
        <x:v>0</x:v>
      </x:c>
      <x:c r="T276" s="37" t="n">
        <x:v>0</x:v>
      </x:c>
      <x:c r="U276" s="37" t="n">
        <x:v>37500</x:v>
      </x:c>
      <x:c r="V276" s="37" t="n">
        <x:v>0</x:v>
      </x:c>
      <x:c r="W276" s="37" t="n">
        <x:v>48334.501925405115</x:v>
      </x:c>
      <x:c r="X276" s="37" t="n">
        <x:v>0</x:v>
      </x:c>
      <x:c r="Y276" s="37" t="n">
        <x:v>1984.778902413692</x:v>
      </x:c>
      <x:c r="Z276" s="37" t="n">
        <x:v>7458237.512403726</x:v>
      </x:c>
      <x:c r="AA276" s="37" t="n">
        <x:v>0</x:v>
      </x:c>
      <x:c r="AB276" s="37" t="n">
        <x:v>7458237.512403726</x:v>
      </x:c>
      <x:c r="AC276" s="37" t="n">
        <x:v>1845585.4378600558</x:v>
      </x:c>
      <x:c r="AD276" s="37" t="n">
        <x:v>0</x:v>
      </x:c>
      <x:c r="AE276" s="37" t="n">
        <x:v>0</x:v>
      </x:c>
      <x:c r="AF276" s="47" t="b">
        <x:v>0</x:v>
      </x:c>
      <x:c r="AG276" s="47" t="b">
        <x:v>0</x:v>
      </x:c>
      <x:c r="AH276" s="48" t="n">
        <x:v>0</x:v>
      </x:c>
      <x:c r="AI276" s="48" t="n">
        <x:v>1.1920928955078125e-7</x:v>
      </x:c>
      <x:c r="AJ276" s="37" t="str">
        <x:v>passed</x:v>
      </x:c>
    </x:row>
    <x:row r="277" ht="21" customHeight="1">
      <x:c r="A277" s="2"/>
      <x:c r="B277" s="2"/>
      <x:c r="C277" s="2" t="str">
        <x:v>2022</x:v>
      </x:c>
      <x:c r="D277" s="5" t="n">
        <x:v>44659</x:v>
      </x:c>
      <x:c r="E277" s="2" t="str">
        <x:v>unweighted</x:v>
      </x:c>
      <x:c r="F277" s="37" t="n">
        <x:v>12122058.99919532</x:v>
      </x:c>
      <x:c r="G277" s="37" t="n">
        <x:v>832579.0026518643</x:v>
      </x:c>
      <x:c r="H277" s="37" t="n">
        <x:v>-15705.913895644055</x:v>
      </x:c>
      <x:c r="I277" s="37" t="n">
        <x:v>848284.9165475083</x:v>
      </x:c>
      <x:c r="J277" s="37" t="n">
        <x:v>10927303.676171375</x:v>
      </x:c>
      <x:c r="K277" s="37" t="n">
        <x:v>10094724.67351951</x:v>
      </x:c>
      <x:c r="L277" s="37" t="n">
        <x:v>12954638.001847185</x:v>
      </x:c>
      <x:c r="M277" s="37" t="n">
        <x:v>0</x:v>
      </x:c>
      <x:c r="N277" s="37" t="n">
        <x:v>0</x:v>
      </x:c>
      <x:c r="O277" s="37" t="n">
        <x:v>664.1860171630979</x:v>
      </x:c>
      <x:c r="P277" s="37" t="n">
        <x:v>0</x:v>
      </x:c>
      <x:c r="Q277" s="37" t="n">
        <x:v>0</x:v>
      </x:c>
      <x:c r="R277" s="37" t="n">
        <x:v>0</x:v>
      </x:c>
      <x:c r="S277" s="37" t="n">
        <x:v>0</x:v>
      </x:c>
      <x:c r="T277" s="37" t="n">
        <x:v>0</x:v>
      </x:c>
      <x:c r="U277" s="37" t="n">
        <x:v>37500</x:v>
      </x:c>
      <x:c r="V277" s="37" t="n">
        <x:v>0</x:v>
      </x:c>
      <x:c r="W277" s="37" t="n">
        <x:v>62569.301036641</x:v>
      </x:c>
      <x:c r="X277" s="37" t="n">
        <x:v>0</x:v>
      </x:c>
      <x:c r="Y277" s="37" t="n">
        <x:v>2257.9573930567167</x:v>
      </x:c>
      <x:c r="Z277" s="37" t="n">
        <x:v>10296619.166989902</x:v>
      </x:c>
      <x:c r="AA277" s="37" t="n">
        <x:v>0</x:v>
      </x:c>
      <x:c r="AB277" s="37" t="n">
        <x:v>10296619.166989902</x:v>
      </x:c>
      <x:c r="AC277" s="37" t="n">
        <x:v>1825439.8322054185</x:v>
      </x:c>
      <x:c r="AD277" s="37" t="n">
        <x:v>0</x:v>
      </x:c>
      <x:c r="AE277" s="37" t="n">
        <x:v>0</x:v>
      </x:c>
      <x:c r="AF277" s="47" t="b">
        <x:v>0</x:v>
      </x:c>
      <x:c r="AG277" s="47" t="b">
        <x:v>0</x:v>
      </x:c>
      <x:c r="AH277" s="48" t="n">
        <x:v>0</x:v>
      </x:c>
      <x:c r="AI277" s="48" t="n">
        <x:v>1.1920928955078125e-7</x:v>
      </x:c>
      <x:c r="AJ277" s="37" t="str">
        <x:v>passed</x:v>
      </x:c>
    </x:row>
    <x:row r="278" ht="21" customHeight="1">
      <x:c r="A278" s="2"/>
      <x:c r="B278" s="2"/>
      <x:c r="C278" s="2" t="str">
        <x:v>2022</x:v>
      </x:c>
      <x:c r="D278" s="5" t="n">
        <x:v>44659</x:v>
      </x:c>
      <x:c r="E278" s="2" t="str">
        <x:v>constrained</x:v>
      </x:c>
      <x:c r="F278" s="37" t="n">
        <x:v>13098287.846841821</x:v>
      </x:c>
      <x:c r="G278" s="37" t="n">
        <x:v>-83565.37179760956</x:v>
      </x:c>
      <x:c r="H278" s="37" t="n">
        <x:v>-19460.726565087876</x:v>
      </x:c>
      <x:c r="I278" s="37" t="n">
        <x:v>-64104.64523252169</x:v>
      </x:c>
      <x:c r="J278" s="37" t="n">
        <x:v>10927303.676171375</x:v>
      </x:c>
      <x:c r="K278" s="37" t="n">
        <x:v>11010869.047968984</x:v>
      </x:c>
      <x:c r="L278" s="37" t="n">
        <x:v>13014722.475044211</x:v>
      </x:c>
      <x:c r="M278" s="37" t="n">
        <x:v>0</x:v>
      </x:c>
      <x:c r="N278" s="37" t="n">
        <x:v>0</x:v>
      </x:c>
      <x:c r="O278" s="37" t="n">
        <x:v>717.6750779058784</x:v>
      </x:c>
      <x:c r="P278" s="37" t="n">
        <x:v>0</x:v>
      </x:c>
      <x:c r="Q278" s="37" t="n">
        <x:v>0</x:v>
      </x:c>
      <x:c r="R278" s="37" t="n">
        <x:v>0</x:v>
      </x:c>
      <x:c r="S278" s="37" t="n">
        <x:v>0</x:v>
      </x:c>
      <x:c r="T278" s="37" t="n">
        <x:v>0</x:v>
      </x:c>
      <x:c r="U278" s="37" t="n">
        <x:v>37500</x:v>
      </x:c>
      <x:c r="V278" s="37" t="n">
        <x:v>0</x:v>
      </x:c>
      <x:c r="W278" s="37" t="n">
        <x:v>67943.17520683073</x:v>
      </x:c>
      <x:c r="X278" s="37" t="n">
        <x:v>0</x:v>
      </x:c>
      <x:c r="Y278" s="37" t="n">
        <x:v>2367.014439593283</x:v>
      </x:c>
      <x:c r="Z278" s="37" t="n">
        <x:v>11231086.428928364</x:v>
      </x:c>
      <x:c r="AA278" s="37" t="n">
        <x:v>0</x:v>
      </x:c>
      <x:c r="AB278" s="37" t="n">
        <x:v>11231086.428928364</x:v>
      </x:c>
      <x:c r="AC278" s="37" t="n">
        <x:v>1867201.4179134574</x:v>
      </x:c>
      <x:c r="AD278" s="37" t="n">
        <x:v>0</x:v>
      </x:c>
      <x:c r="AE278" s="37" t="n">
        <x:v>0</x:v>
      </x:c>
      <x:c r="AF278" s="47" t="b">
        <x:v>0</x:v>
      </x:c>
      <x:c r="AG278" s="47" t="b">
        <x:v>0</x:v>
      </x:c>
      <x:c r="AH278" s="48" t="n">
        <x:v>0</x:v>
      </x:c>
      <x:c r="AI278" s="48" t="n">
        <x:v>1.1920928955078125e-7</x:v>
      </x:c>
      <x:c r="AJ278" s="37" t="str">
        <x:v>passed</x:v>
      </x:c>
    </x:row>
    <x:row r="279" ht="21" customHeight="1">
      <x:c r="A279" s="2"/>
      <x:c r="B279" s="2"/>
      <x:c r="C279" s="2" t="str">
        <x:v>2022</x:v>
      </x:c>
      <x:c r="D279" s="5" t="n">
        <x:v>44662</x:v>
      </x:c>
      <x:c r="E279" s="2" t="str">
        <x:v>unhedged</x:v>
      </x:c>
      <x:c r="F279" s="37" t="n">
        <x:v>1242893.127263325</x:v>
      </x:c>
      <x:c r="G279" s="37" t="n">
        <x:v>10902437.157985797</x:v>
      </x:c>
      <x:c r="H279" s="37" t="n">
        <x:v>34889.50276243094</x:v>
      </x:c>
      <x:c r="I279" s="37" t="n">
        <x:v>10867547.655223366</x:v>
      </x:c>
      <x:c r="J279" s="37" t="n">
        <x:v>10902437.157985797</x:v>
      </x:c>
      <x:c r="K279" s="37" t="n">
        <x:v>0</x:v>
      </x:c>
      <x:c r="L279" s="37" t="n">
        <x:v>12145330.285249121</x:v>
      </x:c>
      <x:c r="M279" s="37" t="n">
        <x:v>0</x:v>
      </x:c>
      <x:c r="N279" s="37" t="n">
        <x:v>0</x:v>
      </x:c>
      <x:c r="O279" s="37" t="n">
        <x:v>204.2888107788749</x:v>
      </x:c>
      <x:c r="P279" s="37" t="n">
        <x:v>0</x:v>
      </x:c>
      <x:c r="Q279" s="37" t="n">
        <x:v>0</x:v>
      </x:c>
      <x:c r="R279" s="37" t="n">
        <x:v>0</x:v>
      </x:c>
      <x:c r="S279" s="37" t="n">
        <x:v>0</x:v>
      </x:c>
      <x:c r="T279" s="37" t="n">
        <x:v>0</x:v>
      </x:c>
      <x:c r="U279" s="37" t="n">
        <x:v>37500</x:v>
      </x:c>
      <x:c r="V279" s="37" t="n">
        <x:v>0</x:v>
      </x:c>
      <x:c r="W279" s="37" t="n">
        <x:v>6567.846580050653</x:v>
      </x:c>
      <x:c r="X279" s="37" t="n">
        <x:v>0</x:v>
      </x:c>
      <x:c r="Y279" s="37" t="n">
        <x:v>1174.7193167256753</x:v>
      </x:c>
      <x:c r="Z279" s="37" t="n">
        <x:v>0</x:v>
      </x:c>
      <x:c r="AA279" s="37" t="n">
        <x:v>0</x:v>
      </x:c>
      <x:c r="AB279" s="37" t="n">
        <x:v>0</x:v>
      </x:c>
      <x:c r="AC279" s="37" t="n">
        <x:v>1242893.127263325</x:v>
      </x:c>
      <x:c r="AD279" s="37" t="n">
        <x:v>0</x:v>
      </x:c>
      <x:c r="AE279" s="37" t="n">
        <x:v>0</x:v>
      </x:c>
      <x:c r="AF279" s="47" t="b">
        <x:v>0</x:v>
      </x:c>
      <x:c r="AG279" s="47" t="b">
        <x:v>0</x:v>
      </x:c>
      <x:c r="AH279" s="48" t="n">
        <x:v>0</x:v>
      </x:c>
      <x:c r="AI279" s="48" t="n">
        <x:v>1.1920928955078125e-7</x:v>
      </x:c>
      <x:c r="AJ279" s="37" t="str">
        <x:v>passed</x:v>
      </x:c>
    </x:row>
    <x:row r="280" ht="21" customHeight="1">
      <x:c r="A280" s="2"/>
      <x:c r="B280" s="2"/>
      <x:c r="C280" s="2" t="str">
        <x:v>2022</x:v>
      </x:c>
      <x:c r="D280" s="5" t="n">
        <x:v>44662</x:v>
      </x:c>
      <x:c r="E280" s="2" t="str">
        <x:v>duration</x:v>
      </x:c>
      <x:c r="F280" s="37" t="n">
        <x:v>9305352.429621277</x:v>
      </x:c>
      <x:c r="G280" s="37" t="n">
        <x:v>3624281.954434227</x:v>
      </x:c>
      <x:c r="H280" s="37" t="n">
        <x:v>-11169.070704571575</x:v>
      </x:c>
      <x:c r="I280" s="37" t="n">
        <x:v>3635451.0251387986</x:v>
      </x:c>
      <x:c r="J280" s="37" t="n">
        <x:v>10902437.157985797</x:v>
      </x:c>
      <x:c r="K280" s="37" t="n">
        <x:v>7278155.203551569</x:v>
      </x:c>
      <x:c r="L280" s="37" t="n">
        <x:v>12929634.384055505</x:v>
      </x:c>
      <x:c r="M280" s="37" t="n">
        <x:v>0</x:v>
      </x:c>
      <x:c r="N280" s="37" t="n">
        <x:v>0</x:v>
      </x:c>
      <x:c r="O280" s="37" t="n">
        <x:v>1529.479357495904</x:v>
      </x:c>
      <x:c r="P280" s="37" t="n">
        <x:v>0</x:v>
      </x:c>
      <x:c r="Q280" s="37" t="n">
        <x:v>0</x:v>
      </x:c>
      <x:c r="R280" s="37" t="n">
        <x:v>0</x:v>
      </x:c>
      <x:c r="S280" s="37" t="n">
        <x:v>0</x:v>
      </x:c>
      <x:c r="T280" s="37" t="n">
        <x:v>0</x:v>
      </x:c>
      <x:c r="U280" s="37" t="n">
        <x:v>37500</x:v>
      </x:c>
      <x:c r="V280" s="37" t="n">
        <x:v>0</x:v>
      </x:c>
      <x:c r="W280" s="37" t="n">
        <x:v>49863.98128290102</x:v>
      </x:c>
      <x:c r="X280" s="37" t="n">
        <x:v>0</x:v>
      </x:c>
      <x:c r="Y280" s="37" t="n">
        <x:v>1984.778902413692</x:v>
      </x:c>
      <x:c r="Z280" s="37" t="n">
        <x:v>7423718.3076226</x:v>
      </x:c>
      <x:c r="AA280" s="37" t="n">
        <x:v>0</x:v>
      </x:c>
      <x:c r="AB280" s="37" t="n">
        <x:v>7423718.3076226</x:v>
      </x:c>
      <x:c r="AC280" s="37" t="n">
        <x:v>1881634.121998677</x:v>
      </x:c>
      <x:c r="AD280" s="37" t="n">
        <x:v>0</x:v>
      </x:c>
      <x:c r="AE280" s="37" t="n">
        <x:v>0</x:v>
      </x:c>
      <x:c r="AF280" s="47" t="b">
        <x:v>0</x:v>
      </x:c>
      <x:c r="AG280" s="47" t="b">
        <x:v>0</x:v>
      </x:c>
      <x:c r="AH280" s="48" t="n">
        <x:v>0</x:v>
      </x:c>
      <x:c r="AI280" s="48" t="n">
        <x:v>1.1920928955078125e-7</x:v>
      </x:c>
      <x:c r="AJ280" s="37" t="str">
        <x:v>passed</x:v>
      </x:c>
    </x:row>
    <x:row r="281" ht="21" customHeight="1">
      <x:c r="A281" s="2"/>
      <x:c r="B281" s="2"/>
      <x:c r="C281" s="2" t="str">
        <x:v>2022</x:v>
      </x:c>
      <x:c r="D281" s="5" t="n">
        <x:v>44662</x:v>
      </x:c>
      <x:c r="E281" s="2" t="str">
        <x:v>unweighted</x:v>
      </x:c>
      <x:c r="F281" s="37" t="n">
        <x:v>12124051.775617307</x:v>
      </x:c>
      <x:c r="G281" s="37" t="n">
        <x:v>831249.8473465835</x:v>
      </x:c>
      <x:c r="H281" s="37" t="n">
        <x:v>-15729.871597525513</x:v>
      </x:c>
      <x:c r="I281" s="37" t="n">
        <x:v>846979.718944109</x:v>
      </x:c>
      <x:c r="J281" s="37" t="n">
        <x:v>10902437.157985797</x:v>
      </x:c>
      <x:c r="K281" s="37" t="n">
        <x:v>10071187.310639214</x:v>
      </x:c>
      <x:c r="L281" s="37" t="n">
        <x:v>12955301.62296389</x:v>
      </x:c>
      <x:c r="M281" s="37" t="n">
        <x:v>0</x:v>
      </x:c>
      <x:c r="N281" s="37" t="n">
        <x:v>0</x:v>
      </x:c>
      <x:c r="O281" s="37" t="n">
        <x:v>1992.7764219865203</x:v>
      </x:c>
      <x:c r="P281" s="37" t="n">
        <x:v>0</x:v>
      </x:c>
      <x:c r="Q281" s="37" t="n">
        <x:v>0</x:v>
      </x:c>
      <x:c r="R281" s="37" t="n">
        <x:v>0</x:v>
      </x:c>
      <x:c r="S281" s="37" t="n">
        <x:v>0</x:v>
      </x:c>
      <x:c r="T281" s="37" t="n">
        <x:v>0</x:v>
      </x:c>
      <x:c r="U281" s="37" t="n">
        <x:v>37500</x:v>
      </x:c>
      <x:c r="V281" s="37" t="n">
        <x:v>0</x:v>
      </x:c>
      <x:c r="W281" s="37" t="n">
        <x:v>64562.07745862752</x:v>
      </x:c>
      <x:c r="X281" s="37" t="n">
        <x:v>0</x:v>
      </x:c>
      <x:c r="Y281" s="37" t="n">
        <x:v>2257.9573930567167</x:v>
      </x:c>
      <x:c r="Z281" s="37" t="n">
        <x:v>10272611.056851998</x:v>
      </x:c>
      <x:c r="AA281" s="37" t="n">
        <x:v>0</x:v>
      </x:c>
      <x:c r="AB281" s="37" t="n">
        <x:v>10272611.056851998</x:v>
      </x:c>
      <x:c r="AC281" s="37" t="n">
        <x:v>1851440.718765309</x:v>
      </x:c>
      <x:c r="AD281" s="37" t="n">
        <x:v>0</x:v>
      </x:c>
      <x:c r="AE281" s="37" t="n">
        <x:v>0</x:v>
      </x:c>
      <x:c r="AF281" s="47" t="b">
        <x:v>0</x:v>
      </x:c>
      <x:c r="AG281" s="47" t="b">
        <x:v>0</x:v>
      </x:c>
      <x:c r="AH281" s="48" t="n">
        <x:v>0</x:v>
      </x:c>
      <x:c r="AI281" s="48" t="n">
        <x:v>1.1920928955078125e-7</x:v>
      </x:c>
      <x:c r="AJ281" s="37" t="str">
        <x:v>passed</x:v>
      </x:c>
    </x:row>
    <x:row r="282" ht="21" customHeight="1">
      <x:c r="A282" s="2"/>
      <x:c r="B282" s="2"/>
      <x:c r="C282" s="2" t="str">
        <x:v>2022</x:v>
      </x:c>
      <x:c r="D282" s="5" t="n">
        <x:v>44662</x:v>
      </x:c>
      <x:c r="E282" s="2" t="str">
        <x:v>constrained</x:v>
      </x:c>
      <x:c r="F282" s="37" t="n">
        <x:v>13100441.10803213</x:v>
      </x:c>
      <x:c r="G282" s="37" t="n">
        <x:v>-83872.79793085286</x:v>
      </x:c>
      <x:c r="H282" s="37" t="n">
        <x:v>-19569.22552219691</x:v>
      </x:c>
      <x:c r="I282" s="37" t="n">
        <x:v>-64303.57240865595</x:v>
      </x:c>
      <x:c r="J282" s="37" t="n">
        <x:v>10902437.157985797</x:v>
      </x:c>
      <x:c r="K282" s="37" t="n">
        <x:v>10986309.955916649</x:v>
      </x:c>
      <x:c r="L282" s="37" t="n">
        <x:v>13016568.310101276</x:v>
      </x:c>
      <x:c r="M282" s="37" t="n">
        <x:v>0</x:v>
      </x:c>
      <x:c r="N282" s="37" t="n">
        <x:v>0</x:v>
      </x:c>
      <x:c r="O282" s="37" t="n">
        <x:v>2153.261190308258</x:v>
      </x:c>
      <x:c r="P282" s="37" t="n">
        <x:v>0</x:v>
      </x:c>
      <x:c r="Q282" s="37" t="n">
        <x:v>0</x:v>
      </x:c>
      <x:c r="R282" s="37" t="n">
        <x:v>0</x:v>
      </x:c>
      <x:c r="S282" s="37" t="n">
        <x:v>0</x:v>
      </x:c>
      <x:c r="T282" s="37" t="n">
        <x:v>0</x:v>
      </x:c>
      <x:c r="U282" s="37" t="n">
        <x:v>37500</x:v>
      </x:c>
      <x:c r="V282" s="37" t="n">
        <x:v>0</x:v>
      </x:c>
      <x:c r="W282" s="37" t="n">
        <x:v>70096.43639713898</x:v>
      </x:c>
      <x:c r="X282" s="37" t="n">
        <x:v>0</x:v>
      </x:c>
      <x:c r="Y282" s="37" t="n">
        <x:v>2367.014439593283</x:v>
      </x:c>
      <x:c r="Z282" s="37" t="n">
        <x:v>11206036.155034982</x:v>
      </x:c>
      <x:c r="AA282" s="37" t="n">
        <x:v>0</x:v>
      </x:c>
      <x:c r="AB282" s="37" t="n">
        <x:v>11206036.155034982</x:v>
      </x:c>
      <x:c r="AC282" s="37" t="n">
        <x:v>1894404.952997148</x:v>
      </x:c>
      <x:c r="AD282" s="37" t="n">
        <x:v>0</x:v>
      </x:c>
      <x:c r="AE282" s="37" t="n">
        <x:v>0</x:v>
      </x:c>
      <x:c r="AF282" s="47" t="b">
        <x:v>0</x:v>
      </x:c>
      <x:c r="AG282" s="47" t="b">
        <x:v>0</x:v>
      </x:c>
      <x:c r="AH282" s="48" t="n">
        <x:v>0</x:v>
      </x:c>
      <x:c r="AI282" s="48" t="n">
        <x:v>1.1920928955078125e-7</x:v>
      </x:c>
      <x:c r="AJ282" s="37" t="str">
        <x:v>passed</x:v>
      </x:c>
    </x:row>
    <x:row r="283" ht="21" customHeight="1">
      <x:c r="A283" s="2"/>
      <x:c r="B283" s="2"/>
      <x:c r="C283" s="2" t="str">
        <x:v>2022</x:v>
      </x:c>
      <x:c r="D283" s="5" t="n">
        <x:v>44663</x:v>
      </x:c>
      <x:c r="E283" s="2" t="str">
        <x:v>unhedged</x:v>
      </x:c>
      <x:c r="F283" s="37" t="n">
        <x:v>1242961.230996326</x:v>
      </x:c>
      <x:c r="G283" s="37" t="n">
        <x:v>10961728.222108515</x:v>
      </x:c>
      <x:c r="H283" s="37" t="n">
        <x:v>35241.71270718232</x:v>
      </x:c>
      <x:c r="I283" s="37" t="n">
        <x:v>10926486.509401333</x:v>
      </x:c>
      <x:c r="J283" s="37" t="n">
        <x:v>10961728.222108515</x:v>
      </x:c>
      <x:c r="K283" s="37" t="n">
        <x:v>0</x:v>
      </x:c>
      <x:c r="L283" s="37" t="n">
        <x:v>12204689.45310484</x:v>
      </x:c>
      <x:c r="M283" s="37" t="n">
        <x:v>0</x:v>
      </x:c>
      <x:c r="N283" s="37" t="n">
        <x:v>0</x:v>
      </x:c>
      <x:c r="O283" s="37" t="n">
        <x:v>68.10373300104402</x:v>
      </x:c>
      <x:c r="P283" s="37" t="n">
        <x:v>0</x:v>
      </x:c>
      <x:c r="Q283" s="37" t="n">
        <x:v>0</x:v>
      </x:c>
      <x:c r="R283" s="37" t="n">
        <x:v>0</x:v>
      </x:c>
      <x:c r="S283" s="37" t="n">
        <x:v>0</x:v>
      </x:c>
      <x:c r="T283" s="37" t="n">
        <x:v>0</x:v>
      </x:c>
      <x:c r="U283" s="37" t="n">
        <x:v>37500</x:v>
      </x:c>
      <x:c r="V283" s="37" t="n">
        <x:v>0</x:v>
      </x:c>
      <x:c r="W283" s="37" t="n">
        <x:v>6635.950313051697</x:v>
      </x:c>
      <x:c r="X283" s="37" t="n">
        <x:v>0</x:v>
      </x:c>
      <x:c r="Y283" s="37" t="n">
        <x:v>1174.7193167256753</x:v>
      </x:c>
      <x:c r="Z283" s="37" t="n">
        <x:v>0</x:v>
      </x:c>
      <x:c r="AA283" s="37" t="n">
        <x:v>0</x:v>
      </x:c>
      <x:c r="AB283" s="37" t="n">
        <x:v>0</x:v>
      </x:c>
      <x:c r="AC283" s="37" t="n">
        <x:v>1242961.230996326</x:v>
      </x:c>
      <x:c r="AD283" s="37" t="n">
        <x:v>0</x:v>
      </x:c>
      <x:c r="AE283" s="37" t="n">
        <x:v>0</x:v>
      </x:c>
      <x:c r="AF283" s="47" t="b">
        <x:v>0</x:v>
      </x:c>
      <x:c r="AG283" s="47" t="b">
        <x:v>0</x:v>
      </x:c>
      <x:c r="AH283" s="48" t="n">
        <x:v>0</x:v>
      </x:c>
      <x:c r="AI283" s="48" t="n">
        <x:v>1.1920928955078125e-7</x:v>
      </x:c>
      <x:c r="AJ283" s="37" t="str">
        <x:v>passed</x:v>
      </x:c>
    </x:row>
    <x:row r="284" ht="21" customHeight="1">
      <x:c r="A284" s="2"/>
      <x:c r="B284" s="2"/>
      <x:c r="C284" s="2" t="str">
        <x:v>2022</x:v>
      </x:c>
      <x:c r="D284" s="5" t="n">
        <x:v>44663</x:v>
      </x:c>
      <x:c r="E284" s="2" t="str">
        <x:v>duration</x:v>
      </x:c>
      <x:c r="F284" s="37" t="n">
        <x:v>9305862.311946187</x:v>
      </x:c>
      <x:c r="G284" s="37" t="n">
        <x:v>3638303.9084307672</x:v>
      </x:c>
      <x:c r="H284" s="37" t="n">
        <x:v>-11130.184388847423</x:v>
      </x:c>
      <x:c r="I284" s="37" t="n">
        <x:v>3649434.092819615</x:v>
      </x:c>
      <x:c r="J284" s="37" t="n">
        <x:v>10961728.222108515</x:v>
      </x:c>
      <x:c r="K284" s="37" t="n">
        <x:v>7323424.313677748</x:v>
      </x:c>
      <x:c r="L284" s="37" t="n">
        <x:v>12944166.220376953</x:v>
      </x:c>
      <x:c r="M284" s="37" t="n">
        <x:v>0</x:v>
      </x:c>
      <x:c r="N284" s="37" t="n">
        <x:v>0</x:v>
      </x:c>
      <x:c r="O284" s="37" t="n">
        <x:v>509.88232490979135</x:v>
      </x:c>
      <x:c r="P284" s="37" t="n">
        <x:v>0</x:v>
      </x:c>
      <x:c r="Q284" s="37" t="n">
        <x:v>0</x:v>
      </x:c>
      <x:c r="R284" s="37" t="n">
        <x:v>0</x:v>
      </x:c>
      <x:c r="S284" s="37" t="n">
        <x:v>0</x:v>
      </x:c>
      <x:c r="T284" s="37" t="n">
        <x:v>0</x:v>
      </x:c>
      <x:c r="U284" s="37" t="n">
        <x:v>37500</x:v>
      </x:c>
      <x:c r="V284" s="37" t="n">
        <x:v>0</x:v>
      </x:c>
      <x:c r="W284" s="37" t="n">
        <x:v>50373.86360781081</x:v>
      </x:c>
      <x:c r="X284" s="37" t="n">
        <x:v>0</x:v>
      </x:c>
      <x:c r="Y284" s="37" t="n">
        <x:v>1984.778902413692</x:v>
      </x:c>
      <x:c r="Z284" s="37" t="n">
        <x:v>7469892.799951303</x:v>
      </x:c>
      <x:c r="AA284" s="37" t="n">
        <x:v>0</x:v>
      </x:c>
      <x:c r="AB284" s="37" t="n">
        <x:v>7469892.799951303</x:v>
      </x:c>
      <x:c r="AC284" s="37" t="n">
        <x:v>1835969.5119948843</x:v>
      </x:c>
      <x:c r="AD284" s="37" t="n">
        <x:v>0</x:v>
      </x:c>
      <x:c r="AE284" s="37" t="n">
        <x:v>0</x:v>
      </x:c>
      <x:c r="AF284" s="47" t="b">
        <x:v>0</x:v>
      </x:c>
      <x:c r="AG284" s="47" t="b">
        <x:v>0</x:v>
      </x:c>
      <x:c r="AH284" s="48" t="n">
        <x:v>0</x:v>
      </x:c>
      <x:c r="AI284" s="48" t="n">
        <x:v>1.1920928955078125e-7</x:v>
      </x:c>
      <x:c r="AJ284" s="37" t="str">
        <x:v>passed</x:v>
      </x:c>
    </x:row>
    <x:row r="285" ht="21" customHeight="1">
      <x:c r="A285" s="2"/>
      <x:c r="B285" s="2"/>
      <x:c r="C285" s="2" t="str">
        <x:v>2022</x:v>
      </x:c>
      <x:c r="D285" s="5" t="n">
        <x:v>44663</x:v>
      </x:c>
      <x:c r="E285" s="2" t="str">
        <x:v>unweighted</x:v>
      </x:c>
      <x:c r="F285" s="37" t="n">
        <x:v>12124716.107221449</x:v>
      </x:c>
      <x:c r="G285" s="37" t="n">
        <x:v>835776.5599159198</x:v>
      </x:c>
      <x:c r="H285" s="37" t="n">
        <x:v>-15737.85749815266</x:v>
      </x:c>
      <x:c r="I285" s="37" t="n">
        <x:v>851514.4174140724</x:v>
      </x:c>
      <x:c r="J285" s="37" t="n">
        <x:v>10961728.222108515</x:v>
      </x:c>
      <x:c r="K285" s="37" t="n">
        <x:v>10125951.662192594</x:v>
      </x:c>
      <x:c r="L285" s="37" t="n">
        <x:v>12960492.66713737</x:v>
      </x:c>
      <x:c r="M285" s="37" t="n">
        <x:v>0</x:v>
      </x:c>
      <x:c r="N285" s="37" t="n">
        <x:v>0</x:v>
      </x:c>
      <x:c r="O285" s="37" t="n">
        <x:v>664.331604141742</x:v>
      </x:c>
      <x:c r="P285" s="37" t="n">
        <x:v>0</x:v>
      </x:c>
      <x:c r="Q285" s="37" t="n">
        <x:v>0</x:v>
      </x:c>
      <x:c r="R285" s="37" t="n">
        <x:v>0</x:v>
      </x:c>
      <x:c r="S285" s="37" t="n">
        <x:v>0</x:v>
      </x:c>
      <x:c r="T285" s="37" t="n">
        <x:v>0</x:v>
      </x:c>
      <x:c r="U285" s="37" t="n">
        <x:v>37500</x:v>
      </x:c>
      <x:c r="V285" s="37" t="n">
        <x:v>0</x:v>
      </x:c>
      <x:c r="W285" s="37" t="n">
        <x:v>65226.409062769264</x:v>
      </x:c>
      <x:c r="X285" s="37" t="n">
        <x:v>0</x:v>
      </x:c>
      <x:c r="Y285" s="37" t="n">
        <x:v>2257.9573930567167</x:v>
      </x:c>
      <x:c r="Z285" s="37" t="n">
        <x:v>10328470.695436446</x:v>
      </x:c>
      <x:c r="AA285" s="37" t="n">
        <x:v>0</x:v>
      </x:c>
      <x:c r="AB285" s="37" t="n">
        <x:v>10328470.695436446</x:v>
      </x:c>
      <x:c r="AC285" s="37" t="n">
        <x:v>1796245.4117850028</x:v>
      </x:c>
      <x:c r="AD285" s="37" t="n">
        <x:v>0</x:v>
      </x:c>
      <x:c r="AE285" s="37" t="n">
        <x:v>0</x:v>
      </x:c>
      <x:c r="AF285" s="47" t="b">
        <x:v>0</x:v>
      </x:c>
      <x:c r="AG285" s="47" t="b">
        <x:v>0</x:v>
      </x:c>
      <x:c r="AH285" s="48" t="n">
        <x:v>0</x:v>
      </x:c>
      <x:c r="AI285" s="48" t="n">
        <x:v>1.1920928955078125e-7</x:v>
      </x:c>
      <x:c r="AJ285" s="37" t="str">
        <x:v>passed</x:v>
      </x:c>
    </x:row>
    <x:row r="286" ht="21" customHeight="1">
      <x:c r="A286" s="2"/>
      <x:c r="B286" s="2"/>
      <x:c r="C286" s="2" t="str">
        <x:v>2022</x:v>
      </x:c>
      <x:c r="D286" s="5" t="n">
        <x:v>44663</x:v>
      </x:c>
      <x:c r="E286" s="2" t="str">
        <x:v>constrained</x:v>
      </x:c>
      <x:c r="F286" s="37" t="n">
        <x:v>13101158.94042161</x:v>
      </x:c>
      <x:c r="G286" s="37" t="n">
        <x:v>-83714.34688591612</x:v>
      </x:c>
      <x:c r="H286" s="37" t="n">
        <x:v>-19605.391841233253</x:v>
      </x:c>
      <x:c r="I286" s="37" t="n">
        <x:v>-64108.955044682865</x:v>
      </x:c>
      <x:c r="J286" s="37" t="n">
        <x:v>10961728.222108515</x:v>
      </x:c>
      <x:c r="K286" s="37" t="n">
        <x:v>11045442.56899443</x:v>
      </x:c>
      <x:c r="L286" s="37" t="n">
        <x:v>13017444.593535693</x:v>
      </x:c>
      <x:c r="M286" s="37" t="n">
        <x:v>0</x:v>
      </x:c>
      <x:c r="N286" s="37" t="n">
        <x:v>0</x:v>
      </x:c>
      <x:c r="O286" s="37" t="n">
        <x:v>717.832389479503</x:v>
      </x:c>
      <x:c r="P286" s="37" t="n">
        <x:v>0</x:v>
      </x:c>
      <x:c r="Q286" s="37" t="n">
        <x:v>0</x:v>
      </x:c>
      <x:c r="R286" s="37" t="n">
        <x:v>0</x:v>
      </x:c>
      <x:c r="S286" s="37" t="n">
        <x:v>0</x:v>
      </x:c>
      <x:c r="T286" s="37" t="n">
        <x:v>0</x:v>
      </x:c>
      <x:c r="U286" s="37" t="n">
        <x:v>37500</x:v>
      </x:c>
      <x:c r="V286" s="37" t="n">
        <x:v>0</x:v>
      </x:c>
      <x:c r="W286" s="37" t="n">
        <x:v>70814.26878661849</x:v>
      </x:c>
      <x:c r="X286" s="37" t="n">
        <x:v>0</x:v>
      </x:c>
      <x:c r="Y286" s="37" t="n">
        <x:v>2367.014439593283</x:v>
      </x:c>
      <x:c r="Z286" s="37" t="n">
        <x:v>11266351.420374319</x:v>
      </x:c>
      <x:c r="AA286" s="37" t="n">
        <x:v>0</x:v>
      </x:c>
      <x:c r="AB286" s="37" t="n">
        <x:v>11266351.420374319</x:v>
      </x:c>
      <x:c r="AC286" s="37" t="n">
        <x:v>1834807.5200472903</x:v>
      </x:c>
      <x:c r="AD286" s="37" t="n">
        <x:v>0</x:v>
      </x:c>
      <x:c r="AE286" s="37" t="n">
        <x:v>0</x:v>
      </x:c>
      <x:c r="AF286" s="47" t="b">
        <x:v>0</x:v>
      </x:c>
      <x:c r="AG286" s="47" t="b">
        <x:v>0</x:v>
      </x:c>
      <x:c r="AH286" s="48" t="n">
        <x:v>0</x:v>
      </x:c>
      <x:c r="AI286" s="48" t="n">
        <x:v>1.1920928955078125e-7</x:v>
      </x:c>
      <x:c r="AJ286" s="37" t="str">
        <x:v>passed</x:v>
      </x:c>
    </x:row>
    <x:row r="287" ht="21" customHeight="1">
      <x:c r="A287" s="2"/>
      <x:c r="B287" s="2"/>
      <x:c r="C287" s="2" t="str">
        <x:v>2022</x:v>
      </x:c>
      <x:c r="D287" s="5" t="n">
        <x:v>44664</x:v>
      </x:c>
      <x:c r="E287" s="2" t="str">
        <x:v>unhedged</x:v>
      </x:c>
      <x:c r="F287" s="37" t="n">
        <x:v>1243029.3384610382</x:v>
      </x:c>
      <x:c r="G287" s="37" t="n">
        <x:v>10974437.555756576</x:v>
      </x:c>
      <x:c r="H287" s="37" t="n">
        <x:v>35593.9226519337</x:v>
      </x:c>
      <x:c r="I287" s="37" t="n">
        <x:v>10938843.633104643</x:v>
      </x:c>
      <x:c r="J287" s="37" t="n">
        <x:v>10974437.555756576</x:v>
      </x:c>
      <x:c r="K287" s="37" t="n">
        <x:v>0</x:v>
      </x:c>
      <x:c r="L287" s="37" t="n">
        <x:v>12217466.894217614</x:v>
      </x:c>
      <x:c r="M287" s="37" t="n">
        <x:v>0</x:v>
      </x:c>
      <x:c r="N287" s="37" t="n">
        <x:v>0</x:v>
      </x:c>
      <x:c r="O287" s="37" t="n">
        <x:v>68.10746471211314</x:v>
      </x:c>
      <x:c r="P287" s="37" t="n">
        <x:v>0</x:v>
      </x:c>
      <x:c r="Q287" s="37" t="n">
        <x:v>0</x:v>
      </x:c>
      <x:c r="R287" s="37" t="n">
        <x:v>0</x:v>
      </x:c>
      <x:c r="S287" s="37" t="n">
        <x:v>0</x:v>
      </x:c>
      <x:c r="T287" s="37" t="n">
        <x:v>0</x:v>
      </x:c>
      <x:c r="U287" s="37" t="n">
        <x:v>37500</x:v>
      </x:c>
      <x:c r="V287" s="37" t="n">
        <x:v>0</x:v>
      </x:c>
      <x:c r="W287" s="37" t="n">
        <x:v>6704.05777776381</x:v>
      </x:c>
      <x:c r="X287" s="37" t="n">
        <x:v>0</x:v>
      </x:c>
      <x:c r="Y287" s="37" t="n">
        <x:v>1174.7193167256753</x:v>
      </x:c>
      <x:c r="Z287" s="37" t="n">
        <x:v>0</x:v>
      </x:c>
      <x:c r="AA287" s="37" t="n">
        <x:v>0</x:v>
      </x:c>
      <x:c r="AB287" s="37" t="n">
        <x:v>0</x:v>
      </x:c>
      <x:c r="AC287" s="37" t="n">
        <x:v>1243029.3384610382</x:v>
      </x:c>
      <x:c r="AD287" s="37" t="n">
        <x:v>0</x:v>
      </x:c>
      <x:c r="AE287" s="37" t="n">
        <x:v>0</x:v>
      </x:c>
      <x:c r="AF287" s="47" t="b">
        <x:v>0</x:v>
      </x:c>
      <x:c r="AG287" s="47" t="b">
        <x:v>0</x:v>
      </x:c>
      <x:c r="AH287" s="48" t="n">
        <x:v>0</x:v>
      </x:c>
      <x:c r="AI287" s="48" t="n">
        <x:v>1.1920928955078125e-7</x:v>
      </x:c>
      <x:c r="AJ287" s="37" t="str">
        <x:v>passed</x:v>
      </x:c>
    </x:row>
    <x:row r="288" ht="21" customHeight="1">
      <x:c r="A288" s="2"/>
      <x:c r="B288" s="2"/>
      <x:c r="C288" s="2" t="str">
        <x:v>2022</x:v>
      </x:c>
      <x:c r="D288" s="5" t="n">
        <x:v>44664</x:v>
      </x:c>
      <x:c r="E288" s="2" t="str">
        <x:v>duration</x:v>
      </x:c>
      <x:c r="F288" s="37" t="n">
        <x:v>9306372.222209856</x:v>
      </x:c>
      <x:c r="G288" s="37" t="n">
        <x:v>3636294.473927254</x:v>
      </x:c>
      <x:c r="H288" s="37" t="n">
        <x:v>-11091.298073123258</x:v>
      </x:c>
      <x:c r="I288" s="37" t="n">
        <x:v>3647385.772000377</x:v>
      </x:c>
      <x:c r="J288" s="37" t="n">
        <x:v>10974437.555756576</x:v>
      </x:c>
      <x:c r="K288" s="37" t="n">
        <x:v>7338143.0818293225</x:v>
      </x:c>
      <x:c r="L288" s="37" t="n">
        <x:v>12942666.69613711</x:v>
      </x:c>
      <x:c r="M288" s="37" t="n">
        <x:v>0</x:v>
      </x:c>
      <x:c r="N288" s="37" t="n">
        <x:v>0</x:v>
      </x:c>
      <x:c r="O288" s="37" t="n">
        <x:v>509.91026366874576</x:v>
      </x:c>
      <x:c r="P288" s="37" t="n">
        <x:v>0</x:v>
      </x:c>
      <x:c r="Q288" s="37" t="n">
        <x:v>0</x:v>
      </x:c>
      <x:c r="R288" s="37" t="n">
        <x:v>0</x:v>
      </x:c>
      <x:c r="S288" s="37" t="n">
        <x:v>0</x:v>
      </x:c>
      <x:c r="T288" s="37" t="n">
        <x:v>0</x:v>
      </x:c>
      <x:c r="U288" s="37" t="n">
        <x:v>37500</x:v>
      </x:c>
      <x:c r="V288" s="37" t="n">
        <x:v>0</x:v>
      </x:c>
      <x:c r="W288" s="37" t="n">
        <x:v>50883.773871479556</x:v>
      </x:c>
      <x:c r="X288" s="37" t="n">
        <x:v>0</x:v>
      </x:c>
      <x:c r="Y288" s="37" t="n">
        <x:v>1984.778902413692</x:v>
      </x:c>
      <x:c r="Z288" s="37" t="n">
        <x:v>7484905.943465909</x:v>
      </x:c>
      <x:c r="AA288" s="37" t="n">
        <x:v>0</x:v>
      </x:c>
      <x:c r="AB288" s="37" t="n">
        <x:v>7484905.943465909</x:v>
      </x:c>
      <x:c r="AC288" s="37" t="n">
        <x:v>1821466.278743947</x:v>
      </x:c>
      <x:c r="AD288" s="37" t="n">
        <x:v>0</x:v>
      </x:c>
      <x:c r="AE288" s="37" t="n">
        <x:v>0</x:v>
      </x:c>
      <x:c r="AF288" s="47" t="b">
        <x:v>0</x:v>
      </x:c>
      <x:c r="AG288" s="47" t="b">
        <x:v>0</x:v>
      </x:c>
      <x:c r="AH288" s="48" t="n">
        <x:v>0</x:v>
      </x:c>
      <x:c r="AI288" s="48" t="n">
        <x:v>1.1920928955078125e-7</x:v>
      </x:c>
      <x:c r="AJ288" s="37" t="str">
        <x:v>passed</x:v>
      </x:c>
    </x:row>
    <x:row r="289" ht="21" customHeight="1">
      <x:c r="A289" s="2"/>
      <x:c r="B289" s="2"/>
      <x:c r="C289" s="2" t="str">
        <x:v>2022</x:v>
      </x:c>
      <x:c r="D289" s="5" t="n">
        <x:v>44664</x:v>
      </x:c>
      <x:c r="E289" s="2" t="str">
        <x:v>unweighted</x:v>
      </x:c>
      <x:c r="F289" s="37" t="n">
        <x:v>12125380.475227326</x:v>
      </x:c>
      <x:c r="G289" s="37" t="n">
        <x:v>836510.9523009242</x:v>
      </x:c>
      <x:c r="H289" s="37" t="n">
        <x:v>-15745.843398779807</x:v>
      </x:c>
      <x:c r="I289" s="37" t="n">
        <x:v>852256.7956997041</x:v>
      </x:c>
      <x:c r="J289" s="37" t="n">
        <x:v>10974437.555756576</x:v>
      </x:c>
      <x:c r="K289" s="37" t="n">
        <x:v>10137926.603455652</x:v>
      </x:c>
      <x:c r="L289" s="37" t="n">
        <x:v>12961891.427528251</x:v>
      </x:c>
      <x:c r="M289" s="37" t="n">
        <x:v>0</x:v>
      </x:c>
      <x:c r="N289" s="37" t="n">
        <x:v>0</x:v>
      </x:c>
      <x:c r="O289" s="37" t="n">
        <x:v>664.3680058773607</x:v>
      </x:c>
      <x:c r="P289" s="37" t="n">
        <x:v>0</x:v>
      </x:c>
      <x:c r="Q289" s="37" t="n">
        <x:v>0</x:v>
      </x:c>
      <x:c r="R289" s="37" t="n">
        <x:v>0</x:v>
      </x:c>
      <x:c r="S289" s="37" t="n">
        <x:v>0</x:v>
      </x:c>
      <x:c r="T289" s="37" t="n">
        <x:v>0</x:v>
      </x:c>
      <x:c r="U289" s="37" t="n">
        <x:v>37500</x:v>
      </x:c>
      <x:c r="V289" s="37" t="n">
        <x:v>0</x:v>
      </x:c>
      <x:c r="W289" s="37" t="n">
        <x:v>65890.77706864662</x:v>
      </x:c>
      <x:c r="X289" s="37" t="n">
        <x:v>0</x:v>
      </x:c>
      <x:c r="Y289" s="37" t="n">
        <x:v>2257.9573930567167</x:v>
      </x:c>
      <x:c r="Z289" s="37" t="n">
        <x:v>10340685.135524765</x:v>
      </x:c>
      <x:c r="AA289" s="37" t="n">
        <x:v>0</x:v>
      </x:c>
      <x:c r="AB289" s="37" t="n">
        <x:v>10340685.135524765</x:v>
      </x:c>
      <x:c r="AC289" s="37" t="n">
        <x:v>1784695.3397025615</x:v>
      </x:c>
      <x:c r="AD289" s="37" t="n">
        <x:v>0</x:v>
      </x:c>
      <x:c r="AE289" s="37" t="n">
        <x:v>0</x:v>
      </x:c>
      <x:c r="AF289" s="47" t="b">
        <x:v>0</x:v>
      </x:c>
      <x:c r="AG289" s="47" t="b">
        <x:v>0</x:v>
      </x:c>
      <x:c r="AH289" s="48" t="n">
        <x:v>0</x:v>
      </x:c>
      <x:c r="AI289" s="48" t="n">
        <x:v>1.1920928955078125e-7</x:v>
      </x:c>
      <x:c r="AJ289" s="37" t="str">
        <x:v>passed</x:v>
      </x:c>
    </x:row>
    <x:row r="290" ht="21" customHeight="1">
      <x:c r="A290" s="2"/>
      <x:c r="B290" s="2"/>
      <x:c r="C290" s="2" t="str">
        <x:v>2022</x:v>
      </x:c>
      <x:c r="D290" s="5" t="n">
        <x:v>44664</x:v>
      </x:c>
      <x:c r="E290" s="2" t="str">
        <x:v>constrained</x:v>
      </x:c>
      <x:c r="F290" s="37" t="n">
        <x:v>13101876.812144373</x:v>
      </x:c>
      <x:c r="G290" s="37" t="n">
        <x:v>-83676.55711491458</x:v>
      </x:c>
      <x:c r="H290" s="37" t="n">
        <x:v>-19641.55816026959</x:v>
      </x:c>
      <x:c r="I290" s="37" t="n">
        <x:v>-64034.998954644994</x:v>
      </x:c>
      <x:c r="J290" s="37" t="n">
        <x:v>10974437.555756576</x:v>
      </x:c>
      <x:c r="K290" s="37" t="n">
        <x:v>11058114.11287149</x:v>
      </x:c>
      <x:c r="L290" s="37" t="n">
        <x:v>13018200.255029459</x:v>
      </x:c>
      <x:c r="M290" s="37" t="n">
        <x:v>0</x:v>
      </x:c>
      <x:c r="N290" s="37" t="n">
        <x:v>0</x:v>
      </x:c>
      <x:c r="O290" s="37" t="n">
        <x:v>717.8717227634043</x:v>
      </x:c>
      <x:c r="P290" s="37" t="n">
        <x:v>0</x:v>
      </x:c>
      <x:c r="Q290" s="37" t="n">
        <x:v>0</x:v>
      </x:c>
      <x:c r="R290" s="37" t="n">
        <x:v>0</x:v>
      </x:c>
      <x:c r="S290" s="37" t="n">
        <x:v>0</x:v>
      </x:c>
      <x:c r="T290" s="37" t="n">
        <x:v>0</x:v>
      </x:c>
      <x:c r="U290" s="37" t="n">
        <x:v>37500</x:v>
      </x:c>
      <x:c r="V290" s="37" t="n">
        <x:v>0</x:v>
      </x:c>
      <x:c r="W290" s="37" t="n">
        <x:v>71532.14050938189</x:v>
      </x:c>
      <x:c r="X290" s="37" t="n">
        <x:v>0</x:v>
      </x:c>
      <x:c r="Y290" s="37" t="n">
        <x:v>2367.014439593283</x:v>
      </x:c>
      <x:c r="Z290" s="37" t="n">
        <x:v>11279276.39512892</x:v>
      </x:c>
      <x:c r="AA290" s="37" t="n">
        <x:v>0</x:v>
      </x:c>
      <x:c r="AB290" s="37" t="n">
        <x:v>11279276.39512892</x:v>
      </x:c>
      <x:c r="AC290" s="37" t="n">
        <x:v>1822600.417015452</x:v>
      </x:c>
      <x:c r="AD290" s="37" t="n">
        <x:v>0</x:v>
      </x:c>
      <x:c r="AE290" s="37" t="n">
        <x:v>0</x:v>
      </x:c>
      <x:c r="AF290" s="47" t="b">
        <x:v>0</x:v>
      </x:c>
      <x:c r="AG290" s="47" t="b">
        <x:v>0</x:v>
      </x:c>
      <x:c r="AH290" s="48" t="n">
        <x:v>0</x:v>
      </x:c>
      <x:c r="AI290" s="48" t="n">
        <x:v>1.1920928955078125e-7</x:v>
      </x:c>
      <x:c r="AJ290" s="37" t="str">
        <x:v>passed</x:v>
      </x:c>
    </x:row>
    <x:row r="291" ht="21" customHeight="1">
      <x:c r="A291" s="2"/>
      <x:c r="B291" s="2"/>
      <x:c r="C291" s="2" t="str">
        <x:v>2022</x:v>
      </x:c>
      <x:c r="D291" s="5" t="n">
        <x:v>44665</x:v>
      </x:c>
      <x:c r="E291" s="2" t="str">
        <x:v>unhedged</x:v>
      </x:c>
      <x:c r="F291" s="37" t="n">
        <x:v>1243097.449657666</x:v>
      </x:c>
      <x:c r="G291" s="37" t="n">
        <x:v>10890345.341214772</x:v>
      </x:c>
      <x:c r="H291" s="37" t="n">
        <x:v>35946.132596685085</x:v>
      </x:c>
      <x:c r="I291" s="37" t="n">
        <x:v>10854399.208618088</x:v>
      </x:c>
      <x:c r="J291" s="37" t="n">
        <x:v>10890345.341214772</x:v>
      </x:c>
      <x:c r="K291" s="37" t="n">
        <x:v>0</x:v>
      </x:c>
      <x:c r="L291" s="37" t="n">
        <x:v>12133442.790872438</x:v>
      </x:c>
      <x:c r="M291" s="37" t="n">
        <x:v>0</x:v>
      </x:c>
      <x:c r="N291" s="37" t="n">
        <x:v>0</x:v>
      </x:c>
      <x:c r="O291" s="37" t="n">
        <x:v>68.1111966278404</x:v>
      </x:c>
      <x:c r="P291" s="37" t="n">
        <x:v>0</x:v>
      </x:c>
      <x:c r="Q291" s="37" t="n">
        <x:v>0</x:v>
      </x:c>
      <x:c r="R291" s="37" t="n">
        <x:v>0</x:v>
      </x:c>
      <x:c r="S291" s="37" t="n">
        <x:v>0</x:v>
      </x:c>
      <x:c r="T291" s="37" t="n">
        <x:v>0</x:v>
      </x:c>
      <x:c r="U291" s="37" t="n">
        <x:v>37500</x:v>
      </x:c>
      <x:c r="V291" s="37" t="n">
        <x:v>0</x:v>
      </x:c>
      <x:c r="W291" s="37" t="n">
        <x:v>6772.16897439165</x:v>
      </x:c>
      <x:c r="X291" s="37" t="n">
        <x:v>0</x:v>
      </x:c>
      <x:c r="Y291" s="37" t="n">
        <x:v>1174.7193167256753</x:v>
      </x:c>
      <x:c r="Z291" s="37" t="n">
        <x:v>0</x:v>
      </x:c>
      <x:c r="AA291" s="37" t="n">
        <x:v>0</x:v>
      </x:c>
      <x:c r="AB291" s="37" t="n">
        <x:v>0</x:v>
      </x:c>
      <x:c r="AC291" s="37" t="n">
        <x:v>1243097.449657666</x:v>
      </x:c>
      <x:c r="AD291" s="37" t="n">
        <x:v>0</x:v>
      </x:c>
      <x:c r="AE291" s="37" t="n">
        <x:v>0</x:v>
      </x:c>
      <x:c r="AF291" s="47" t="b">
        <x:v>0</x:v>
      </x:c>
      <x:c r="AG291" s="47" t="b">
        <x:v>0</x:v>
      </x:c>
      <x:c r="AH291" s="48" t="n">
        <x:v>0</x:v>
      </x:c>
      <x:c r="AI291" s="48" t="n">
        <x:v>1.1920928955078125e-7</x:v>
      </x:c>
      <x:c r="AJ291" s="37" t="str">
        <x:v>passed</x:v>
      </x:c>
    </x:row>
    <x:row r="292" ht="21" customHeight="1">
      <x:c r="A292" s="2"/>
      <x:c r="B292" s="2"/>
      <x:c r="C292" s="2" t="str">
        <x:v>2022</x:v>
      </x:c>
      <x:c r="D292" s="5" t="n">
        <x:v>44665</x:v>
      </x:c>
      <x:c r="E292" s="2" t="str">
        <x:v>duration</x:v>
      </x:c>
      <x:c r="F292" s="37" t="n">
        <x:v>9306882.160413815</x:v>
      </x:c>
      <x:c r="G292" s="37" t="n">
        <x:v>3638201.966844882</x:v>
      </x:c>
      <x:c r="H292" s="37" t="n">
        <x:v>-11052.411757399112</x:v>
      </x:c>
      <x:c r="I292" s="37" t="n">
        <x:v>3649254.378602281</x:v>
      </x:c>
      <x:c r="J292" s="37" t="n">
        <x:v>10890345.341214772</x:v>
      </x:c>
      <x:c r="K292" s="37" t="n">
        <x:v>7252143.37436989</x:v>
      </x:c>
      <x:c r="L292" s="37" t="n">
        <x:v>12945084.127258696</x:v>
      </x:c>
      <x:c r="M292" s="37" t="n">
        <x:v>0</x:v>
      </x:c>
      <x:c r="N292" s="37" t="n">
        <x:v>0</x:v>
      </x:c>
      <x:c r="O292" s="37" t="n">
        <x:v>509.9382039587945</x:v>
      </x:c>
      <x:c r="P292" s="37" t="n">
        <x:v>0</x:v>
      </x:c>
      <x:c r="Q292" s="37" t="n">
        <x:v>0</x:v>
      </x:c>
      <x:c r="R292" s="37" t="n">
        <x:v>0</x:v>
      </x:c>
      <x:c r="S292" s="37" t="n">
        <x:v>0</x:v>
      </x:c>
      <x:c r="T292" s="37" t="n">
        <x:v>0</x:v>
      </x:c>
      <x:c r="U292" s="37" t="n">
        <x:v>37500</x:v>
      </x:c>
      <x:c r="V292" s="37" t="n">
        <x:v>0</x:v>
      </x:c>
      <x:c r="W292" s="37" t="n">
        <x:v>51393.71207543835</x:v>
      </x:c>
      <x:c r="X292" s="37" t="n">
        <x:v>0</x:v>
      </x:c>
      <x:c r="Y292" s="37" t="n">
        <x:v>1984.778902413692</x:v>
      </x:c>
      <x:c r="Z292" s="37" t="n">
        <x:v>7397186.241857288</x:v>
      </x:c>
      <x:c r="AA292" s="37" t="n">
        <x:v>0</x:v>
      </x:c>
      <x:c r="AB292" s="37" t="n">
        <x:v>7397186.241857288</x:v>
      </x:c>
      <x:c r="AC292" s="37" t="n">
        <x:v>1909695.9185565263</x:v>
      </x:c>
      <x:c r="AD292" s="37" t="n">
        <x:v>0</x:v>
      </x:c>
      <x:c r="AE292" s="37" t="n">
        <x:v>0</x:v>
      </x:c>
      <x:c r="AF292" s="47" t="b">
        <x:v>0</x:v>
      </x:c>
      <x:c r="AG292" s="47" t="b">
        <x:v>0</x:v>
      </x:c>
      <x:c r="AH292" s="48" t="n">
        <x:v>0</x:v>
      </x:c>
      <x:c r="AI292" s="48" t="n">
        <x:v>1.1920928955078125e-7</x:v>
      </x:c>
      <x:c r="AJ292" s="37" t="str">
        <x:v>passed</x:v>
      </x:c>
    </x:row>
    <x:row r="293" ht="21" customHeight="1">
      <x:c r="A293" s="2"/>
      <x:c r="B293" s="2"/>
      <x:c r="C293" s="2" t="str">
        <x:v>2022</x:v>
      </x:c>
      <x:c r="D293" s="5" t="n">
        <x:v>44665</x:v>
      </x:c>
      <x:c r="E293" s="2" t="str">
        <x:v>unweighted</x:v>
      </x:c>
      <x:c r="F293" s="37" t="n">
        <x:v>12126044.879636928</x:v>
      </x:c>
      <x:c r="G293" s="37" t="n">
        <x:v>831047.432911947</x:v>
      </x:c>
      <x:c r="H293" s="37" t="n">
        <x:v>-15753.829299406967</x:v>
      </x:c>
      <x:c r="I293" s="37" t="n">
        <x:v>846801.262211354</x:v>
      </x:c>
      <x:c r="J293" s="37" t="n">
        <x:v>10890345.341214772</x:v>
      </x:c>
      <x:c r="K293" s="37" t="n">
        <x:v>10059297.908302825</x:v>
      </x:c>
      <x:c r="L293" s="37" t="n">
        <x:v>12957092.312548876</x:v>
      </x:c>
      <x:c r="M293" s="37" t="n">
        <x:v>0</x:v>
      </x:c>
      <x:c r="N293" s="37" t="n">
        <x:v>0</x:v>
      </x:c>
      <x:c r="O293" s="37" t="n">
        <x:v>664.4044096022844</x:v>
      </x:c>
      <x:c r="P293" s="37" t="n">
        <x:v>0</x:v>
      </x:c>
      <x:c r="Q293" s="37" t="n">
        <x:v>0</x:v>
      </x:c>
      <x:c r="R293" s="37" t="n">
        <x:v>0</x:v>
      </x:c>
      <x:c r="S293" s="37" t="n">
        <x:v>0</x:v>
      </x:c>
      <x:c r="T293" s="37" t="n">
        <x:v>0</x:v>
      </x:c>
      <x:c r="U293" s="37" t="n">
        <x:v>37500</x:v>
      </x:c>
      <x:c r="V293" s="37" t="n">
        <x:v>0</x:v>
      </x:c>
      <x:c r="W293" s="37" t="n">
        <x:v>66555.18147824891</x:v>
      </x:c>
      <x:c r="X293" s="37" t="n">
        <x:v>0</x:v>
      </x:c>
      <x:c r="Y293" s="37" t="n">
        <x:v>2257.9573930567167</x:v>
      </x:c>
      <x:c r="Z293" s="37" t="n">
        <x:v>10260483.866468882</x:v>
      </x:c>
      <x:c r="AA293" s="37" t="n">
        <x:v>0</x:v>
      </x:c>
      <x:c r="AB293" s="37" t="n">
        <x:v>10260483.866468882</x:v>
      </x:c>
      <x:c r="AC293" s="37" t="n">
        <x:v>1865561.0131680463</x:v>
      </x:c>
      <x:c r="AD293" s="37" t="n">
        <x:v>0</x:v>
      </x:c>
      <x:c r="AE293" s="37" t="n">
        <x:v>0</x:v>
      </x:c>
      <x:c r="AF293" s="47" t="b">
        <x:v>0</x:v>
      </x:c>
      <x:c r="AG293" s="47" t="b">
        <x:v>0</x:v>
      </x:c>
      <x:c r="AH293" s="48" t="n">
        <x:v>0</x:v>
      </x:c>
      <x:c r="AI293" s="48" t="n">
        <x:v>1.1920928955078125e-7</x:v>
      </x:c>
      <x:c r="AJ293" s="37" t="str">
        <x:v>passed</x:v>
      </x:c>
    </x:row>
    <x:row r="294" ht="21" customHeight="1">
      <x:c r="A294" s="2"/>
      <x:c r="B294" s="2"/>
      <x:c r="C294" s="2" t="str">
        <x:v>2022</x:v>
      </x:c>
      <x:c r="D294" s="5" t="n">
        <x:v>44665</x:v>
      </x:c>
      <x:c r="E294" s="2" t="str">
        <x:v>constrained</x:v>
      </x:c>
      <x:c r="F294" s="37" t="n">
        <x:v>13102594.723202575</x:v>
      </x:c>
      <x:c r="G294" s="37" t="n">
        <x:v>-84050.34503510689</x:v>
      </x:c>
      <x:c r="H294" s="37" t="n">
        <x:v>-19677.72447930594</x:v>
      </x:c>
      <x:c r="I294" s="37" t="n">
        <x:v>-64372.62055580095</x:v>
      </x:c>
      <x:c r="J294" s="37" t="n">
        <x:v>10890345.341214772</x:v>
      </x:c>
      <x:c r="K294" s="37" t="n">
        <x:v>10974395.68624988</x:v>
      </x:c>
      <x:c r="L294" s="37" t="n">
        <x:v>13018544.378167467</x:v>
      </x:c>
      <x:c r="M294" s="37" t="n">
        <x:v>0</x:v>
      </x:c>
      <x:c r="N294" s="37" t="n">
        <x:v>0</x:v>
      </x:c>
      <x:c r="O294" s="37" t="n">
        <x:v>717.9110582023859</x:v>
      </x:c>
      <x:c r="P294" s="37" t="n">
        <x:v>0</x:v>
      </x:c>
      <x:c r="Q294" s="37" t="n">
        <x:v>0</x:v>
      </x:c>
      <x:c r="R294" s="37" t="n">
        <x:v>0</x:v>
      </x:c>
      <x:c r="S294" s="37" t="n">
        <x:v>0</x:v>
      </x:c>
      <x:c r="T294" s="37" t="n">
        <x:v>0</x:v>
      </x:c>
      <x:c r="U294" s="37" t="n">
        <x:v>37500</x:v>
      </x:c>
      <x:c r="V294" s="37" t="n">
        <x:v>0</x:v>
      </x:c>
      <x:c r="W294" s="37" t="n">
        <x:v>72250.05156758428</x:v>
      </x:c>
      <x:c r="X294" s="37" t="n">
        <x:v>0</x:v>
      </x:c>
      <x:c r="Y294" s="37" t="n">
        <x:v>2367.014439593283</x:v>
      </x:c>
      <x:c r="Z294" s="37" t="n">
        <x:v>11193883.599974878</x:v>
      </x:c>
      <x:c r="AA294" s="37" t="n">
        <x:v>0</x:v>
      </x:c>
      <x:c r="AB294" s="37" t="n">
        <x:v>11193883.599974878</x:v>
      </x:c>
      <x:c r="AC294" s="37" t="n">
        <x:v>1908711.1232276969</x:v>
      </x:c>
      <x:c r="AD294" s="37" t="n">
        <x:v>0</x:v>
      </x:c>
      <x:c r="AE294" s="37" t="n">
        <x:v>0</x:v>
      </x:c>
      <x:c r="AF294" s="47" t="b">
        <x:v>0</x:v>
      </x:c>
      <x:c r="AG294" s="47" t="b">
        <x:v>0</x:v>
      </x:c>
      <x:c r="AH294" s="48" t="n">
        <x:v>0</x:v>
      </x:c>
      <x:c r="AI294" s="48" t="n">
        <x:v>1.1920928955078125e-7</x:v>
      </x:c>
      <x:c r="AJ294" s="37" t="str">
        <x:v>passed</x:v>
      </x:c>
    </x:row>
    <x:row r="295" ht="21" customHeight="1">
      <x:c r="A295" s="2"/>
      <x:c r="B295" s="2"/>
      <x:c r="C295" s="2" t="str">
        <x:v>2022</x:v>
      </x:c>
      <x:c r="D295" s="5" t="n">
        <x:v>44669</x:v>
      </x:c>
      <x:c r="E295" s="2" t="str">
        <x:v>unhedged</x:v>
      </x:c>
      <x:c r="F295" s="37" t="n">
        <x:v>1243369.9317674271</x:v>
      </x:c>
      <x:c r="G295" s="37" t="n">
        <x:v>10883677.281960769</x:v>
      </x:c>
      <x:c r="H295" s="37" t="n">
        <x:v>37354.9723756906</x:v>
      </x:c>
      <x:c r="I295" s="37" t="n">
        <x:v>10846322.309585078</x:v>
      </x:c>
      <x:c r="J295" s="37" t="n">
        <x:v>10883677.281960769</x:v>
      </x:c>
      <x:c r="K295" s="37" t="n">
        <x:v>0</x:v>
      </x:c>
      <x:c r="L295" s="37" t="n">
        <x:v>12127047.213728195</x:v>
      </x:c>
      <x:c r="M295" s="37" t="n">
        <x:v>0</x:v>
      </x:c>
      <x:c r="N295" s="37" t="n">
        <x:v>0</x:v>
      </x:c>
      <x:c r="O295" s="37" t="n">
        <x:v>272.4821097610984</x:v>
      </x:c>
      <x:c r="P295" s="37" t="n">
        <x:v>0</x:v>
      </x:c>
      <x:c r="Q295" s="37" t="n">
        <x:v>0</x:v>
      </x:c>
      <x:c r="R295" s="37" t="n">
        <x:v>0</x:v>
      </x:c>
      <x:c r="S295" s="37" t="n">
        <x:v>0</x:v>
      </x:c>
      <x:c r="T295" s="37" t="n">
        <x:v>0</x:v>
      </x:c>
      <x:c r="U295" s="37" t="n">
        <x:v>37500</x:v>
      </x:c>
      <x:c r="V295" s="37" t="n">
        <x:v>0</x:v>
      </x:c>
      <x:c r="W295" s="37" t="n">
        <x:v>7044.651084152749</x:v>
      </x:c>
      <x:c r="X295" s="37" t="n">
        <x:v>0</x:v>
      </x:c>
      <x:c r="Y295" s="37" t="n">
        <x:v>1174.7193167256753</x:v>
      </x:c>
      <x:c r="Z295" s="37" t="n">
        <x:v>0</x:v>
      </x:c>
      <x:c r="AA295" s="37" t="n">
        <x:v>0</x:v>
      </x:c>
      <x:c r="AB295" s="37" t="n">
        <x:v>0</x:v>
      </x:c>
      <x:c r="AC295" s="37" t="n">
        <x:v>1243369.9317674271</x:v>
      </x:c>
      <x:c r="AD295" s="37" t="n">
        <x:v>0</x:v>
      </x:c>
      <x:c r="AE295" s="37" t="n">
        <x:v>0</x:v>
      </x:c>
      <x:c r="AF295" s="47" t="b">
        <x:v>0</x:v>
      </x:c>
      <x:c r="AG295" s="47" t="b">
        <x:v>0</x:v>
      </x:c>
      <x:c r="AH295" s="48" t="n">
        <x:v>0</x:v>
      </x:c>
      <x:c r="AI295" s="48" t="n">
        <x:v>1.1920928955078125e-7</x:v>
      </x:c>
      <x:c r="AJ295" s="37" t="str">
        <x:v>passed</x:v>
      </x:c>
    </x:row>
    <x:row r="296" ht="21" customHeight="1">
      <x:c r="A296" s="2"/>
      <x:c r="B296" s="2"/>
      <x:c r="C296" s="2" t="str">
        <x:v>2022</x:v>
      </x:c>
      <x:c r="D296" s="5" t="n">
        <x:v>44669</x:v>
      </x:c>
      <x:c r="E296" s="2" t="str">
        <x:v>duration</x:v>
      </x:c>
      <x:c r="F296" s="37" t="n">
        <x:v>9308922.192663148</x:v>
      </x:c>
      <x:c r="G296" s="37" t="n">
        <x:v>3644977.863116515</x:v>
      </x:c>
      <x:c r="H296" s="37" t="n">
        <x:v>-10896.866494502505</x:v>
      </x:c>
      <x:c r="I296" s="37" t="n">
        <x:v>3655874.7296110173</x:v>
      </x:c>
      <x:c r="J296" s="37" t="n">
        <x:v>10883677.281960769</x:v>
      </x:c>
      <x:c r="K296" s="37" t="n">
        <x:v>7238699.418844254</x:v>
      </x:c>
      <x:c r="L296" s="37" t="n">
        <x:v>12953900.055779662</x:v>
      </x:c>
      <x:c r="M296" s="37" t="n">
        <x:v>0</x:v>
      </x:c>
      <x:c r="N296" s="37" t="n">
        <x:v>0</x:v>
      </x:c>
      <x:c r="O296" s="37" t="n">
        <x:v>2040.032249333337</x:v>
      </x:c>
      <x:c r="P296" s="37" t="n">
        <x:v>0</x:v>
      </x:c>
      <x:c r="Q296" s="37" t="n">
        <x:v>0</x:v>
      </x:c>
      <x:c r="R296" s="37" t="n">
        <x:v>0</x:v>
      </x:c>
      <x:c r="S296" s="37" t="n">
        <x:v>0</x:v>
      </x:c>
      <x:c r="T296" s="37" t="n">
        <x:v>0</x:v>
      </x:c>
      <x:c r="U296" s="37" t="n">
        <x:v>37500</x:v>
      </x:c>
      <x:c r="V296" s="37" t="n">
        <x:v>0</x:v>
      </x:c>
      <x:c r="W296" s="37" t="n">
        <x:v>53433.74432477169</x:v>
      </x:c>
      <x:c r="X296" s="37" t="n">
        <x:v>0</x:v>
      </x:c>
      <x:c r="Y296" s="37" t="n">
        <x:v>1984.778902413692</x:v>
      </x:c>
      <x:c r="Z296" s="37" t="n">
        <x:v>7383473.407221139</x:v>
      </x:c>
      <x:c r="AA296" s="37" t="n">
        <x:v>0</x:v>
      </x:c>
      <x:c r="AB296" s="37" t="n">
        <x:v>7383473.407221139</x:v>
      </x:c>
      <x:c r="AC296" s="37" t="n">
        <x:v>1925448.7854420086</x:v>
      </x:c>
      <x:c r="AD296" s="37" t="n">
        <x:v>0</x:v>
      </x:c>
      <x:c r="AE296" s="37" t="n">
        <x:v>0</x:v>
      </x:c>
      <x:c r="AF296" s="47" t="b">
        <x:v>0</x:v>
      </x:c>
      <x:c r="AG296" s="47" t="b">
        <x:v>0</x:v>
      </x:c>
      <x:c r="AH296" s="48" t="n">
        <x:v>0</x:v>
      </x:c>
      <x:c r="AI296" s="48" t="n">
        <x:v>1.1920928955078125e-7</x:v>
      </x:c>
      <x:c r="AJ296" s="37" t="str">
        <x:v>passed</x:v>
      </x:c>
    </x:row>
    <x:row r="297" ht="21" customHeight="1">
      <x:c r="A297" s="2"/>
      <x:c r="B297" s="2"/>
      <x:c r="C297" s="2" t="str">
        <x:v>2022</x:v>
      </x:c>
      <x:c r="D297" s="5" t="n">
        <x:v>44669</x:v>
      </x:c>
      <x:c r="E297" s="2" t="str">
        <x:v>unweighted</x:v>
      </x:c>
      <x:c r="F297" s="37" t="n">
        <x:v>12128702.861352498</x:v>
      </x:c>
      <x:c r="G297" s="37" t="n">
        <x:v>830898.7800690271</x:v>
      </x:c>
      <x:c r="H297" s="37" t="n">
        <x:v>-15785.772901915576</x:v>
      </x:c>
      <x:c r="I297" s="37" t="n">
        <x:v>846684.5529709427</x:v>
      </x:c>
      <x:c r="J297" s="37" t="n">
        <x:v>10883677.281960769</x:v>
      </x:c>
      <x:c r="K297" s="37" t="n">
        <x:v>10052778.501891742</x:v>
      </x:c>
      <x:c r="L297" s="37" t="n">
        <x:v>12959601.641421525</x:v>
      </x:c>
      <x:c r="M297" s="37" t="n">
        <x:v>0</x:v>
      </x:c>
      <x:c r="N297" s="37" t="n">
        <x:v>0</x:v>
      </x:c>
      <x:c r="O297" s="37" t="n">
        <x:v>2657.9817155692726</x:v>
      </x:c>
      <x:c r="P297" s="37" t="n">
        <x:v>0</x:v>
      </x:c>
      <x:c r="Q297" s="37" t="n">
        <x:v>0</x:v>
      </x:c>
      <x:c r="R297" s="37" t="n">
        <x:v>0</x:v>
      </x:c>
      <x:c r="S297" s="37" t="n">
        <x:v>0</x:v>
      </x:c>
      <x:c r="T297" s="37" t="n">
        <x:v>0</x:v>
      </x:c>
      <x:c r="U297" s="37" t="n">
        <x:v>37500</x:v>
      </x:c>
      <x:c r="V297" s="37" t="n">
        <x:v>0</x:v>
      </x:c>
      <x:c r="W297" s="37" t="n">
        <x:v>69213.16319381818</x:v>
      </x:c>
      <x:c r="X297" s="37" t="n">
        <x:v>0</x:v>
      </x:c>
      <x:c r="Y297" s="37" t="n">
        <x:v>2257.9573930567167</x:v>
      </x:c>
      <x:c r="Z297" s="37" t="n">
        <x:v>10253834.071929576</x:v>
      </x:c>
      <x:c r="AA297" s="37" t="n">
        <x:v>0</x:v>
      </x:c>
      <x:c r="AB297" s="37" t="n">
        <x:v>10253834.071929576</x:v>
      </x:c>
      <x:c r="AC297" s="37" t="n">
        <x:v>1874868.7894229218</x:v>
      </x:c>
      <x:c r="AD297" s="37" t="n">
        <x:v>0</x:v>
      </x:c>
      <x:c r="AE297" s="37" t="n">
        <x:v>0</x:v>
      </x:c>
      <x:c r="AF297" s="47" t="b">
        <x:v>0</x:v>
      </x:c>
      <x:c r="AG297" s="47" t="b">
        <x:v>0</x:v>
      </x:c>
      <x:c r="AH297" s="48" t="n">
        <x:v>0</x:v>
      </x:c>
      <x:c r="AI297" s="48" t="n">
        <x:v>1.1920928955078125e-7</x:v>
      </x:c>
      <x:c r="AJ297" s="37" t="str">
        <x:v>passed</x:v>
      </x:c>
    </x:row>
    <x:row r="298" ht="21" customHeight="1">
      <x:c r="A298" s="2"/>
      <x:c r="B298" s="2"/>
      <x:c r="C298" s="2" t="str">
        <x:v>2022</x:v>
      </x:c>
      <x:c r="D298" s="5" t="n">
        <x:v>44669</x:v>
      </x:c>
      <x:c r="E298" s="2" t="str">
        <x:v>constrained</x:v>
      </x:c>
      <x:c r="F298" s="37" t="n">
        <x:v>13105466.760832854</x:v>
      </x:c>
      <x:c r="G298" s="37" t="n">
        <x:v>-84153.93612918495</x:v>
      </x:c>
      <x:c r="H298" s="37" t="n">
        <x:v>-19822.38975545132</x:v>
      </x:c>
      <x:c r="I298" s="37" t="n">
        <x:v>-64331.546373733625</x:v>
      </x:c>
      <x:c r="J298" s="37" t="n">
        <x:v>10883677.281960769</x:v>
      </x:c>
      <x:c r="K298" s="37" t="n">
        <x:v>10967831.218089953</x:v>
      </x:c>
      <x:c r="L298" s="37" t="n">
        <x:v>13021312.82470367</x:v>
      </x:c>
      <x:c r="M298" s="37" t="n">
        <x:v>0</x:v>
      </x:c>
      <x:c r="N298" s="37" t="n">
        <x:v>0</x:v>
      </x:c>
      <x:c r="O298" s="37" t="n">
        <x:v>2872.037630278617</x:v>
      </x:c>
      <x:c r="P298" s="37" t="n">
        <x:v>0</x:v>
      </x:c>
      <x:c r="Q298" s="37" t="n">
        <x:v>0</x:v>
      </x:c>
      <x:c r="R298" s="37" t="n">
        <x:v>0</x:v>
      </x:c>
      <x:c r="S298" s="37" t="n">
        <x:v>0</x:v>
      </x:c>
      <x:c r="T298" s="37" t="n">
        <x:v>0</x:v>
      </x:c>
      <x:c r="U298" s="37" t="n">
        <x:v>37500</x:v>
      </x:c>
      <x:c r="V298" s="37" t="n">
        <x:v>0</x:v>
      </x:c>
      <x:c r="W298" s="37" t="n">
        <x:v>75122.0891978629</x:v>
      </x:c>
      <x:c r="X298" s="37" t="n">
        <x:v>0</x:v>
      </x:c>
      <x:c r="Y298" s="37" t="n">
        <x:v>2367.014439593283</x:v>
      </x:c>
      <x:c r="Z298" s="37" t="n">
        <x:v>11187187.842451753</x:v>
      </x:c>
      <x:c r="AA298" s="37" t="n">
        <x:v>0</x:v>
      </x:c>
      <x:c r="AB298" s="37" t="n">
        <x:v>11187187.842451753</x:v>
      </x:c>
      <x:c r="AC298" s="37" t="n">
        <x:v>1918278.9183811005</x:v>
      </x:c>
      <x:c r="AD298" s="37" t="n">
        <x:v>0</x:v>
      </x:c>
      <x:c r="AE298" s="37" t="n">
        <x:v>0</x:v>
      </x:c>
      <x:c r="AF298" s="47" t="b">
        <x:v>0</x:v>
      </x:c>
      <x:c r="AG298" s="47" t="b">
        <x:v>0</x:v>
      </x:c>
      <x:c r="AH298" s="48" t="n">
        <x:v>0</x:v>
      </x:c>
      <x:c r="AI298" s="48" t="n">
        <x:v>1.1920928955078125e-7</x:v>
      </x:c>
      <x:c r="AJ298" s="37" t="str">
        <x:v>passed</x:v>
      </x:c>
    </x:row>
    <x:row r="299" ht="21" customHeight="1">
      <x:c r="A299" s="2"/>
      <x:c r="B299" s="2"/>
      <x:c r="C299" s="2" t="str">
        <x:v>2022</x:v>
      </x:c>
      <x:c r="D299" s="5" t="n">
        <x:v>44670</x:v>
      </x:c>
      <x:c r="E299" s="2" t="str">
        <x:v>unhedged</x:v>
      </x:c>
      <x:c r="F299" s="37" t="n">
        <x:v>1243438.061626702</x:v>
      </x:c>
      <x:c r="G299" s="37" t="n">
        <x:v>10825801.12352098</x:v>
      </x:c>
      <x:c r="H299" s="37" t="n">
        <x:v>37707.182320441985</x:v>
      </x:c>
      <x:c r="I299" s="37" t="n">
        <x:v>10788093.941200538</x:v>
      </x:c>
      <x:c r="J299" s="37" t="n">
        <x:v>10825801.12352098</x:v>
      </x:c>
      <x:c r="K299" s="37" t="n">
        <x:v>0</x:v>
      </x:c>
      <x:c r="L299" s="37" t="n">
        <x:v>12069239.185147682</x:v>
      </x:c>
      <x:c r="M299" s="37" t="n">
        <x:v>0</x:v>
      </x:c>
      <x:c r="N299" s="37" t="n">
        <x:v>0</x:v>
      </x:c>
      <x:c r="O299" s="37" t="n">
        <x:v>68.12985927495174</x:v>
      </x:c>
      <x:c r="P299" s="37" t="n">
        <x:v>0</x:v>
      </x:c>
      <x:c r="Q299" s="37" t="n">
        <x:v>0</x:v>
      </x:c>
      <x:c r="R299" s="37" t="n">
        <x:v>0</x:v>
      </x:c>
      <x:c r="S299" s="37" t="n">
        <x:v>0</x:v>
      </x:c>
      <x:c r="T299" s="37" t="n">
        <x:v>0</x:v>
      </x:c>
      <x:c r="U299" s="37" t="n">
        <x:v>37500</x:v>
      </x:c>
      <x:c r="V299" s="37" t="n">
        <x:v>0</x:v>
      </x:c>
      <x:c r="W299" s="37" t="n">
        <x:v>7112.780943427701</x:v>
      </x:c>
      <x:c r="X299" s="37" t="n">
        <x:v>0</x:v>
      </x:c>
      <x:c r="Y299" s="37" t="n">
        <x:v>1174.7193167256753</x:v>
      </x:c>
      <x:c r="Z299" s="37" t="n">
        <x:v>0</x:v>
      </x:c>
      <x:c r="AA299" s="37" t="n">
        <x:v>0</x:v>
      </x:c>
      <x:c r="AB299" s="37" t="n">
        <x:v>0</x:v>
      </x:c>
      <x:c r="AC299" s="37" t="n">
        <x:v>1243438.061626702</x:v>
      </x:c>
      <x:c r="AD299" s="37" t="n">
        <x:v>0</x:v>
      </x:c>
      <x:c r="AE299" s="37" t="n">
        <x:v>0</x:v>
      </x:c>
      <x:c r="AF299" s="47" t="b">
        <x:v>0</x:v>
      </x:c>
      <x:c r="AG299" s="47" t="b">
        <x:v>0</x:v>
      </x:c>
      <x:c r="AH299" s="48" t="n">
        <x:v>0</x:v>
      </x:c>
      <x:c r="AI299" s="48" t="n">
        <x:v>1.1920928955078125e-7</x:v>
      </x:c>
      <x:c r="AJ299" s="37" t="str">
        <x:v>passed</x:v>
      </x:c>
    </x:row>
    <x:row r="300" ht="21" customHeight="1">
      <x:c r="A300" s="2"/>
      <x:c r="B300" s="2"/>
      <x:c r="C300" s="2" t="str">
        <x:v>2022</x:v>
      </x:c>
      <x:c r="D300" s="5" t="n">
        <x:v>44670</x:v>
      </x:c>
      <x:c r="E300" s="2" t="str">
        <x:v>duration</x:v>
      </x:c>
      <x:c r="F300" s="37" t="n">
        <x:v>9309432.270591516</x:v>
      </x:c>
      <x:c r="G300" s="37" t="n">
        <x:v>3636168.7701566913</x:v>
      </x:c>
      <x:c r="H300" s="37" t="n">
        <x:v>-10857.980178778342</x:v>
      </x:c>
      <x:c r="I300" s="37" t="n">
        <x:v>3647026.75033547</x:v>
      </x:c>
      <x:c r="J300" s="37" t="n">
        <x:v>10825801.12352098</x:v>
      </x:c>
      <x:c r="K300" s="37" t="n">
        <x:v>7189632.353364288</x:v>
      </x:c>
      <x:c r="L300" s="37" t="n">
        <x:v>12945601.040748207</x:v>
      </x:c>
      <x:c r="M300" s="37" t="n">
        <x:v>0</x:v>
      </x:c>
      <x:c r="N300" s="37" t="n">
        <x:v>0</x:v>
      </x:c>
      <x:c r="O300" s="37" t="n">
        <x:v>510.0779283680022</x:v>
      </x:c>
      <x:c r="P300" s="37" t="n">
        <x:v>0</x:v>
      </x:c>
      <x:c r="Q300" s="37" t="n">
        <x:v>0</x:v>
      </x:c>
      <x:c r="R300" s="37" t="n">
        <x:v>0</x:v>
      </x:c>
      <x:c r="S300" s="37" t="n">
        <x:v>0</x:v>
      </x:c>
      <x:c r="T300" s="37" t="n">
        <x:v>0</x:v>
      </x:c>
      <x:c r="U300" s="37" t="n">
        <x:v>37500</x:v>
      </x:c>
      <x:c r="V300" s="37" t="n">
        <x:v>0</x:v>
      </x:c>
      <x:c r="W300" s="37" t="n">
        <x:v>53943.82225313969</x:v>
      </x:c>
      <x:c r="X300" s="37" t="n">
        <x:v>0</x:v>
      </x:c>
      <x:c r="Y300" s="37" t="n">
        <x:v>1984.778902413692</x:v>
      </x:c>
      <x:c r="Z300" s="37" t="n">
        <x:v>7333425.000431574</x:v>
      </x:c>
      <x:c r="AA300" s="37" t="n">
        <x:v>0</x:v>
      </x:c>
      <x:c r="AB300" s="37" t="n">
        <x:v>7333425.000431574</x:v>
      </x:c>
      <x:c r="AC300" s="37" t="n">
        <x:v>1976007.270159942</x:v>
      </x:c>
      <x:c r="AD300" s="37" t="n">
        <x:v>0</x:v>
      </x:c>
      <x:c r="AE300" s="37" t="n">
        <x:v>0</x:v>
      </x:c>
      <x:c r="AF300" s="47" t="b">
        <x:v>0</x:v>
      </x:c>
      <x:c r="AG300" s="47" t="b">
        <x:v>0</x:v>
      </x:c>
      <x:c r="AH300" s="48" t="n">
        <x:v>0</x:v>
      </x:c>
      <x:c r="AI300" s="48" t="n">
        <x:v>1.1920928955078125e-7</x:v>
      </x:c>
      <x:c r="AJ300" s="37" t="str">
        <x:v>passed</x:v>
      </x:c>
    </x:row>
    <x:row r="301" ht="21" customHeight="1">
      <x:c r="A301" s="2"/>
      <x:c r="B301" s="2"/>
      <x:c r="C301" s="2" t="str">
        <x:v>2022</x:v>
      </x:c>
      <x:c r="D301" s="5" t="n">
        <x:v>44670</x:v>
      </x:c>
      <x:c r="E301" s="2" t="str">
        <x:v>unweighted</x:v>
      </x:c>
      <x:c r="F301" s="37" t="n">
        <x:v>12129367.447810657</x:v>
      </x:c>
      <x:c r="G301" s="37" t="n">
        <x:v>826975.27748234</x:v>
      </x:c>
      <x:c r="H301" s="37" t="n">
        <x:v>-15793.75880254272</x:v>
      </x:c>
      <x:c r="I301" s="37" t="n">
        <x:v>842769.0362848827</x:v>
      </x:c>
      <x:c r="J301" s="37" t="n">
        <x:v>10825801.12352098</x:v>
      </x:c>
      <x:c r="K301" s="37" t="n">
        <x:v>9998825.84603864</x:v>
      </x:c>
      <x:c r="L301" s="37" t="n">
        <x:v>12956342.725292997</x:v>
      </x:c>
      <x:c r="M301" s="37" t="n">
        <x:v>0</x:v>
      </x:c>
      <x:c r="N301" s="37" t="n">
        <x:v>0</x:v>
      </x:c>
      <x:c r="O301" s="37" t="n">
        <x:v>664.5864581596106</x:v>
      </x:c>
      <x:c r="P301" s="37" t="n">
        <x:v>0</x:v>
      </x:c>
      <x:c r="Q301" s="37" t="n">
        <x:v>0</x:v>
      </x:c>
      <x:c r="R301" s="37" t="n">
        <x:v>0</x:v>
      </x:c>
      <x:c r="S301" s="37" t="n">
        <x:v>0</x:v>
      </x:c>
      <x:c r="T301" s="37" t="n">
        <x:v>0</x:v>
      </x:c>
      <x:c r="U301" s="37" t="n">
        <x:v>37500</x:v>
      </x:c>
      <x:c r="V301" s="37" t="n">
        <x:v>0</x:v>
      </x:c>
      <x:c r="W301" s="37" t="n">
        <x:v>69877.74965197779</x:v>
      </x:c>
      <x:c r="X301" s="37" t="n">
        <x:v>0</x:v>
      </x:c>
      <x:c r="Y301" s="37" t="n">
        <x:v>2257.9573930567167</x:v>
      </x:c>
      <x:c r="Z301" s="37" t="n">
        <x:v>10198802.362959413</x:v>
      </x:c>
      <x:c r="AA301" s="37" t="n">
        <x:v>0</x:v>
      </x:c>
      <x:c r="AB301" s="37" t="n">
        <x:v>10198802.362959413</x:v>
      </x:c>
      <x:c r="AC301" s="37" t="n">
        <x:v>1930565.0848512445</x:v>
      </x:c>
      <x:c r="AD301" s="37" t="n">
        <x:v>0</x:v>
      </x:c>
      <x:c r="AE301" s="37" t="n">
        <x:v>0</x:v>
      </x:c>
      <x:c r="AF301" s="47" t="b">
        <x:v>0</x:v>
      </x:c>
      <x:c r="AG301" s="47" t="b">
        <x:v>0</x:v>
      </x:c>
      <x:c r="AH301" s="48" t="n">
        <x:v>0</x:v>
      </x:c>
      <x:c r="AI301" s="48" t="n">
        <x:v>1.1920928955078125e-7</x:v>
      </x:c>
      <x:c r="AJ301" s="37" t="str">
        <x:v>passed</x:v>
      </x:c>
    </x:row>
    <x:row r="302" ht="21" customHeight="1">
      <x:c r="A302" s="2"/>
      <x:c r="B302" s="2"/>
      <x:c r="C302" s="2" t="str">
        <x:v>2022</x:v>
      </x:c>
      <x:c r="D302" s="5" t="n">
        <x:v>44670</x:v>
      </x:c>
      <x:c r="E302" s="2" t="str">
        <x:v>constrained</x:v>
      </x:c>
      <x:c r="F302" s="37" t="n">
        <x:v>13106184.868600573</x:v>
      </x:c>
      <x:c r="G302" s="37" t="n">
        <x:v>-83992.85238392325</x:v>
      </x:c>
      <x:c r="H302" s="37" t="n">
        <x:v>-19858.55607448766</x:v>
      </x:c>
      <x:c r="I302" s="37" t="n">
        <x:v>-64134.296309435595</x:v>
      </x:c>
      <x:c r="J302" s="37" t="n">
        <x:v>10825801.12352098</x:v>
      </x:c>
      <x:c r="K302" s="37" t="n">
        <x:v>10909793.975904902</x:v>
      </x:c>
      <x:c r="L302" s="37" t="n">
        <x:v>13022192.01621665</x:v>
      </x:c>
      <x:c r="M302" s="37" t="n">
        <x:v>0</x:v>
      </x:c>
      <x:c r="N302" s="37" t="n">
        <x:v>0</x:v>
      </x:c>
      <x:c r="O302" s="37" t="n">
        <x:v>718.1077677197754</x:v>
      </x:c>
      <x:c r="P302" s="37" t="n">
        <x:v>0</x:v>
      </x:c>
      <x:c r="Q302" s="37" t="n">
        <x:v>0</x:v>
      </x:c>
      <x:c r="R302" s="37" t="n">
        <x:v>0</x:v>
      </x:c>
      <x:c r="S302" s="37" t="n">
        <x:v>0</x:v>
      </x:c>
      <x:c r="T302" s="37" t="n">
        <x:v>0</x:v>
      </x:c>
      <x:c r="U302" s="37" t="n">
        <x:v>37500</x:v>
      </x:c>
      <x:c r="V302" s="37" t="n">
        <x:v>0</x:v>
      </x:c>
      <x:c r="W302" s="37" t="n">
        <x:v>75840.19696558267</x:v>
      </x:c>
      <x:c r="X302" s="37" t="n">
        <x:v>0</x:v>
      </x:c>
      <x:c r="Y302" s="37" t="n">
        <x:v>2367.014439593283</x:v>
      </x:c>
      <x:c r="Z302" s="37" t="n">
        <x:v>11127989.855423002</x:v>
      </x:c>
      <x:c r="AA302" s="37" t="n">
        <x:v>0</x:v>
      </x:c>
      <x:c r="AB302" s="37" t="n">
        <x:v>11127989.855423002</x:v>
      </x:c>
      <x:c r="AC302" s="37" t="n">
        <x:v>1978195.0131775718</x:v>
      </x:c>
      <x:c r="AD302" s="37" t="n">
        <x:v>0</x:v>
      </x:c>
      <x:c r="AE302" s="37" t="n">
        <x:v>0</x:v>
      </x:c>
      <x:c r="AF302" s="47" t="b">
        <x:v>0</x:v>
      </x:c>
      <x:c r="AG302" s="47" t="b">
        <x:v>0</x:v>
      </x:c>
      <x:c r="AH302" s="48" t="n">
        <x:v>0</x:v>
      </x:c>
      <x:c r="AI302" s="48" t="n">
        <x:v>1.1920928955078125e-7</x:v>
      </x:c>
      <x:c r="AJ302" s="37" t="str">
        <x:v>passed</x:v>
      </x:c>
    </x:row>
    <x:row r="303" ht="21" customHeight="1">
      <x:c r="A303" s="2"/>
      <x:c r="B303" s="2"/>
      <x:c r="C303" s="2" t="str">
        <x:v>2022</x:v>
      </x:c>
      <x:c r="D303" s="5" t="n">
        <x:v>44671</x:v>
      </x:c>
      <x:c r="E303" s="2" t="str">
        <x:v>unhedged</x:v>
      </x:c>
      <x:c r="F303" s="37" t="n">
        <x:v>1243506.1952191202</x:v>
      </x:c>
      <x:c r="G303" s="37" t="n">
        <x:v>10869361.581435043</x:v>
      </x:c>
      <x:c r="H303" s="37" t="n">
        <x:v>38059.39226519337</x:v>
      </x:c>
      <x:c r="I303" s="37" t="n">
        <x:v>10831302.18916985</x:v>
      </x:c>
      <x:c r="J303" s="37" t="n">
        <x:v>10869361.581435043</x:v>
      </x:c>
      <x:c r="K303" s="37" t="n">
        <x:v>0</x:v>
      </x:c>
      <x:c r="L303" s="37" t="n">
        <x:v>12112867.776654163</x:v>
      </x:c>
      <x:c r="M303" s="37" t="n">
        <x:v>0</x:v>
      </x:c>
      <x:c r="N303" s="37" t="n">
        <x:v>0</x:v>
      </x:c>
      <x:c r="O303" s="37" t="n">
        <x:v>68.13359241816215</x:v>
      </x:c>
      <x:c r="P303" s="37" t="n">
        <x:v>0</x:v>
      </x:c>
      <x:c r="Q303" s="37" t="n">
        <x:v>0</x:v>
      </x:c>
      <x:c r="R303" s="37" t="n">
        <x:v>0</x:v>
      </x:c>
      <x:c r="S303" s="37" t="n">
        <x:v>0</x:v>
      </x:c>
      <x:c r="T303" s="37" t="n">
        <x:v>0</x:v>
      </x:c>
      <x:c r="U303" s="37" t="n">
        <x:v>37500</x:v>
      </x:c>
      <x:c r="V303" s="37" t="n">
        <x:v>0</x:v>
      </x:c>
      <x:c r="W303" s="37" t="n">
        <x:v>7180.914535845863</x:v>
      </x:c>
      <x:c r="X303" s="37" t="n">
        <x:v>0</x:v>
      </x:c>
      <x:c r="Y303" s="37" t="n">
        <x:v>1174.7193167256753</x:v>
      </x:c>
      <x:c r="Z303" s="37" t="n">
        <x:v>0</x:v>
      </x:c>
      <x:c r="AA303" s="37" t="n">
        <x:v>0</x:v>
      </x:c>
      <x:c r="AB303" s="37" t="n">
        <x:v>0</x:v>
      </x:c>
      <x:c r="AC303" s="37" t="n">
        <x:v>1243506.1952191202</x:v>
      </x:c>
      <x:c r="AD303" s="37" t="n">
        <x:v>0</x:v>
      </x:c>
      <x:c r="AE303" s="37" t="n">
        <x:v>0</x:v>
      </x:c>
      <x:c r="AF303" s="47" t="b">
        <x:v>0</x:v>
      </x:c>
      <x:c r="AG303" s="47" t="b">
        <x:v>0</x:v>
      </x:c>
      <x:c r="AH303" s="48" t="n">
        <x:v>0</x:v>
      </x:c>
      <x:c r="AI303" s="48" t="n">
        <x:v>1.1920928955078125e-7</x:v>
      </x:c>
      <x:c r="AJ303" s="37" t="str">
        <x:v>passed</x:v>
      </x:c>
    </x:row>
    <x:row r="304" ht="21" customHeight="1">
      <x:c r="A304" s="2"/>
      <x:c r="B304" s="2"/>
      <x:c r="C304" s="2" t="str">
        <x:v>2022</x:v>
      </x:c>
      <x:c r="D304" s="5" t="n">
        <x:v>44671</x:v>
      </x:c>
      <x:c r="E304" s="2" t="str">
        <x:v>duration</x:v>
      </x:c>
      <x:c r="F304" s="37" t="n">
        <x:v>9309942.376469357</x:v>
      </x:c>
      <x:c r="G304" s="37" t="n">
        <x:v>3627732.673016594</x:v>
      </x:c>
      <x:c r="H304" s="37" t="n">
        <x:v>-10819.093863054191</x:v>
      </x:c>
      <x:c r="I304" s="37" t="n">
        <x:v>3638551.766879648</x:v>
      </x:c>
      <x:c r="J304" s="37" t="n">
        <x:v>10869361.581435043</x:v>
      </x:c>
      <x:c r="K304" s="37" t="n">
        <x:v>7241628.9084184505</x:v>
      </x:c>
      <x:c r="L304" s="37" t="n">
        <x:v>12937675.049485952</x:v>
      </x:c>
      <x:c r="M304" s="37" t="n">
        <x:v>0</x:v>
      </x:c>
      <x:c r="N304" s="37" t="n">
        <x:v>0</x:v>
      </x:c>
      <x:c r="O304" s="37" t="n">
        <x:v>510.1058778408915</x:v>
      </x:c>
      <x:c r="P304" s="37" t="n">
        <x:v>0</x:v>
      </x:c>
      <x:c r="Q304" s="37" t="n">
        <x:v>0</x:v>
      </x:c>
      <x:c r="R304" s="37" t="n">
        <x:v>0</x:v>
      </x:c>
      <x:c r="S304" s="37" t="n">
        <x:v>0</x:v>
      </x:c>
      <x:c r="T304" s="37" t="n">
        <x:v>0</x:v>
      </x:c>
      <x:c r="U304" s="37" t="n">
        <x:v>37500</x:v>
      </x:c>
      <x:c r="V304" s="37" t="n">
        <x:v>0</x:v>
      </x:c>
      <x:c r="W304" s="37" t="n">
        <x:v>54453.92813098058</x:v>
      </x:c>
      <x:c r="X304" s="37" t="n">
        <x:v>0</x:v>
      </x:c>
      <x:c r="Y304" s="37" t="n">
        <x:v>1984.778902413692</x:v>
      </x:c>
      <x:c r="Z304" s="37" t="n">
        <x:v>7386461.486586819</x:v>
      </x:c>
      <x:c r="AA304" s="37" t="n">
        <x:v>0</x:v>
      </x:c>
      <x:c r="AB304" s="37" t="n">
        <x:v>7386461.486586819</x:v>
      </x:c>
      <x:c r="AC304" s="37" t="n">
        <x:v>1923480.8898825375</x:v>
      </x:c>
      <x:c r="AD304" s="37" t="n">
        <x:v>0</x:v>
      </x:c>
      <x:c r="AE304" s="37" t="n">
        <x:v>0</x:v>
      </x:c>
      <x:c r="AF304" s="47" t="b">
        <x:v>0</x:v>
      </x:c>
      <x:c r="AG304" s="47" t="b">
        <x:v>0</x:v>
      </x:c>
      <x:c r="AH304" s="48" t="n">
        <x:v>0</x:v>
      </x:c>
      <x:c r="AI304" s="48" t="n">
        <x:v>1.1920928955078125e-7</x:v>
      </x:c>
      <x:c r="AJ304" s="37" t="str">
        <x:v>passed</x:v>
      </x:c>
    </x:row>
    <x:row r="305" ht="21" customHeight="1">
      <x:c r="A305" s="2"/>
      <x:c r="B305" s="2"/>
      <x:c r="C305" s="2" t="str">
        <x:v>2022</x:v>
      </x:c>
      <x:c r="D305" s="5" t="n">
        <x:v>44671</x:v>
      </x:c>
      <x:c r="E305" s="2" t="str">
        <x:v>unweighted</x:v>
      </x:c>
      <x:c r="F305" s="37" t="n">
        <x:v>12130032.070684511</x:v>
      </x:c>
      <x:c r="G305" s="37" t="n">
        <x:v>829189.5205742852</x:v>
      </x:c>
      <x:c r="H305" s="37" t="n">
        <x:v>-15801.744703169878</x:v>
      </x:c>
      <x:c r="I305" s="37" t="n">
        <x:v>844991.2652774551</x:v>
      </x:c>
      <x:c r="J305" s="37" t="n">
        <x:v>10869361.581435043</x:v>
      </x:c>
      <x:c r="K305" s="37" t="n">
        <x:v>10040172.060860759</x:v>
      </x:c>
      <x:c r="L305" s="37" t="n">
        <x:v>12959221.591258796</x:v>
      </x:c>
      <x:c r="M305" s="37" t="n">
        <x:v>0</x:v>
      </x:c>
      <x:c r="N305" s="37" t="n">
        <x:v>0</x:v>
      </x:c>
      <x:c r="O305" s="37" t="n">
        <x:v>664.6228738538921</x:v>
      </x:c>
      <x:c r="P305" s="37" t="n">
        <x:v>0</x:v>
      </x:c>
      <x:c r="Q305" s="37" t="n">
        <x:v>0</x:v>
      </x:c>
      <x:c r="R305" s="37" t="n">
        <x:v>0</x:v>
      </x:c>
      <x:c r="S305" s="37" t="n">
        <x:v>0</x:v>
      </x:c>
      <x:c r="T305" s="37" t="n">
        <x:v>0</x:v>
      </x:c>
      <x:c r="U305" s="37" t="n">
        <x:v>37500</x:v>
      </x:c>
      <x:c r="V305" s="37" t="n">
        <x:v>0</x:v>
      </x:c>
      <x:c r="W305" s="37" t="n">
        <x:v>70542.37252583168</x:v>
      </x:c>
      <x:c r="X305" s="37" t="n">
        <x:v>0</x:v>
      </x:c>
      <x:c r="Y305" s="37" t="n">
        <x:v>2257.9573930567167</x:v>
      </x:c>
      <x:c r="Z305" s="37" t="n">
        <x:v>10240975.502077974</x:v>
      </x:c>
      <x:c r="AA305" s="37" t="n">
        <x:v>0</x:v>
      </x:c>
      <x:c r="AB305" s="37" t="n">
        <x:v>10240975.502077974</x:v>
      </x:c>
      <x:c r="AC305" s="37" t="n">
        <x:v>1889056.5686065368</x:v>
      </x:c>
      <x:c r="AD305" s="37" t="n">
        <x:v>0</x:v>
      </x:c>
      <x:c r="AE305" s="37" t="n">
        <x:v>0</x:v>
      </x:c>
      <x:c r="AF305" s="47" t="b">
        <x:v>0</x:v>
      </x:c>
      <x:c r="AG305" s="47" t="b">
        <x:v>0</x:v>
      </x:c>
      <x:c r="AH305" s="48" t="n">
        <x:v>0</x:v>
      </x:c>
      <x:c r="AI305" s="48" t="n">
        <x:v>1.1920928955078125e-7</x:v>
      </x:c>
      <x:c r="AJ305" s="37" t="str">
        <x:v>passed</x:v>
      </x:c>
    </x:row>
    <x:row r="306" ht="21" customHeight="1">
      <x:c r="A306" s="2"/>
      <x:c r="B306" s="2"/>
      <x:c r="C306" s="2" t="str">
        <x:v>2022</x:v>
      </x:c>
      <x:c r="D306" s="5" t="n">
        <x:v>44671</x:v>
      </x:c>
      <x:c r="E306" s="2" t="str">
        <x:v>constrained</x:v>
      </x:c>
      <x:c r="F306" s="37" t="n">
        <x:v>13106903.015716663</x:v>
      </x:c>
      <x:c r="G306" s="37" t="n">
        <x:v>-84075.08650976767</x:v>
      </x:c>
      <x:c r="H306" s="37" t="n">
        <x:v>-19894.722393524004</x:v>
      </x:c>
      <x:c r="I306" s="37" t="n">
        <x:v>-64180.36411624367</x:v>
      </x:c>
      <x:c r="J306" s="37" t="n">
        <x:v>10869361.581435043</x:v>
      </x:c>
      <x:c r="K306" s="37" t="n">
        <x:v>10953436.667944811</x:v>
      </x:c>
      <x:c r="L306" s="37" t="n">
        <x:v>13022827.929206895</x:v>
      </x:c>
      <x:c r="M306" s="37" t="n">
        <x:v>0</x:v>
      </x:c>
      <x:c r="N306" s="37" t="n">
        <x:v>0</x:v>
      </x:c>
      <x:c r="O306" s="37" t="n">
        <x:v>718.1471160892397</x:v>
      </x:c>
      <x:c r="P306" s="37" t="n">
        <x:v>0</x:v>
      </x:c>
      <x:c r="Q306" s="37" t="n">
        <x:v>0</x:v>
      </x:c>
      <x:c r="R306" s="37" t="n">
        <x:v>0</x:v>
      </x:c>
      <x:c r="S306" s="37" t="n">
        <x:v>0</x:v>
      </x:c>
      <x:c r="T306" s="37" t="n">
        <x:v>0</x:v>
      </x:c>
      <x:c r="U306" s="37" t="n">
        <x:v>37500</x:v>
      </x:c>
      <x:c r="V306" s="37" t="n">
        <x:v>0</x:v>
      </x:c>
      <x:c r="W306" s="37" t="n">
        <x:v>76558.34408167191</x:v>
      </x:c>
      <x:c r="X306" s="37" t="n">
        <x:v>0</x:v>
      </x:c>
      <x:c r="Y306" s="37" t="n">
        <x:v>2367.014439593283</x:v>
      </x:c>
      <x:c r="Z306" s="37" t="n">
        <x:v>11172505.401303709</x:v>
      </x:c>
      <x:c r="AA306" s="37" t="n">
        <x:v>0</x:v>
      </x:c>
      <x:c r="AB306" s="37" t="n">
        <x:v>11172505.401303709</x:v>
      </x:c>
      <x:c r="AC306" s="37" t="n">
        <x:v>1934397.614412954</x:v>
      </x:c>
      <x:c r="AD306" s="37" t="n">
        <x:v>0</x:v>
      </x:c>
      <x:c r="AE306" s="37" t="n">
        <x:v>0</x:v>
      </x:c>
      <x:c r="AF306" s="47" t="b">
        <x:v>0</x:v>
      </x:c>
      <x:c r="AG306" s="47" t="b">
        <x:v>0</x:v>
      </x:c>
      <x:c r="AH306" s="48" t="n">
        <x:v>0</x:v>
      </x:c>
      <x:c r="AI306" s="48" t="n">
        <x:v>1.1920928955078125e-7</x:v>
      </x:c>
      <x:c r="AJ306" s="37" t="str">
        <x:v>passed</x:v>
      </x:c>
    </x:row>
    <x:row r="307" ht="21" customHeight="1">
      <x:c r="A307" s="2"/>
      <x:c r="B307" s="2"/>
      <x:c r="C307" s="2" t="str">
        <x:v>2022</x:v>
      </x:c>
      <x:c r="D307" s="5" t="n">
        <x:v>44672</x:v>
      </x:c>
      <x:c r="E307" s="2" t="str">
        <x:v>unhedged</x:v>
      </x:c>
      <x:c r="F307" s="37" t="n">
        <x:v>1243574.3325448858</x:v>
      </x:c>
      <x:c r="G307" s="37" t="n">
        <x:v>10824733.47219968</x:v>
      </x:c>
      <x:c r="H307" s="37" t="n">
        <x:v>38411.60220994475</x:v>
      </x:c>
      <x:c r="I307" s="37" t="n">
        <x:v>10786321.869989736</x:v>
      </x:c>
      <x:c r="J307" s="37" t="n">
        <x:v>10824733.47219968</x:v>
      </x:c>
      <x:c r="K307" s="37" t="n">
        <x:v>0</x:v>
      </x:c>
      <x:c r="L307" s="37" t="n">
        <x:v>12068307.804744566</x:v>
      </x:c>
      <x:c r="M307" s="37" t="n">
        <x:v>0</x:v>
      </x:c>
      <x:c r="N307" s="37" t="n">
        <x:v>0</x:v>
      </x:c>
      <x:c r="O307" s="37" t="n">
        <x:v>68.13732576556504</x:v>
      </x:c>
      <x:c r="P307" s="37" t="n">
        <x:v>0</x:v>
      </x:c>
      <x:c r="Q307" s="37" t="n">
        <x:v>0</x:v>
      </x:c>
      <x:c r="R307" s="37" t="n">
        <x:v>0</x:v>
      </x:c>
      <x:c r="S307" s="37" t="n">
        <x:v>0</x:v>
      </x:c>
      <x:c r="T307" s="37" t="n">
        <x:v>0</x:v>
      </x:c>
      <x:c r="U307" s="37" t="n">
        <x:v>37500</x:v>
      </x:c>
      <x:c r="V307" s="37" t="n">
        <x:v>0</x:v>
      </x:c>
      <x:c r="W307" s="37" t="n">
        <x:v>7249.051861611428</x:v>
      </x:c>
      <x:c r="X307" s="37" t="n">
        <x:v>0</x:v>
      </x:c>
      <x:c r="Y307" s="37" t="n">
        <x:v>1174.7193167256753</x:v>
      </x:c>
      <x:c r="Z307" s="37" t="n">
        <x:v>0</x:v>
      </x:c>
      <x:c r="AA307" s="37" t="n">
        <x:v>0</x:v>
      </x:c>
      <x:c r="AB307" s="37" t="n">
        <x:v>0</x:v>
      </x:c>
      <x:c r="AC307" s="37" t="n">
        <x:v>1243574.3325448858</x:v>
      </x:c>
      <x:c r="AD307" s="37" t="n">
        <x:v>0</x:v>
      </x:c>
      <x:c r="AE307" s="37" t="n">
        <x:v>0</x:v>
      </x:c>
      <x:c r="AF307" s="47" t="b">
        <x:v>0</x:v>
      </x:c>
      <x:c r="AG307" s="47" t="b">
        <x:v>0</x:v>
      </x:c>
      <x:c r="AH307" s="48" t="n">
        <x:v>0</x:v>
      </x:c>
      <x:c r="AI307" s="48" t="n">
        <x:v>1.1920928955078125e-7</x:v>
      </x:c>
      <x:c r="AJ307" s="37" t="str">
        <x:v>passed</x:v>
      </x:c>
    </x:row>
    <x:row r="308" ht="21" customHeight="1">
      <x:c r="A308" s="2"/>
      <x:c r="B308" s="2"/>
      <x:c r="C308" s="2" t="str">
        <x:v>2022</x:v>
      </x:c>
      <x:c r="D308" s="5" t="n">
        <x:v>44672</x:v>
      </x:c>
      <x:c r="E308" s="2" t="str">
        <x:v>duration</x:v>
      </x:c>
      <x:c r="F308" s="37" t="n">
        <x:v>9310452.510298204</x:v>
      </x:c>
      <x:c r="G308" s="37" t="n">
        <x:v>3622968.684581316</x:v>
      </x:c>
      <x:c r="H308" s="37" t="n">
        <x:v>-10780.207547330036</x:v>
      </x:c>
      <x:c r="I308" s="37" t="n">
        <x:v>3633748.892128646</x:v>
      </x:c>
      <x:c r="J308" s="37" t="n">
        <x:v>10824733.47219968</x:v>
      </x:c>
      <x:c r="K308" s="37" t="n">
        <x:v>7201764.787618364</x:v>
      </x:c>
      <x:c r="L308" s="37" t="n">
        <x:v>12933421.19487952</x:v>
      </x:c>
      <x:c r="M308" s="37" t="n">
        <x:v>0</x:v>
      </x:c>
      <x:c r="N308" s="37" t="n">
        <x:v>0</x:v>
      </x:c>
      <x:c r="O308" s="37" t="n">
        <x:v>510.13382884673774</x:v>
      </x:c>
      <x:c r="P308" s="37" t="n">
        <x:v>0</x:v>
      </x:c>
      <x:c r="Q308" s="37" t="n">
        <x:v>0</x:v>
      </x:c>
      <x:c r="R308" s="37" t="n">
        <x:v>0</x:v>
      </x:c>
      <x:c r="S308" s="37" t="n">
        <x:v>0</x:v>
      </x:c>
      <x:c r="T308" s="37" t="n">
        <x:v>0</x:v>
      </x:c>
      <x:c r="U308" s="37" t="n">
        <x:v>37500</x:v>
      </x:c>
      <x:c r="V308" s="37" t="n">
        <x:v>0</x:v>
      </x:c>
      <x:c r="W308" s="37" t="n">
        <x:v>54964.06195982732</x:v>
      </x:c>
      <x:c r="X308" s="37" t="n">
        <x:v>0</x:v>
      </x:c>
      <x:c r="Y308" s="37" t="n">
        <x:v>1984.778902413692</x:v>
      </x:c>
      <x:c r="Z308" s="37" t="n">
        <x:v>7345800.083370731</x:v>
      </x:c>
      <x:c r="AA308" s="37" t="n">
        <x:v>0</x:v>
      </x:c>
      <x:c r="AB308" s="37" t="n">
        <x:v>7345800.083370731</x:v>
      </x:c>
      <x:c r="AC308" s="37" t="n">
        <x:v>1964652.4269274725</x:v>
      </x:c>
      <x:c r="AD308" s="37" t="n">
        <x:v>0</x:v>
      </x:c>
      <x:c r="AE308" s="37" t="n">
        <x:v>0</x:v>
      </x:c>
      <x:c r="AF308" s="47" t="b">
        <x:v>0</x:v>
      </x:c>
      <x:c r="AG308" s="47" t="b">
        <x:v>0</x:v>
      </x:c>
      <x:c r="AH308" s="48" t="n">
        <x:v>0</x:v>
      </x:c>
      <x:c r="AI308" s="48" t="n">
        <x:v>1.1920928955078125e-7</x:v>
      </x:c>
      <x:c r="AJ308" s="37" t="str">
        <x:v>passed</x:v>
      </x:c>
    </x:row>
    <x:row r="309" ht="21" customHeight="1">
      <x:c r="A309" s="2"/>
      <x:c r="B309" s="2"/>
      <x:c r="C309" s="2" t="str">
        <x:v>2022</x:v>
      </x:c>
      <x:c r="D309" s="5" t="n">
        <x:v>44672</x:v>
      </x:c>
      <x:c r="E309" s="2" t="str">
        <x:v>unweighted</x:v>
      </x:c>
      <x:c r="F309" s="37" t="n">
        <x:v>12130696.729976052</x:v>
      </x:c>
      <x:c r="G309" s="37" t="n">
        <x:v>826030.0064433455</x:v>
      </x:c>
      <x:c r="H309" s="37" t="n">
        <x:v>-15809.730603797023</x:v>
      </x:c>
      <x:c r="I309" s="37" t="n">
        <x:v>841839.7370471425</x:v>
      </x:c>
      <x:c r="J309" s="37" t="n">
        <x:v>10824733.47219968</x:v>
      </x:c>
      <x:c r="K309" s="37" t="n">
        <x:v>9998703.465756334</x:v>
      </x:c>
      <x:c r="L309" s="37" t="n">
        <x:v>12956726.736419398</x:v>
      </x:c>
      <x:c r="M309" s="37" t="n">
        <x:v>0</x:v>
      </x:c>
      <x:c r="N309" s="37" t="n">
        <x:v>0</x:v>
      </x:c>
      <x:c r="O309" s="37" t="n">
        <x:v>664.6592915412039</x:v>
      </x:c>
      <x:c r="P309" s="37" t="n">
        <x:v>0</x:v>
      </x:c>
      <x:c r="Q309" s="37" t="n">
        <x:v>0</x:v>
      </x:c>
      <x:c r="R309" s="37" t="n">
        <x:v>0</x:v>
      </x:c>
      <x:c r="S309" s="37" t="n">
        <x:v>0</x:v>
      </x:c>
      <x:c r="T309" s="37" t="n">
        <x:v>0</x:v>
      </x:c>
      <x:c r="U309" s="37" t="n">
        <x:v>37500</x:v>
      </x:c>
      <x:c r="V309" s="37" t="n">
        <x:v>0</x:v>
      </x:c>
      <x:c r="W309" s="37" t="n">
        <x:v>71207.03181737289</x:v>
      </x:c>
      <x:c r="X309" s="37" t="n">
        <x:v>0</x:v>
      </x:c>
      <x:c r="Y309" s="37" t="n">
        <x:v>2257.9573930567167</x:v>
      </x:c>
      <x:c r="Z309" s="37" t="n">
        <x:v>10198677.53507146</x:v>
      </x:c>
      <x:c r="AA309" s="37" t="n">
        <x:v>0</x:v>
      </x:c>
      <x:c r="AB309" s="37" t="n">
        <x:v>10198677.53507146</x:v>
      </x:c>
      <x:c r="AC309" s="37" t="n">
        <x:v>1932019.194904592</x:v>
      </x:c>
      <x:c r="AD309" s="37" t="n">
        <x:v>0</x:v>
      </x:c>
      <x:c r="AE309" s="37" t="n">
        <x:v>0</x:v>
      </x:c>
      <x:c r="AF309" s="47" t="b">
        <x:v>0</x:v>
      </x:c>
      <x:c r="AG309" s="47" t="b">
        <x:v>0</x:v>
      </x:c>
      <x:c r="AH309" s="48" t="n">
        <x:v>0</x:v>
      </x:c>
      <x:c r="AI309" s="48" t="n">
        <x:v>1.1920928955078125e-7</x:v>
      </x:c>
      <x:c r="AJ309" s="37" t="str">
        <x:v>passed</x:v>
      </x:c>
    </x:row>
    <x:row r="310" ht="21" customHeight="1">
      <x:c r="A310" s="2"/>
      <x:c r="B310" s="2"/>
      <x:c r="C310" s="2" t="str">
        <x:v>2022</x:v>
      </x:c>
      <x:c r="D310" s="5" t="n">
        <x:v>44672</x:v>
      </x:c>
      <x:c r="E310" s="2" t="str">
        <x:v>constrained</x:v>
      </x:c>
      <x:c r="F310" s="37" t="n">
        <x:v>13107621.202183276</x:v>
      </x:c>
      <x:c r="G310" s="37" t="n">
        <x:v>-84223.45644339077</x:v>
      </x:c>
      <x:c r="H310" s="37" t="n">
        <x:v>-19930.888712560347</x:v>
      </x:c>
      <x:c r="I310" s="37" t="n">
        <x:v>-64292.567730830415</x:v>
      </x:c>
      <x:c r="J310" s="37" t="n">
        <x:v>10824733.47219968</x:v>
      </x:c>
      <x:c r="K310" s="37" t="n">
        <x:v>10908956.928643072</x:v>
      </x:c>
      <x:c r="L310" s="37" t="n">
        <x:v>13023397.745739887</x:v>
      </x:c>
      <x:c r="M310" s="37" t="n">
        <x:v>0</x:v>
      </x:c>
      <x:c r="N310" s="37" t="n">
        <x:v>0</x:v>
      </x:c>
      <x:c r="O310" s="37" t="n">
        <x:v>718.1864666137844</x:v>
      </x:c>
      <x:c r="P310" s="37" t="n">
        <x:v>0</x:v>
      </x:c>
      <x:c r="Q310" s="37" t="n">
        <x:v>0</x:v>
      </x:c>
      <x:c r="R310" s="37" t="n">
        <x:v>0</x:v>
      </x:c>
      <x:c r="S310" s="37" t="n">
        <x:v>0</x:v>
      </x:c>
      <x:c r="T310" s="37" t="n">
        <x:v>0</x:v>
      </x:c>
      <x:c r="U310" s="37" t="n">
        <x:v>37500</x:v>
      </x:c>
      <x:c r="V310" s="37" t="n">
        <x:v>0</x:v>
      </x:c>
      <x:c r="W310" s="37" t="n">
        <x:v>77276.5305482857</x:v>
      </x:c>
      <x:c r="X310" s="37" t="n">
        <x:v>0</x:v>
      </x:c>
      <x:c r="Y310" s="37" t="n">
        <x:v>2367.014439593283</x:v>
      </x:c>
      <x:c r="Z310" s="37" t="n">
        <x:v>11127136.067215934</x:v>
      </x:c>
      <x:c r="AA310" s="37" t="n">
        <x:v>0</x:v>
      </x:c>
      <x:c r="AB310" s="37" t="n">
        <x:v>11127136.067215934</x:v>
      </x:c>
      <x:c r="AC310" s="37" t="n">
        <x:v>1980485.134967342</x:v>
      </x:c>
      <x:c r="AD310" s="37" t="n">
        <x:v>0</x:v>
      </x:c>
      <x:c r="AE310" s="37" t="n">
        <x:v>0</x:v>
      </x:c>
      <x:c r="AF310" s="47" t="b">
        <x:v>0</x:v>
      </x:c>
      <x:c r="AG310" s="47" t="b">
        <x:v>0</x:v>
      </x:c>
      <x:c r="AH310" s="48" t="n">
        <x:v>0</x:v>
      </x:c>
      <x:c r="AI310" s="48" t="n">
        <x:v>1.1920928955078125e-7</x:v>
      </x:c>
      <x:c r="AJ310" s="37" t="str">
        <x:v>passed</x:v>
      </x:c>
    </x:row>
    <x:row r="311" ht="21" customHeight="1">
      <x:c r="A311" s="2"/>
      <x:c r="B311" s="2"/>
      <x:c r="C311" s="2" t="str">
        <x:v>2022</x:v>
      </x:c>
      <x:c r="D311" s="5" t="n">
        <x:v>44673</x:v>
      </x:c>
      <x:c r="E311" s="2" t="str">
        <x:v>unhedged</x:v>
      </x:c>
      <x:c r="F311" s="37" t="n">
        <x:v>1243642.4736042034</x:v>
      </x:c>
      <x:c r="G311" s="37" t="n">
        <x:v>10830209.469126193</x:v>
      </x:c>
      <x:c r="H311" s="37" t="n">
        <x:v>38763.812154696134</x:v>
      </x:c>
      <x:c r="I311" s="37" t="n">
        <x:v>10791445.656971497</x:v>
      </x:c>
      <x:c r="J311" s="37" t="n">
        <x:v>10830209.469126193</x:v>
      </x:c>
      <x:c r="K311" s="37" t="n">
        <x:v>0</x:v>
      </x:c>
      <x:c r="L311" s="37" t="n">
        <x:v>12073851.942730397</x:v>
      </x:c>
      <x:c r="M311" s="37" t="n">
        <x:v>0</x:v>
      </x:c>
      <x:c r="N311" s="37" t="n">
        <x:v>0</x:v>
      </x:c>
      <x:c r="O311" s="37" t="n">
        <x:v>68.14105931762606</x:v>
      </x:c>
      <x:c r="P311" s="37" t="n">
        <x:v>0</x:v>
      </x:c>
      <x:c r="Q311" s="37" t="n">
        <x:v>0</x:v>
      </x:c>
      <x:c r="R311" s="37" t="n">
        <x:v>0</x:v>
      </x:c>
      <x:c r="S311" s="37" t="n">
        <x:v>0</x:v>
      </x:c>
      <x:c r="T311" s="37" t="n">
        <x:v>0</x:v>
      </x:c>
      <x:c r="U311" s="37" t="n">
        <x:v>37500</x:v>
      </x:c>
      <x:c r="V311" s="37" t="n">
        <x:v>0</x:v>
      </x:c>
      <x:c r="W311" s="37" t="n">
        <x:v>7317.192920929054</x:v>
      </x:c>
      <x:c r="X311" s="37" t="n">
        <x:v>0</x:v>
      </x:c>
      <x:c r="Y311" s="37" t="n">
        <x:v>1174.7193167256753</x:v>
      </x:c>
      <x:c r="Z311" s="37" t="n">
        <x:v>0</x:v>
      </x:c>
      <x:c r="AA311" s="37" t="n">
        <x:v>0</x:v>
      </x:c>
      <x:c r="AB311" s="37" t="n">
        <x:v>0</x:v>
      </x:c>
      <x:c r="AC311" s="37" t="n">
        <x:v>1243642.4736042034</x:v>
      </x:c>
      <x:c r="AD311" s="37" t="n">
        <x:v>0</x:v>
      </x:c>
      <x:c r="AE311" s="37" t="n">
        <x:v>0</x:v>
      </x:c>
      <x:c r="AF311" s="47" t="b">
        <x:v>0</x:v>
      </x:c>
      <x:c r="AG311" s="47" t="b">
        <x:v>0</x:v>
      </x:c>
      <x:c r="AH311" s="48" t="n">
        <x:v>0</x:v>
      </x:c>
      <x:c r="AI311" s="48" t="n">
        <x:v>1.1920928955078125e-7</x:v>
      </x:c>
      <x:c r="AJ311" s="37" t="str">
        <x:v>passed</x:v>
      </x:c>
    </x:row>
    <x:row r="312" ht="21" customHeight="1">
      <x:c r="A312" s="2"/>
      <x:c r="B312" s="2"/>
      <x:c r="C312" s="2" t="str">
        <x:v>2022</x:v>
      </x:c>
      <x:c r="D312" s="5" t="n">
        <x:v>44673</x:v>
      </x:c>
      <x:c r="E312" s="2" t="str">
        <x:v>duration</x:v>
      </x:c>
      <x:c r="F312" s="37" t="n">
        <x:v>9310962.672079591</x:v>
      </x:c>
      <x:c r="G312" s="37" t="n">
        <x:v>3623130.7525804746</x:v>
      </x:c>
      <x:c r="H312" s="37" t="n">
        <x:v>-10741.321231605885</x:v>
      </x:c>
      <x:c r="I312" s="37" t="n">
        <x:v>3633872.0738120805</x:v>
      </x:c>
      <x:c r="J312" s="37" t="n">
        <x:v>10830209.469126193</x:v>
      </x:c>
      <x:c r="K312" s="37" t="n">
        <x:v>7207078.716545719</x:v>
      </x:c>
      <x:c r="L312" s="37" t="n">
        <x:v>12934093.424660066</x:v>
      </x:c>
      <x:c r="M312" s="37" t="n">
        <x:v>0</x:v>
      </x:c>
      <x:c r="N312" s="37" t="n">
        <x:v>0</x:v>
      </x:c>
      <x:c r="O312" s="37" t="n">
        <x:v>510.1617813874036</x:v>
      </x:c>
      <x:c r="P312" s="37" t="n">
        <x:v>0</x:v>
      </x:c>
      <x:c r="Q312" s="37" t="n">
        <x:v>0</x:v>
      </x:c>
      <x:c r="R312" s="37" t="n">
        <x:v>0</x:v>
      </x:c>
      <x:c r="S312" s="37" t="n">
        <x:v>0</x:v>
      </x:c>
      <x:c r="T312" s="37" t="n">
        <x:v>0</x:v>
      </x:c>
      <x:c r="U312" s="37" t="n">
        <x:v>37500</x:v>
      </x:c>
      <x:c r="V312" s="37" t="n">
        <x:v>0</x:v>
      </x:c>
      <x:c r="W312" s="37" t="n">
        <x:v>55474.22374121472</x:v>
      </x:c>
      <x:c r="X312" s="37" t="n">
        <x:v>0</x:v>
      </x:c>
      <x:c r="Y312" s="37" t="n">
        <x:v>1984.778902413692</x:v>
      </x:c>
      <x:c r="Z312" s="37" t="n">
        <x:v>7351220.2908766335</x:v>
      </x:c>
      <x:c r="AA312" s="37" t="n">
        <x:v>0</x:v>
      </x:c>
      <x:c r="AB312" s="37" t="n">
        <x:v>7351220.2908766335</x:v>
      </x:c>
      <x:c r="AC312" s="37" t="n">
        <x:v>1959742.3812029576</x:v>
      </x:c>
      <x:c r="AD312" s="37" t="n">
        <x:v>0</x:v>
      </x:c>
      <x:c r="AE312" s="37" t="n">
        <x:v>0</x:v>
      </x:c>
      <x:c r="AF312" s="47" t="b">
        <x:v>0</x:v>
      </x:c>
      <x:c r="AG312" s="47" t="b">
        <x:v>0</x:v>
      </x:c>
      <x:c r="AH312" s="48" t="n">
        <x:v>0</x:v>
      </x:c>
      <x:c r="AI312" s="48" t="n">
        <x:v>1.1920928955078125e-7</x:v>
      </x:c>
      <x:c r="AJ312" s="37" t="str">
        <x:v>passed</x:v>
      </x:c>
    </x:row>
    <x:row r="313" ht="21" customHeight="1">
      <x:c r="A313" s="2"/>
      <x:c r="B313" s="2"/>
      <x:c r="C313" s="2" t="str">
        <x:v>2022</x:v>
      </x:c>
      <x:c r="D313" s="5" t="n">
        <x:v>44673</x:v>
      </x:c>
      <x:c r="E313" s="2" t="str">
        <x:v>unweighted</x:v>
      </x:c>
      <x:c r="F313" s="37" t="n">
        <x:v>12131361.425687287</x:v>
      </x:c>
      <x:c r="G313" s="37" t="n">
        <x:v>826666.8316870532</x:v>
      </x:c>
      <x:c r="H313" s="37" t="n">
        <x:v>-15817.71650442418</x:v>
      </x:c>
      <x:c r="I313" s="37" t="n">
        <x:v>842484.5481914774</x:v>
      </x:c>
      <x:c r="J313" s="37" t="n">
        <x:v>10830209.469126193</x:v>
      </x:c>
      <x:c r="K313" s="37" t="n">
        <x:v>10003542.63743914</x:v>
      </x:c>
      <x:c r="L313" s="37" t="n">
        <x:v>12958028.25737434</x:v>
      </x:c>
      <x:c r="M313" s="37" t="n">
        <x:v>0</x:v>
      </x:c>
      <x:c r="N313" s="37" t="n">
        <x:v>0</x:v>
      </x:c>
      <x:c r="O313" s="37" t="n">
        <x:v>664.6957112345845</x:v>
      </x:c>
      <x:c r="P313" s="37" t="n">
        <x:v>0</x:v>
      </x:c>
      <x:c r="Q313" s="37" t="n">
        <x:v>0</x:v>
      </x:c>
      <x:c r="R313" s="37" t="n">
        <x:v>0</x:v>
      </x:c>
      <x:c r="S313" s="37" t="n">
        <x:v>0</x:v>
      </x:c>
      <x:c r="T313" s="37" t="n">
        <x:v>0</x:v>
      </x:c>
      <x:c r="U313" s="37" t="n">
        <x:v>37500</x:v>
      </x:c>
      <x:c r="V313" s="37" t="n">
        <x:v>0</x:v>
      </x:c>
      <x:c r="W313" s="37" t="n">
        <x:v>71871.72752860747</x:v>
      </x:c>
      <x:c r="X313" s="37" t="n">
        <x:v>0</x:v>
      </x:c>
      <x:c r="Y313" s="37" t="n">
        <x:v>2257.9573930567167</x:v>
      </x:c>
      <x:c r="Z313" s="37" t="n">
        <x:v>10203613.490187922</x:v>
      </x:c>
      <x:c r="AA313" s="37" t="n">
        <x:v>0</x:v>
      </x:c>
      <x:c r="AB313" s="37" t="n">
        <x:v>10203613.490187922</x:v>
      </x:c>
      <x:c r="AC313" s="37" t="n">
        <x:v>1927747.9354993645</x:v>
      </x:c>
      <x:c r="AD313" s="37" t="n">
        <x:v>0</x:v>
      </x:c>
      <x:c r="AE313" s="37" t="n">
        <x:v>0</x:v>
      </x:c>
      <x:c r="AF313" s="47" t="b">
        <x:v>0</x:v>
      </x:c>
      <x:c r="AG313" s="47" t="b">
        <x:v>0</x:v>
      </x:c>
      <x:c r="AH313" s="48" t="n">
        <x:v>0</x:v>
      </x:c>
      <x:c r="AI313" s="48" t="n">
        <x:v>1.1920928955078125e-7</x:v>
      </x:c>
      <x:c r="AJ313" s="37" t="str">
        <x:v>passed</x:v>
      </x:c>
    </x:row>
    <x:row r="314" ht="21" customHeight="1">
      <x:c r="A314" s="2"/>
      <x:c r="B314" s="2"/>
      <x:c r="C314" s="2" t="str">
        <x:v>2022</x:v>
      </x:c>
      <x:c r="D314" s="5" t="n">
        <x:v>44673</x:v>
      </x:c>
      <x:c r="E314" s="2" t="str">
        <x:v>constrained</x:v>
      </x:c>
      <x:c r="F314" s="37" t="n">
        <x:v>13108339.428002575</x:v>
      </x:c>
      <x:c r="G314" s="37" t="n">
        <x:v>-83834.27673346728</x:v>
      </x:c>
      <x:c r="H314" s="37" t="n">
        <x:v>-19967.05503159669</x:v>
      </x:c>
      <x:c r="I314" s="37" t="n">
        <x:v>-63867.22170187059</x:v>
      </x:c>
      <x:c r="J314" s="37" t="n">
        <x:v>10830209.469126193</x:v>
      </x:c>
      <x:c r="K314" s="37" t="n">
        <x:v>10914043.74585966</x:v>
      </x:c>
      <x:c r="L314" s="37" t="n">
        <x:v>13024505.151269108</x:v>
      </x:c>
      <x:c r="M314" s="37" t="n">
        <x:v>0</x:v>
      </x:c>
      <x:c r="N314" s="37" t="n">
        <x:v>0</x:v>
      </x:c>
      <x:c r="O314" s="37" t="n">
        <x:v>718.2258192989975</x:v>
      </x:c>
      <x:c r="P314" s="37" t="n">
        <x:v>0</x:v>
      </x:c>
      <x:c r="Q314" s="37" t="n">
        <x:v>0</x:v>
      </x:c>
      <x:c r="R314" s="37" t="n">
        <x:v>0</x:v>
      </x:c>
      <x:c r="S314" s="37" t="n">
        <x:v>0</x:v>
      </x:c>
      <x:c r="T314" s="37" t="n">
        <x:v>0</x:v>
      </x:c>
      <x:c r="U314" s="37" t="n">
        <x:v>37500</x:v>
      </x:c>
      <x:c r="V314" s="37" t="n">
        <x:v>0</x:v>
      </x:c>
      <x:c r="W314" s="37" t="n">
        <x:v>77994.75636758469</x:v>
      </x:c>
      <x:c r="X314" s="37" t="n">
        <x:v>0</x:v>
      </x:c>
      <x:c r="Y314" s="37" t="n">
        <x:v>2367.014439593283</x:v>
      </x:c>
      <x:c r="Z314" s="37" t="n">
        <x:v>11132324.620776854</x:v>
      </x:c>
      <x:c r="AA314" s="37" t="n">
        <x:v>0</x:v>
      </x:c>
      <x:c r="AB314" s="37" t="n">
        <x:v>11132324.620776854</x:v>
      </x:c>
      <x:c r="AC314" s="37" t="n">
        <x:v>1976014.807225721</x:v>
      </x:c>
      <x:c r="AD314" s="37" t="n">
        <x:v>0</x:v>
      </x:c>
      <x:c r="AE314" s="37" t="n">
        <x:v>0</x:v>
      </x:c>
      <x:c r="AF314" s="47" t="b">
        <x:v>0</x:v>
      </x:c>
      <x:c r="AG314" s="47" t="b">
        <x:v>0</x:v>
      </x:c>
      <x:c r="AH314" s="48" t="n">
        <x:v>0</x:v>
      </x:c>
      <x:c r="AI314" s="48" t="n">
        <x:v>1.1920928955078125e-7</x:v>
      </x:c>
      <x:c r="AJ314" s="37" t="str">
        <x:v>passed</x:v>
      </x:c>
    </x:row>
    <x:row r="315" ht="21" customHeight="1">
      <x:c r="A315" s="2"/>
      <x:c r="B315" s="2"/>
      <x:c r="C315" s="2" t="str">
        <x:v>2022</x:v>
      </x:c>
      <x:c r="D315" s="5" t="n">
        <x:v>44676</x:v>
      </x:c>
      <x:c r="E315" s="2" t="str">
        <x:v>unhedged</x:v>
      </x:c>
      <x:c r="F315" s="37" t="n">
        <x:v>1243846.9191855146</x:v>
      </x:c>
      <x:c r="G315" s="37" t="n">
        <x:v>10894912.024116812</x:v>
      </x:c>
      <x:c r="H315" s="37" t="n">
        <x:v>39820.441988950275</x:v>
      </x:c>
      <x:c r="I315" s="37" t="n">
        <x:v>10855091.582127862</x:v>
      </x:c>
      <x:c r="J315" s="37" t="n">
        <x:v>10894912.024116812</x:v>
      </x:c>
      <x:c r="K315" s="37" t="n">
        <x:v>0</x:v>
      </x:c>
      <x:c r="L315" s="37" t="n">
        <x:v>12138758.943302326</x:v>
      </x:c>
      <x:c r="M315" s="37" t="n">
        <x:v>0</x:v>
      </x:c>
      <x:c r="N315" s="37" t="n">
        <x:v>0</x:v>
      </x:c>
      <x:c r="O315" s="37" t="n">
        <x:v>204.44558131112717</x:v>
      </x:c>
      <x:c r="P315" s="37" t="n">
        <x:v>0</x:v>
      </x:c>
      <x:c r="Q315" s="37" t="n">
        <x:v>0</x:v>
      </x:c>
      <x:c r="R315" s="37" t="n">
        <x:v>0</x:v>
      </x:c>
      <x:c r="S315" s="37" t="n">
        <x:v>0</x:v>
      </x:c>
      <x:c r="T315" s="37" t="n">
        <x:v>0</x:v>
      </x:c>
      <x:c r="U315" s="37" t="n">
        <x:v>37500</x:v>
      </x:c>
      <x:c r="V315" s="37" t="n">
        <x:v>0</x:v>
      </x:c>
      <x:c r="W315" s="37" t="n">
        <x:v>7521.638502240181</x:v>
      </x:c>
      <x:c r="X315" s="37" t="n">
        <x:v>0</x:v>
      </x:c>
      <x:c r="Y315" s="37" t="n">
        <x:v>1174.7193167256753</x:v>
      </x:c>
      <x:c r="Z315" s="37" t="n">
        <x:v>0</x:v>
      </x:c>
      <x:c r="AA315" s="37" t="n">
        <x:v>0</x:v>
      </x:c>
      <x:c r="AB315" s="37" t="n">
        <x:v>0</x:v>
      </x:c>
      <x:c r="AC315" s="37" t="n">
        <x:v>1243846.9191855146</x:v>
      </x:c>
      <x:c r="AD315" s="37" t="n">
        <x:v>0</x:v>
      </x:c>
      <x:c r="AE315" s="37" t="n">
        <x:v>0</x:v>
      </x:c>
      <x:c r="AF315" s="47" t="b">
        <x:v>0</x:v>
      </x:c>
      <x:c r="AG315" s="47" t="b">
        <x:v>0</x:v>
      </x:c>
      <x:c r="AH315" s="48" t="n">
        <x:v>0</x:v>
      </x:c>
      <x:c r="AI315" s="48" t="n">
        <x:v>1.1920928955078125e-7</x:v>
      </x:c>
      <x:c r="AJ315" s="37" t="str">
        <x:v>passed</x:v>
      </x:c>
    </x:row>
    <x:row r="316" ht="21" customHeight="1">
      <x:c r="A316" s="2"/>
      <x:c r="B316" s="2"/>
      <x:c r="C316" s="2" t="str">
        <x:v>2022</x:v>
      </x:c>
      <x:c r="D316" s="5" t="n">
        <x:v>44676</x:v>
      </x:c>
      <x:c r="E316" s="2" t="str">
        <x:v>duration</x:v>
      </x:c>
      <x:c r="F316" s="37" t="n">
        <x:v>9312493.3251543</x:v>
      </x:c>
      <x:c r="G316" s="37" t="n">
        <x:v>3622932.4345045327</x:v>
      </x:c>
      <x:c r="H316" s="37" t="n">
        <x:v>-10624.662284433434</x:v>
      </x:c>
      <x:c r="I316" s="37" t="n">
        <x:v>3633557.096788966</x:v>
      </x:c>
      <x:c r="J316" s="37" t="n">
        <x:v>10894912.024116812</x:v>
      </x:c>
      <x:c r="K316" s="37" t="n">
        <x:v>7271979.589612279</x:v>
      </x:c>
      <x:c r="L316" s="37" t="n">
        <x:v>12935425.759658834</x:v>
      </x:c>
      <x:c r="M316" s="37" t="n">
        <x:v>0</x:v>
      </x:c>
      <x:c r="N316" s="37" t="n">
        <x:v>0</x:v>
      </x:c>
      <x:c r="O316" s="37" t="n">
        <x:v>1530.6530747096986</x:v>
      </x:c>
      <x:c r="P316" s="37" t="n">
        <x:v>0</x:v>
      </x:c>
      <x:c r="Q316" s="37" t="n">
        <x:v>0</x:v>
      </x:c>
      <x:c r="R316" s="37" t="n">
        <x:v>0</x:v>
      </x:c>
      <x:c r="S316" s="37" t="n">
        <x:v>0</x:v>
      </x:c>
      <x:c r="T316" s="37" t="n">
        <x:v>0</x:v>
      </x:c>
      <x:c r="U316" s="37" t="n">
        <x:v>37500</x:v>
      </x:c>
      <x:c r="V316" s="37" t="n">
        <x:v>0</x:v>
      </x:c>
      <x:c r="W316" s="37" t="n">
        <x:v>57004.87681592442</x:v>
      </x:c>
      <x:c r="X316" s="37" t="n">
        <x:v>0</x:v>
      </x:c>
      <x:c r="Y316" s="37" t="n">
        <x:v>1984.778902413692</x:v>
      </x:c>
      <x:c r="Z316" s="37" t="n">
        <x:v>7417419.1814045245</x:v>
      </x:c>
      <x:c r="AA316" s="37" t="n">
        <x:v>0</x:v>
      </x:c>
      <x:c r="AB316" s="37" t="n">
        <x:v>7417419.1814045245</x:v>
      </x:c>
      <x:c r="AC316" s="37" t="n">
        <x:v>1895074.1437497763</x:v>
      </x:c>
      <x:c r="AD316" s="37" t="n">
        <x:v>0</x:v>
      </x:c>
      <x:c r="AE316" s="37" t="n">
        <x:v>0</x:v>
      </x:c>
      <x:c r="AF316" s="47" t="b">
        <x:v>0</x:v>
      </x:c>
      <x:c r="AG316" s="47" t="b">
        <x:v>0</x:v>
      </x:c>
      <x:c r="AH316" s="48" t="n">
        <x:v>0</x:v>
      </x:c>
      <x:c r="AI316" s="48" t="n">
        <x:v>1.1920928955078125e-7</x:v>
      </x:c>
      <x:c r="AJ316" s="37" t="str">
        <x:v>passed</x:v>
      </x:c>
    </x:row>
    <x:row r="317" ht="21" customHeight="1">
      <x:c r="A317" s="2"/>
      <x:c r="B317" s="2"/>
      <x:c r="C317" s="2" t="str">
        <x:v>2022</x:v>
      </x:c>
      <x:c r="D317" s="5" t="n">
        <x:v>44676</x:v>
      </x:c>
      <x:c r="E317" s="2" t="str">
        <x:v>unweighted</x:v>
      </x:c>
      <x:c r="F317" s="37" t="n">
        <x:v>12133355.731359065</x:v>
      </x:c>
      <x:c r="G317" s="37" t="n">
        <x:v>830912.1205930624</x:v>
      </x:c>
      <x:c r="H317" s="37" t="n">
        <x:v>-15841.674206305639</x:v>
      </x:c>
      <x:c r="I317" s="37" t="n">
        <x:v>846753.794799368</x:v>
      </x:c>
      <x:c r="J317" s="37" t="n">
        <x:v>10894912.024116812</x:v>
      </x:c>
      <x:c r="K317" s="37" t="n">
        <x:v>10063999.903523749</x:v>
      </x:c>
      <x:c r="L317" s="37" t="n">
        <x:v>12964267.851952126</x:v>
      </x:c>
      <x:c r="M317" s="37" t="n">
        <x:v>0</x:v>
      </x:c>
      <x:c r="N317" s="37" t="n">
        <x:v>0</x:v>
      </x:c>
      <x:c r="O317" s="37" t="n">
        <x:v>1994.3056717775762</x:v>
      </x:c>
      <x:c r="P317" s="37" t="n">
        <x:v>0</x:v>
      </x:c>
      <x:c r="Q317" s="37" t="n">
        <x:v>0</x:v>
      </x:c>
      <x:c r="R317" s="37" t="n">
        <x:v>0</x:v>
      </x:c>
      <x:c r="S317" s="37" t="n">
        <x:v>0</x:v>
      </x:c>
      <x:c r="T317" s="37" t="n">
        <x:v>0</x:v>
      </x:c>
      <x:c r="U317" s="37" t="n">
        <x:v>37500</x:v>
      </x:c>
      <x:c r="V317" s="37" t="n">
        <x:v>0</x:v>
      </x:c>
      <x:c r="W317" s="37" t="n">
        <x:v>73866.03320038505</x:v>
      </x:c>
      <x:c r="X317" s="37" t="n">
        <x:v>0</x:v>
      </x:c>
      <x:c r="Y317" s="37" t="n">
        <x:v>2257.9573930567167</x:v>
      </x:c>
      <x:c r="Z317" s="37" t="n">
        <x:v>10265279.901594223</x:v>
      </x:c>
      <x:c r="AA317" s="37" t="n">
        <x:v>0</x:v>
      </x:c>
      <x:c r="AB317" s="37" t="n">
        <x:v>10265279.901594223</x:v>
      </x:c>
      <x:c r="AC317" s="37" t="n">
        <x:v>1868075.8297648411</x:v>
      </x:c>
      <x:c r="AD317" s="37" t="n">
        <x:v>0</x:v>
      </x:c>
      <x:c r="AE317" s="37" t="n">
        <x:v>0</x:v>
      </x:c>
      <x:c r="AF317" s="47" t="b">
        <x:v>0</x:v>
      </x:c>
      <x:c r="AG317" s="47" t="b">
        <x:v>0</x:v>
      </x:c>
      <x:c r="AH317" s="48" t="n">
        <x:v>0</x:v>
      </x:c>
      <x:c r="AI317" s="48" t="n">
        <x:v>1.1920928955078125e-7</x:v>
      </x:c>
      <x:c r="AJ317" s="37" t="str">
        <x:v>passed</x:v>
      </x:c>
    </x:row>
    <x:row r="318" ht="21" customHeight="1">
      <x:c r="A318" s="2"/>
      <x:c r="B318" s="2"/>
      <x:c r="C318" s="2" t="str">
        <x:v>2022</x:v>
      </x:c>
      <x:c r="D318" s="5" t="n">
        <x:v>44676</x:v>
      </x:c>
      <x:c r="E318" s="2" t="str">
        <x:v>constrained</x:v>
      </x:c>
      <x:c r="F318" s="37" t="n">
        <x:v>13110494.341598134</x:v>
      </x:c>
      <x:c r="G318" s="37" t="n">
        <x:v>-83571.05221345623</x:v>
      </x:c>
      <x:c r="H318" s="37" t="n">
        <x:v>-20075.553988705728</x:v>
      </x:c>
      <x:c r="I318" s="37" t="n">
        <x:v>-63495.49822475051</x:v>
      </x:c>
      <x:c r="J318" s="37" t="n">
        <x:v>10894912.024116812</x:v>
      </x:c>
      <x:c r="K318" s="37" t="n">
        <x:v>10978483.076330269</x:v>
      </x:c>
      <x:c r="L318" s="37" t="n">
        <x:v>13026923.289384678</x:v>
      </x:c>
      <x:c r="M318" s="37" t="n">
        <x:v>0</x:v>
      </x:c>
      <x:c r="N318" s="37" t="n">
        <x:v>0</x:v>
      </x:c>
      <x:c r="O318" s="37" t="n">
        <x:v>2154.9135955590755</x:v>
      </x:c>
      <x:c r="P318" s="37" t="n">
        <x:v>0</x:v>
      </x:c>
      <x:c r="Q318" s="37" t="n">
        <x:v>0</x:v>
      </x:c>
      <x:c r="R318" s="37" t="n">
        <x:v>0</x:v>
      </x:c>
      <x:c r="S318" s="37" t="n">
        <x:v>0</x:v>
      </x:c>
      <x:c r="T318" s="37" t="n">
        <x:v>0</x:v>
      </x:c>
      <x:c r="U318" s="37" t="n">
        <x:v>37500</x:v>
      </x:c>
      <x:c r="V318" s="37" t="n">
        <x:v>0</x:v>
      </x:c>
      <x:c r="W318" s="37" t="n">
        <x:v>80149.66996314377</x:v>
      </x:c>
      <x:c r="X318" s="37" t="n">
        <x:v>0</x:v>
      </x:c>
      <x:c r="Y318" s="37" t="n">
        <x:v>2367.014439593283</x:v>
      </x:c>
      <x:c r="Z318" s="37" t="n">
        <x:v>11198052.737856874</x:v>
      </x:c>
      <x:c r="AA318" s="37" t="n">
        <x:v>0</x:v>
      </x:c>
      <x:c r="AB318" s="37" t="n">
        <x:v>11198052.737856874</x:v>
      </x:c>
      <x:c r="AC318" s="37" t="n">
        <x:v>1912441.6037412602</x:v>
      </x:c>
      <x:c r="AD318" s="37" t="n">
        <x:v>0</x:v>
      </x:c>
      <x:c r="AE318" s="37" t="n">
        <x:v>0</x:v>
      </x:c>
      <x:c r="AF318" s="47" t="b">
        <x:v>0</x:v>
      </x:c>
      <x:c r="AG318" s="47" t="b">
        <x:v>0</x:v>
      </x:c>
      <x:c r="AH318" s="48" t="n">
        <x:v>0</x:v>
      </x:c>
      <x:c r="AI318" s="48" t="n">
        <x:v>1.1920928955078125e-7</x:v>
      </x:c>
      <x:c r="AJ318" s="37" t="str">
        <x:v>passed</x:v>
      </x:c>
    </x:row>
    <x:row r="319" ht="21" customHeight="1">
      <x:c r="A319" s="2"/>
      <x:c r="B319" s="2"/>
      <x:c r="C319" s="2" t="str">
        <x:v>2022</x:v>
      </x:c>
      <x:c r="D319" s="5" t="n">
        <x:v>44677</x:v>
      </x:c>
      <x:c r="E319" s="2" t="str">
        <x:v>unhedged</x:v>
      </x:c>
      <x:c r="F319" s="37" t="n">
        <x:v>1243915.0751810865</x:v>
      </x:c>
      <x:c r="G319" s="37" t="n">
        <x:v>10928501.134769592</x:v>
      </x:c>
      <x:c r="H319" s="37" t="n">
        <x:v>40172.65193370165</x:v>
      </x:c>
      <x:c r="I319" s="37" t="n">
        <x:v>10888328.48283589</x:v>
      </x:c>
      <x:c r="J319" s="37" t="n">
        <x:v>10928501.134769592</x:v>
      </x:c>
      <x:c r="K319" s="37" t="n">
        <x:v>0</x:v>
      </x:c>
      <x:c r="L319" s="37" t="n">
        <x:v>12172416.209950678</x:v>
      </x:c>
      <x:c r="M319" s="37" t="n">
        <x:v>0</x:v>
      </x:c>
      <x:c r="N319" s="37" t="n">
        <x:v>0</x:v>
      </x:c>
      <x:c r="O319" s="37" t="n">
        <x:v>68.15599557198584</x:v>
      </x:c>
      <x:c r="P319" s="37" t="n">
        <x:v>0</x:v>
      </x:c>
      <x:c r="Q319" s="37" t="n">
        <x:v>0</x:v>
      </x:c>
      <x:c r="R319" s="37" t="n">
        <x:v>0</x:v>
      </x:c>
      <x:c r="S319" s="37" t="n">
        <x:v>0</x:v>
      </x:c>
      <x:c r="T319" s="37" t="n">
        <x:v>0</x:v>
      </x:c>
      <x:c r="U319" s="37" t="n">
        <x:v>37500</x:v>
      </x:c>
      <x:c r="V319" s="37" t="n">
        <x:v>0</x:v>
      </x:c>
      <x:c r="W319" s="37" t="n">
        <x:v>7589.794497812167</x:v>
      </x:c>
      <x:c r="X319" s="37" t="n">
        <x:v>0</x:v>
      </x:c>
      <x:c r="Y319" s="37" t="n">
        <x:v>1174.7193167256753</x:v>
      </x:c>
      <x:c r="Z319" s="37" t="n">
        <x:v>0</x:v>
      </x:c>
      <x:c r="AA319" s="37" t="n">
        <x:v>0</x:v>
      </x:c>
      <x:c r="AB319" s="37" t="n">
        <x:v>0</x:v>
      </x:c>
      <x:c r="AC319" s="37" t="n">
        <x:v>1243915.0751810865</x:v>
      </x:c>
      <x:c r="AD319" s="37" t="n">
        <x:v>0</x:v>
      </x:c>
      <x:c r="AE319" s="37" t="n">
        <x:v>0</x:v>
      </x:c>
      <x:c r="AF319" s="47" t="b">
        <x:v>0</x:v>
      </x:c>
      <x:c r="AG319" s="47" t="b">
        <x:v>0</x:v>
      </x:c>
      <x:c r="AH319" s="48" t="n">
        <x:v>0</x:v>
      </x:c>
      <x:c r="AI319" s="48" t="n">
        <x:v>1.1920928955078125e-7</x:v>
      </x:c>
      <x:c r="AJ319" s="37" t="str">
        <x:v>passed</x:v>
      </x:c>
    </x:row>
    <x:row r="320" ht="21" customHeight="1">
      <x:c r="A320" s="2"/>
      <x:c r="B320" s="2"/>
      <x:c r="C320" s="2" t="str">
        <x:v>2022</x:v>
      </x:c>
      <x:c r="D320" s="5" t="n">
        <x:v>44677</x:v>
      </x:c>
      <x:c r="E320" s="2" t="str">
        <x:v>duration</x:v>
      </x:c>
      <x:c r="F320" s="37" t="n">
        <x:v>9313003.598761158</x:v>
      </x:c>
      <x:c r="G320" s="37" t="n">
        <x:v>3627244.155462808</x:v>
      </x:c>
      <x:c r="H320" s="37" t="n">
        <x:v>-10585.775968709273</x:v>
      </x:c>
      <x:c r="I320" s="37" t="n">
        <x:v>3637829.9314315175</x:v>
      </x:c>
      <x:c r="J320" s="37" t="n">
        <x:v>10928501.134769592</x:v>
      </x:c>
      <x:c r="K320" s="37" t="n">
        <x:v>7301256.979306784</x:v>
      </x:c>
      <x:c r="L320" s="37" t="n">
        <x:v>12940247.754223965</x:v>
      </x:c>
      <x:c r="M320" s="37" t="n">
        <x:v>0</x:v>
      </x:c>
      <x:c r="N320" s="37" t="n">
        <x:v>0</x:v>
      </x:c>
      <x:c r="O320" s="37" t="n">
        <x:v>510.2736068572849</x:v>
      </x:c>
      <x:c r="P320" s="37" t="n">
        <x:v>0</x:v>
      </x:c>
      <x:c r="Q320" s="37" t="n">
        <x:v>0</x:v>
      </x:c>
      <x:c r="R320" s="37" t="n">
        <x:v>0</x:v>
      </x:c>
      <x:c r="S320" s="37" t="n">
        <x:v>0</x:v>
      </x:c>
      <x:c r="T320" s="37" t="n">
        <x:v>0</x:v>
      </x:c>
      <x:c r="U320" s="37" t="n">
        <x:v>37500</x:v>
      </x:c>
      <x:c r="V320" s="37" t="n">
        <x:v>0</x:v>
      </x:c>
      <x:c r="W320" s="37" t="n">
        <x:v>57515.150422781706</x:v>
      </x:c>
      <x:c r="X320" s="37" t="n">
        <x:v>0</x:v>
      </x:c>
      <x:c r="Y320" s="37" t="n">
        <x:v>1984.778902413692</x:v>
      </x:c>
      <x:c r="Z320" s="37" t="n">
        <x:v>7447282.11889292</x:v>
      </x:c>
      <x:c r="AA320" s="37" t="n">
        <x:v>0</x:v>
      </x:c>
      <x:c r="AB320" s="37" t="n">
        <x:v>7447282.11889292</x:v>
      </x:c>
      <x:c r="AC320" s="37" t="n">
        <x:v>1865721.4798682379</x:v>
      </x:c>
      <x:c r="AD320" s="37" t="n">
        <x:v>0</x:v>
      </x:c>
      <x:c r="AE320" s="37" t="n">
        <x:v>0</x:v>
      </x:c>
      <x:c r="AF320" s="47" t="b">
        <x:v>0</x:v>
      </x:c>
      <x:c r="AG320" s="47" t="b">
        <x:v>0</x:v>
      </x:c>
      <x:c r="AH320" s="48" t="n">
        <x:v>0</x:v>
      </x:c>
      <x:c r="AI320" s="48" t="n">
        <x:v>1.1920928955078125e-7</x:v>
      </x:c>
      <x:c r="AJ320" s="37" t="str">
        <x:v>passed</x:v>
      </x:c>
    </x:row>
    <x:row r="321" ht="21" customHeight="1">
      <x:c r="A321" s="2"/>
      <x:c r="B321" s="2"/>
      <x:c r="C321" s="2" t="str">
        <x:v>2022</x:v>
      </x:c>
      <x:c r="D321" s="5" t="n">
        <x:v>44677</x:v>
      </x:c>
      <x:c r="E321" s="2" t="str">
        <x:v>unweighted</x:v>
      </x:c>
      <x:c r="F321" s="37" t="n">
        <x:v>12134020.572769003</x:v>
      </x:c>
      <x:c r="G321" s="37" t="n">
        <x:v>833134.9161306426</x:v>
      </x:c>
      <x:c r="H321" s="37" t="n">
        <x:v>-15849.66010693279</x:v>
      </x:c>
      <x:c r="I321" s="37" t="n">
        <x:v>848984.5762375754</x:v>
      </x:c>
      <x:c r="J321" s="37" t="n">
        <x:v>10928501.134769592</x:v>
      </x:c>
      <x:c r="K321" s="37" t="n">
        <x:v>10095366.21863895</x:v>
      </x:c>
      <x:c r="L321" s="37" t="n">
        <x:v>12967155.488899646</x:v>
      </x:c>
      <x:c r="M321" s="37" t="n">
        <x:v>0</x:v>
      </x:c>
      <x:c r="N321" s="37" t="n">
        <x:v>0</x:v>
      </x:c>
      <x:c r="O321" s="37" t="n">
        <x:v>664.8414099384099</x:v>
      </x:c>
      <x:c r="P321" s="37" t="n">
        <x:v>0</x:v>
      </x:c>
      <x:c r="Q321" s="37" t="n">
        <x:v>0</x:v>
      </x:c>
      <x:c r="R321" s="37" t="n">
        <x:v>0</x:v>
      </x:c>
      <x:c r="S321" s="37" t="n">
        <x:v>0</x:v>
      </x:c>
      <x:c r="T321" s="37" t="n">
        <x:v>0</x:v>
      </x:c>
      <x:c r="U321" s="37" t="n">
        <x:v>37500</x:v>
      </x:c>
      <x:c r="V321" s="37" t="n">
        <x:v>0</x:v>
      </x:c>
      <x:c r="W321" s="37" t="n">
        <x:v>74530.87461032346</x:v>
      </x:c>
      <x:c r="X321" s="37" t="n">
        <x:v>0</x:v>
      </x:c>
      <x:c r="Y321" s="37" t="n">
        <x:v>2257.9573930567167</x:v>
      </x:c>
      <x:c r="Z321" s="37" t="n">
        <x:v>10297273.543011729</x:v>
      </x:c>
      <x:c r="AA321" s="37" t="n">
        <x:v>0</x:v>
      </x:c>
      <x:c r="AB321" s="37" t="n">
        <x:v>10297273.543011729</x:v>
      </x:c>
      <x:c r="AC321" s="37" t="n">
        <x:v>1836747.0297572743</x:v>
      </x:c>
      <x:c r="AD321" s="37" t="n">
        <x:v>0</x:v>
      </x:c>
      <x:c r="AE321" s="37" t="n">
        <x:v>0</x:v>
      </x:c>
      <x:c r="AF321" s="47" t="b">
        <x:v>0</x:v>
      </x:c>
      <x:c r="AG321" s="47" t="b">
        <x:v>0</x:v>
      </x:c>
      <x:c r="AH321" s="48" t="n">
        <x:v>0</x:v>
      </x:c>
      <x:c r="AI321" s="48" t="n">
        <x:v>1.1920928955078125e-7</x:v>
      </x:c>
      <x:c r="AJ321" s="37" t="str">
        <x:v>passed</x:v>
      </x:c>
    </x:row>
    <x:row r="322" ht="21" customHeight="1">
      <x:c r="A322" s="2"/>
      <x:c r="B322" s="2"/>
      <x:c r="C322" s="2" t="str">
        <x:v>2022</x:v>
      </x:c>
      <x:c r="D322" s="5" t="n">
        <x:v>44677</x:v>
      </x:c>
      <x:c r="E322" s="2" t="str">
        <x:v>constrained</x:v>
      </x:c>
      <x:c r="F322" s="37" t="n">
        <x:v>13111212.72484973</x:v>
      </x:c>
      <x:c r="G322" s="37" t="n">
        <x:v>-83683.49771530356</x:v>
      </x:c>
      <x:c r="H322" s="37" t="n">
        <x:v>-20111.72030774207</x:v>
      </x:c>
      <x:c r="I322" s="37" t="n">
        <x:v>-63571.77740756149</x:v>
      </x:c>
      <x:c r="J322" s="37" t="n">
        <x:v>10928501.134769592</x:v>
      </x:c>
      <x:c r="K322" s="37" t="n">
        <x:v>11012184.632484896</x:v>
      </x:c>
      <x:c r="L322" s="37" t="n">
        <x:v>13027529.227134427</x:v>
      </x:c>
      <x:c r="M322" s="37" t="n">
        <x:v>0</x:v>
      </x:c>
      <x:c r="N322" s="37" t="n">
        <x:v>0</x:v>
      </x:c>
      <x:c r="O322" s="37" t="n">
        <x:v>718.3832515962422</x:v>
      </x:c>
      <x:c r="P322" s="37" t="n">
        <x:v>0</x:v>
      </x:c>
      <x:c r="Q322" s="37" t="n">
        <x:v>0</x:v>
      </x:c>
      <x:c r="R322" s="37" t="n">
        <x:v>0</x:v>
      </x:c>
      <x:c r="S322" s="37" t="n">
        <x:v>0</x:v>
      </x:c>
      <x:c r="T322" s="37" t="n">
        <x:v>0</x:v>
      </x:c>
      <x:c r="U322" s="37" t="n">
        <x:v>37500</x:v>
      </x:c>
      <x:c r="V322" s="37" t="n">
        <x:v>0</x:v>
      </x:c>
      <x:c r="W322" s="37" t="n">
        <x:v>80868.05321474001</x:v>
      </x:c>
      <x:c r="X322" s="37" t="n">
        <x:v>0</x:v>
      </x:c>
      <x:c r="Y322" s="37" t="n">
        <x:v>2367.014439593283</x:v>
      </x:c>
      <x:c r="Z322" s="37" t="n">
        <x:v>11232428.325134594</x:v>
      </x:c>
      <x:c r="AA322" s="37" t="n">
        <x:v>0</x:v>
      </x:c>
      <x:c r="AB322" s="37" t="n">
        <x:v>11232428.325134594</x:v>
      </x:c>
      <x:c r="AC322" s="37" t="n">
        <x:v>1878784.3997151367</x:v>
      </x:c>
      <x:c r="AD322" s="37" t="n">
        <x:v>0</x:v>
      </x:c>
      <x:c r="AE322" s="37" t="n">
        <x:v>0</x:v>
      </x:c>
      <x:c r="AF322" s="47" t="b">
        <x:v>0</x:v>
      </x:c>
      <x:c r="AG322" s="47" t="b">
        <x:v>0</x:v>
      </x:c>
      <x:c r="AH322" s="48" t="n">
        <x:v>0</x:v>
      </x:c>
      <x:c r="AI322" s="48" t="n">
        <x:v>1.1920928955078125e-7</x:v>
      </x:c>
      <x:c r="AJ322" s="37" t="str">
        <x:v>passed</x:v>
      </x:c>
    </x:row>
    <x:row r="323" ht="21" customHeight="1">
      <x:c r="A323" s="2"/>
      <x:c r="B323" s="2"/>
      <x:c r="C323" s="2" t="str">
        <x:v>2022</x:v>
      </x:c>
      <x:c r="D323" s="5" t="n">
        <x:v>44678</x:v>
      </x:c>
      <x:c r="E323" s="2" t="str">
        <x:v>unhedged</x:v>
      </x:c>
      <x:c r="F323" s="37" t="n">
        <x:v>1243983.2349112337</x:v>
      </x:c>
      <x:c r="G323" s="37" t="n">
        <x:v>10902520.328606952</x:v>
      </x:c>
      <x:c r="H323" s="37" t="n">
        <x:v>40524.86187845304</x:v>
      </x:c>
      <x:c r="I323" s="37" t="n">
        <x:v>10861995.4667285</x:v>
      </x:c>
      <x:c r="J323" s="37" t="n">
        <x:v>10902520.328606952</x:v>
      </x:c>
      <x:c r="K323" s="37" t="n">
        <x:v>0</x:v>
      </x:c>
      <x:c r="L323" s="37" t="n">
        <x:v>12146503.563518185</x:v>
      </x:c>
      <x:c r="M323" s="37" t="n">
        <x:v>0</x:v>
      </x:c>
      <x:c r="N323" s="37" t="n">
        <x:v>0</x:v>
      </x:c>
      <x:c r="O323" s="37" t="n">
        <x:v>68.15973014710471</x:v>
      </x:c>
      <x:c r="P323" s="37" t="n">
        <x:v>0</x:v>
      </x:c>
      <x:c r="Q323" s="37" t="n">
        <x:v>0</x:v>
      </x:c>
      <x:c r="R323" s="37" t="n">
        <x:v>0</x:v>
      </x:c>
      <x:c r="S323" s="37" t="n">
        <x:v>0</x:v>
      </x:c>
      <x:c r="T323" s="37" t="n">
        <x:v>0</x:v>
      </x:c>
      <x:c r="U323" s="37" t="n">
        <x:v>37500</x:v>
      </x:c>
      <x:c r="V323" s="37" t="n">
        <x:v>0</x:v>
      </x:c>
      <x:c r="W323" s="37" t="n">
        <x:v>7657.9542279592715</x:v>
      </x:c>
      <x:c r="X323" s="37" t="n">
        <x:v>0</x:v>
      </x:c>
      <x:c r="Y323" s="37" t="n">
        <x:v>1174.7193167256753</x:v>
      </x:c>
      <x:c r="Z323" s="37" t="n">
        <x:v>0</x:v>
      </x:c>
      <x:c r="AA323" s="37" t="n">
        <x:v>0</x:v>
      </x:c>
      <x:c r="AB323" s="37" t="n">
        <x:v>0</x:v>
      </x:c>
      <x:c r="AC323" s="37" t="n">
        <x:v>1243983.2349112337</x:v>
      </x:c>
      <x:c r="AD323" s="37" t="n">
        <x:v>0</x:v>
      </x:c>
      <x:c r="AE323" s="37" t="n">
        <x:v>0</x:v>
      </x:c>
      <x:c r="AF323" s="47" t="b">
        <x:v>0</x:v>
      </x:c>
      <x:c r="AG323" s="47" t="b">
        <x:v>0</x:v>
      </x:c>
      <x:c r="AH323" s="48" t="n">
        <x:v>0</x:v>
      </x:c>
      <x:c r="AI323" s="48" t="n">
        <x:v>1.1920928955078125e-7</x:v>
      </x:c>
      <x:c r="AJ323" s="37" t="str">
        <x:v>passed</x:v>
      </x:c>
    </x:row>
    <x:row r="324" ht="21" customHeight="1">
      <x:c r="A324" s="2"/>
      <x:c r="B324" s="2"/>
      <x:c r="C324" s="2" t="str">
        <x:v>2022</x:v>
      </x:c>
      <x:c r="D324" s="5" t="n">
        <x:v>44678</x:v>
      </x:c>
      <x:c r="E324" s="2" t="str">
        <x:v>duration</x:v>
      </x:c>
      <x:c r="F324" s="37" t="n">
        <x:v>9313513.900328215</x:v>
      </x:c>
      <x:c r="G324" s="37" t="n">
        <x:v>3630477.0734605473</x:v>
      </x:c>
      <x:c r="H324" s="37" t="n">
        <x:v>-10546.88965298512</x:v>
      </x:c>
      <x:c r="I324" s="37" t="n">
        <x:v>3641023.9631135324</x:v>
      </x:c>
      <x:c r="J324" s="37" t="n">
        <x:v>10902520.328606952</x:v>
      </x:c>
      <x:c r="K324" s="37" t="n">
        <x:v>7272043.255146405</x:v>
      </x:c>
      <x:c r="L324" s="37" t="n">
        <x:v>12943990.973788762</x:v>
      </x:c>
      <x:c r="M324" s="37" t="n">
        <x:v>0</x:v>
      </x:c>
      <x:c r="N324" s="37" t="n">
        <x:v>0</x:v>
      </x:c>
      <x:c r="O324" s="37" t="n">
        <x:v>510.3015670571476</x:v>
      </x:c>
      <x:c r="P324" s="37" t="n">
        <x:v>0</x:v>
      </x:c>
      <x:c r="Q324" s="37" t="n">
        <x:v>0</x:v>
      </x:c>
      <x:c r="R324" s="37" t="n">
        <x:v>0</x:v>
      </x:c>
      <x:c r="S324" s="37" t="n">
        <x:v>0</x:v>
      </x:c>
      <x:c r="T324" s="37" t="n">
        <x:v>0</x:v>
      </x:c>
      <x:c r="U324" s="37" t="n">
        <x:v>37500</x:v>
      </x:c>
      <x:c r="V324" s="37" t="n">
        <x:v>0</x:v>
      </x:c>
      <x:c r="W324" s="37" t="n">
        <x:v>58025.45198983885</x:v>
      </x:c>
      <x:c r="X324" s="37" t="n">
        <x:v>0</x:v>
      </x:c>
      <x:c r="Y324" s="37" t="n">
        <x:v>1984.778902413692</x:v>
      </x:c>
      <x:c r="Z324" s="37" t="n">
        <x:v>7417484.120249333</x:v>
      </x:c>
      <x:c r="AA324" s="37" t="n">
        <x:v>0</x:v>
      </x:c>
      <x:c r="AB324" s="37" t="n">
        <x:v>7417484.120249333</x:v>
      </x:c>
      <x:c r="AC324" s="37" t="n">
        <x:v>1896029.7800788824</x:v>
      </x:c>
      <x:c r="AD324" s="37" t="n">
        <x:v>0</x:v>
      </x:c>
      <x:c r="AE324" s="37" t="n">
        <x:v>0</x:v>
      </x:c>
      <x:c r="AF324" s="47" t="b">
        <x:v>0</x:v>
      </x:c>
      <x:c r="AG324" s="47" t="b">
        <x:v>0</x:v>
      </x:c>
      <x:c r="AH324" s="48" t="n">
        <x:v>0</x:v>
      </x:c>
      <x:c r="AI324" s="48" t="n">
        <x:v>1.1920928955078125e-7</x:v>
      </x:c>
      <x:c r="AJ324" s="37" t="str">
        <x:v>passed</x:v>
      </x:c>
    </x:row>
    <x:row r="325" ht="21" customHeight="1">
      <x:c r="A325" s="2"/>
      <x:c r="B325" s="2"/>
      <x:c r="C325" s="2" t="str">
        <x:v>2022</x:v>
      </x:c>
      <x:c r="D325" s="5" t="n">
        <x:v>44678</x:v>
      </x:c>
      <x:c r="E325" s="2" t="str">
        <x:v>unweighted</x:v>
      </x:c>
      <x:c r="F325" s="37" t="n">
        <x:v>12134685.450608607</x:v>
      </x:c>
      <x:c r="G325" s="37" t="n">
        <x:v>831667.257393188</x:v>
      </x:c>
      <x:c r="H325" s="37" t="n">
        <x:v>-15857.646007559933</x:v>
      </x:c>
      <x:c r="I325" s="37" t="n">
        <x:v>847524.9034007479</x:v>
      </x:c>
      <x:c r="J325" s="37" t="n">
        <x:v>10902520.328606952</x:v>
      </x:c>
      <x:c r="K325" s="37" t="n">
        <x:v>10070853.071213763</x:v>
      </x:c>
      <x:c r="L325" s="37" t="n">
        <x:v>12966352.708001796</x:v>
      </x:c>
      <x:c r="M325" s="37" t="n">
        <x:v>0</x:v>
      </x:c>
      <x:c r="N325" s="37" t="n">
        <x:v>0</x:v>
      </x:c>
      <x:c r="O325" s="37" t="n">
        <x:v>664.8778396043926</x:v>
      </x:c>
      <x:c r="P325" s="37" t="n">
        <x:v>0</x:v>
      </x:c>
      <x:c r="Q325" s="37" t="n">
        <x:v>0</x:v>
      </x:c>
      <x:c r="R325" s="37" t="n">
        <x:v>0</x:v>
      </x:c>
      <x:c r="S325" s="37" t="n">
        <x:v>0</x:v>
      </x:c>
      <x:c r="T325" s="37" t="n">
        <x:v>0</x:v>
      </x:c>
      <x:c r="U325" s="37" t="n">
        <x:v>37500</x:v>
      </x:c>
      <x:c r="V325" s="37" t="n">
        <x:v>0</x:v>
      </x:c>
      <x:c r="W325" s="37" t="n">
        <x:v>75195.75244992785</x:v>
      </x:c>
      <x:c r="X325" s="37" t="n">
        <x:v>0</x:v>
      </x:c>
      <x:c r="Y325" s="37" t="n">
        <x:v>2257.9573930567167</x:v>
      </x:c>
      <x:c r="Z325" s="37" t="n">
        <x:v>10272270.132638039</x:v>
      </x:c>
      <x:c r="AA325" s="37" t="n">
        <x:v>0</x:v>
      </x:c>
      <x:c r="AB325" s="37" t="n">
        <x:v>10272270.132638039</x:v>
      </x:c>
      <x:c r="AC325" s="37" t="n">
        <x:v>1862415.3179705683</x:v>
      </x:c>
      <x:c r="AD325" s="37" t="n">
        <x:v>0</x:v>
      </x:c>
      <x:c r="AE325" s="37" t="n">
        <x:v>0</x:v>
      </x:c>
      <x:c r="AF325" s="47" t="b">
        <x:v>0</x:v>
      </x:c>
      <x:c r="AG325" s="47" t="b">
        <x:v>0</x:v>
      </x:c>
      <x:c r="AH325" s="48" t="n">
        <x:v>0</x:v>
      </x:c>
      <x:c r="AI325" s="48" t="n">
        <x:v>1.1920928955078125e-7</x:v>
      </x:c>
      <x:c r="AJ325" s="37" t="str">
        <x:v>passed</x:v>
      </x:c>
    </x:row>
    <x:row r="326" ht="21" customHeight="1">
      <x:c r="A326" s="2"/>
      <x:c r="B326" s="2"/>
      <x:c r="C326" s="2" t="str">
        <x:v>2022</x:v>
      </x:c>
      <x:c r="D326" s="5" t="n">
        <x:v>44678</x:v>
      </x:c>
      <x:c r="E326" s="2" t="str">
        <x:v>constrained</x:v>
      </x:c>
      <x:c r="F326" s="37" t="n">
        <x:v>13111931.147464793</x:v>
      </x:c>
      <x:c r="G326" s="37" t="n">
        <x:v>-83699.69785872973</x:v>
      </x:c>
      <x:c r="H326" s="37" t="n">
        <x:v>-20147.886626778414</x:v>
      </x:c>
      <x:c r="I326" s="37" t="n">
        <x:v>-63551.81123195132</x:v>
      </x:c>
      <x:c r="J326" s="37" t="n">
        <x:v>10902520.328606952</x:v>
      </x:c>
      <x:c r="K326" s="37" t="n">
        <x:v>10986220.026465682</x:v>
      </x:c>
      <x:c r="L326" s="37" t="n">
        <x:v>13028231.449606063</x:v>
      </x:c>
      <x:c r="M326" s="37" t="n">
        <x:v>0</x:v>
      </x:c>
      <x:c r="N326" s="37" t="n">
        <x:v>0</x:v>
      </x:c>
      <x:c r="O326" s="37" t="n">
        <x:v>718.4226150624454</x:v>
      </x:c>
      <x:c r="P326" s="37" t="n">
        <x:v>0</x:v>
      </x:c>
      <x:c r="Q326" s="37" t="n">
        <x:v>0</x:v>
      </x:c>
      <x:c r="R326" s="37" t="n">
        <x:v>0</x:v>
      </x:c>
      <x:c r="S326" s="37" t="n">
        <x:v>0</x:v>
      </x:c>
      <x:c r="T326" s="37" t="n">
        <x:v>0</x:v>
      </x:c>
      <x:c r="U326" s="37" t="n">
        <x:v>37500</x:v>
      </x:c>
      <x:c r="V326" s="37" t="n">
        <x:v>0</x:v>
      </x:c>
      <x:c r="W326" s="37" t="n">
        <x:v>81586.47582980245</x:v>
      </x:c>
      <x:c r="X326" s="37" t="n">
        <x:v>0</x:v>
      </x:c>
      <x:c r="Y326" s="37" t="n">
        <x:v>2367.014439593283</x:v>
      </x:c>
      <x:c r="Z326" s="37" t="n">
        <x:v>11205944.426994996</x:v>
      </x:c>
      <x:c r="AA326" s="37" t="n">
        <x:v>0</x:v>
      </x:c>
      <x:c r="AB326" s="37" t="n">
        <x:v>11205944.426994996</x:v>
      </x:c>
      <x:c r="AC326" s="37" t="n">
        <x:v>1905986.720469797</x:v>
      </x:c>
      <x:c r="AD326" s="37" t="n">
        <x:v>0</x:v>
      </x:c>
      <x:c r="AE326" s="37" t="n">
        <x:v>0</x:v>
      </x:c>
      <x:c r="AF326" s="47" t="b">
        <x:v>0</x:v>
      </x:c>
      <x:c r="AG326" s="47" t="b">
        <x:v>0</x:v>
      </x:c>
      <x:c r="AH326" s="48" t="n">
        <x:v>0</x:v>
      </x:c>
      <x:c r="AI326" s="48" t="n">
        <x:v>1.1920928955078125e-7</x:v>
      </x:c>
      <x:c r="AJ326" s="37" t="str">
        <x:v>passed</x:v>
      </x:c>
    </x:row>
    <x:row r="327" ht="21" customHeight="1">
      <x:c r="A327" s="2"/>
      <x:c r="B327" s="2"/>
      <x:c r="C327" s="2" t="str">
        <x:v>2022</x:v>
      </x:c>
      <x:c r="D327" s="5" t="n">
        <x:v>44679</x:v>
      </x:c>
      <x:c r="E327" s="2" t="str">
        <x:v>unhedged</x:v>
      </x:c>
      <x:c r="F327" s="37" t="n">
        <x:v>1244051.3983761603</x:v>
      </x:c>
      <x:c r="G327" s="37" t="n">
        <x:v>10877375.698622618</x:v>
      </x:c>
      <x:c r="H327" s="37" t="n">
        <x:v>40877.07182320442</x:v>
      </x:c>
      <x:c r="I327" s="37" t="n">
        <x:v>10836498.626799414</x:v>
      </x:c>
      <x:c r="J327" s="37" t="n">
        <x:v>10877375.698622618</x:v>
      </x:c>
      <x:c r="K327" s="37" t="n">
        <x:v>0</x:v>
      </x:c>
      <x:c r="L327" s="37" t="n">
        <x:v>12121427.096998777</x:v>
      </x:c>
      <x:c r="M327" s="37" t="n">
        <x:v>0</x:v>
      </x:c>
      <x:c r="N327" s="37" t="n">
        <x:v>0</x:v>
      </x:c>
      <x:c r="O327" s="37" t="n">
        <x:v>68.16346492664889</x:v>
      </x:c>
      <x:c r="P327" s="37" t="n">
        <x:v>0</x:v>
      </x:c>
      <x:c r="Q327" s="37" t="n">
        <x:v>0</x:v>
      </x:c>
      <x:c r="R327" s="37" t="n">
        <x:v>0</x:v>
      </x:c>
      <x:c r="S327" s="37" t="n">
        <x:v>0</x:v>
      </x:c>
      <x:c r="T327" s="37" t="n">
        <x:v>0</x:v>
      </x:c>
      <x:c r="U327" s="37" t="n">
        <x:v>37500</x:v>
      </x:c>
      <x:c r="V327" s="37" t="n">
        <x:v>0</x:v>
      </x:c>
      <x:c r="W327" s="37" t="n">
        <x:v>7726.11769288592</x:v>
      </x:c>
      <x:c r="X327" s="37" t="n">
        <x:v>0</x:v>
      </x:c>
      <x:c r="Y327" s="37" t="n">
        <x:v>1174.7193167256753</x:v>
      </x:c>
      <x:c r="Z327" s="37" t="n">
        <x:v>0</x:v>
      </x:c>
      <x:c r="AA327" s="37" t="n">
        <x:v>0</x:v>
      </x:c>
      <x:c r="AB327" s="37" t="n">
        <x:v>0</x:v>
      </x:c>
      <x:c r="AC327" s="37" t="n">
        <x:v>1244051.3983761603</x:v>
      </x:c>
      <x:c r="AD327" s="37" t="n">
        <x:v>0</x:v>
      </x:c>
      <x:c r="AE327" s="37" t="n">
        <x:v>0</x:v>
      </x:c>
      <x:c r="AF327" s="47" t="b">
        <x:v>0</x:v>
      </x:c>
      <x:c r="AG327" s="47" t="b">
        <x:v>0</x:v>
      </x:c>
      <x:c r="AH327" s="48" t="n">
        <x:v>0</x:v>
      </x:c>
      <x:c r="AI327" s="48" t="n">
        <x:v>1.1920928955078125e-7</x:v>
      </x:c>
      <x:c r="AJ327" s="37" t="str">
        <x:v>passed</x:v>
      </x:c>
    </x:row>
    <x:row r="328" ht="21" customHeight="1">
      <x:c r="A328" s="2"/>
      <x:c r="B328" s="2"/>
      <x:c r="C328" s="2" t="str">
        <x:v>2022</x:v>
      </x:c>
      <x:c r="D328" s="5" t="n">
        <x:v>44679</x:v>
      </x:c>
      <x:c r="E328" s="2" t="str">
        <x:v>duration</x:v>
      </x:c>
      <x:c r="F328" s="37" t="n">
        <x:v>9314024.229857001</x:v>
      </x:c>
      <x:c r="G328" s="37" t="n">
        <x:v>3627346.576618254</x:v>
      </x:c>
      <x:c r="H328" s="37" t="n">
        <x:v>-10508.003337260965</x:v>
      </x:c>
      <x:c r="I328" s="37" t="n">
        <x:v>3637854.579955515</x:v>
      </x:c>
      <x:c r="J328" s="37" t="n">
        <x:v>10877375.698622618</x:v>
      </x:c>
      <x:c r="K328" s="37" t="n">
        <x:v>7250029.122004364</x:v>
      </x:c>
      <x:c r="L328" s="37" t="n">
        <x:v>12941370.806475256</x:v>
      </x:c>
      <x:c r="M328" s="37" t="n">
        <x:v>0</x:v>
      </x:c>
      <x:c r="N328" s="37" t="n">
        <x:v>0</x:v>
      </x:c>
      <x:c r="O328" s="37" t="n">
        <x:v>510.329528786242</x:v>
      </x:c>
      <x:c r="P328" s="37" t="n">
        <x:v>0</x:v>
      </x:c>
      <x:c r="Q328" s="37" t="n">
        <x:v>0</x:v>
      </x:c>
      <x:c r="R328" s="37" t="n">
        <x:v>0</x:v>
      </x:c>
      <x:c r="S328" s="37" t="n">
        <x:v>0</x:v>
      </x:c>
      <x:c r="T328" s="37" t="n">
        <x:v>0</x:v>
      </x:c>
      <x:c r="U328" s="37" t="n">
        <x:v>37500</x:v>
      </x:c>
      <x:c r="V328" s="37" t="n">
        <x:v>0</x:v>
      </x:c>
      <x:c r="W328" s="37" t="n">
        <x:v>58535.781518625095</x:v>
      </x:c>
      <x:c r="X328" s="37" t="n">
        <x:v>0</x:v>
      </x:c>
      <x:c r="Y328" s="37" t="n">
        <x:v>1984.778902413692</x:v>
      </x:c>
      <x:c r="Z328" s="37" t="n">
        <x:v>7395029.704444451</x:v>
      </x:c>
      <x:c r="AA328" s="37" t="n">
        <x:v>0</x:v>
      </x:c>
      <x:c r="AB328" s="37" t="n">
        <x:v>7395029.704444451</x:v>
      </x:c>
      <x:c r="AC328" s="37" t="n">
        <x:v>1918994.5254125502</x:v>
      </x:c>
      <x:c r="AD328" s="37" t="n">
        <x:v>0</x:v>
      </x:c>
      <x:c r="AE328" s="37" t="n">
        <x:v>0</x:v>
      </x:c>
      <x:c r="AF328" s="47" t="b">
        <x:v>0</x:v>
      </x:c>
      <x:c r="AG328" s="47" t="b">
        <x:v>0</x:v>
      </x:c>
      <x:c r="AH328" s="48" t="n">
        <x:v>0</x:v>
      </x:c>
      <x:c r="AI328" s="48" t="n">
        <x:v>1.1920928955078125e-7</x:v>
      </x:c>
      <x:c r="AJ328" s="37" t="str">
        <x:v>passed</x:v>
      </x:c>
    </x:row>
    <x:row r="329" ht="21" customHeight="1">
      <x:c r="A329" s="2"/>
      <x:c r="B329" s="2"/>
      <x:c r="C329" s="2" t="str">
        <x:v>2022</x:v>
      </x:c>
      <x:c r="D329" s="5" t="n">
        <x:v>44679</x:v>
      </x:c>
      <x:c r="E329" s="2" t="str">
        <x:v>unweighted</x:v>
      </x:c>
      <x:c r="F329" s="37" t="n">
        <x:v>12135350.364879875</x:v>
      </x:c>
      <x:c r="G329" s="37" t="n">
        <x:v>829764.0384299625</x:v>
      </x:c>
      <x:c r="H329" s="37" t="n">
        <x:v>-15865.631908187084</x:v>
      </x:c>
      <x:c r="I329" s="37" t="n">
        <x:v>845629.6703381495</x:v>
      </x:c>
      <x:c r="J329" s="37" t="n">
        <x:v>10877375.698622618</x:v>
      </x:c>
      <x:c r="K329" s="37" t="n">
        <x:v>10047611.660192655</x:v>
      </x:c>
      <x:c r="L329" s="37" t="n">
        <x:v>12965114.403309837</x:v>
      </x:c>
      <x:c r="M329" s="37" t="n">
        <x:v>0</x:v>
      </x:c>
      <x:c r="N329" s="37" t="n">
        <x:v>0</x:v>
      </x:c>
      <x:c r="O329" s="37" t="n">
        <x:v>664.914271267131</x:v>
      </x:c>
      <x:c r="P329" s="37" t="n">
        <x:v>0</x:v>
      </x:c>
      <x:c r="Q329" s="37" t="n">
        <x:v>0</x:v>
      </x:c>
      <x:c r="R329" s="37" t="n">
        <x:v>0</x:v>
      </x:c>
      <x:c r="S329" s="37" t="n">
        <x:v>0</x:v>
      </x:c>
      <x:c r="T329" s="37" t="n">
        <x:v>0</x:v>
      </x:c>
      <x:c r="U329" s="37" t="n">
        <x:v>37500</x:v>
      </x:c>
      <x:c r="V329" s="37" t="n">
        <x:v>0</x:v>
      </x:c>
      <x:c r="W329" s="37" t="n">
        <x:v>75860.66672119498</x:v>
      </x:c>
      <x:c r="X329" s="37" t="n">
        <x:v>0</x:v>
      </x:c>
      <x:c r="Y329" s="37" t="n">
        <x:v>2257.9573930567167</x:v>
      </x:c>
      <x:c r="Z329" s="37" t="n">
        <x:v>10248563.893396508</x:v>
      </x:c>
      <x:c r="AA329" s="37" t="n">
        <x:v>0</x:v>
      </x:c>
      <x:c r="AB329" s="37" t="n">
        <x:v>10248563.893396508</x:v>
      </x:c>
      <x:c r="AC329" s="37" t="n">
        <x:v>1886786.4714833666</x:v>
      </x:c>
      <x:c r="AD329" s="37" t="n">
        <x:v>0</x:v>
      </x:c>
      <x:c r="AE329" s="37" t="n">
        <x:v>0</x:v>
      </x:c>
      <x:c r="AF329" s="47" t="b">
        <x:v>0</x:v>
      </x:c>
      <x:c r="AG329" s="47" t="b">
        <x:v>0</x:v>
      </x:c>
      <x:c r="AH329" s="48" t="n">
        <x:v>0</x:v>
      </x:c>
      <x:c r="AI329" s="48" t="n">
        <x:v>1.1920928955078125e-7</x:v>
      </x:c>
      <x:c r="AJ329" s="37" t="str">
        <x:v>passed</x:v>
      </x:c>
    </x:row>
    <x:row r="330" ht="21" customHeight="1">
      <x:c r="A330" s="2"/>
      <x:c r="B330" s="2"/>
      <x:c r="C330" s="2" t="str">
        <x:v>2022</x:v>
      </x:c>
      <x:c r="D330" s="5" t="n">
        <x:v>44679</x:v>
      </x:c>
      <x:c r="E330" s="2" t="str">
        <x:v>constrained</x:v>
      </x:c>
      <x:c r="F330" s="37" t="n">
        <x:v>13112649.609445475</x:v>
      </x:c>
      <x:c r="G330" s="37" t="n">
        <x:v>-83915.31575829384</x:v>
      </x:c>
      <x:c r="H330" s="37" t="n">
        <x:v>-20184.05294581475</x:v>
      </x:c>
      <x:c r="I330" s="37" t="n">
        <x:v>-63731.26281247909</x:v>
      </x:c>
      <x:c r="J330" s="37" t="n">
        <x:v>10877375.698622618</x:v>
      </x:c>
      <x:c r="K330" s="37" t="n">
        <x:v>10961291.014380911</x:v>
      </x:c>
      <x:c r="L330" s="37" t="n">
        <x:v>13028734.293687182</x:v>
      </x:c>
      <x:c r="M330" s="37" t="n">
        <x:v>0</x:v>
      </x:c>
      <x:c r="N330" s="37" t="n">
        <x:v>0</x:v>
      </x:c>
      <x:c r="O330" s="37" t="n">
        <x:v>718.4619806818664</x:v>
      </x:c>
      <x:c r="P330" s="37" t="n">
        <x:v>0</x:v>
      </x:c>
      <x:c r="Q330" s="37" t="n">
        <x:v>0</x:v>
      </x:c>
      <x:c r="R330" s="37" t="n">
        <x:v>0</x:v>
      </x:c>
      <x:c r="S330" s="37" t="n">
        <x:v>0</x:v>
      </x:c>
      <x:c r="T330" s="37" t="n">
        <x:v>0</x:v>
      </x:c>
      <x:c r="U330" s="37" t="n">
        <x:v>37500</x:v>
      </x:c>
      <x:c r="V330" s="37" t="n">
        <x:v>0</x:v>
      </x:c>
      <x:c r="W330" s="37" t="n">
        <x:v>82304.93781048432</x:v>
      </x:c>
      <x:c r="X330" s="37" t="n">
        <x:v>0</x:v>
      </x:c>
      <x:c r="Y330" s="37" t="n">
        <x:v>2367.014439593283</x:v>
      </x:c>
      <x:c r="Z330" s="37" t="n">
        <x:v>11180516.83466853</x:v>
      </x:c>
      <x:c r="AA330" s="37" t="n">
        <x:v>0</x:v>
      </x:c>
      <x:c r="AB330" s="37" t="n">
        <x:v>11180516.83466853</x:v>
      </x:c>
      <x:c r="AC330" s="37" t="n">
        <x:v>1932132.774776945</x:v>
      </x:c>
      <x:c r="AD330" s="37" t="n">
        <x:v>0</x:v>
      </x:c>
      <x:c r="AE330" s="37" t="n">
        <x:v>0</x:v>
      </x:c>
      <x:c r="AF330" s="47" t="b">
        <x:v>0</x:v>
      </x:c>
      <x:c r="AG330" s="47" t="b">
        <x:v>0</x:v>
      </x:c>
      <x:c r="AH330" s="48" t="n">
        <x:v>0</x:v>
      </x:c>
      <x:c r="AI330" s="48" t="n">
        <x:v>1.1920928955078125e-7</x:v>
      </x:c>
      <x:c r="AJ330" s="37" t="str">
        <x:v>passed</x:v>
      </x:c>
    </x:row>
    <x:row r="331" ht="21" customHeight="1">
      <x:c r="A331" s="2"/>
      <x:c r="B331" s="2"/>
      <x:c r="C331" s="2" t="str">
        <x:v>2022</x:v>
      </x:c>
      <x:c r="D331" s="5" t="n">
        <x:v>44680</x:v>
      </x:c>
      <x:c r="E331" s="2" t="str">
        <x:v>unhedged</x:v>
      </x:c>
      <x:c r="F331" s="37" t="n">
        <x:v>1244119.5655760714</x:v>
      </x:c>
      <x:c r="G331" s="37" t="n">
        <x:v>10842190.398619443</x:v>
      </x:c>
      <x:c r="H331" s="37" t="n">
        <x:v>41229.2817679558</x:v>
      </x:c>
      <x:c r="I331" s="37" t="n">
        <x:v>10800961.116851488</x:v>
      </x:c>
      <x:c r="J331" s="37" t="n">
        <x:v>10842190.398619443</x:v>
      </x:c>
      <x:c r="K331" s="37" t="n">
        <x:v>0</x:v>
      </x:c>
      <x:c r="L331" s="37" t="n">
        <x:v>12086309.964195514</x:v>
      </x:c>
      <x:c r="M331" s="37" t="n">
        <x:v>0</x:v>
      </x:c>
      <x:c r="N331" s="37" t="n">
        <x:v>0</x:v>
      </x:c>
      <x:c r="O331" s="37" t="n">
        <x:v>68.16719991108403</x:v>
      </x:c>
      <x:c r="P331" s="37" t="n">
        <x:v>0</x:v>
      </x:c>
      <x:c r="Q331" s="37" t="n">
        <x:v>0</x:v>
      </x:c>
      <x:c r="R331" s="37" t="n">
        <x:v>0</x:v>
      </x:c>
      <x:c r="S331" s="37" t="n">
        <x:v>0</x:v>
      </x:c>
      <x:c r="T331" s="37" t="n">
        <x:v>0</x:v>
      </x:c>
      <x:c r="U331" s="37" t="n">
        <x:v>37500</x:v>
      </x:c>
      <x:c r="V331" s="37" t="n">
        <x:v>0</x:v>
      </x:c>
      <x:c r="W331" s="37" t="n">
        <x:v>7794.284892797004</x:v>
      </x:c>
      <x:c r="X331" s="37" t="n">
        <x:v>0</x:v>
      </x:c>
      <x:c r="Y331" s="37" t="n">
        <x:v>1174.7193167256753</x:v>
      </x:c>
      <x:c r="Z331" s="37" t="n">
        <x:v>0</x:v>
      </x:c>
      <x:c r="AA331" s="37" t="n">
        <x:v>0</x:v>
      </x:c>
      <x:c r="AB331" s="37" t="n">
        <x:v>0</x:v>
      </x:c>
      <x:c r="AC331" s="37" t="n">
        <x:v>1244119.5655760714</x:v>
      </x:c>
      <x:c r="AD331" s="37" t="n">
        <x:v>0</x:v>
      </x:c>
      <x:c r="AE331" s="37" t="n">
        <x:v>0</x:v>
      </x:c>
      <x:c r="AF331" s="47" t="b">
        <x:v>0</x:v>
      </x:c>
      <x:c r="AG331" s="47" t="b">
        <x:v>0</x:v>
      </x:c>
      <x:c r="AH331" s="48" t="n">
        <x:v>0</x:v>
      </x:c>
      <x:c r="AI331" s="48" t="n">
        <x:v>1.1920928955078125e-7</x:v>
      </x:c>
      <x:c r="AJ331" s="37" t="str">
        <x:v>passed</x:v>
      </x:c>
    </x:row>
    <x:row r="332" ht="21" customHeight="1">
      <x:c r="A332" s="2"/>
      <x:c r="B332" s="2"/>
      <x:c r="C332" s="2" t="str">
        <x:v>2022</x:v>
      </x:c>
      <x:c r="D332" s="5" t="n">
        <x:v>44680</x:v>
      </x:c>
      <x:c r="E332" s="2" t="str">
        <x:v>duration</x:v>
      </x:c>
      <x:c r="F332" s="37" t="n">
        <x:v>9314534.587349048</x:v>
      </x:c>
      <x:c r="G332" s="37" t="n">
        <x:v>3625135.02747747</x:v>
      </x:c>
      <x:c r="H332" s="37" t="n">
        <x:v>-10469.117021536817</x:v>
      </x:c>
      <x:c r="I332" s="37" t="n">
        <x:v>3635604.144499007</x:v>
      </x:c>
      <x:c r="J332" s="37" t="n">
        <x:v>10842190.398619443</x:v>
      </x:c>
      <x:c r="K332" s="37" t="n">
        <x:v>7217055.371141974</x:v>
      </x:c>
      <x:c r="L332" s="37" t="n">
        <x:v>12939669.614826519</x:v>
      </x:c>
      <x:c r="M332" s="37" t="n">
        <x:v>0</x:v>
      </x:c>
      <x:c r="N332" s="37" t="n">
        <x:v>0</x:v>
      </x:c>
      <x:c r="O332" s="37" t="n">
        <x:v>510.3574920464307</x:v>
      </x:c>
      <x:c r="P332" s="37" t="n">
        <x:v>0</x:v>
      </x:c>
      <x:c r="Q332" s="37" t="n">
        <x:v>0</x:v>
      </x:c>
      <x:c r="R332" s="37" t="n">
        <x:v>0</x:v>
      </x:c>
      <x:c r="S332" s="37" t="n">
        <x:v>0</x:v>
      </x:c>
      <x:c r="T332" s="37" t="n">
        <x:v>0</x:v>
      </x:c>
      <x:c r="U332" s="37" t="n">
        <x:v>37500</x:v>
      </x:c>
      <x:c r="V332" s="37" t="n">
        <x:v>0</x:v>
      </x:c>
      <x:c r="W332" s="37" t="n">
        <x:v>59046.139010671526</x:v>
      </x:c>
      <x:c r="X332" s="37" t="n">
        <x:v>0</x:v>
      </x:c>
      <x:c r="Y332" s="37" t="n">
        <x:v>1984.778902413692</x:v>
      </x:c>
      <x:c r="Z332" s="37" t="n">
        <x:v>7361396.478564814</x:v>
      </x:c>
      <x:c r="AA332" s="37" t="n">
        <x:v>0</x:v>
      </x:c>
      <x:c r="AB332" s="37" t="n">
        <x:v>7361396.478564814</x:v>
      </x:c>
      <x:c r="AC332" s="37" t="n">
        <x:v>1953138.1087842342</x:v>
      </x:c>
      <x:c r="AD332" s="37" t="n">
        <x:v>0</x:v>
      </x:c>
      <x:c r="AE332" s="37" t="n">
        <x:v>0</x:v>
      </x:c>
      <x:c r="AF332" s="47" t="b">
        <x:v>0</x:v>
      </x:c>
      <x:c r="AG332" s="47" t="b">
        <x:v>0</x:v>
      </x:c>
      <x:c r="AH332" s="48" t="n">
        <x:v>0</x:v>
      </x:c>
      <x:c r="AI332" s="48" t="n">
        <x:v>1.1920928955078125e-7</x:v>
      </x:c>
      <x:c r="AJ332" s="37" t="str">
        <x:v>passed</x:v>
      </x:c>
    </x:row>
    <x:row r="333" ht="21" customHeight="1">
      <x:c r="A333" s="2"/>
      <x:c r="B333" s="2"/>
      <x:c r="C333" s="2" t="str">
        <x:v>2022</x:v>
      </x:c>
      <x:c r="D333" s="5" t="n">
        <x:v>44680</x:v>
      </x:c>
      <x:c r="E333" s="2" t="str">
        <x:v>unweighted</x:v>
      </x:c>
      <x:c r="F333" s="37" t="n">
        <x:v>12136015.3155848</x:v>
      </x:c>
      <x:c r="G333" s="37" t="n">
        <x:v>827455.4209337073</x:v>
      </x:c>
      <x:c r="H333" s="37" t="n">
        <x:v>-15873.61780881424</x:v>
      </x:c>
      <x:c r="I333" s="37" t="n">
        <x:v>843329.0387425215</x:v>
      </x:c>
      <x:c r="J333" s="37" t="n">
        <x:v>10842190.398619443</x:v>
      </x:c>
      <x:c r="K333" s="37" t="n">
        <x:v>10014734.977685736</x:v>
      </x:c>
      <x:c r="L333" s="37" t="n">
        <x:v>12963470.736518506</x:v>
      </x:c>
      <x:c r="M333" s="37" t="n">
        <x:v>0</x:v>
      </x:c>
      <x:c r="N333" s="37" t="n">
        <x:v>0</x:v>
      </x:c>
      <x:c r="O333" s="37" t="n">
        <x:v>664.9507049247622</x:v>
      </x:c>
      <x:c r="P333" s="37" t="n">
        <x:v>0</x:v>
      </x:c>
      <x:c r="Q333" s="37" t="n">
        <x:v>0</x:v>
      </x:c>
      <x:c r="R333" s="37" t="n">
        <x:v>0</x:v>
      </x:c>
      <x:c r="S333" s="37" t="n">
        <x:v>0</x:v>
      </x:c>
      <x:c r="T333" s="37" t="n">
        <x:v>0</x:v>
      </x:c>
      <x:c r="U333" s="37" t="n">
        <x:v>37500</x:v>
      </x:c>
      <x:c r="V333" s="37" t="n">
        <x:v>0</x:v>
      </x:c>
      <x:c r="W333" s="37" t="n">
        <x:v>76525.61742611974</x:v>
      </x:c>
      <x:c r="X333" s="37" t="n">
        <x:v>0</x:v>
      </x:c>
      <x:c r="Y333" s="37" t="n">
        <x:v>2257.9573930567167</x:v>
      </x:c>
      <x:c r="Z333" s="37" t="n">
        <x:v>10215029.677239452</x:v>
      </x:c>
      <x:c r="AA333" s="37" t="n">
        <x:v>0</x:v>
      </x:c>
      <x:c r="AB333" s="37" t="n">
        <x:v>10215029.677239452</x:v>
      </x:c>
      <x:c r="AC333" s="37" t="n">
        <x:v>1920985.6383453477</x:v>
      </x:c>
      <x:c r="AD333" s="37" t="n">
        <x:v>0</x:v>
      </x:c>
      <x:c r="AE333" s="37" t="n">
        <x:v>0</x:v>
      </x:c>
      <x:c r="AF333" s="47" t="b">
        <x:v>0</x:v>
      </x:c>
      <x:c r="AG333" s="47" t="b">
        <x:v>0</x:v>
      </x:c>
      <x:c r="AH333" s="48" t="n">
        <x:v>0</x:v>
      </x:c>
      <x:c r="AI333" s="48" t="n">
        <x:v>1.1920928955078125e-7</x:v>
      </x:c>
      <x:c r="AJ333" s="37" t="str">
        <x:v>passed</x:v>
      </x:c>
    </x:row>
    <x:row r="334" ht="21" customHeight="1">
      <x:c r="A334" s="2"/>
      <x:c r="B334" s="2"/>
      <x:c r="C334" s="2" t="str">
        <x:v>2022</x:v>
      </x:c>
      <x:c r="D334" s="5" t="n">
        <x:v>44680</x:v>
      </x:c>
      <x:c r="E334" s="2" t="str">
        <x:v>constrained</x:v>
      </x:c>
      <x:c r="F334" s="37" t="n">
        <x:v>13113368.110793937</x:v>
      </x:c>
      <x:c r="G334" s="37" t="n">
        <x:v>-83894.41121007768</x:v>
      </x:c>
      <x:c r="H334" s="37" t="n">
        <x:v>-20220.219264851105</x:v>
      </x:c>
      <x:c r="I334" s="37" t="n">
        <x:v>-63674.19194522658</x:v>
      </x:c>
      <x:c r="J334" s="37" t="n">
        <x:v>10842190.398619443</x:v>
      </x:c>
      <x:c r="K334" s="37" t="n">
        <x:v>10926084.809829522</x:v>
      </x:c>
      <x:c r="L334" s="37" t="n">
        <x:v>13029473.69958386</x:v>
      </x:c>
      <x:c r="M334" s="37" t="n">
        <x:v>0</x:v>
      </x:c>
      <x:c r="N334" s="37" t="n">
        <x:v>0</x:v>
      </x:c>
      <x:c r="O334" s="37" t="n">
        <x:v>718.5013484619558</x:v>
      </x:c>
      <x:c r="P334" s="37" t="n">
        <x:v>0</x:v>
      </x:c>
      <x:c r="Q334" s="37" t="n">
        <x:v>0</x:v>
      </x:c>
      <x:c r="R334" s="37" t="n">
        <x:v>0</x:v>
      </x:c>
      <x:c r="S334" s="37" t="n">
        <x:v>0</x:v>
      </x:c>
      <x:c r="T334" s="37" t="n">
        <x:v>0</x:v>
      </x:c>
      <x:c r="U334" s="37" t="n">
        <x:v>37500</x:v>
      </x:c>
      <x:c r="V334" s="37" t="n">
        <x:v>0</x:v>
      </x:c>
      <x:c r="W334" s="37" t="n">
        <x:v>83023.43915894628</x:v>
      </x:c>
      <x:c r="X334" s="37" t="n">
        <x:v>0</x:v>
      </x:c>
      <x:c r="Y334" s="37" t="n">
        <x:v>2367.014439593283</x:v>
      </x:c>
      <x:c r="Z334" s="37" t="n">
        <x:v>11144606.506026113</x:v>
      </x:c>
      <x:c r="AA334" s="37" t="n">
        <x:v>0</x:v>
      </x:c>
      <x:c r="AB334" s="37" t="n">
        <x:v>11144606.506026113</x:v>
      </x:c>
      <x:c r="AC334" s="37" t="n">
        <x:v>1968761.6047678236</x:v>
      </x:c>
      <x:c r="AD334" s="37" t="n">
        <x:v>0</x:v>
      </x:c>
      <x:c r="AE334" s="37" t="n">
        <x:v>0</x:v>
      </x:c>
      <x:c r="AF334" s="47" t="b">
        <x:v>0</x:v>
      </x:c>
      <x:c r="AG334" s="47" t="b">
        <x:v>0</x:v>
      </x:c>
      <x:c r="AH334" s="48" t="n">
        <x:v>0</x:v>
      </x:c>
      <x:c r="AI334" s="48" t="n">
        <x:v>1.1920928955078125e-7</x:v>
      </x:c>
      <x:c r="AJ334" s="37" t="str">
        <x:v>passed</x:v>
      </x:c>
    </x:row>
    <x:row r="335" ht="21" customHeight="1">
      <x:c r="A335" s="2"/>
      <x:c r="B335" s="2"/>
      <x:c r="C335" s="2" t="str">
        <x:v>2022</x:v>
      </x:c>
      <x:c r="D335" s="5" t="n">
        <x:v>44683</x:v>
      </x:c>
      <x:c r="E335" s="2" t="str">
        <x:v>unhedged</x:v>
      </x:c>
      <x:c r="F335" s="37" t="n">
        <x:v>1270574.0895877576</x:v>
      </x:c>
      <x:c r="G335" s="37" t="n">
        <x:v>10762455.391842201</x:v>
      </x:c>
      <x:c r="H335" s="37" t="n">
        <x:v>16031.182440547682</x:v>
      </x:c>
      <x:c r="I335" s="37" t="n">
        <x:v>10746424.209401654</x:v>
      </x:c>
      <x:c r="J335" s="37" t="n">
        <x:v>10762455.391842201</x:v>
      </x:c>
      <x:c r="K335" s="37" t="n">
        <x:v>0</x:v>
      </x:c>
      <x:c r="L335" s="37" t="n">
        <x:v>12033029.481429959</x:v>
      </x:c>
      <x:c r="M335" s="37" t="n">
        <x:v>26250</x:v>
      </x:c>
      <x:c r="N335" s="37" t="n">
        <x:v>0</x:v>
      </x:c>
      <x:c r="O335" s="37" t="n">
        <x:v>204.52401168621145</x:v>
      </x:c>
      <x:c r="P335" s="37" t="n">
        <x:v>0</x:v>
      </x:c>
      <x:c r="Q335" s="37" t="n">
        <x:v>0</x:v>
      </x:c>
      <x:c r="R335" s="37" t="n">
        <x:v>0</x:v>
      </x:c>
      <x:c r="S335" s="37" t="n">
        <x:v>0</x:v>
      </x:c>
      <x:c r="T335" s="37" t="n">
        <x:v>0</x:v>
      </x:c>
      <x:c r="U335" s="37" t="n">
        <x:v>63750</x:v>
      </x:c>
      <x:c r="V335" s="37" t="n">
        <x:v>0</x:v>
      </x:c>
      <x:c r="W335" s="37" t="n">
        <x:v>7998.808904483216</x:v>
      </x:c>
      <x:c r="X335" s="37" t="n">
        <x:v>0</x:v>
      </x:c>
      <x:c r="Y335" s="37" t="n">
        <x:v>1174.7193167256753</x:v>
      </x:c>
      <x:c r="Z335" s="37" t="n">
        <x:v>0</x:v>
      </x:c>
      <x:c r="AA335" s="37" t="n">
        <x:v>0</x:v>
      </x:c>
      <x:c r="AB335" s="37" t="n">
        <x:v>0</x:v>
      </x:c>
      <x:c r="AC335" s="37" t="n">
        <x:v>1270574.0895877576</x:v>
      </x:c>
      <x:c r="AD335" s="37" t="n">
        <x:v>0</x:v>
      </x:c>
      <x:c r="AE335" s="37" t="n">
        <x:v>0</x:v>
      </x:c>
      <x:c r="AF335" s="47" t="b">
        <x:v>0</x:v>
      </x:c>
      <x:c r="AG335" s="47" t="b">
        <x:v>0</x:v>
      </x:c>
      <x:c r="AH335" s="48" t="n">
        <x:v>0</x:v>
      </x:c>
      <x:c r="AI335" s="48" t="n">
        <x:v>1.1920928955078125e-7</x:v>
      </x:c>
      <x:c r="AJ335" s="37" t="str">
        <x:v>passed</x:v>
      </x:c>
    </x:row>
    <x:row r="336" ht="21" customHeight="1">
      <x:c r="A336" s="2"/>
      <x:c r="B336" s="2"/>
      <x:c r="C336" s="2" t="str">
        <x:v>2022</x:v>
      </x:c>
      <x:c r="D336" s="5" t="n">
        <x:v>44683</x:v>
      </x:c>
      <x:c r="E336" s="2" t="str">
        <x:v>duration</x:v>
      </x:c>
      <x:c r="F336" s="37" t="n">
        <x:v>9391950.578810204</x:v>
      </x:c>
      <x:c r="G336" s="37" t="n">
        <x:v>3555509.9315249776</x:v>
      </x:c>
      <x:c r="H336" s="37" t="n">
        <x:v>-36972.26227548355</x:v>
      </x:c>
      <x:c r="I336" s="37" t="n">
        <x:v>3592482.193800461</x:v>
      </x:c>
      <x:c r="J336" s="37" t="n">
        <x:v>10762455.391842201</x:v>
      </x:c>
      <x:c r="K336" s="37" t="n">
        <x:v>7206945.460317223</x:v>
      </x:c>
      <x:c r="L336" s="37" t="n">
        <x:v>12947460.51033518</x:v>
      </x:c>
      <x:c r="M336" s="37" t="n">
        <x:v>26250</x:v>
      </x:c>
      <x:c r="N336" s="37" t="n">
        <x:v>0</x:v>
      </x:c>
      <x:c r="O336" s="37" t="n">
        <x:v>1531.2402710374445</x:v>
      </x:c>
      <x:c r="P336" s="37" t="n">
        <x:v>0</x:v>
      </x:c>
      <x:c r="Q336" s="37" t="n">
        <x:v>4.963971516163503</x:v>
      </x:c>
      <x:c r="R336" s="37" t="n">
        <x:v>49639.715161635024</x:v>
      </x:c>
      <x:c r="S336" s="37" t="n">
        <x:v>49639.715161635024</x:v>
      </x:c>
      <x:c r="T336" s="37" t="n">
        <x:v>0</x:v>
      </x:c>
      <x:c r="U336" s="37" t="n">
        <x:v>63750</x:v>
      </x:c>
      <x:c r="V336" s="37" t="n">
        <x:v>0</x:v>
      </x:c>
      <x:c r="W336" s="37" t="n">
        <x:v>60577.37928170897</x:v>
      </x:c>
      <x:c r="X336" s="37" t="n">
        <x:v>0</x:v>
      </x:c>
      <x:c r="Y336" s="37" t="n">
        <x:v>1989.7428739298557</x:v>
      </x:c>
      <x:c r="Z336" s="37" t="n">
        <x:v>7351084.369523568</x:v>
      </x:c>
      <x:c r="AA336" s="37" t="n">
        <x:v>0</x:v>
      </x:c>
      <x:c r="AB336" s="37" t="n">
        <x:v>7351084.369523568</x:v>
      </x:c>
      <x:c r="AC336" s="37" t="n">
        <x:v>2040866.2092866357</x:v>
      </x:c>
      <x:c r="AD336" s="37" t="n">
        <x:v>0</x:v>
      </x:c>
      <x:c r="AE336" s="37" t="n">
        <x:v>0</x:v>
      </x:c>
      <x:c r="AF336" s="47" t="b">
        <x:v>0</x:v>
      </x:c>
      <x:c r="AG336" s="47" t="b">
        <x:v>0</x:v>
      </x:c>
      <x:c r="AH336" s="48" t="n">
        <x:v>-3.686801974822629e-10</x:v>
      </x:c>
      <x:c r="AI336" s="48" t="n">
        <x:v>1.1920928955078125e-7</x:v>
      </x:c>
      <x:c r="AJ336" s="37" t="str">
        <x:v>passed</x:v>
      </x:c>
    </x:row>
    <x:row r="337" ht="21" customHeight="1">
      <x:c r="A337" s="2"/>
      <x:c r="B337" s="2"/>
      <x:c r="C337" s="2" t="str">
        <x:v>2022</x:v>
      </x:c>
      <x:c r="D337" s="5" t="n">
        <x:v>44683</x:v>
      </x:c>
      <x:c r="E337" s="2" t="str">
        <x:v>unweighted</x:v>
      </x:c>
      <x:c r="F337" s="37" t="n">
        <x:v>12225322.04214168</x:v>
      </x:c>
      <x:c r="G337" s="37" t="n">
        <x:v>736895.7583566714</x:v>
      </x:c>
      <x:c r="H337" s="37" t="n">
        <x:v>-42388.100103001954</x:v>
      </x:c>
      <x:c r="I337" s="37" t="n">
        <x:v>779283.8584596734</x:v>
      </x:c>
      <x:c r="J337" s="37" t="n">
        <x:v>10763462.934203513</x:v>
      </x:c>
      <x:c r="K337" s="37" t="n">
        <x:v>10026567.175846841</x:v>
      </x:c>
      <x:c r="L337" s="37" t="n">
        <x:v>12962217.800498351</x:v>
      </x:c>
      <x:c r="M337" s="37" t="n">
        <x:v>26250</x:v>
      </x:c>
      <x:c r="N337" s="37" t="n">
        <x:v>0</x:v>
      </x:c>
      <x:c r="O337" s="37" t="n">
        <x:v>1995.070736695081</x:v>
      </x:c>
      <x:c r="P337" s="37" t="n">
        <x:v>0</x:v>
      </x:c>
      <x:c r="Q337" s="37" t="n">
        <x:v>6.44821310256453</x:v>
      </x:c>
      <x:c r="R337" s="37" t="n">
        <x:v>61068.104033287695</x:v>
      </x:c>
      <x:c r="S337" s="37" t="n">
        <x:v>64482.1310256453</x:v>
      </x:c>
      <x:c r="T337" s="37" t="n">
        <x:v>0</x:v>
      </x:c>
      <x:c r="U337" s="37" t="n">
        <x:v>63750</x:v>
      </x:c>
      <x:c r="V337" s="37" t="n">
        <x:v>0</x:v>
      </x:c>
      <x:c r="W337" s="37" t="n">
        <x:v>78520.68816281483</x:v>
      </x:c>
      <x:c r="X337" s="37" t="n">
        <x:v>0</x:v>
      </x:c>
      <x:c r="Y337" s="37" t="n">
        <x:v>2264.4056061592814</x:v>
      </x:c>
      <x:c r="Z337" s="37" t="n">
        <x:v>10227098.519363778</x:v>
      </x:c>
      <x:c r="AA337" s="37" t="n">
        <x:v>0</x:v>
      </x:c>
      <x:c r="AB337" s="37" t="n">
        <x:v>10227098.519363778</x:v>
      </x:c>
      <x:c r="AC337" s="37" t="n">
        <x:v>1998223.522777902</x:v>
      </x:c>
      <x:c r="AD337" s="37" t="n">
        <x:v>0</x:v>
      </x:c>
      <x:c r="AE337" s="37" t="n">
        <x:v>0</x:v>
      </x:c>
      <x:c r="AF337" s="47" t="b">
        <x:v>0</x:v>
      </x:c>
      <x:c r="AG337" s="47" t="b">
        <x:v>0</x:v>
      </x:c>
      <x:c r="AH337" s="48" t="n">
        <x:v>1.8849988236979698e-10</x:v>
      </x:c>
      <x:c r="AI337" s="48" t="n">
        <x:v>1.1920928955078125e-7</x:v>
      </x:c>
      <x:c r="AJ337" s="37" t="str">
        <x:v>passed</x:v>
      </x:c>
    </x:row>
    <x:row r="338" ht="21" customHeight="1">
      <x:c r="A338" s="2"/>
      <x:c r="B338" s="2"/>
      <x:c r="C338" s="2" t="str">
        <x:v>2022</x:v>
      </x:c>
      <x:c r="D338" s="5" t="n">
        <x:v>44683</x:v>
      </x:c>
      <x:c r="E338" s="2" t="str">
        <x:v>constrained</x:v>
      </x:c>
      <x:c r="F338" s="37" t="n">
        <x:v>13141896.101239812</x:v>
      </x:c>
      <x:c r="G338" s="37" t="n">
        <x:v>-110577.4869893614</x:v>
      </x:c>
      <x:c r="H338" s="37" t="n">
        <x:v>-46596.897770913645</x:v>
      </x:c>
      <x:c r="I338" s="37" t="n">
        <x:v>-63980.58921844775</x:v>
      </x:c>
      <x:c r="J338" s="37" t="n">
        <x:v>10762866.740689773</x:v>
      </x:c>
      <x:c r="K338" s="37" t="n">
        <x:v>10873444.227679133</x:v>
      </x:c>
      <x:c r="L338" s="37" t="n">
        <x:v>13031318.61425045</x:v>
      </x:c>
      <x:c r="M338" s="37" t="n">
        <x:v>26250</x:v>
      </x:c>
      <x:c r="N338" s="37" t="n">
        <x:v>0</x:v>
      </x:c>
      <x:c r="O338" s="37" t="n">
        <x:v>2155.740273643285</x:v>
      </x:c>
      <x:c r="P338" s="37" t="n">
        <x:v>0</x:v>
      </x:c>
      <x:c r="Q338" s="37" t="n">
        <x:v>2.810024604728339</x:v>
      </x:c>
      <x:c r="R338" s="37" t="n">
        <x:v>125.06019683517457</x:v>
      </x:c>
      <x:c r="S338" s="37" t="n">
        <x:v>28100.246047283388</x:v>
      </x:c>
      <x:c r="T338" s="37" t="n">
        <x:v>0</x:v>
      </x:c>
      <x:c r="U338" s="37" t="n">
        <x:v>63750</x:v>
      </x:c>
      <x:c r="V338" s="37" t="n">
        <x:v>0</x:v>
      </x:c>
      <x:c r="W338" s="37" t="n">
        <x:v>85179.17943258956</x:v>
      </x:c>
      <x:c r="X338" s="37" t="n">
        <x:v>0</x:v>
      </x:c>
      <x:c r="Y338" s="37" t="n">
        <x:v>2369.8244641980114</x:v>
      </x:c>
      <x:c r="Z338" s="37" t="n">
        <x:v>11090913.112232717</x:v>
      </x:c>
      <x:c r="AA338" s="37" t="n">
        <x:v>0</x:v>
      </x:c>
      <x:c r="AB338" s="37" t="n">
        <x:v>11090913.112232717</x:v>
      </x:c>
      <x:c r="AC338" s="37" t="n">
        <x:v>2050982.9890070949</x:v>
      </x:c>
      <x:c r="AD338" s="37" t="n">
        <x:v>0</x:v>
      </x:c>
      <x:c r="AE338" s="37" t="n">
        <x:v>0</x:v>
      </x:c>
      <x:c r="AF338" s="47" t="b">
        <x:v>0</x:v>
      </x:c>
      <x:c r="AG338" s="47" t="b">
        <x:v>0</x:v>
      </x:c>
      <x:c r="AH338" s="48" t="n">
        <x:v>9.001421830134859e-10</x:v>
      </x:c>
      <x:c r="AI338" s="48" t="n">
        <x:v>1.1920928955078125e-7</x:v>
      </x:c>
      <x:c r="AJ338" s="37" t="str">
        <x:v>passed</x:v>
      </x:c>
    </x:row>
    <x:row r="339" ht="21" customHeight="1">
      <x:c r="A339" s="2"/>
      <x:c r="B339" s="2"/>
      <x:c r="C339" s="2" t="str">
        <x:v>2022</x:v>
      </x:c>
      <x:c r="D339" s="5" t="n">
        <x:v>44684</x:v>
      </x:c>
      <x:c r="E339" s="2" t="str">
        <x:v>unhedged</x:v>
      </x:c>
      <x:c r="F339" s="37" t="n">
        <x:v>1270643.7100858174</x:v>
      </x:c>
      <x:c r="G339" s="37" t="n">
        <x:v>10770258.326309903</x:v>
      </x:c>
      <x:c r="H339" s="37" t="n">
        <x:v>16381.027804467929</x:v>
      </x:c>
      <x:c r="I339" s="37" t="n">
        <x:v>10753877.298505435</x:v>
      </x:c>
      <x:c r="J339" s="37" t="n">
        <x:v>10770258.326309903</x:v>
      </x:c>
      <x:c r="K339" s="37" t="n">
        <x:v>0</x:v>
      </x:c>
      <x:c r="L339" s="37" t="n">
        <x:v>12040902.03639572</x:v>
      </x:c>
      <x:c r="M339" s="37" t="n">
        <x:v>0</x:v>
      </x:c>
      <x:c r="N339" s="37" t="n">
        <x:v>0</x:v>
      </x:c>
      <x:c r="O339" s="37" t="n">
        <x:v>69.62049805978313</x:v>
      </x:c>
      <x:c r="P339" s="37" t="n">
        <x:v>0</x:v>
      </x:c>
      <x:c r="Q339" s="37" t="n">
        <x:v>0</x:v>
      </x:c>
      <x:c r="R339" s="37" t="n">
        <x:v>0</x:v>
      </x:c>
      <x:c r="S339" s="37" t="n">
        <x:v>0</x:v>
      </x:c>
      <x:c r="T339" s="37" t="n">
        <x:v>0</x:v>
      </x:c>
      <x:c r="U339" s="37" t="n">
        <x:v>63750</x:v>
      </x:c>
      <x:c r="V339" s="37" t="n">
        <x:v>0</x:v>
      </x:c>
      <x:c r="W339" s="37" t="n">
        <x:v>8068.429402542999</x:v>
      </x:c>
      <x:c r="X339" s="37" t="n">
        <x:v>0</x:v>
      </x:c>
      <x:c r="Y339" s="37" t="n">
        <x:v>1174.7193167256753</x:v>
      </x:c>
      <x:c r="Z339" s="37" t="n">
        <x:v>0</x:v>
      </x:c>
      <x:c r="AA339" s="37" t="n">
        <x:v>0</x:v>
      </x:c>
      <x:c r="AB339" s="37" t="n">
        <x:v>0</x:v>
      </x:c>
      <x:c r="AC339" s="37" t="n">
        <x:v>1270643.7100858174</x:v>
      </x:c>
      <x:c r="AD339" s="37" t="n">
        <x:v>0</x:v>
      </x:c>
      <x:c r="AE339" s="37" t="n">
        <x:v>0</x:v>
      </x:c>
      <x:c r="AF339" s="47" t="b">
        <x:v>0</x:v>
      </x:c>
      <x:c r="AG339" s="47" t="b">
        <x:v>0</x:v>
      </x:c>
      <x:c r="AH339" s="48" t="n">
        <x:v>0</x:v>
      </x:c>
      <x:c r="AI339" s="48" t="n">
        <x:v>1.1920928955078125e-7</x:v>
      </x:c>
      <x:c r="AJ339" s="37" t="str">
        <x:v>passed</x:v>
      </x:c>
    </x:row>
    <x:row r="340" ht="21" customHeight="1">
      <x:c r="A340" s="2"/>
      <x:c r="B340" s="2"/>
      <x:c r="C340" s="2" t="str">
        <x:v>2022</x:v>
      </x:c>
      <x:c r="D340" s="5" t="n">
        <x:v>44684</x:v>
      </x:c>
      <x:c r="E340" s="2" t="str">
        <x:v>duration</x:v>
      </x:c>
      <x:c r="F340" s="37" t="n">
        <x:v>9392465.20623918</x:v>
      </x:c>
      <x:c r="G340" s="37" t="n">
        <x:v>3548684.446687735</x:v>
      </x:c>
      <x:c r="H340" s="37" t="n">
        <x:v>-36937.91360630158</x:v>
      </x:c>
      <x:c r="I340" s="37" t="n">
        <x:v>3585622.3602940366</x:v>
      </x:c>
      <x:c r="J340" s="37" t="n">
        <x:v>10770258.326309903</x:v>
      </x:c>
      <x:c r="K340" s="37" t="n">
        <x:v>7221573.879622168</x:v>
      </x:c>
      <x:c r="L340" s="37" t="n">
        <x:v>12941149.652926916</x:v>
      </x:c>
      <x:c r="M340" s="37" t="n">
        <x:v>0</x:v>
      </x:c>
      <x:c r="N340" s="37" t="n">
        <x:v>0</x:v>
      </x:c>
      <x:c r="O340" s="37" t="n">
        <x:v>514.6274289768189</x:v>
      </x:c>
      <x:c r="P340" s="37" t="n">
        <x:v>0</x:v>
      </x:c>
      <x:c r="Q340" s="37" t="n">
        <x:v>0</x:v>
      </x:c>
      <x:c r="R340" s="37" t="n">
        <x:v>0</x:v>
      </x:c>
      <x:c r="S340" s="37" t="n">
        <x:v>0</x:v>
      </x:c>
      <x:c r="T340" s="37" t="n">
        <x:v>0</x:v>
      </x:c>
      <x:c r="U340" s="37" t="n">
        <x:v>63750</x:v>
      </x:c>
      <x:c r="V340" s="37" t="n">
        <x:v>0</x:v>
      </x:c>
      <x:c r="W340" s="37" t="n">
        <x:v>61092.00671068579</x:v>
      </x:c>
      <x:c r="X340" s="37" t="n">
        <x:v>0</x:v>
      </x:c>
      <x:c r="Y340" s="37" t="n">
        <x:v>1989.7428739298557</x:v>
      </x:c>
      <x:c r="Z340" s="37" t="n">
        <x:v>7366005.357214611</x:v>
      </x:c>
      <x:c r="AA340" s="37" t="n">
        <x:v>0</x:v>
      </x:c>
      <x:c r="AB340" s="37" t="n">
        <x:v>7366005.357214611</x:v>
      </x:c>
      <x:c r="AC340" s="37" t="n">
        <x:v>2026459.8490245696</x:v>
      </x:c>
      <x:c r="AD340" s="37" t="n">
        <x:v>0</x:v>
      </x:c>
      <x:c r="AE340" s="37" t="n">
        <x:v>0</x:v>
      </x:c>
      <x:c r="AF340" s="47" t="b">
        <x:v>0</x:v>
      </x:c>
      <x:c r="AG340" s="47" t="b">
        <x:v>0</x:v>
      </x:c>
      <x:c r="AH340" s="48" t="n">
        <x:v>0</x:v>
      </x:c>
      <x:c r="AI340" s="48" t="n">
        <x:v>1.1920928955078125e-7</x:v>
      </x:c>
      <x:c r="AJ340" s="37" t="str">
        <x:v>passed</x:v>
      </x:c>
    </x:row>
    <x:row r="341" ht="21" customHeight="1">
      <x:c r="A341" s="2"/>
      <x:c r="B341" s="2"/>
      <x:c r="C341" s="2" t="str">
        <x:v>2022</x:v>
      </x:c>
      <x:c r="D341" s="5" t="n">
        <x:v>44684</x:v>
      </x:c>
      <x:c r="E341" s="2" t="str">
        <x:v>unweighted</x:v>
      </x:c>
      <x:c r="F341" s="37" t="n">
        <x:v>12225991.922801524</x:v>
      </x:c>
      <x:c r="G341" s="37" t="n">
        <x:v>737040.883646198</x:v>
      </x:c>
      <x:c r="H341" s="37" t="n">
        <x:v>-42399.9264864544</x:v>
      </x:c>
      <x:c r="I341" s="37" t="n">
        <x:v>779440.8101326524</x:v>
      </x:c>
      <x:c r="J341" s="37" t="n">
        <x:v>10771272.915778548</x:v>
      </x:c>
      <x:c r="K341" s="37" t="n">
        <x:v>10034232.032132348</x:v>
      </x:c>
      <x:c r="L341" s="37" t="n">
        <x:v>12963032.806447722</x:v>
      </x:c>
      <x:c r="M341" s="37" t="n">
        <x:v>0</x:v>
      </x:c>
      <x:c r="N341" s="37" t="n">
        <x:v>0</x:v>
      </x:c>
      <x:c r="O341" s="37" t="n">
        <x:v>669.8806598447263</x:v>
      </x:c>
      <x:c r="P341" s="37" t="n">
        <x:v>0</x:v>
      </x:c>
      <x:c r="Q341" s="37" t="n">
        <x:v>0</x:v>
      </x:c>
      <x:c r="R341" s="37" t="n">
        <x:v>0</x:v>
      </x:c>
      <x:c r="S341" s="37" t="n">
        <x:v>0</x:v>
      </x:c>
      <x:c r="T341" s="37" t="n">
        <x:v>0</x:v>
      </x:c>
      <x:c r="U341" s="37" t="n">
        <x:v>63750</x:v>
      </x:c>
      <x:c r="V341" s="37" t="n">
        <x:v>0</x:v>
      </x:c>
      <x:c r="W341" s="37" t="n">
        <x:v>79190.56882265955</x:v>
      </x:c>
      <x:c r="X341" s="37" t="n">
        <x:v>0</x:v>
      </x:c>
      <x:c r="Y341" s="37" t="n">
        <x:v>2264.4056061592814</x:v>
      </x:c>
      <x:c r="Z341" s="37" t="n">
        <x:v>10234916.672774995</x:v>
      </x:c>
      <x:c r="AA341" s="37" t="n">
        <x:v>0</x:v>
      </x:c>
      <x:c r="AB341" s="37" t="n">
        <x:v>10234916.672774995</x:v>
      </x:c>
      <x:c r="AC341" s="37" t="n">
        <x:v>1991075.2500265297</x:v>
      </x:c>
      <x:c r="AD341" s="37" t="n">
        <x:v>0</x:v>
      </x:c>
      <x:c r="AE341" s="37" t="n">
        <x:v>0</x:v>
      </x:c>
      <x:c r="AF341" s="47" t="b">
        <x:v>0</x:v>
      </x:c>
      <x:c r="AG341" s="47" t="b">
        <x:v>0</x:v>
      </x:c>
      <x:c r="AH341" s="48" t="n">
        <x:v>0</x:v>
      </x:c>
      <x:c r="AI341" s="48" t="n">
        <x:v>1.1920928955078125e-7</x:v>
      </x:c>
      <x:c r="AJ341" s="37" t="str">
        <x:v>passed</x:v>
      </x:c>
    </x:row>
    <x:row r="342" ht="21" customHeight="1">
      <x:c r="A342" s="2"/>
      <x:c r="B342" s="2"/>
      <x:c r="C342" s="2" t="str">
        <x:v>2022</x:v>
      </x:c>
      <x:c r="D342" s="5" t="n">
        <x:v>44684</x:v>
      </x:c>
      <x:c r="E342" s="2" t="str">
        <x:v>constrained</x:v>
      </x:c>
      <x:c r="F342" s="37" t="n">
        <x:v>13142616.20513577</x:v>
      </x:c>
      <x:c r="G342" s="37" t="n">
        <x:v>-110558.57548838954</x:v>
      </x:c>
      <x:c r="H342" s="37" t="n">
        <x:v>-46635.47412492902</x:v>
      </x:c>
      <x:c r="I342" s="37" t="n">
        <x:v>-63923.101363460526</x:v>
      </x:c>
      <x:c r="J342" s="37" t="n">
        <x:v>10770672.552276682</x:v>
      </x:c>
      <x:c r="K342" s="37" t="n">
        <x:v>10881231.12776507</x:v>
      </x:c>
      <x:c r="L342" s="37" t="n">
        <x:v>13032057.62964738</x:v>
      </x:c>
      <x:c r="M342" s="37" t="n">
        <x:v>0</x:v>
      </x:c>
      <x:c r="N342" s="37" t="n">
        <x:v>0</x:v>
      </x:c>
      <x:c r="O342" s="37" t="n">
        <x:v>720.103895958513</x:v>
      </x:c>
      <x:c r="P342" s="37" t="n">
        <x:v>0</x:v>
      </x:c>
      <x:c r="Q342" s="37" t="n">
        <x:v>0</x:v>
      </x:c>
      <x:c r="R342" s="37" t="n">
        <x:v>0</x:v>
      </x:c>
      <x:c r="S342" s="37" t="n">
        <x:v>0</x:v>
      </x:c>
      <x:c r="T342" s="37" t="n">
        <x:v>0</x:v>
      </x:c>
      <x:c r="U342" s="37" t="n">
        <x:v>63750</x:v>
      </x:c>
      <x:c r="V342" s="37" t="n">
        <x:v>0</x:v>
      </x:c>
      <x:c r="W342" s="37" t="n">
        <x:v>85899.28332854807</x:v>
      </x:c>
      <x:c r="X342" s="37" t="n">
        <x:v>0</x:v>
      </x:c>
      <x:c r="Y342" s="37" t="n">
        <x:v>2369.8244641980114</x:v>
      </x:c>
      <x:c r="Z342" s="37" t="n">
        <x:v>11098855.750320373</x:v>
      </x:c>
      <x:c r="AA342" s="37" t="n">
        <x:v>0</x:v>
      </x:c>
      <x:c r="AB342" s="37" t="n">
        <x:v>11098855.750320373</x:v>
      </x:c>
      <x:c r="AC342" s="37" t="n">
        <x:v>2043760.454815397</x:v>
      </x:c>
      <x:c r="AD342" s="37" t="n">
        <x:v>0</x:v>
      </x:c>
      <x:c r="AE342" s="37" t="n">
        <x:v>0</x:v>
      </x:c>
      <x:c r="AF342" s="47" t="b">
        <x:v>0</x:v>
      </x:c>
      <x:c r="AG342" s="47" t="b">
        <x:v>0</x:v>
      </x:c>
      <x:c r="AH342" s="48" t="n">
        <x:v>0</x:v>
      </x:c>
      <x:c r="AI342" s="48" t="n">
        <x:v>1.1920928955078125e-7</x:v>
      </x:c>
      <x:c r="AJ342" s="37" t="str">
        <x:v>passed</x:v>
      </x:c>
    </x:row>
    <x:row r="343" ht="21" customHeight="1">
      <x:c r="A343" s="2"/>
      <x:c r="B343" s="2"/>
      <x:c r="C343" s="2" t="str">
        <x:v>2022</x:v>
      </x:c>
      <x:c r="D343" s="5" t="n">
        <x:v>44685</x:v>
      </x:c>
      <x:c r="E343" s="2" t="str">
        <x:v>unhedged</x:v>
      </x:c>
      <x:c r="F343" s="37" t="n">
        <x:v>1270713.3343986988</x:v>
      </x:c>
      <x:c r="G343" s="37" t="n">
        <x:v>10804313.915224556</x:v>
      </x:c>
      <x:c r="H343" s="37" t="n">
        <x:v>16730.87316838818</x:v>
      </x:c>
      <x:c r="I343" s="37" t="n">
        <x:v>10787583.042056167</x:v>
      </x:c>
      <x:c r="J343" s="37" t="n">
        <x:v>10804313.915224556</x:v>
      </x:c>
      <x:c r="K343" s="37" t="n">
        <x:v>0</x:v>
      </x:c>
      <x:c r="L343" s="37" t="n">
        <x:v>12075027.249623254</x:v>
      </x:c>
      <x:c r="M343" s="37" t="n">
        <x:v>0</x:v>
      </x:c>
      <x:c r="N343" s="37" t="n">
        <x:v>0</x:v>
      </x:c>
      <x:c r="O343" s="37" t="n">
        <x:v>69.62431288138032</x:v>
      </x:c>
      <x:c r="P343" s="37" t="n">
        <x:v>0</x:v>
      </x:c>
      <x:c r="Q343" s="37" t="n">
        <x:v>0</x:v>
      </x:c>
      <x:c r="R343" s="37" t="n">
        <x:v>0</x:v>
      </x:c>
      <x:c r="S343" s="37" t="n">
        <x:v>0</x:v>
      </x:c>
      <x:c r="T343" s="37" t="n">
        <x:v>0</x:v>
      </x:c>
      <x:c r="U343" s="37" t="n">
        <x:v>63750</x:v>
      </x:c>
      <x:c r="V343" s="37" t="n">
        <x:v>0</x:v>
      </x:c>
      <x:c r="W343" s="37" t="n">
        <x:v>8138.053715424379</x:v>
      </x:c>
      <x:c r="X343" s="37" t="n">
        <x:v>0</x:v>
      </x:c>
      <x:c r="Y343" s="37" t="n">
        <x:v>1174.7193167256753</x:v>
      </x:c>
      <x:c r="Z343" s="37" t="n">
        <x:v>0</x:v>
      </x:c>
      <x:c r="AA343" s="37" t="n">
        <x:v>0</x:v>
      </x:c>
      <x:c r="AB343" s="37" t="n">
        <x:v>0</x:v>
      </x:c>
      <x:c r="AC343" s="37" t="n">
        <x:v>1270713.3343986988</x:v>
      </x:c>
      <x:c r="AD343" s="37" t="n">
        <x:v>0</x:v>
      </x:c>
      <x:c r="AE343" s="37" t="n">
        <x:v>0</x:v>
      </x:c>
      <x:c r="AF343" s="47" t="b">
        <x:v>0</x:v>
      </x:c>
      <x:c r="AG343" s="47" t="b">
        <x:v>0</x:v>
      </x:c>
      <x:c r="AH343" s="48" t="n">
        <x:v>0</x:v>
      </x:c>
      <x:c r="AI343" s="48" t="n">
        <x:v>1.1920928955078125e-7</x:v>
      </x:c>
      <x:c r="AJ343" s="37" t="str">
        <x:v>passed</x:v>
      </x:c>
    </x:row>
    <x:row r="344" ht="21" customHeight="1">
      <x:c r="A344" s="2"/>
      <x:c r="B344" s="2"/>
      <x:c r="C344" s="2" t="str">
        <x:v>2022</x:v>
      </x:c>
      <x:c r="D344" s="5" t="n">
        <x:v>44685</x:v>
      </x:c>
      <x:c r="E344" s="2" t="str">
        <x:v>duration</x:v>
      </x:c>
      <x:c r="F344" s="37" t="n">
        <x:v>9392979.86186692</x:v>
      </x:c>
      <x:c r="G344" s="37" t="n">
        <x:v>3560123.132268189</x:v>
      </x:c>
      <x:c r="H344" s="37" t="n">
        <x:v>-36903.564937119605</x:v>
      </x:c>
      <x:c r="I344" s="37" t="n">
        <x:v>3597026.697205309</x:v>
      </x:c>
      <x:c r="J344" s="37" t="n">
        <x:v>10804313.915224556</x:v>
      </x:c>
      <x:c r="K344" s="37" t="n">
        <x:v>7244190.782956366</x:v>
      </x:c>
      <x:c r="L344" s="37" t="n">
        <x:v>12953102.994135108</x:v>
      </x:c>
      <x:c r="M344" s="37" t="n">
        <x:v>0</x:v>
      </x:c>
      <x:c r="N344" s="37" t="n">
        <x:v>0</x:v>
      </x:c>
      <x:c r="O344" s="37" t="n">
        <x:v>514.6556277386844</x:v>
      </x:c>
      <x:c r="P344" s="37" t="n">
        <x:v>0</x:v>
      </x:c>
      <x:c r="Q344" s="37" t="n">
        <x:v>0</x:v>
      </x:c>
      <x:c r="R344" s="37" t="n">
        <x:v>0</x:v>
      </x:c>
      <x:c r="S344" s="37" t="n">
        <x:v>0</x:v>
      </x:c>
      <x:c r="T344" s="37" t="n">
        <x:v>0</x:v>
      </x:c>
      <x:c r="U344" s="37" t="n">
        <x:v>63750</x:v>
      </x:c>
      <x:c r="V344" s="37" t="n">
        <x:v>0</x:v>
      </x:c>
      <x:c r="W344" s="37" t="n">
        <x:v>61606.662338424474</x:v>
      </x:c>
      <x:c r="X344" s="37" t="n">
        <x:v>0</x:v>
      </x:c>
      <x:c r="Y344" s="37" t="n">
        <x:v>1989.7428739298557</x:v>
      </x:c>
      <x:c r="Z344" s="37" t="n">
        <x:v>7389074.598615494</x:v>
      </x:c>
      <x:c r="AA344" s="37" t="n">
        <x:v>0</x:v>
      </x:c>
      <x:c r="AB344" s="37" t="n">
        <x:v>7389074.598615494</x:v>
      </x:c>
      <x:c r="AC344" s="37" t="n">
        <x:v>2003905.2632514257</x:v>
      </x:c>
      <x:c r="AD344" s="37" t="n">
        <x:v>0</x:v>
      </x:c>
      <x:c r="AE344" s="37" t="n">
        <x:v>0</x:v>
      </x:c>
      <x:c r="AF344" s="47" t="b">
        <x:v>0</x:v>
      </x:c>
      <x:c r="AG344" s="47" t="b">
        <x:v>0</x:v>
      </x:c>
      <x:c r="AH344" s="48" t="n">
        <x:v>0</x:v>
      </x:c>
      <x:c r="AI344" s="48" t="n">
        <x:v>1.1920928955078125e-7</x:v>
      </x:c>
      <x:c r="AJ344" s="37" t="str">
        <x:v>passed</x:v>
      </x:c>
    </x:row>
    <x:row r="345" ht="21" customHeight="1">
      <x:c r="A345" s="2"/>
      <x:c r="B345" s="2"/>
      <x:c r="C345" s="2" t="str">
        <x:v>2022</x:v>
      </x:c>
      <x:c r="D345" s="5" t="n">
        <x:v>44685</x:v>
      </x:c>
      <x:c r="E345" s="2" t="str">
        <x:v>unweighted</x:v>
      </x:c>
      <x:c r="F345" s="37" t="n">
        <x:v>12226661.840167157</x:v>
      </x:c>
      <x:c r="G345" s="37" t="n">
        <x:v>739640.098659094</x:v>
      </x:c>
      <x:c r="H345" s="37" t="n">
        <x:v>-42411.752869906835</x:v>
      </x:c>
      <x:c r="I345" s="37" t="n">
        <x:v>782051.8515290008</x:v>
      </x:c>
      <x:c r="J345" s="37" t="n">
        <x:v>10805328.681125386</x:v>
      </x:c>
      <x:c r="K345" s="37" t="n">
        <x:v>10065688.582466291</x:v>
      </x:c>
      <x:c r="L345" s="37" t="n">
        <x:v>12966301.938826252</x:v>
      </x:c>
      <x:c r="M345" s="37" t="n">
        <x:v>0</x:v>
      </x:c>
      <x:c r="N345" s="37" t="n">
        <x:v>0</x:v>
      </x:c>
      <x:c r="O345" s="37" t="n">
        <x:v>669.9173656329513</x:v>
      </x:c>
      <x:c r="P345" s="37" t="n">
        <x:v>0</x:v>
      </x:c>
      <x:c r="Q345" s="37" t="n">
        <x:v>0</x:v>
      </x:c>
      <x:c r="R345" s="37" t="n">
        <x:v>0</x:v>
      </x:c>
      <x:c r="S345" s="37" t="n">
        <x:v>0</x:v>
      </x:c>
      <x:c r="T345" s="37" t="n">
        <x:v>0</x:v>
      </x:c>
      <x:c r="U345" s="37" t="n">
        <x:v>63750</x:v>
      </x:c>
      <x:c r="V345" s="37" t="n">
        <x:v>0</x:v>
      </x:c>
      <x:c r="W345" s="37" t="n">
        <x:v>79860.4861882925</x:v>
      </x:c>
      <x:c r="X345" s="37" t="n">
        <x:v>0</x:v>
      </x:c>
      <x:c r="Y345" s="37" t="n">
        <x:v>2264.4056061592814</x:v>
      </x:c>
      <x:c r="Z345" s="37" t="n">
        <x:v>10267002.354115617</x:v>
      </x:c>
      <x:c r="AA345" s="37" t="n">
        <x:v>0</x:v>
      </x:c>
      <x:c r="AB345" s="37" t="n">
        <x:v>10267002.354115617</x:v>
      </x:c>
      <x:c r="AC345" s="37" t="n">
        <x:v>1959659.4860515408</x:v>
      </x:c>
      <x:c r="AD345" s="37" t="n">
        <x:v>0</x:v>
      </x:c>
      <x:c r="AE345" s="37" t="n">
        <x:v>0</x:v>
      </x:c>
      <x:c r="AF345" s="47" t="b">
        <x:v>0</x:v>
      </x:c>
      <x:c r="AG345" s="47" t="b">
        <x:v>0</x:v>
      </x:c>
      <x:c r="AH345" s="48" t="n">
        <x:v>0</x:v>
      </x:c>
      <x:c r="AI345" s="48" t="n">
        <x:v>1.1920928955078125e-7</x:v>
      </x:c>
      <x:c r="AJ345" s="37" t="str">
        <x:v>passed</x:v>
      </x:c>
    </x:row>
    <x:row r="346" ht="21" customHeight="1">
      <x:c r="A346" s="2"/>
      <x:c r="B346" s="2"/>
      <x:c r="C346" s="2" t="str">
        <x:v>2022</x:v>
      </x:c>
      <x:c r="D346" s="5" t="n">
        <x:v>44685</x:v>
      </x:c>
      <x:c r="E346" s="2" t="str">
        <x:v>constrained</x:v>
      </x:c>
      <x:c r="F346" s="37" t="n">
        <x:v>13143336.348489476</x:v>
      </x:c>
      <x:c r="G346" s="37" t="n">
        <x:v>-110533.56713996414</x:v>
      </x:c>
      <x:c r="H346" s="37" t="n">
        <x:v>-46674.05047894437</x:v>
      </x:c>
      <x:c r="I346" s="37" t="n">
        <x:v>-63859.51666101977</x:v>
      </x:c>
      <x:c r="J346" s="37" t="n">
        <x:v>10804728.21322322</x:v>
      </x:c>
      <x:c r="K346" s="37" t="n">
        <x:v>10915261.780363183</x:v>
      </x:c>
      <x:c r="L346" s="37" t="n">
        <x:v>13032802.781349512</x:v>
      </x:c>
      <x:c r="M346" s="37" t="n">
        <x:v>0</x:v>
      </x:c>
      <x:c r="N346" s="37" t="n">
        <x:v>0</x:v>
      </x:c>
      <x:c r="O346" s="37" t="n">
        <x:v>720.1433537062258</x:v>
      </x:c>
      <x:c r="P346" s="37" t="n">
        <x:v>0</x:v>
      </x:c>
      <x:c r="Q346" s="37" t="n">
        <x:v>0</x:v>
      </x:c>
      <x:c r="R346" s="37" t="n">
        <x:v>0</x:v>
      </x:c>
      <x:c r="S346" s="37" t="n">
        <x:v>0</x:v>
      </x:c>
      <x:c r="T346" s="37" t="n">
        <x:v>0</x:v>
      </x:c>
      <x:c r="U346" s="37" t="n">
        <x:v>63750</x:v>
      </x:c>
      <x:c r="V346" s="37" t="n">
        <x:v>0</x:v>
      </x:c>
      <x:c r="W346" s="37" t="n">
        <x:v>86619.4266822543</x:v>
      </x:c>
      <x:c r="X346" s="37" t="n">
        <x:v>0</x:v>
      </x:c>
      <x:c r="Y346" s="37" t="n">
        <x:v>2369.8244641980114</x:v>
      </x:c>
      <x:c r="Z346" s="37" t="n">
        <x:v>11133567.015970448</x:v>
      </x:c>
      <x:c r="AA346" s="37" t="n">
        <x:v>0</x:v>
      </x:c>
      <x:c r="AB346" s="37" t="n">
        <x:v>11133567.015970448</x:v>
      </x:c>
      <x:c r="AC346" s="37" t="n">
        <x:v>2009769.3325190283</x:v>
      </x:c>
      <x:c r="AD346" s="37" t="n">
        <x:v>0</x:v>
      </x:c>
      <x:c r="AE346" s="37" t="n">
        <x:v>0</x:v>
      </x:c>
      <x:c r="AF346" s="47" t="b">
        <x:v>0</x:v>
      </x:c>
      <x:c r="AG346" s="47" t="b">
        <x:v>0</x:v>
      </x:c>
      <x:c r="AH346" s="48" t="n">
        <x:v>0</x:v>
      </x:c>
      <x:c r="AI346" s="48" t="n">
        <x:v>1.1920928955078125e-7</x:v>
      </x:c>
      <x:c r="AJ346" s="37" t="str">
        <x:v>passed</x:v>
      </x:c>
    </x:row>
    <x:row r="347" ht="21" customHeight="1">
      <x:c r="A347" s="2"/>
      <x:c r="B347" s="2"/>
      <x:c r="C347" s="2" t="str">
        <x:v>2022</x:v>
      </x:c>
      <x:c r="D347" s="5" t="n">
        <x:v>44686</x:v>
      </x:c>
      <x:c r="E347" s="2" t="str">
        <x:v>unhedged</x:v>
      </x:c>
      <x:c r="F347" s="37" t="n">
        <x:v>1270782.9625266113</x:v>
      </x:c>
      <x:c r="G347" s="37" t="n">
        <x:v>10735590.087199561</x:v>
      </x:c>
      <x:c r="H347" s="37" t="n">
        <x:v>17080.71853230843</x:v>
      </x:c>
      <x:c r="I347" s="37" t="n">
        <x:v>10718509.368667252</x:v>
      </x:c>
      <x:c r="J347" s="37" t="n">
        <x:v>10735590.087199561</x:v>
      </x:c>
      <x:c r="K347" s="37" t="n">
        <x:v>0</x:v>
      </x:c>
      <x:c r="L347" s="37" t="n">
        <x:v>12006373.049726173</x:v>
      </x:c>
      <x:c r="M347" s="37" t="n">
        <x:v>0</x:v>
      </x:c>
      <x:c r="N347" s="37" t="n">
        <x:v>0</x:v>
      </x:c>
      <x:c r="O347" s="37" t="n">
        <x:v>69.62812791252509</x:v>
      </x:c>
      <x:c r="P347" s="37" t="n">
        <x:v>0</x:v>
      </x:c>
      <x:c r="Q347" s="37" t="n">
        <x:v>0</x:v>
      </x:c>
      <x:c r="R347" s="37" t="n">
        <x:v>0</x:v>
      </x:c>
      <x:c r="S347" s="37" t="n">
        <x:v>0</x:v>
      </x:c>
      <x:c r="T347" s="37" t="n">
        <x:v>0</x:v>
      </x:c>
      <x:c r="U347" s="37" t="n">
        <x:v>63750</x:v>
      </x:c>
      <x:c r="V347" s="37" t="n">
        <x:v>0</x:v>
      </x:c>
      <x:c r="W347" s="37" t="n">
        <x:v>8207.681843336904</x:v>
      </x:c>
      <x:c r="X347" s="37" t="n">
        <x:v>0</x:v>
      </x:c>
      <x:c r="Y347" s="37" t="n">
        <x:v>1174.7193167256753</x:v>
      </x:c>
      <x:c r="Z347" s="37" t="n">
        <x:v>0</x:v>
      </x:c>
      <x:c r="AA347" s="37" t="n">
        <x:v>0</x:v>
      </x:c>
      <x:c r="AB347" s="37" t="n">
        <x:v>0</x:v>
      </x:c>
      <x:c r="AC347" s="37" t="n">
        <x:v>1270782.9625266113</x:v>
      </x:c>
      <x:c r="AD347" s="37" t="n">
        <x:v>0</x:v>
      </x:c>
      <x:c r="AE347" s="37" t="n">
        <x:v>0</x:v>
      </x:c>
      <x:c r="AF347" s="47" t="b">
        <x:v>0</x:v>
      </x:c>
      <x:c r="AG347" s="47" t="b">
        <x:v>0</x:v>
      </x:c>
      <x:c r="AH347" s="48" t="n">
        <x:v>0</x:v>
      </x:c>
      <x:c r="AI347" s="48" t="n">
        <x:v>1.1920928955078125e-7</x:v>
      </x:c>
      <x:c r="AJ347" s="37" t="str">
        <x:v>passed</x:v>
      </x:c>
    </x:row>
    <x:row r="348" ht="21" customHeight="1">
      <x:c r="A348" s="2"/>
      <x:c r="B348" s="2"/>
      <x:c r="C348" s="2" t="str">
        <x:v>2022</x:v>
      </x:c>
      <x:c r="D348" s="5" t="n">
        <x:v>44686</x:v>
      </x:c>
      <x:c r="E348" s="2" t="str">
        <x:v>duration</x:v>
      </x:c>
      <x:c r="F348" s="37" t="n">
        <x:v>9393494.545694968</x:v>
      </x:c>
      <x:c r="G348" s="37" t="n">
        <x:v>3570731.5606052643</x:v>
      </x:c>
      <x:c r="H348" s="37" t="n">
        <x:v>-36869.21626793764</x:v>
      </x:c>
      <x:c r="I348" s="37" t="n">
        <x:v>3607600.776873202</x:v>
      </x:c>
      <x:c r="J348" s="37" t="n">
        <x:v>10735590.087199561</x:v>
      </x:c>
      <x:c r="K348" s="37" t="n">
        <x:v>7164858.526594297</x:v>
      </x:c>
      <x:c r="L348" s="37" t="n">
        <x:v>12964226.106300231</x:v>
      </x:c>
      <x:c r="M348" s="37" t="n">
        <x:v>0</x:v>
      </x:c>
      <x:c r="N348" s="37" t="n">
        <x:v>0</x:v>
      </x:c>
      <x:c r="O348" s="37" t="n">
        <x:v>514.683828048408</x:v>
      </x:c>
      <x:c r="P348" s="37" t="n">
        <x:v>0</x:v>
      </x:c>
      <x:c r="Q348" s="37" t="n">
        <x:v>0</x:v>
      </x:c>
      <x:c r="R348" s="37" t="n">
        <x:v>0</x:v>
      </x:c>
      <x:c r="S348" s="37" t="n">
        <x:v>0</x:v>
      </x:c>
      <x:c r="T348" s="37" t="n">
        <x:v>0</x:v>
      </x:c>
      <x:c r="U348" s="37" t="n">
        <x:v>63750</x:v>
      </x:c>
      <x:c r="V348" s="37" t="n">
        <x:v>0</x:v>
      </x:c>
      <x:c r="W348" s="37" t="n">
        <x:v>62121.34616647288</x:v>
      </x:c>
      <x:c r="X348" s="37" t="n">
        <x:v>0</x:v>
      </x:c>
      <x:c r="Y348" s="37" t="n">
        <x:v>1989.7428739298557</x:v>
      </x:c>
      <x:c r="Z348" s="37" t="n">
        <x:v>7308155.697126183</x:v>
      </x:c>
      <x:c r="AA348" s="37" t="n">
        <x:v>0</x:v>
      </x:c>
      <x:c r="AB348" s="37" t="n">
        <x:v>7308155.697126183</x:v>
      </x:c>
      <x:c r="AC348" s="37" t="n">
        <x:v>2085338.848568785</x:v>
      </x:c>
      <x:c r="AD348" s="37" t="n">
        <x:v>0</x:v>
      </x:c>
      <x:c r="AE348" s="37" t="n">
        <x:v>0</x:v>
      </x:c>
      <x:c r="AF348" s="47" t="b">
        <x:v>0</x:v>
      </x:c>
      <x:c r="AG348" s="47" t="b">
        <x:v>0</x:v>
      </x:c>
      <x:c r="AH348" s="48" t="n">
        <x:v>0</x:v>
      </x:c>
      <x:c r="AI348" s="48" t="n">
        <x:v>1.1920928955078125e-7</x:v>
      </x:c>
      <x:c r="AJ348" s="37" t="str">
        <x:v>passed</x:v>
      </x:c>
    </x:row>
    <x:row r="349" ht="21" customHeight="1">
      <x:c r="A349" s="2"/>
      <x:c r="B349" s="2"/>
      <x:c r="C349" s="2" t="str">
        <x:v>2022</x:v>
      </x:c>
      <x:c r="D349" s="5" t="n">
        <x:v>44686</x:v>
      </x:c>
      <x:c r="E349" s="2" t="str">
        <x:v>unweighted</x:v>
      </x:c>
      <x:c r="F349" s="37" t="n">
        <x:v>12227331.794240592</x:v>
      </x:c>
      <x:c r="G349" s="37" t="n">
        <x:v>735892.9483889961</x:v>
      </x:c>
      <x:c r="H349" s="37" t="n">
        <x:v>-42423.57925335928</x:v>
      </x:c>
      <x:c r="I349" s="37" t="n">
        <x:v>778316.5276423553</x:v>
      </x:c>
      <x:c r="J349" s="37" t="n">
        <x:v>10736582.000019616</x:v>
      </x:c>
      <x:c r="K349" s="37" t="n">
        <x:v>10000689.05163062</x:v>
      </x:c>
      <x:c r="L349" s="37" t="n">
        <x:v>12963224.742629588</x:v>
      </x:c>
      <x:c r="M349" s="37" t="n">
        <x:v>0</x:v>
      </x:c>
      <x:c r="N349" s="37" t="n">
        <x:v>0</x:v>
      </x:c>
      <x:c r="O349" s="37" t="n">
        <x:v>669.9540734346956</x:v>
      </x:c>
      <x:c r="P349" s="37" t="n">
        <x:v>0</x:v>
      </x:c>
      <x:c r="Q349" s="37" t="n">
        <x:v>0</x:v>
      </x:c>
      <x:c r="R349" s="37" t="n">
        <x:v>0</x:v>
      </x:c>
      <x:c r="S349" s="37" t="n">
        <x:v>0</x:v>
      </x:c>
      <x:c r="T349" s="37" t="n">
        <x:v>0</x:v>
      </x:c>
      <x:c r="U349" s="37" t="n">
        <x:v>63750</x:v>
      </x:c>
      <x:c r="V349" s="37" t="n">
        <x:v>0</x:v>
      </x:c>
      <x:c r="W349" s="37" t="n">
        <x:v>80530.4402617272</x:v>
      </x:c>
      <x:c r="X349" s="37" t="n">
        <x:v>0</x:v>
      </x:c>
      <x:c r="Y349" s="37" t="n">
        <x:v>2264.4056061592814</x:v>
      </x:c>
      <x:c r="Z349" s="37" t="n">
        <x:v>10200702.832663232</x:v>
      </x:c>
      <x:c r="AA349" s="37" t="n">
        <x:v>0</x:v>
      </x:c>
      <x:c r="AB349" s="37" t="n">
        <x:v>10200702.832663232</x:v>
      </x:c>
      <x:c r="AC349" s="37" t="n">
        <x:v>2026628.9615773596</x:v>
      </x:c>
      <x:c r="AD349" s="37" t="n">
        <x:v>0</x:v>
      </x:c>
      <x:c r="AE349" s="37" t="n">
        <x:v>0</x:v>
      </x:c>
      <x:c r="AF349" s="47" t="b">
        <x:v>0</x:v>
      </x:c>
      <x:c r="AG349" s="47" t="b">
        <x:v>0</x:v>
      </x:c>
      <x:c r="AH349" s="48" t="n">
        <x:v>0</x:v>
      </x:c>
      <x:c r="AI349" s="48" t="n">
        <x:v>1.1920928955078125e-7</x:v>
      </x:c>
      <x:c r="AJ349" s="37" t="str">
        <x:v>passed</x:v>
      </x:c>
    </x:row>
    <x:row r="350" ht="21" customHeight="1">
      <x:c r="A350" s="2"/>
      <x:c r="B350" s="2"/>
      <x:c r="C350" s="2" t="str">
        <x:v>2022</x:v>
      </x:c>
      <x:c r="D350" s="5" t="n">
        <x:v>44686</x:v>
      </x:c>
      <x:c r="E350" s="2" t="str">
        <x:v>constrained</x:v>
      </x:c>
      <x:c r="F350" s="37" t="n">
        <x:v>13144056.531303095</x:v>
      </x:c>
      <x:c r="G350" s="37" t="n">
        <x:v>-110703.90379433712</x:v>
      </x:c>
      <x:c r="H350" s="37" t="n">
        <x:v>-46712.62683295974</x:v>
      </x:c>
      <x:c r="I350" s="37" t="n">
        <x:v>-63991.276961377385</x:v>
      </x:c>
      <x:c r="J350" s="37" t="n">
        <x:v>10735995.054981649</x:v>
      </x:c>
      <x:c r="K350" s="37" t="n">
        <x:v>10846698.958775986</x:v>
      </x:c>
      <x:c r="L350" s="37" t="n">
        <x:v>13033352.627508758</x:v>
      </x:c>
      <x:c r="M350" s="37" t="n">
        <x:v>0</x:v>
      </x:c>
      <x:c r="N350" s="37" t="n">
        <x:v>0</x:v>
      </x:c>
      <x:c r="O350" s="37" t="n">
        <x:v>720.1828136183321</x:v>
      </x:c>
      <x:c r="P350" s="37" t="n">
        <x:v>0</x:v>
      </x:c>
      <x:c r="Q350" s="37" t="n">
        <x:v>0</x:v>
      </x:c>
      <x:c r="R350" s="37" t="n">
        <x:v>0</x:v>
      </x:c>
      <x:c r="S350" s="37" t="n">
        <x:v>0</x:v>
      </x:c>
      <x:c r="T350" s="37" t="n">
        <x:v>0</x:v>
      </x:c>
      <x:c r="U350" s="37" t="n">
        <x:v>63750</x:v>
      </x:c>
      <x:c r="V350" s="37" t="n">
        <x:v>0</x:v>
      </x:c>
      <x:c r="W350" s="37" t="n">
        <x:v>87339.60949587263</x:v>
      </x:c>
      <x:c r="X350" s="37" t="n">
        <x:v>0</x:v>
      </x:c>
      <x:c r="Y350" s="37" t="n">
        <x:v>2369.8244641980114</x:v>
      </x:c>
      <x:c r="Z350" s="37" t="n">
        <x:v>11063632.937951505</x:v>
      </x:c>
      <x:c r="AA350" s="37" t="n">
        <x:v>0</x:v>
      </x:c>
      <x:c r="AB350" s="37" t="n">
        <x:v>11063632.937951505</x:v>
      </x:c>
      <x:c r="AC350" s="37" t="n">
        <x:v>2080423.5933515895</x:v>
      </x:c>
      <x:c r="AD350" s="37" t="n">
        <x:v>0</x:v>
      </x:c>
      <x:c r="AE350" s="37" t="n">
        <x:v>0</x:v>
      </x:c>
      <x:c r="AF350" s="47" t="b">
        <x:v>0</x:v>
      </x:c>
      <x:c r="AG350" s="47" t="b">
        <x:v>0</x:v>
      </x:c>
      <x:c r="AH350" s="48" t="n">
        <x:v>0</x:v>
      </x:c>
      <x:c r="AI350" s="48" t="n">
        <x:v>1.1920928955078125e-7</x:v>
      </x:c>
      <x:c r="AJ350" s="37" t="str">
        <x:v>passed</x:v>
      </x:c>
    </x:row>
    <x:row r="351" ht="21" customHeight="1">
      <x:c r="A351" s="2"/>
      <x:c r="B351" s="2"/>
      <x:c r="C351" s="2" t="str">
        <x:v>2022</x:v>
      </x:c>
      <x:c r="D351" s="5" t="n">
        <x:v>44687</x:v>
      </x:c>
      <x:c r="E351" s="2" t="str">
        <x:v>unhedged</x:v>
      </x:c>
      <x:c r="F351" s="37" t="n">
        <x:v>1270852.5944697636</x:v>
      </x:c>
      <x:c r="G351" s="37" t="n">
        <x:v>10695021.407571357</x:v>
      </x:c>
      <x:c r="H351" s="37" t="n">
        <x:v>17430.56389622868</x:v>
      </x:c>
      <x:c r="I351" s="37" t="n">
        <x:v>10677590.843675127</x:v>
      </x:c>
      <x:c r="J351" s="37" t="n">
        <x:v>10695021.407571357</x:v>
      </x:c>
      <x:c r="K351" s="37" t="n">
        <x:v>0</x:v>
      </x:c>
      <x:c r="L351" s="37" t="n">
        <x:v>11965874.00204112</x:v>
      </x:c>
      <x:c r="M351" s="37" t="n">
        <x:v>0</x:v>
      </x:c>
      <x:c r="N351" s="37" t="n">
        <x:v>0</x:v>
      </x:c>
      <x:c r="O351" s="37" t="n">
        <x:v>69.63194315228611</x:v>
      </x:c>
      <x:c r="P351" s="37" t="n">
        <x:v>0</x:v>
      </x:c>
      <x:c r="Q351" s="37" t="n">
        <x:v>0</x:v>
      </x:c>
      <x:c r="R351" s="37" t="n">
        <x:v>0</x:v>
      </x:c>
      <x:c r="S351" s="37" t="n">
        <x:v>0</x:v>
      </x:c>
      <x:c r="T351" s="37" t="n">
        <x:v>0</x:v>
      </x:c>
      <x:c r="U351" s="37" t="n">
        <x:v>63750</x:v>
      </x:c>
      <x:c r="V351" s="37" t="n">
        <x:v>0</x:v>
      </x:c>
      <x:c r="W351" s="37" t="n">
        <x:v>8277.31378648919</x:v>
      </x:c>
      <x:c r="X351" s="37" t="n">
        <x:v>0</x:v>
      </x:c>
      <x:c r="Y351" s="37" t="n">
        <x:v>1174.7193167256753</x:v>
      </x:c>
      <x:c r="Z351" s="37" t="n">
        <x:v>0</x:v>
      </x:c>
      <x:c r="AA351" s="37" t="n">
        <x:v>0</x:v>
      </x:c>
      <x:c r="AB351" s="37" t="n">
        <x:v>0</x:v>
      </x:c>
      <x:c r="AC351" s="37" t="n">
        <x:v>1270852.5944697636</x:v>
      </x:c>
      <x:c r="AD351" s="37" t="n">
        <x:v>0</x:v>
      </x:c>
      <x:c r="AE351" s="37" t="n">
        <x:v>0</x:v>
      </x:c>
      <x:c r="AF351" s="47" t="b">
        <x:v>0</x:v>
      </x:c>
      <x:c r="AG351" s="47" t="b">
        <x:v>0</x:v>
      </x:c>
      <x:c r="AH351" s="48" t="n">
        <x:v>0</x:v>
      </x:c>
      <x:c r="AI351" s="48" t="n">
        <x:v>1.1920928955078125e-7</x:v>
      </x:c>
      <x:c r="AJ351" s="37" t="str">
        <x:v>passed</x:v>
      </x:c>
    </x:row>
    <x:row r="352" ht="21" customHeight="1">
      <x:c r="A352" s="2"/>
      <x:c r="B352" s="2"/>
      <x:c r="C352" s="2" t="str">
        <x:v>2022</x:v>
      </x:c>
      <x:c r="D352" s="5" t="n">
        <x:v>44687</x:v>
      </x:c>
      <x:c r="E352" s="2" t="str">
        <x:v>duration</x:v>
      </x:c>
      <x:c r="F352" s="37" t="n">
        <x:v>9394009.25772487</x:v>
      </x:c>
      <x:c r="G352" s="37" t="n">
        <x:v>3577138.74145317</x:v>
      </x:c>
      <x:c r="H352" s="37" t="n">
        <x:v>-36834.86759875567</x:v>
      </x:c>
      <x:c r="I352" s="37" t="n">
        <x:v>3613973.6090519256</x:v>
      </x:c>
      <x:c r="J352" s="37" t="n">
        <x:v>10695021.407571357</x:v>
      </x:c>
      <x:c r="K352" s="37" t="n">
        <x:v>7117882.666118187</x:v>
      </x:c>
      <x:c r="L352" s="37" t="n">
        <x:v>12971147.99917804</x:v>
      </x:c>
      <x:c r="M352" s="37" t="n">
        <x:v>0</x:v>
      </x:c>
      <x:c r="N352" s="37" t="n">
        <x:v>0</x:v>
      </x:c>
      <x:c r="O352" s="37" t="n">
        <x:v>514.7120299022645</x:v>
      </x:c>
      <x:c r="P352" s="37" t="n">
        <x:v>0</x:v>
      </x:c>
      <x:c r="Q352" s="37" t="n">
        <x:v>0</x:v>
      </x:c>
      <x:c r="R352" s="37" t="n">
        <x:v>0</x:v>
      </x:c>
      <x:c r="S352" s="37" t="n">
        <x:v>0</x:v>
      </x:c>
      <x:c r="T352" s="37" t="n">
        <x:v>0</x:v>
      </x:c>
      <x:c r="U352" s="37" t="n">
        <x:v>63750</x:v>
      </x:c>
      <x:c r="V352" s="37" t="n">
        <x:v>0</x:v>
      </x:c>
      <x:c r="W352" s="37" t="n">
        <x:v>62636.05819637515</x:v>
      </x:c>
      <x:c r="X352" s="37" t="n">
        <x:v>0</x:v>
      </x:c>
      <x:c r="Y352" s="37" t="n">
        <x:v>1989.7428739298557</x:v>
      </x:c>
      <x:c r="Z352" s="37" t="n">
        <x:v>7260240.319440551</x:v>
      </x:c>
      <x:c r="AA352" s="37" t="n">
        <x:v>0</x:v>
      </x:c>
      <x:c r="AB352" s="37" t="n">
        <x:v>7260240.319440551</x:v>
      </x:c>
      <x:c r="AC352" s="37" t="n">
        <x:v>2133768.938284319</x:v>
      </x:c>
      <x:c r="AD352" s="37" t="n">
        <x:v>0</x:v>
      </x:c>
      <x:c r="AE352" s="37" t="n">
        <x:v>0</x:v>
      </x:c>
      <x:c r="AF352" s="47" t="b">
        <x:v>0</x:v>
      </x:c>
      <x:c r="AG352" s="47" t="b">
        <x:v>0</x:v>
      </x:c>
      <x:c r="AH352" s="48" t="n">
        <x:v>0</x:v>
      </x:c>
      <x:c r="AI352" s="48" t="n">
        <x:v>1.1920928955078125e-7</x:v>
      </x:c>
      <x:c r="AJ352" s="37" t="str">
        <x:v>passed</x:v>
      </x:c>
    </x:row>
    <x:row r="353" ht="21" customHeight="1">
      <x:c r="A353" s="2"/>
      <x:c r="B353" s="2"/>
      <x:c r="C353" s="2" t="str">
        <x:v>2022</x:v>
      </x:c>
      <x:c r="D353" s="5" t="n">
        <x:v>44687</x:v>
      </x:c>
      <x:c r="E353" s="2" t="str">
        <x:v>unweighted</x:v>
      </x:c>
      <x:c r="F353" s="37" t="n">
        <x:v>12228001.78502384</x:v>
      </x:c>
      <x:c r="G353" s="37" t="n">
        <x:v>733525.4923420345</x:v>
      </x:c>
      <x:c r="H353" s="37" t="n">
        <x:v>-42435.405636811716</x:v>
      </x:c>
      <x:c r="I353" s="37" t="n">
        <x:v>775960.8979788462</x:v>
      </x:c>
      <x:c r="J353" s="37" t="n">
        <x:v>10696001.059665587</x:v>
      </x:c>
      <x:c r="K353" s="37" t="n">
        <x:v>9962475.567323552</x:v>
      </x:c>
      <x:c r="L353" s="37" t="n">
        <x:v>12961527.277365874</x:v>
      </x:c>
      <x:c r="M353" s="37" t="n">
        <x:v>0</x:v>
      </x:c>
      <x:c r="N353" s="37" t="n">
        <x:v>0</x:v>
      </x:c>
      <x:c r="O353" s="37" t="n">
        <x:v>669.9907832480967</x:v>
      </x:c>
      <x:c r="P353" s="37" t="n">
        <x:v>0</x:v>
      </x:c>
      <x:c r="Q353" s="37" t="n">
        <x:v>0</x:v>
      </x:c>
      <x:c r="R353" s="37" t="n">
        <x:v>0</x:v>
      </x:c>
      <x:c r="S353" s="37" t="n">
        <x:v>0</x:v>
      </x:c>
      <x:c r="T353" s="37" t="n">
        <x:v>0</x:v>
      </x:c>
      <x:c r="U353" s="37" t="n">
        <x:v>63750</x:v>
      </x:c>
      <x:c r="V353" s="37" t="n">
        <x:v>0</x:v>
      </x:c>
      <x:c r="W353" s="37" t="n">
        <x:v>81200.4310449753</x:v>
      </x:c>
      <x:c r="X353" s="37" t="n">
        <x:v>0</x:v>
      </x:c>
      <x:c r="Y353" s="37" t="n">
        <x:v>2264.4056061592814</x:v>
      </x:c>
      <x:c r="Z353" s="37" t="n">
        <x:v>10161725.078670023</x:v>
      </x:c>
      <x:c r="AA353" s="37" t="n">
        <x:v>0</x:v>
      </x:c>
      <x:c r="AB353" s="37" t="n">
        <x:v>10161725.078670023</x:v>
      </x:c>
      <x:c r="AC353" s="37" t="n">
        <x:v>2066276.7063538171</x:v>
      </x:c>
      <x:c r="AD353" s="37" t="n">
        <x:v>0</x:v>
      </x:c>
      <x:c r="AE353" s="37" t="n">
        <x:v>0</x:v>
      </x:c>
      <x:c r="AF353" s="47" t="b">
        <x:v>0</x:v>
      </x:c>
      <x:c r="AG353" s="47" t="b">
        <x:v>0</x:v>
      </x:c>
      <x:c r="AH353" s="48" t="n">
        <x:v>0</x:v>
      </x:c>
      <x:c r="AI353" s="48" t="n">
        <x:v>1.1920928955078125e-7</x:v>
      </x:c>
      <x:c r="AJ353" s="37" t="str">
        <x:v>passed</x:v>
      </x:c>
    </x:row>
    <x:row r="354" ht="21" customHeight="1">
      <x:c r="A354" s="2"/>
      <x:c r="B354" s="2"/>
      <x:c r="C354" s="2" t="str">
        <x:v>2022</x:v>
      </x:c>
      <x:c r="D354" s="5" t="n">
        <x:v>44687</x:v>
      </x:c>
      <x:c r="E354" s="2" t="str">
        <x:v>constrained</x:v>
      </x:c>
      <x:c r="F354" s="37" t="n">
        <x:v>13144776.753578784</x:v>
      </x:c>
      <x:c r="G354" s="37" t="n">
        <x:v>-110996.63338405377</x:v>
      </x:c>
      <x:c r="H354" s="37" t="n">
        <x:v>-46751.2031869751</x:v>
      </x:c>
      <x:c r="I354" s="37" t="n">
        <x:v>-64245.43019707867</x:v>
      </x:c>
      <x:c r="J354" s="37" t="n">
        <x:v>10695421.36967266</x:v>
      </x:c>
      <x:c r="K354" s="37" t="n">
        <x:v>10806418.003056714</x:v>
      </x:c>
      <x:c r="L354" s="37" t="n">
        <x:v>13033780.12019473</x:v>
      </x:c>
      <x:c r="M354" s="37" t="n">
        <x:v>0</x:v>
      </x:c>
      <x:c r="N354" s="37" t="n">
        <x:v>0</x:v>
      </x:c>
      <x:c r="O354" s="37" t="n">
        <x:v>720.2222756892443</x:v>
      </x:c>
      <x:c r="P354" s="37" t="n">
        <x:v>0</x:v>
      </x:c>
      <x:c r="Q354" s="37" t="n">
        <x:v>0</x:v>
      </x:c>
      <x:c r="R354" s="37" t="n">
        <x:v>0</x:v>
      </x:c>
      <x:c r="S354" s="37" t="n">
        <x:v>0</x:v>
      </x:c>
      <x:c r="T354" s="37" t="n">
        <x:v>0</x:v>
      </x:c>
      <x:c r="U354" s="37" t="n">
        <x:v>63750</x:v>
      </x:c>
      <x:c r="V354" s="37" t="n">
        <x:v>0</x:v>
      </x:c>
      <x:c r="W354" s="37" t="n">
        <x:v>88059.83177156188</x:v>
      </x:c>
      <x:c r="X354" s="37" t="n">
        <x:v>0</x:v>
      </x:c>
      <x:c r="Y354" s="37" t="n">
        <x:v>2369.8244641980114</x:v>
      </x:c>
      <x:c r="Z354" s="37" t="n">
        <x:v>11022546.36311785</x:v>
      </x:c>
      <x:c r="AA354" s="37" t="n">
        <x:v>0</x:v>
      </x:c>
      <x:c r="AB354" s="37" t="n">
        <x:v>11022546.36311785</x:v>
      </x:c>
      <x:c r="AC354" s="37" t="n">
        <x:v>2122230.3904609345</x:v>
      </x:c>
      <x:c r="AD354" s="37" t="n">
        <x:v>0</x:v>
      </x:c>
      <x:c r="AE354" s="37" t="n">
        <x:v>0</x:v>
      </x:c>
      <x:c r="AF354" s="47" t="b">
        <x:v>0</x:v>
      </x:c>
      <x:c r="AG354" s="47" t="b">
        <x:v>0</x:v>
      </x:c>
      <x:c r="AH354" s="48" t="n">
        <x:v>0</x:v>
      </x:c>
      <x:c r="AI354" s="48" t="n">
        <x:v>1.1920928955078125e-7</x:v>
      </x:c>
      <x:c r="AJ354" s="37" t="str">
        <x:v>passed</x:v>
      </x:c>
    </x:row>
    <x:row r="355" ht="21" customHeight="1">
      <x:c r="A355" s="2"/>
      <x:c r="B355" s="2"/>
      <x:c r="C355" s="2" t="str">
        <x:v>2022</x:v>
      </x:c>
      <x:c r="D355" s="5" t="n">
        <x:v>44690</x:v>
      </x:c>
      <x:c r="E355" s="2" t="str">
        <x:v>unhedged</x:v>
      </x:c>
      <x:c r="F355" s="37" t="n">
        <x:v>1271061.51319275</x:v>
      </x:c>
      <x:c r="G355" s="37" t="n">
        <x:v>10757260.979281858</x:v>
      </x:c>
      <x:c r="H355" s="37" t="n">
        <x:v>18480.09998798943</x:v>
      </x:c>
      <x:c r="I355" s="37" t="n">
        <x:v>10738780.879293868</x:v>
      </x:c>
      <x:c r="J355" s="37" t="n">
        <x:v>10757260.979281858</x:v>
      </x:c>
      <x:c r="K355" s="37" t="n">
        <x:v>0</x:v>
      </x:c>
      <x:c r="L355" s="37" t="n">
        <x:v>12028322.492474608</x:v>
      </x:c>
      <x:c r="M355" s="37" t="n">
        <x:v>0</x:v>
      </x:c>
      <x:c r="N355" s="37" t="n">
        <x:v>0</x:v>
      </x:c>
      <x:c r="O355" s="37" t="n">
        <x:v>208.9187229864765</x:v>
      </x:c>
      <x:c r="P355" s="37" t="n">
        <x:v>0</x:v>
      </x:c>
      <x:c r="Q355" s="37" t="n">
        <x:v>0</x:v>
      </x:c>
      <x:c r="R355" s="37" t="n">
        <x:v>0</x:v>
      </x:c>
      <x:c r="S355" s="37" t="n">
        <x:v>0</x:v>
      </x:c>
      <x:c r="T355" s="37" t="n">
        <x:v>0</x:v>
      </x:c>
      <x:c r="U355" s="37" t="n">
        <x:v>63750</x:v>
      </x:c>
      <x:c r="V355" s="37" t="n">
        <x:v>0</x:v>
      </x:c>
      <x:c r="W355" s="37" t="n">
        <x:v>8486.232509475667</x:v>
      </x:c>
      <x:c r="X355" s="37" t="n">
        <x:v>0</x:v>
      </x:c>
      <x:c r="Y355" s="37" t="n">
        <x:v>1174.7193167256753</x:v>
      </x:c>
      <x:c r="Z355" s="37" t="n">
        <x:v>0</x:v>
      </x:c>
      <x:c r="AA355" s="37" t="n">
        <x:v>0</x:v>
      </x:c>
      <x:c r="AB355" s="37" t="n">
        <x:v>0</x:v>
      </x:c>
      <x:c r="AC355" s="37" t="n">
        <x:v>1271061.51319275</x:v>
      </x:c>
      <x:c r="AD355" s="37" t="n">
        <x:v>0</x:v>
      </x:c>
      <x:c r="AE355" s="37" t="n">
        <x:v>0</x:v>
      </x:c>
      <x:c r="AF355" s="47" t="b">
        <x:v>0</x:v>
      </x:c>
      <x:c r="AG355" s="47" t="b">
        <x:v>0</x:v>
      </x:c>
      <x:c r="AH355" s="48" t="n">
        <x:v>0</x:v>
      </x:c>
      <x:c r="AI355" s="48" t="n">
        <x:v>1.1920928955078125e-7</x:v>
      </x:c>
      <x:c r="AJ355" s="37" t="str">
        <x:v>passed</x:v>
      </x:c>
    </x:row>
    <x:row r="356" ht="21" customHeight="1">
      <x:c r="A356" s="2"/>
      <x:c r="B356" s="2"/>
      <x:c r="C356" s="2" t="str">
        <x:v>2022</x:v>
      </x:c>
      <x:c r="D356" s="5" t="n">
        <x:v>44690</x:v>
      </x:c>
      <x:c r="E356" s="2" t="str">
        <x:v>duration</x:v>
      </x:c>
      <x:c r="F356" s="37" t="n">
        <x:v>9395553.56304115</x:v>
      </x:c>
      <x:c r="G356" s="37" t="n">
        <x:v>3584566.008638146</x:v>
      </x:c>
      <x:c r="H356" s="37" t="n">
        <x:v>-36731.821591209766</x:v>
      </x:c>
      <x:c r="I356" s="37" t="n">
        <x:v>3621297.8302293555</x:v>
      </x:c>
      <x:c r="J356" s="37" t="n">
        <x:v>10757260.979281858</x:v>
      </x:c>
      <x:c r="K356" s="37" t="n">
        <x:v>7172694.970643711</x:v>
      </x:c>
      <x:c r="L356" s="37" t="n">
        <x:v>12980119.571679296</x:v>
      </x:c>
      <x:c r="M356" s="37" t="n">
        <x:v>0</x:v>
      </x:c>
      <x:c r="N356" s="37" t="n">
        <x:v>0</x:v>
      </x:c>
      <x:c r="O356" s="37" t="n">
        <x:v>1544.3053162805736</x:v>
      </x:c>
      <x:c r="P356" s="37" t="n">
        <x:v>0</x:v>
      </x:c>
      <x:c r="Q356" s="37" t="n">
        <x:v>0</x:v>
      </x:c>
      <x:c r="R356" s="37" t="n">
        <x:v>0</x:v>
      </x:c>
      <x:c r="S356" s="37" t="n">
        <x:v>0</x:v>
      </x:c>
      <x:c r="T356" s="37" t="n">
        <x:v>0</x:v>
      </x:c>
      <x:c r="U356" s="37" t="n">
        <x:v>63750</x:v>
      </x:c>
      <x:c r="V356" s="37" t="n">
        <x:v>0</x:v>
      </x:c>
      <x:c r="W356" s="37" t="n">
        <x:v>64180.36351265572</x:v>
      </x:c>
      <x:c r="X356" s="37" t="n">
        <x:v>0</x:v>
      </x:c>
      <x:c r="Y356" s="37" t="n">
        <x:v>1989.7428739298557</x:v>
      </x:c>
      <x:c r="Z356" s="37" t="n">
        <x:v>7316148.870056585</x:v>
      </x:c>
      <x:c r="AA356" s="37" t="n">
        <x:v>0</x:v>
      </x:c>
      <x:c r="AB356" s="37" t="n">
        <x:v>7316148.870056585</x:v>
      </x:c>
      <x:c r="AC356" s="37" t="n">
        <x:v>2079404.6929845652</x:v>
      </x:c>
      <x:c r="AD356" s="37" t="n">
        <x:v>0</x:v>
      </x:c>
      <x:c r="AE356" s="37" t="n">
        <x:v>0</x:v>
      </x:c>
      <x:c r="AF356" s="47" t="b">
        <x:v>0</x:v>
      </x:c>
      <x:c r="AG356" s="47" t="b">
        <x:v>0</x:v>
      </x:c>
      <x:c r="AH356" s="48" t="n">
        <x:v>0</x:v>
      </x:c>
      <x:c r="AI356" s="48" t="n">
        <x:v>1.1920928955078125e-7</x:v>
      </x:c>
      <x:c r="AJ356" s="37" t="str">
        <x:v>passed</x:v>
      </x:c>
    </x:row>
    <x:row r="357" ht="21" customHeight="1">
      <x:c r="A357" s="2"/>
      <x:c r="B357" s="2"/>
      <x:c r="C357" s="2" t="str">
        <x:v>2022</x:v>
      </x:c>
      <x:c r="D357" s="5" t="n">
        <x:v>44690</x:v>
      </x:c>
      <x:c r="E357" s="2" t="str">
        <x:v>unweighted</x:v>
      </x:c>
      <x:c r="F357" s="37" t="n">
        <x:v>12230011.97765257</x:v>
      </x:c>
      <x:c r="G357" s="37" t="n">
        <x:v>737591.8507525184</x:v>
      </x:c>
      <x:c r="H357" s="37" t="n">
        <x:v>-42470.88478716904</x:v>
      </x:c>
      <x:c r="I357" s="37" t="n">
        <x:v>780062.7355396874</x:v>
      </x:c>
      <x:c r="J357" s="37" t="n">
        <x:v>10758248.40359374</x:v>
      </x:c>
      <x:c r="K357" s="37" t="n">
        <x:v>10020656.55284122</x:v>
      </x:c>
      <x:c r="L357" s="37" t="n">
        <x:v>12967603.828405088</x:v>
      </x:c>
      <x:c r="M357" s="37" t="n">
        <x:v>0</x:v>
      </x:c>
      <x:c r="N357" s="37" t="n">
        <x:v>0</x:v>
      </x:c>
      <x:c r="O357" s="37" t="n">
        <x:v>2010.1926287300885</x:v>
      </x:c>
      <x:c r="P357" s="37" t="n">
        <x:v>0</x:v>
      </x:c>
      <x:c r="Q357" s="37" t="n">
        <x:v>0</x:v>
      </x:c>
      <x:c r="R357" s="37" t="n">
        <x:v>0</x:v>
      </x:c>
      <x:c r="S357" s="37" t="n">
        <x:v>0</x:v>
      </x:c>
      <x:c r="T357" s="37" t="n">
        <x:v>0</x:v>
      </x:c>
      <x:c r="U357" s="37" t="n">
        <x:v>63750</x:v>
      </x:c>
      <x:c r="V357" s="37" t="n">
        <x:v>0</x:v>
      </x:c>
      <x:c r="W357" s="37" t="n">
        <x:v>83210.62367370538</x:v>
      </x:c>
      <x:c r="X357" s="37" t="n">
        <x:v>0</x:v>
      </x:c>
      <x:c r="Y357" s="37" t="n">
        <x:v>2264.4056061592814</x:v>
      </x:c>
      <x:c r="Z357" s="37" t="n">
        <x:v>10221069.683898045</x:v>
      </x:c>
      <x:c r="AA357" s="37" t="n">
        <x:v>0</x:v>
      </x:c>
      <x:c r="AB357" s="37" t="n">
        <x:v>10221069.683898045</x:v>
      </x:c>
      <x:c r="AC357" s="37" t="n">
        <x:v>2008942.2937545255</x:v>
      </x:c>
      <x:c r="AD357" s="37" t="n">
        <x:v>0</x:v>
      </x:c>
      <x:c r="AE357" s="37" t="n">
        <x:v>0</x:v>
      </x:c>
      <x:c r="AF357" s="47" t="b">
        <x:v>0</x:v>
      </x:c>
      <x:c r="AG357" s="47" t="b">
        <x:v>0</x:v>
      </x:c>
      <x:c r="AH357" s="48" t="n">
        <x:v>0</x:v>
      </x:c>
      <x:c r="AI357" s="48" t="n">
        <x:v>1.1920928955078125e-7</x:v>
      </x:c>
      <x:c r="AJ357" s="37" t="str">
        <x:v>passed</x:v>
      </x:c>
    </x:row>
    <x:row r="358" ht="21" customHeight="1">
      <x:c r="A358" s="2"/>
      <x:c r="B358" s="2"/>
      <x:c r="C358" s="2" t="str">
        <x:v>2022</x:v>
      </x:c>
      <x:c r="D358" s="5" t="n">
        <x:v>44690</x:v>
      </x:c>
      <x:c r="E358" s="2" t="str">
        <x:v>constrained</x:v>
      </x:c>
      <x:c r="F358" s="37" t="n">
        <x:v>13146937.657199906</x:v>
      </x:c>
      <x:c r="G358" s="37" t="n">
        <x:v>-111000.6111365521</x:v>
      </x:c>
      <x:c r="H358" s="37" t="n">
        <x:v>-46866.9322490212</x:v>
      </x:c>
      <x:c r="I358" s="37" t="n">
        <x:v>-64133.67888753091</x:v>
      </x:c>
      <x:c r="J358" s="37" t="n">
        <x:v>10757664.114542818</x:v>
      </x:c>
      <x:c r="K358" s="37" t="n">
        <x:v>10868664.72567937</x:v>
      </x:c>
      <x:c r="L358" s="37" t="n">
        <x:v>13035937.046063354</x:v>
      </x:c>
      <x:c r="M358" s="37" t="n">
        <x:v>0</x:v>
      </x:c>
      <x:c r="N358" s="37" t="n">
        <x:v>0</x:v>
      </x:c>
      <x:c r="O358" s="37" t="n">
        <x:v>2160.903621122241</x:v>
      </x:c>
      <x:c r="P358" s="37" t="n">
        <x:v>0</x:v>
      </x:c>
      <x:c r="Q358" s="37" t="n">
        <x:v>0</x:v>
      </x:c>
      <x:c r="R358" s="37" t="n">
        <x:v>0</x:v>
      </x:c>
      <x:c r="S358" s="37" t="n">
        <x:v>0</x:v>
      </x:c>
      <x:c r="T358" s="37" t="n">
        <x:v>0</x:v>
      </x:c>
      <x:c r="U358" s="37" t="n">
        <x:v>63750</x:v>
      </x:c>
      <x:c r="V358" s="37" t="n">
        <x:v>0</x:v>
      </x:c>
      <x:c r="W358" s="37" t="n">
        <x:v>90220.73539268412</x:v>
      </x:c>
      <x:c r="X358" s="37" t="n">
        <x:v>0</x:v>
      </x:c>
      <x:c r="Y358" s="37" t="n">
        <x:v>2369.8244641980114</x:v>
      </x:c>
      <x:c r="Z358" s="37" t="n">
        <x:v>11086038.020192957</x:v>
      </x:c>
      <x:c r="AA358" s="37" t="n">
        <x:v>0</x:v>
      </x:c>
      <x:c r="AB358" s="37" t="n">
        <x:v>11086038.020192957</x:v>
      </x:c>
      <x:c r="AC358" s="37" t="n">
        <x:v>2060899.6370069496</x:v>
      </x:c>
      <x:c r="AD358" s="37" t="n">
        <x:v>0</x:v>
      </x:c>
      <x:c r="AE358" s="37" t="n">
        <x:v>0</x:v>
      </x:c>
      <x:c r="AF358" s="47" t="b">
        <x:v>0</x:v>
      </x:c>
      <x:c r="AG358" s="47" t="b">
        <x:v>0</x:v>
      </x:c>
      <x:c r="AH358" s="48" t="n">
        <x:v>0</x:v>
      </x:c>
      <x:c r="AI358" s="48" t="n">
        <x:v>1.1920928955078125e-7</x:v>
      </x:c>
      <x:c r="AJ358" s="37" t="str">
        <x:v>passed</x:v>
      </x:c>
    </x:row>
    <x:row r="359" ht="21" customHeight="1">
      <x:c r="A359" s="2"/>
      <x:c r="B359" s="2"/>
      <x:c r="C359" s="2" t="str">
        <x:v>2022</x:v>
      </x:c>
      <x:c r="D359" s="5" t="n">
        <x:v>44691</x:v>
      </x:c>
      <x:c r="E359" s="2" t="str">
        <x:v>unhedged</x:v>
      </x:c>
      <x:c r="F359" s="37" t="n">
        <x:v>1271131.1603989524</x:v>
      </x:c>
      <x:c r="G359" s="37" t="n">
        <x:v>10790939.910559757</x:v>
      </x:c>
      <x:c r="H359" s="37" t="n">
        <x:v>18829.94535190968</x:v>
      </x:c>
      <x:c r="I359" s="37" t="n">
        <x:v>10772109.965207847</x:v>
      </x:c>
      <x:c r="J359" s="37" t="n">
        <x:v>10790939.910559757</x:v>
      </x:c>
      <x:c r="K359" s="37" t="n">
        <x:v>0</x:v>
      </x:c>
      <x:c r="L359" s="37" t="n">
        <x:v>12062071.07095871</x:v>
      </x:c>
      <x:c r="M359" s="37" t="n">
        <x:v>0</x:v>
      </x:c>
      <x:c r="N359" s="37" t="n">
        <x:v>0</x:v>
      </x:c>
      <x:c r="O359" s="37" t="n">
        <x:v>69.64720620238222</x:v>
      </x:c>
      <x:c r="P359" s="37" t="n">
        <x:v>0</x:v>
      </x:c>
      <x:c r="Q359" s="37" t="n">
        <x:v>0</x:v>
      </x:c>
      <x:c r="R359" s="37" t="n">
        <x:v>0</x:v>
      </x:c>
      <x:c r="S359" s="37" t="n">
        <x:v>0</x:v>
      </x:c>
      <x:c r="T359" s="37" t="n">
        <x:v>0</x:v>
      </x:c>
      <x:c r="U359" s="37" t="n">
        <x:v>63750</x:v>
      </x:c>
      <x:c r="V359" s="37" t="n">
        <x:v>0</x:v>
      </x:c>
      <x:c r="W359" s="37" t="n">
        <x:v>8555.87971567805</x:v>
      </x:c>
      <x:c r="X359" s="37" t="n">
        <x:v>0</x:v>
      </x:c>
      <x:c r="Y359" s="37" t="n">
        <x:v>1174.7193167256753</x:v>
      </x:c>
      <x:c r="Z359" s="37" t="n">
        <x:v>0</x:v>
      </x:c>
      <x:c r="AA359" s="37" t="n">
        <x:v>0</x:v>
      </x:c>
      <x:c r="AB359" s="37" t="n">
        <x:v>0</x:v>
      </x:c>
      <x:c r="AC359" s="37" t="n">
        <x:v>1271131.1603989524</x:v>
      </x:c>
      <x:c r="AD359" s="37" t="n">
        <x:v>0</x:v>
      </x:c>
      <x:c r="AE359" s="37" t="n">
        <x:v>0</x:v>
      </x:c>
      <x:c r="AF359" s="47" t="b">
        <x:v>0</x:v>
      </x:c>
      <x:c r="AG359" s="47" t="b">
        <x:v>0</x:v>
      </x:c>
      <x:c r="AH359" s="48" t="n">
        <x:v>0</x:v>
      </x:c>
      <x:c r="AI359" s="48" t="n">
        <x:v>1.1920928955078125e-7</x:v>
      </x:c>
      <x:c r="AJ359" s="37" t="str">
        <x:v>passed</x:v>
      </x:c>
    </x:row>
    <x:row r="360" ht="21" customHeight="1">
      <x:c r="A360" s="2"/>
      <x:c r="B360" s="2"/>
      <x:c r="C360" s="2" t="str">
        <x:v>2022</x:v>
      </x:c>
      <x:c r="D360" s="5" t="n">
        <x:v>44691</x:v>
      </x:c>
      <x:c r="E360" s="2" t="str">
        <x:v>duration</x:v>
      </x:c>
      <x:c r="F360" s="37" t="n">
        <x:v>9396068.38789392</x:v>
      </x:c>
      <x:c r="G360" s="37" t="n">
        <x:v>3575492.6040307106</x:v>
      </x:c>
      <x:c r="H360" s="37" t="n">
        <x:v>-36697.472922027795</x:v>
      </x:c>
      <x:c r="I360" s="37" t="n">
        <x:v>3612190.076952738</x:v>
      </x:c>
      <x:c r="J360" s="37" t="n">
        <x:v>10790939.910559757</x:v>
      </x:c>
      <x:c r="K360" s="37" t="n">
        <x:v>7215447.306529046</x:v>
      </x:c>
      <x:c r="L360" s="37" t="n">
        <x:v>12971560.991924632</x:v>
      </x:c>
      <x:c r="M360" s="37" t="n">
        <x:v>0</x:v>
      </x:c>
      <x:c r="N360" s="37" t="n">
        <x:v>0</x:v>
      </x:c>
      <x:c r="O360" s="37" t="n">
        <x:v>514.8248527701944</x:v>
      </x:c>
      <x:c r="P360" s="37" t="n">
        <x:v>0</x:v>
      </x:c>
      <x:c r="Q360" s="37" t="n">
        <x:v>0</x:v>
      </x:c>
      <x:c r="R360" s="37" t="n">
        <x:v>0</x:v>
      </x:c>
      <x:c r="S360" s="37" t="n">
        <x:v>0</x:v>
      </x:c>
      <x:c r="T360" s="37" t="n">
        <x:v>0</x:v>
      </x:c>
      <x:c r="U360" s="37" t="n">
        <x:v>63750</x:v>
      </x:c>
      <x:c r="V360" s="37" t="n">
        <x:v>0</x:v>
      </x:c>
      <x:c r="W360" s="37" t="n">
        <x:v>64695.188365425915</x:v>
      </x:c>
      <x:c r="X360" s="37" t="n">
        <x:v>0</x:v>
      </x:c>
      <x:c r="Y360" s="37" t="n">
        <x:v>1989.7428739298557</x:v>
      </x:c>
      <x:c r="Z360" s="37" t="n">
        <x:v>7359756.252659627</x:v>
      </x:c>
      <x:c r="AA360" s="37" t="n">
        <x:v>0</x:v>
      </x:c>
      <x:c r="AB360" s="37" t="n">
        <x:v>7359756.252659627</x:v>
      </x:c>
      <x:c r="AC360" s="37" t="n">
        <x:v>2036312.1352342935</x:v>
      </x:c>
      <x:c r="AD360" s="37" t="n">
        <x:v>0</x:v>
      </x:c>
      <x:c r="AE360" s="37" t="n">
        <x:v>0</x:v>
      </x:c>
      <x:c r="AF360" s="47" t="b">
        <x:v>0</x:v>
      </x:c>
      <x:c r="AG360" s="47" t="b">
        <x:v>0</x:v>
      </x:c>
      <x:c r="AH360" s="48" t="n">
        <x:v>0</x:v>
      </x:c>
      <x:c r="AI360" s="48" t="n">
        <x:v>1.1920928955078125e-7</x:v>
      </x:c>
      <x:c r="AJ360" s="37" t="str">
        <x:v>passed</x:v>
      </x:c>
    </x:row>
    <x:row r="361" ht="21" customHeight="1">
      <x:c r="A361" s="2"/>
      <x:c r="B361" s="2"/>
      <x:c r="C361" s="2" t="str">
        <x:v>2022</x:v>
      </x:c>
      <x:c r="D361" s="5" t="n">
        <x:v>44691</x:v>
      </x:c>
      <x:c r="E361" s="2" t="str">
        <x:v>unweighted</x:v>
      </x:c>
      <x:c r="F361" s="37" t="n">
        <x:v>12230682.115295183</x:v>
      </x:c>
      <x:c r="G361" s="37" t="n">
        <x:v>739484.3641563226</x:v>
      </x:c>
      <x:c r="H361" s="37" t="n">
        <x:v>-42482.71117062147</x:v>
      </x:c>
      <x:c r="I361" s="37" t="n">
        <x:v>781967.075326944</x:v>
      </x:c>
      <x:c r="J361" s="37" t="n">
        <x:v>10791939.228051046</x:v>
      </x:c>
      <x:c r="K361" s="37" t="n">
        <x:v>10052454.863894723</x:v>
      </x:c>
      <x:c r="L361" s="37" t="n">
        <x:v>12970166.479451505</x:v>
      </x:c>
      <x:c r="M361" s="37" t="n">
        <x:v>0</x:v>
      </x:c>
      <x:c r="N361" s="37" t="n">
        <x:v>0</x:v>
      </x:c>
      <x:c r="O361" s="37" t="n">
        <x:v>670.1376426126808</x:v>
      </x:c>
      <x:c r="P361" s="37" t="n">
        <x:v>0</x:v>
      </x:c>
      <x:c r="Q361" s="37" t="n">
        <x:v>0</x:v>
      </x:c>
      <x:c r="R361" s="37" t="n">
        <x:v>0</x:v>
      </x:c>
      <x:c r="S361" s="37" t="n">
        <x:v>0</x:v>
      </x:c>
      <x:c r="T361" s="37" t="n">
        <x:v>0</x:v>
      </x:c>
      <x:c r="U361" s="37" t="n">
        <x:v>63750</x:v>
      </x:c>
      <x:c r="V361" s="37" t="n">
        <x:v>0</x:v>
      </x:c>
      <x:c r="W361" s="37" t="n">
        <x:v>83880.76131631806</x:v>
      </x:c>
      <x:c r="X361" s="37" t="n">
        <x:v>0</x:v>
      </x:c>
      <x:c r="Y361" s="37" t="n">
        <x:v>2264.4056061592814</x:v>
      </x:c>
      <x:c r="Z361" s="37" t="n">
        <x:v>10253503.961172618</x:v>
      </x:c>
      <x:c r="AA361" s="37" t="n">
        <x:v>0</x:v>
      </x:c>
      <x:c r="AB361" s="37" t="n">
        <x:v>10253503.961172618</x:v>
      </x:c>
      <x:c r="AC361" s="37" t="n">
        <x:v>1977178.154122565</x:v>
      </x:c>
      <x:c r="AD361" s="37" t="n">
        <x:v>0</x:v>
      </x:c>
      <x:c r="AE361" s="37" t="n">
        <x:v>0</x:v>
      </x:c>
      <x:c r="AF361" s="47" t="b">
        <x:v>0</x:v>
      </x:c>
      <x:c r="AG361" s="47" t="b">
        <x:v>0</x:v>
      </x:c>
      <x:c r="AH361" s="48" t="n">
        <x:v>0</x:v>
      </x:c>
      <x:c r="AI361" s="48" t="n">
        <x:v>1.1920928955078125e-7</x:v>
      </x:c>
      <x:c r="AJ361" s="37" t="str">
        <x:v>passed</x:v>
      </x:c>
    </x:row>
    <x:row r="362" ht="21" customHeight="1">
      <x:c r="A362" s="2"/>
      <x:c r="B362" s="2"/>
      <x:c r="C362" s="2" t="str">
        <x:v>2022</x:v>
      </x:c>
      <x:c r="D362" s="5" t="n">
        <x:v>44691</x:v>
      </x:c>
      <x:c r="E362" s="2" t="str">
        <x:v>constrained</x:v>
      </x:c>
      <x:c r="F362" s="37" t="n">
        <x:v>13147658.037345508</x:v>
      </x:c>
      <x:c r="G362" s="37" t="n">
        <x:v>-110624.86341114939</x:v>
      </x:c>
      <x:c r="H362" s="37" t="n">
        <x:v>-46905.50860303657</x:v>
      </x:c>
      <x:c r="I362" s="37" t="n">
        <x:v>-63719.35480811282</x:v>
      </x:c>
      <x:c r="J362" s="37" t="n">
        <x:v>10791347.901443498</x:v>
      </x:c>
      <x:c r="K362" s="37" t="n">
        <x:v>10901972.76485465</x:v>
      </x:c>
      <x:c r="L362" s="37" t="n">
        <x:v>13037033.17393436</x:v>
      </x:c>
      <x:c r="M362" s="37" t="n">
        <x:v>0</x:v>
      </x:c>
      <x:c r="N362" s="37" t="n">
        <x:v>0</x:v>
      </x:c>
      <x:c r="O362" s="37" t="n">
        <x:v>720.3801456019282</x:v>
      </x:c>
      <x:c r="P362" s="37" t="n">
        <x:v>0</x:v>
      </x:c>
      <x:c r="Q362" s="37" t="n">
        <x:v>0</x:v>
      </x:c>
      <x:c r="R362" s="37" t="n">
        <x:v>0</x:v>
      </x:c>
      <x:c r="S362" s="37" t="n">
        <x:v>0</x:v>
      </x:c>
      <x:c r="T362" s="37" t="n">
        <x:v>0</x:v>
      </x:c>
      <x:c r="U362" s="37" t="n">
        <x:v>63750</x:v>
      </x:c>
      <x:c r="V362" s="37" t="n">
        <x:v>0</x:v>
      </x:c>
      <x:c r="W362" s="37" t="n">
        <x:v>90941.11553828605</x:v>
      </x:c>
      <x:c r="X362" s="37" t="n">
        <x:v>0</x:v>
      </x:c>
      <x:c r="Y362" s="37" t="n">
        <x:v>2369.8244641980114</x:v>
      </x:c>
      <x:c r="Z362" s="37" t="n">
        <x:v>11120012.220151743</x:v>
      </x:c>
      <x:c r="AA362" s="37" t="n">
        <x:v>0</x:v>
      </x:c>
      <x:c r="AB362" s="37" t="n">
        <x:v>11120012.220151743</x:v>
      </x:c>
      <x:c r="AC362" s="37" t="n">
        <x:v>2027645.8171937652</x:v>
      </x:c>
      <x:c r="AD362" s="37" t="n">
        <x:v>0</x:v>
      </x:c>
      <x:c r="AE362" s="37" t="n">
        <x:v>0</x:v>
      </x:c>
      <x:c r="AF362" s="47" t="b">
        <x:v>0</x:v>
      </x:c>
      <x:c r="AG362" s="47" t="b">
        <x:v>0</x:v>
      </x:c>
      <x:c r="AH362" s="48" t="n">
        <x:v>0</x:v>
      </x:c>
      <x:c r="AI362" s="48" t="n">
        <x:v>1.1920928955078125e-7</x:v>
      </x:c>
      <x:c r="AJ362" s="37" t="str">
        <x:v>passed</x:v>
      </x:c>
    </x:row>
    <x:row r="363" ht="21" customHeight="1">
      <x:c r="A363" s="2"/>
      <x:c r="B363" s="2"/>
      <x:c r="C363" s="2" t="str">
        <x:v>2022</x:v>
      </x:c>
      <x:c r="D363" s="5" t="n">
        <x:v>44692</x:v>
      </x:c>
      <x:c r="E363" s="2" t="str">
        <x:v>unhedged</x:v>
      </x:c>
      <x:c r="F363" s="37" t="n">
        <x:v>1271200.81142144</x:v>
      </x:c>
      <x:c r="G363" s="37" t="n">
        <x:v>10818785.940681782</x:v>
      </x:c>
      <x:c r="H363" s="37" t="n">
        <x:v>19179.79071582993</x:v>
      </x:c>
      <x:c r="I363" s="37" t="n">
        <x:v>10799606.149965951</x:v>
      </x:c>
      <x:c r="J363" s="37" t="n">
        <x:v>10818785.940681782</x:v>
      </x:c>
      <x:c r="K363" s="37" t="n">
        <x:v>0</x:v>
      </x:c>
      <x:c r="L363" s="37" t="n">
        <x:v>12089986.75210322</x:v>
      </x:c>
      <x:c r="M363" s="37" t="n">
        <x:v>0</x:v>
      </x:c>
      <x:c r="N363" s="37" t="n">
        <x:v>0</x:v>
      </x:c>
      <x:c r="O363" s="37" t="n">
        <x:v>69.65102248755284</x:v>
      </x:c>
      <x:c r="P363" s="37" t="n">
        <x:v>0</x:v>
      </x:c>
      <x:c r="Q363" s="37" t="n">
        <x:v>0</x:v>
      </x:c>
      <x:c r="R363" s="37" t="n">
        <x:v>0</x:v>
      </x:c>
      <x:c r="S363" s="37" t="n">
        <x:v>0</x:v>
      </x:c>
      <x:c r="T363" s="37" t="n">
        <x:v>0</x:v>
      </x:c>
      <x:c r="U363" s="37" t="n">
        <x:v>63750</x:v>
      </x:c>
      <x:c r="V363" s="37" t="n">
        <x:v>0</x:v>
      </x:c>
      <x:c r="W363" s="37" t="n">
        <x:v>8625.530738165602</x:v>
      </x:c>
      <x:c r="X363" s="37" t="n">
        <x:v>0</x:v>
      </x:c>
      <x:c r="Y363" s="37" t="n">
        <x:v>1174.7193167256753</x:v>
      </x:c>
      <x:c r="Z363" s="37" t="n">
        <x:v>0</x:v>
      </x:c>
      <x:c r="AA363" s="37" t="n">
        <x:v>0</x:v>
      </x:c>
      <x:c r="AB363" s="37" t="n">
        <x:v>0</x:v>
      </x:c>
      <x:c r="AC363" s="37" t="n">
        <x:v>1271200.81142144</x:v>
      </x:c>
      <x:c r="AD363" s="37" t="n">
        <x:v>0</x:v>
      </x:c>
      <x:c r="AE363" s="37" t="n">
        <x:v>0</x:v>
      </x:c>
      <x:c r="AF363" s="47" t="b">
        <x:v>0</x:v>
      </x:c>
      <x:c r="AG363" s="47" t="b">
        <x:v>0</x:v>
      </x:c>
      <x:c r="AH363" s="48" t="n">
        <x:v>0</x:v>
      </x:c>
      <x:c r="AI363" s="48" t="n">
        <x:v>1.1920928955078125e-7</x:v>
      </x:c>
      <x:c r="AJ363" s="37" t="str">
        <x:v>passed</x:v>
      </x:c>
    </x:row>
    <x:row r="364" ht="21" customHeight="1">
      <x:c r="A364" s="2"/>
      <x:c r="B364" s="2"/>
      <x:c r="C364" s="2" t="str">
        <x:v>2022</x:v>
      </x:c>
      <x:c r="D364" s="5" t="n">
        <x:v>44692</x:v>
      </x:c>
      <x:c r="E364" s="2" t="str">
        <x:v>duration</x:v>
      </x:c>
      <x:c r="F364" s="37" t="n">
        <x:v>9396583.240956271</x:v>
      </x:c>
      <x:c r="G364" s="37" t="n">
        <x:v>3568995.5500064227</x:v>
      </x:c>
      <x:c r="H364" s="37" t="n">
        <x:v>-36663.124252845824</x:v>
      </x:c>
      <x:c r="I364" s="37" t="n">
        <x:v>3605658.6742592687</x:v>
      </x:c>
      <x:c r="J364" s="37" t="n">
        <x:v>10818785.940681782</x:v>
      </x:c>
      <x:c r="K364" s="37" t="n">
        <x:v>7249790.390675359</x:v>
      </x:c>
      <x:c r="L364" s="37" t="n">
        <x:v>12965578.790962694</x:v>
      </x:c>
      <x:c r="M364" s="37" t="n">
        <x:v>0</x:v>
      </x:c>
      <x:c r="N364" s="37" t="n">
        <x:v>0</x:v>
      </x:c>
      <x:c r="O364" s="37" t="n">
        <x:v>514.8530623503029</x:v>
      </x:c>
      <x:c r="P364" s="37" t="n">
        <x:v>0</x:v>
      </x:c>
      <x:c r="Q364" s="37" t="n">
        <x:v>0</x:v>
      </x:c>
      <x:c r="R364" s="37" t="n">
        <x:v>0</x:v>
      </x:c>
      <x:c r="S364" s="37" t="n">
        <x:v>0</x:v>
      </x:c>
      <x:c r="T364" s="37" t="n">
        <x:v>0</x:v>
      </x:c>
      <x:c r="U364" s="37" t="n">
        <x:v>63750</x:v>
      </x:c>
      <x:c r="V364" s="37" t="n">
        <x:v>0</x:v>
      </x:c>
      <x:c r="W364" s="37" t="n">
        <x:v>65210.04142777622</x:v>
      </x:c>
      <x:c r="X364" s="37" t="n">
        <x:v>0</x:v>
      </x:c>
      <x:c r="Y364" s="37" t="n">
        <x:v>1989.7428739298557</x:v>
      </x:c>
      <x:c r="Z364" s="37" t="n">
        <x:v>7394786.198488867</x:v>
      </x:c>
      <x:c r="AA364" s="37" t="n">
        <x:v>0</x:v>
      </x:c>
      <x:c r="AB364" s="37" t="n">
        <x:v>7394786.198488867</x:v>
      </x:c>
      <x:c r="AC364" s="37" t="n">
        <x:v>2001797.0424674042</x:v>
      </x:c>
      <x:c r="AD364" s="37" t="n">
        <x:v>0</x:v>
      </x:c>
      <x:c r="AE364" s="37" t="n">
        <x:v>0</x:v>
      </x:c>
      <x:c r="AF364" s="47" t="b">
        <x:v>0</x:v>
      </x:c>
      <x:c r="AG364" s="47" t="b">
        <x:v>0</x:v>
      </x:c>
      <x:c r="AH364" s="48" t="n">
        <x:v>0</x:v>
      </x:c>
      <x:c r="AI364" s="48" t="n">
        <x:v>1.1920928955078125e-7</x:v>
      </x:c>
      <x:c r="AJ364" s="37" t="str">
        <x:v>passed</x:v>
      </x:c>
    </x:row>
    <x:row r="365" ht="21" customHeight="1">
      <x:c r="A365" s="2"/>
      <x:c r="B365" s="2"/>
      <x:c r="C365" s="2" t="str">
        <x:v>2022</x:v>
      </x:c>
      <x:c r="D365" s="5" t="n">
        <x:v>44692</x:v>
      </x:c>
      <x:c r="E365" s="2" t="str">
        <x:v>unweighted</x:v>
      </x:c>
      <x:c r="F365" s="37" t="n">
        <x:v>12231352.289657664</x:v>
      </x:c>
      <x:c r="G365" s="37" t="n">
        <x:v>741052.7217792944</x:v>
      </x:c>
      <x:c r="H365" s="37" t="n">
        <x:v>-42494.53755407391</x:v>
      </x:c>
      <x:c r="I365" s="37" t="n">
        <x:v>783547.2593333684</x:v>
      </x:c>
      <x:c r="J365" s="37" t="n">
        <x:v>10819795.136263276</x:v>
      </x:c>
      <x:c r="K365" s="37" t="n">
        <x:v>10078742.414483981</x:v>
      </x:c>
      <x:c r="L365" s="37" t="n">
        <x:v>12972405.011436958</x:v>
      </x:c>
      <x:c r="M365" s="37" t="n">
        <x:v>0</x:v>
      </x:c>
      <x:c r="N365" s="37" t="n">
        <x:v>0</x:v>
      </x:c>
      <x:c r="O365" s="37" t="n">
        <x:v>670.1743624806404</x:v>
      </x:c>
      <x:c r="P365" s="37" t="n">
        <x:v>0</x:v>
      </x:c>
      <x:c r="Q365" s="37" t="n">
        <x:v>0</x:v>
      </x:c>
      <x:c r="R365" s="37" t="n">
        <x:v>0</x:v>
      </x:c>
      <x:c r="S365" s="37" t="n">
        <x:v>0</x:v>
      </x:c>
      <x:c r="T365" s="37" t="n">
        <x:v>0</x:v>
      </x:c>
      <x:c r="U365" s="37" t="n">
        <x:v>63750</x:v>
      </x:c>
      <x:c r="V365" s="37" t="n">
        <x:v>0</x:v>
      </x:c>
      <x:c r="W365" s="37" t="n">
        <x:v>84550.9356787987</x:v>
      </x:c>
      <x:c r="X365" s="37" t="n">
        <x:v>0</x:v>
      </x:c>
      <x:c r="Y365" s="37" t="n">
        <x:v>2264.4056061592814</x:v>
      </x:c>
      <x:c r="Z365" s="37" t="n">
        <x:v>10280317.262773661</x:v>
      </x:c>
      <x:c r="AA365" s="37" t="n">
        <x:v>0</x:v>
      </x:c>
      <x:c r="AB365" s="37" t="n">
        <x:v>10280317.262773661</x:v>
      </x:c>
      <x:c r="AC365" s="37" t="n">
        <x:v>1951035.0268840026</x:v>
      </x:c>
      <x:c r="AD365" s="37" t="n">
        <x:v>0</x:v>
      </x:c>
      <x:c r="AE365" s="37" t="n">
        <x:v>0</x:v>
      </x:c>
      <x:c r="AF365" s="47" t="b">
        <x:v>0</x:v>
      </x:c>
      <x:c r="AG365" s="47" t="b">
        <x:v>0</x:v>
      </x:c>
      <x:c r="AH365" s="48" t="n">
        <x:v>0</x:v>
      </x:c>
      <x:c r="AI365" s="48" t="n">
        <x:v>1.1920928955078125e-7</x:v>
      </x:c>
      <x:c r="AJ365" s="37" t="str">
        <x:v>passed</x:v>
      </x:c>
    </x:row>
    <x:row r="366" ht="21" customHeight="1">
      <x:c r="A366" s="2"/>
      <x:c r="B366" s="2"/>
      <x:c r="C366" s="2" t="str">
        <x:v>2022</x:v>
      </x:c>
      <x:c r="D366" s="5" t="n">
        <x:v>44692</x:v>
      </x:c>
      <x:c r="E366" s="2" t="str">
        <x:v>constrained</x:v>
      </x:c>
      <x:c r="F366" s="37" t="n">
        <x:v>13148378.456963992</x:v>
      </x:c>
      <x:c r="G366" s="37" t="n">
        <x:v>-110367.2869521621</x:v>
      </x:c>
      <x:c r="H366" s="37" t="n">
        <x:v>-46944.084957051935</x:v>
      </x:c>
      <x:c r="I366" s="37" t="n">
        <x:v>-63423.20199511017</x:v>
      </x:c>
      <x:c r="J366" s="37" t="n">
        <x:v>10819197.964488782</x:v>
      </x:c>
      <x:c r="K366" s="37" t="n">
        <x:v>10929565.251440944</x:v>
      </x:c>
      <x:c r="L366" s="37" t="n">
        <x:v>13038011.17001183</x:v>
      </x:c>
      <x:c r="M366" s="37" t="n">
        <x:v>0</x:v>
      </x:c>
      <x:c r="N366" s="37" t="n">
        <x:v>0</x:v>
      </x:c>
      <x:c r="O366" s="37" t="n">
        <x:v>720.4196184836328</x:v>
      </x:c>
      <x:c r="P366" s="37" t="n">
        <x:v>0</x:v>
      </x:c>
      <x:c r="Q366" s="37" t="n">
        <x:v>0</x:v>
      </x:c>
      <x:c r="R366" s="37" t="n">
        <x:v>0</x:v>
      </x:c>
      <x:c r="S366" s="37" t="n">
        <x:v>0</x:v>
      </x:c>
      <x:c r="T366" s="37" t="n">
        <x:v>0</x:v>
      </x:c>
      <x:c r="U366" s="37" t="n">
        <x:v>63750</x:v>
      </x:c>
      <x:c r="V366" s="37" t="n">
        <x:v>0</x:v>
      </x:c>
      <x:c r="W366" s="37" t="n">
        <x:v>91661.53515676968</x:v>
      </x:c>
      <x:c r="X366" s="37" t="n">
        <x:v>0</x:v>
      </x:c>
      <x:c r="Y366" s="37" t="n">
        <x:v>2369.8244641980114</x:v>
      </x:c>
      <x:c r="Z366" s="37" t="n">
        <x:v>11148156.556469763</x:v>
      </x:c>
      <x:c r="AA366" s="37" t="n">
        <x:v>0</x:v>
      </x:c>
      <x:c r="AB366" s="37" t="n">
        <x:v>11148156.556469763</x:v>
      </x:c>
      <x:c r="AC366" s="37" t="n">
        <x:v>2000221.900494229</x:v>
      </x:c>
      <x:c r="AD366" s="37" t="n">
        <x:v>0</x:v>
      </x:c>
      <x:c r="AE366" s="37" t="n">
        <x:v>0</x:v>
      </x:c>
      <x:c r="AF366" s="47" t="b">
        <x:v>0</x:v>
      </x:c>
      <x:c r="AG366" s="47" t="b">
        <x:v>0</x:v>
      </x:c>
      <x:c r="AH366" s="48" t="n">
        <x:v>0</x:v>
      </x:c>
      <x:c r="AI366" s="48" t="n">
        <x:v>1.1920928955078125e-7</x:v>
      </x:c>
      <x:c r="AJ366" s="37" t="str">
        <x:v>passed</x:v>
      </x:c>
    </x:row>
    <x:row r="367" ht="21" customHeight="1">
      <x:c r="A367" s="2"/>
      <x:c r="B367" s="2"/>
      <x:c r="C367" s="2" t="str">
        <x:v>2022</x:v>
      </x:c>
      <x:c r="D367" s="5" t="n">
        <x:v>44693</x:v>
      </x:c>
      <x:c r="E367" s="2" t="str">
        <x:v>unhedged</x:v>
      </x:c>
      <x:c r="F367" s="37" t="n">
        <x:v>1271270.4662604223</x:v>
      </x:c>
      <x:c r="G367" s="37" t="n">
        <x:v>10868957.16241028</x:v>
      </x:c>
      <x:c r="H367" s="37" t="n">
        <x:v>19529.63607975018</x:v>
      </x:c>
      <x:c r="I367" s="37" t="n">
        <x:v>10849427.526330529</x:v>
      </x:c>
      <x:c r="J367" s="37" t="n">
        <x:v>10868957.16241028</x:v>
      </x:c>
      <x:c r="K367" s="37" t="n">
        <x:v>0</x:v>
      </x:c>
      <x:c r="L367" s="37" t="n">
        <x:v>12140227.628670702</x:v>
      </x:c>
      <x:c r="M367" s="37" t="n">
        <x:v>0</x:v>
      </x:c>
      <x:c r="N367" s="37" t="n">
        <x:v>0</x:v>
      </x:c>
      <x:c r="O367" s="37" t="n">
        <x:v>69.65483898227103</x:v>
      </x:c>
      <x:c r="P367" s="37" t="n">
        <x:v>0</x:v>
      </x:c>
      <x:c r="Q367" s="37" t="n">
        <x:v>0</x:v>
      </x:c>
      <x:c r="R367" s="37" t="n">
        <x:v>0</x:v>
      </x:c>
      <x:c r="S367" s="37" t="n">
        <x:v>0</x:v>
      </x:c>
      <x:c r="T367" s="37" t="n">
        <x:v>0</x:v>
      </x:c>
      <x:c r="U367" s="37" t="n">
        <x:v>63750</x:v>
      </x:c>
      <x:c r="V367" s="37" t="n">
        <x:v>0</x:v>
      </x:c>
      <x:c r="W367" s="37" t="n">
        <x:v>8695.185577147873</x:v>
      </x:c>
      <x:c r="X367" s="37" t="n">
        <x:v>0</x:v>
      </x:c>
      <x:c r="Y367" s="37" t="n">
        <x:v>1174.7193167256753</x:v>
      </x:c>
      <x:c r="Z367" s="37" t="n">
        <x:v>0</x:v>
      </x:c>
      <x:c r="AA367" s="37" t="n">
        <x:v>0</x:v>
      </x:c>
      <x:c r="AB367" s="37" t="n">
        <x:v>0</x:v>
      </x:c>
      <x:c r="AC367" s="37" t="n">
        <x:v>1271270.4662604223</x:v>
      </x:c>
      <x:c r="AD367" s="37" t="n">
        <x:v>0</x:v>
      </x:c>
      <x:c r="AE367" s="37" t="n">
        <x:v>0</x:v>
      </x:c>
      <x:c r="AF367" s="47" t="b">
        <x:v>0</x:v>
      </x:c>
      <x:c r="AG367" s="47" t="b">
        <x:v>0</x:v>
      </x:c>
      <x:c r="AH367" s="48" t="n">
        <x:v>0</x:v>
      </x:c>
      <x:c r="AI367" s="48" t="n">
        <x:v>1.1920928955078125e-7</x:v>
      </x:c>
      <x:c r="AJ367" s="37" t="str">
        <x:v>passed</x:v>
      </x:c>
    </x:row>
    <x:row r="368" ht="21" customHeight="1">
      <x:c r="A368" s="2"/>
      <x:c r="B368" s="2"/>
      <x:c r="C368" s="2" t="str">
        <x:v>2022</x:v>
      </x:c>
      <x:c r="D368" s="5" t="n">
        <x:v>44693</x:v>
      </x:c>
      <x:c r="E368" s="2" t="str">
        <x:v>duration</x:v>
      </x:c>
      <x:c r="F368" s="37" t="n">
        <x:v>9397098.12222975</x:v>
      </x:c>
      <x:c r="G368" s="37" t="n">
        <x:v>3571290.2449109405</x:v>
      </x:c>
      <x:c r="H368" s="37" t="n">
        <x:v>-36628.77558366386</x:v>
      </x:c>
      <x:c r="I368" s="37" t="n">
        <x:v>3607919.0204946045</x:v>
      </x:c>
      <x:c r="J368" s="37" t="n">
        <x:v>10868957.16241028</x:v>
      </x:c>
      <x:c r="K368" s="37" t="n">
        <x:v>7297666.91749934</x:v>
      </x:c>
      <x:c r="L368" s="37" t="n">
        <x:v>12968388.36714069</x:v>
      </x:c>
      <x:c r="M368" s="37" t="n">
        <x:v>0</x:v>
      </x:c>
      <x:c r="N368" s="37" t="n">
        <x:v>0</x:v>
      </x:c>
      <x:c r="O368" s="37" t="n">
        <x:v>514.8812734782696</x:v>
      </x:c>
      <x:c r="P368" s="37" t="n">
        <x:v>0</x:v>
      </x:c>
      <x:c r="Q368" s="37" t="n">
        <x:v>0</x:v>
      </x:c>
      <x:c r="R368" s="37" t="n">
        <x:v>0</x:v>
      </x:c>
      <x:c r="S368" s="37" t="n">
        <x:v>0</x:v>
      </x:c>
      <x:c r="T368" s="37" t="n">
        <x:v>0</x:v>
      </x:c>
      <x:c r="U368" s="37" t="n">
        <x:v>63750</x:v>
      </x:c>
      <x:c r="V368" s="37" t="n">
        <x:v>0</x:v>
      </x:c>
      <x:c r="W368" s="37" t="n">
        <x:v>65724.92270125449</x:v>
      </x:c>
      <x:c r="X368" s="37" t="n">
        <x:v>0</x:v>
      </x:c>
      <x:c r="Y368" s="37" t="n">
        <x:v>1989.7428739298557</x:v>
      </x:c>
      <x:c r="Z368" s="37" t="n">
        <x:v>7443620.255849327</x:v>
      </x:c>
      <x:c r="AA368" s="37" t="n">
        <x:v>0</x:v>
      </x:c>
      <x:c r="AB368" s="37" t="n">
        <x:v>7443620.255849327</x:v>
      </x:c>
      <x:c r="AC368" s="37" t="n">
        <x:v>1953477.8663804224</x:v>
      </x:c>
      <x:c r="AD368" s="37" t="n">
        <x:v>0</x:v>
      </x:c>
      <x:c r="AE368" s="37" t="n">
        <x:v>0</x:v>
      </x:c>
      <x:c r="AF368" s="47" t="b">
        <x:v>0</x:v>
      </x:c>
      <x:c r="AG368" s="47" t="b">
        <x:v>0</x:v>
      </x:c>
      <x:c r="AH368" s="48" t="n">
        <x:v>0</x:v>
      </x:c>
      <x:c r="AI368" s="48" t="n">
        <x:v>1.1920928955078125e-7</x:v>
      </x:c>
      <x:c r="AJ368" s="37" t="str">
        <x:v>passed</x:v>
      </x:c>
    </x:row>
    <x:row r="369" ht="21" customHeight="1">
      <x:c r="A369" s="2"/>
      <x:c r="B369" s="2"/>
      <x:c r="C369" s="2" t="str">
        <x:v>2022</x:v>
      </x:c>
      <x:c r="D369" s="5" t="n">
        <x:v>44693</x:v>
      </x:c>
      <x:c r="E369" s="2" t="str">
        <x:v>unweighted</x:v>
      </x:c>
      <x:c r="F369" s="37" t="n">
        <x:v>12232022.50074203</x:v>
      </x:c>
      <x:c r="G369" s="37" t="n">
        <x:v>744501.539134916</x:v>
      </x:c>
      <x:c r="H369" s="37" t="n">
        <x:v>-42506.36393752635</x:v>
      </x:c>
      <x:c r="I369" s="37" t="n">
        <x:v>787007.9030724424</x:v>
      </x:c>
      <x:c r="J369" s="37" t="n">
        <x:v>10869972.396962194</x:v>
      </x:c>
      <x:c r="K369" s="37" t="n">
        <x:v>10125470.857827278</x:v>
      </x:c>
      <x:c r="L369" s="37" t="n">
        <x:v>12976524.039876945</x:v>
      </x:c>
      <x:c r="M369" s="37" t="n">
        <x:v>0</x:v>
      </x:c>
      <x:c r="N369" s="37" t="n">
        <x:v>0</x:v>
      </x:c>
      <x:c r="O369" s="37" t="n">
        <x:v>670.2110843658447</x:v>
      </x:c>
      <x:c r="P369" s="37" t="n">
        <x:v>0</x:v>
      </x:c>
      <x:c r="Q369" s="37" t="n">
        <x:v>0</x:v>
      </x:c>
      <x:c r="R369" s="37" t="n">
        <x:v>0</x:v>
      </x:c>
      <x:c r="S369" s="37" t="n">
        <x:v>0</x:v>
      </x:c>
      <x:c r="T369" s="37" t="n">
        <x:v>0</x:v>
      </x:c>
      <x:c r="U369" s="37" t="n">
        <x:v>63750</x:v>
      </x:c>
      <x:c r="V369" s="37" t="n">
        <x:v>0</x:v>
      </x:c>
      <x:c r="W369" s="37" t="n">
        <x:v>85221.14676316455</x:v>
      </x:c>
      <x:c r="X369" s="37" t="n">
        <x:v>0</x:v>
      </x:c>
      <x:c r="Y369" s="37" t="n">
        <x:v>2264.4056061592814</x:v>
      </x:c>
      <x:c r="Z369" s="37" t="n">
        <x:v>10327980.274983823</x:v>
      </x:c>
      <x:c r="AA369" s="37" t="n">
        <x:v>0</x:v>
      </x:c>
      <x:c r="AB369" s="37" t="n">
        <x:v>10327980.274983823</x:v>
      </x:c>
      <x:c r="AC369" s="37" t="n">
        <x:v>1904042.225758206</x:v>
      </x:c>
      <x:c r="AD369" s="37" t="n">
        <x:v>0</x:v>
      </x:c>
      <x:c r="AE369" s="37" t="n">
        <x:v>0</x:v>
      </x:c>
      <x:c r="AF369" s="47" t="b">
        <x:v>0</x:v>
      </x:c>
      <x:c r="AG369" s="47" t="b">
        <x:v>0</x:v>
      </x:c>
      <x:c r="AH369" s="48" t="n">
        <x:v>0</x:v>
      </x:c>
      <x:c r="AI369" s="48" t="n">
        <x:v>1.1920928955078125e-7</x:v>
      </x:c>
      <x:c r="AJ369" s="37" t="str">
        <x:v>passed</x:v>
      </x:c>
    </x:row>
    <x:row r="370" ht="21" customHeight="1">
      <x:c r="A370" s="2"/>
      <x:c r="B370" s="2"/>
      <x:c r="C370" s="2" t="str">
        <x:v>2022</x:v>
      </x:c>
      <x:c r="D370" s="5" t="n">
        <x:v>44693</x:v>
      </x:c>
      <x:c r="E370" s="2" t="str">
        <x:v>constrained</x:v>
      </x:c>
      <x:c r="F370" s="37" t="n">
        <x:v>13149098.916057525</x:v>
      </x:c>
      <x:c r="G370" s="37" t="n">
        <x:v>-109975.439811154</x:v>
      </x:c>
      <x:c r="H370" s="37" t="n">
        <x:v>-46982.6613110673</x:v>
      </x:c>
      <x:c r="I370" s="37" t="n">
        <x:v>-62992.77850008671</x:v>
      </x:c>
      <x:c r="J370" s="37" t="n">
        <x:v>10869371.651744902</x:v>
      </x:c>
      <x:c r="K370" s="37" t="n">
        <x:v>10979347.091556057</x:v>
      </x:c>
      <x:c r="L370" s="37" t="n">
        <x:v>13039123.476246372</x:v>
      </x:c>
      <x:c r="M370" s="37" t="n">
        <x:v>0</x:v>
      </x:c>
      <x:c r="N370" s="37" t="n">
        <x:v>0</x:v>
      </x:c>
      <x:c r="O370" s="37" t="n">
        <x:v>720.4590935334563</x:v>
      </x:c>
      <x:c r="P370" s="37" t="n">
        <x:v>0</x:v>
      </x:c>
      <x:c r="Q370" s="37" t="n">
        <x:v>0</x:v>
      </x:c>
      <x:c r="R370" s="37" t="n">
        <x:v>0</x:v>
      </x:c>
      <x:c r="S370" s="37" t="n">
        <x:v>0</x:v>
      </x:c>
      <x:c r="T370" s="37" t="n">
        <x:v>0</x:v>
      </x:c>
      <x:c r="U370" s="37" t="n">
        <x:v>63750</x:v>
      </x:c>
      <x:c r="V370" s="37" t="n">
        <x:v>0</x:v>
      </x:c>
      <x:c r="W370" s="37" t="n">
        <x:v>92381.99425030313</x:v>
      </x:c>
      <x:c r="X370" s="37" t="n">
        <x:v>0</x:v>
      </x:c>
      <x:c r="Y370" s="37" t="n">
        <x:v>2369.8244641980114</x:v>
      </x:c>
      <x:c r="Z370" s="37" t="n">
        <x:v>11198934.033387179</x:v>
      </x:c>
      <x:c r="AA370" s="37" t="n">
        <x:v>0</x:v>
      </x:c>
      <x:c r="AB370" s="37" t="n">
        <x:v>11198934.033387179</x:v>
      </x:c>
      <x:c r="AC370" s="37" t="n">
        <x:v>1950164.8826703466</x:v>
      </x:c>
      <x:c r="AD370" s="37" t="n">
        <x:v>0</x:v>
      </x:c>
      <x:c r="AE370" s="37" t="n">
        <x:v>0</x:v>
      </x:c>
      <x:c r="AF370" s="47" t="b">
        <x:v>0</x:v>
      </x:c>
      <x:c r="AG370" s="47" t="b">
        <x:v>0</x:v>
      </x:c>
      <x:c r="AH370" s="48" t="n">
        <x:v>0</x:v>
      </x:c>
      <x:c r="AI370" s="48" t="n">
        <x:v>1.1920928955078125e-7</x:v>
      </x:c>
      <x:c r="AJ370" s="37" t="str">
        <x:v>passed</x:v>
      </x:c>
    </x:row>
    <x:row r="371" ht="21" customHeight="1">
      <x:c r="A371" s="2"/>
      <x:c r="B371" s="2"/>
      <x:c r="C371" s="2" t="str">
        <x:v>2022</x:v>
      </x:c>
      <x:c r="D371" s="5" t="n">
        <x:v>44694</x:v>
      </x:c>
      <x:c r="E371" s="2" t="str">
        <x:v>unhedged</x:v>
      </x:c>
      <x:c r="F371" s="37" t="n">
        <x:v>1271340.1249161076</x:v>
      </x:c>
      <x:c r="G371" s="37" t="n">
        <x:v>10812942.927543094</x:v>
      </x:c>
      <x:c r="H371" s="37" t="n">
        <x:v>19879.481443670433</x:v>
      </x:c>
      <x:c r="I371" s="37" t="n">
        <x:v>10793063.446099425</x:v>
      </x:c>
      <x:c r="J371" s="37" t="n">
        <x:v>10812942.927543094</x:v>
      </x:c>
      <x:c r="K371" s="37" t="n">
        <x:v>0</x:v>
      </x:c>
      <x:c r="L371" s="37" t="n">
        <x:v>12084283.052459203</x:v>
      </x:c>
      <x:c r="M371" s="37" t="n">
        <x:v>0</x:v>
      </x:c>
      <x:c r="N371" s="37" t="n">
        <x:v>0</x:v>
      </x:c>
      <x:c r="O371" s="37" t="n">
        <x:v>69.65865568537265</x:v>
      </x:c>
      <x:c r="P371" s="37" t="n">
        <x:v>0</x:v>
      </x:c>
      <x:c r="Q371" s="37" t="n">
        <x:v>0</x:v>
      </x:c>
      <x:c r="R371" s="37" t="n">
        <x:v>0</x:v>
      </x:c>
      <x:c r="S371" s="37" t="n">
        <x:v>0</x:v>
      </x:c>
      <x:c r="T371" s="37" t="n">
        <x:v>0</x:v>
      </x:c>
      <x:c r="U371" s="37" t="n">
        <x:v>63750</x:v>
      </x:c>
      <x:c r="V371" s="37" t="n">
        <x:v>0</x:v>
      </x:c>
      <x:c r="W371" s="37" t="n">
        <x:v>8764.844232833246</x:v>
      </x:c>
      <x:c r="X371" s="37" t="n">
        <x:v>0</x:v>
      </x:c>
      <x:c r="Y371" s="37" t="n">
        <x:v>1174.7193167256753</x:v>
      </x:c>
      <x:c r="Z371" s="37" t="n">
        <x:v>0</x:v>
      </x:c>
      <x:c r="AA371" s="37" t="n">
        <x:v>0</x:v>
      </x:c>
      <x:c r="AB371" s="37" t="n">
        <x:v>0</x:v>
      </x:c>
      <x:c r="AC371" s="37" t="n">
        <x:v>1271340.1249161076</x:v>
      </x:c>
      <x:c r="AD371" s="37" t="n">
        <x:v>0</x:v>
      </x:c>
      <x:c r="AE371" s="37" t="n">
        <x:v>0</x:v>
      </x:c>
      <x:c r="AF371" s="47" t="b">
        <x:v>0</x:v>
      </x:c>
      <x:c r="AG371" s="47" t="b">
        <x:v>0</x:v>
      </x:c>
      <x:c r="AH371" s="48" t="n">
        <x:v>0</x:v>
      </x:c>
      <x:c r="AI371" s="48" t="n">
        <x:v>1.1920928955078125e-7</x:v>
      </x:c>
      <x:c r="AJ371" s="37" t="str">
        <x:v>passed</x:v>
      </x:c>
    </x:row>
    <x:row r="372" ht="21" customHeight="1">
      <x:c r="A372" s="2"/>
      <x:c r="B372" s="2"/>
      <x:c r="C372" s="2" t="str">
        <x:v>2022</x:v>
      </x:c>
      <x:c r="D372" s="5" t="n">
        <x:v>44694</x:v>
      </x:c>
      <x:c r="E372" s="2" t="str">
        <x:v>duration</x:v>
      </x:c>
      <x:c r="F372" s="37" t="n">
        <x:v>9397613.031715898</x:v>
      </x:c>
      <x:c r="G372" s="37" t="n">
        <x:v>3575767.0859501157</x:v>
      </x:c>
      <x:c r="H372" s="37" t="n">
        <x:v>-36594.42691448189</x:v>
      </x:c>
      <x:c r="I372" s="37" t="n">
        <x:v>3612361.5128645976</x:v>
      </x:c>
      <x:c r="J372" s="37" t="n">
        <x:v>10812942.927543094</x:v>
      </x:c>
      <x:c r="K372" s="37" t="n">
        <x:v>7237175.841592979</x:v>
      </x:c>
      <x:c r="L372" s="37" t="n">
        <x:v>12973380.117666014</x:v>
      </x:c>
      <x:c r="M372" s="37" t="n">
        <x:v>0</x:v>
      </x:c>
      <x:c r="N372" s="37" t="n">
        <x:v>0</x:v>
      </x:c>
      <x:c r="O372" s="37" t="n">
        <x:v>514.9094861485064</x:v>
      </x:c>
      <x:c r="P372" s="37" t="n">
        <x:v>0</x:v>
      </x:c>
      <x:c r="Q372" s="37" t="n">
        <x:v>0</x:v>
      </x:c>
      <x:c r="R372" s="37" t="n">
        <x:v>0</x:v>
      </x:c>
      <x:c r="S372" s="37" t="n">
        <x:v>0</x:v>
      </x:c>
      <x:c r="T372" s="37" t="n">
        <x:v>0</x:v>
      </x:c>
      <x:c r="U372" s="37" t="n">
        <x:v>63750</x:v>
      </x:c>
      <x:c r="V372" s="37" t="n">
        <x:v>0</x:v>
      </x:c>
      <x:c r="W372" s="37" t="n">
        <x:v>66239.832187403</x:v>
      </x:c>
      <x:c r="X372" s="37" t="n">
        <x:v>0</x:v>
      </x:c>
      <x:c r="Y372" s="37" t="n">
        <x:v>1989.7428739298557</x:v>
      </x:c>
      <x:c r="Z372" s="37" t="n">
        <x:v>7381919.358424839</x:v>
      </x:c>
      <x:c r="AA372" s="37" t="n">
        <x:v>0</x:v>
      </x:c>
      <x:c r="AB372" s="37" t="n">
        <x:v>7381919.358424839</x:v>
      </x:c>
      <x:c r="AC372" s="37" t="n">
        <x:v>2015693.6732910592</x:v>
      </x:c>
      <x:c r="AD372" s="37" t="n">
        <x:v>0</x:v>
      </x:c>
      <x:c r="AE372" s="37" t="n">
        <x:v>0</x:v>
      </x:c>
      <x:c r="AF372" s="47" t="b">
        <x:v>0</x:v>
      </x:c>
      <x:c r="AG372" s="47" t="b">
        <x:v>0</x:v>
      </x:c>
      <x:c r="AH372" s="48" t="n">
        <x:v>0</x:v>
      </x:c>
      <x:c r="AI372" s="48" t="n">
        <x:v>1.1920928955078125e-7</x:v>
      </x:c>
      <x:c r="AJ372" s="37" t="str">
        <x:v>passed</x:v>
      </x:c>
    </x:row>
    <x:row r="373" ht="21" customHeight="1">
      <x:c r="A373" s="2"/>
      <x:c r="B373" s="2"/>
      <x:c r="C373" s="2" t="str">
        <x:v>2022</x:v>
      </x:c>
      <x:c r="D373" s="5" t="n">
        <x:v>44694</x:v>
      </x:c>
      <x:c r="E373" s="2" t="str">
        <x:v>unweighted</x:v>
      </x:c>
      <x:c r="F373" s="37" t="n">
        <x:v>12232692.748550288</x:v>
      </x:c>
      <x:c r="G373" s="37" t="n">
        <x:v>741136.1211587125</x:v>
      </x:c>
      <x:c r="H373" s="37" t="n">
        <x:v>-42518.19032097879</x:v>
      </x:c>
      <x:c r="I373" s="37" t="n">
        <x:v>783654.3114796913</x:v>
      </x:c>
      <x:c r="J373" s="37" t="n">
        <x:v>10813942.747479936</x:v>
      </x:c>
      <x:c r="K373" s="37" t="n">
        <x:v>10072806.626321224</x:v>
      </x:c>
      <x:c r="L373" s="37" t="n">
        <x:v>12973828.869709</x:v>
      </x:c>
      <x:c r="M373" s="37" t="n">
        <x:v>0</x:v>
      </x:c>
      <x:c r="N373" s="37" t="n">
        <x:v>0</x:v>
      </x:c>
      <x:c r="O373" s="37" t="n">
        <x:v>670.2478082589805</x:v>
      </x:c>
      <x:c r="P373" s="37" t="n">
        <x:v>0</x:v>
      </x:c>
      <x:c r="Q373" s="37" t="n">
        <x:v>0</x:v>
      </x:c>
      <x:c r="R373" s="37" t="n">
        <x:v>0</x:v>
      </x:c>
      <x:c r="S373" s="37" t="n">
        <x:v>0</x:v>
      </x:c>
      <x:c r="T373" s="37" t="n">
        <x:v>0</x:v>
      </x:c>
      <x:c r="U373" s="37" t="n">
        <x:v>63750</x:v>
      </x:c>
      <x:c r="V373" s="37" t="n">
        <x:v>0</x:v>
      </x:c>
      <x:c r="W373" s="37" t="n">
        <x:v>85891.39457142353</x:v>
      </x:c>
      <x:c r="X373" s="37" t="n">
        <x:v>0</x:v>
      </x:c>
      <x:c r="Y373" s="37" t="n">
        <x:v>2264.4056061592814</x:v>
      </x:c>
      <x:c r="Z373" s="37" t="n">
        <x:v>10274262.758847648</x:v>
      </x:c>
      <x:c r="AA373" s="37" t="n">
        <x:v>0</x:v>
      </x:c>
      <x:c r="AB373" s="37" t="n">
        <x:v>10274262.758847648</x:v>
      </x:c>
      <x:c r="AC373" s="37" t="n">
        <x:v>1958429.98970264</x:v>
      </x:c>
      <x:c r="AD373" s="37" t="n">
        <x:v>0</x:v>
      </x:c>
      <x:c r="AE373" s="37" t="n">
        <x:v>0</x:v>
      </x:c>
      <x:c r="AF373" s="47" t="b">
        <x:v>0</x:v>
      </x:c>
      <x:c r="AG373" s="47" t="b">
        <x:v>0</x:v>
      </x:c>
      <x:c r="AH373" s="48" t="n">
        <x:v>0</x:v>
      </x:c>
      <x:c r="AI373" s="48" t="n">
        <x:v>1.1920928955078125e-7</x:v>
      </x:c>
      <x:c r="AJ373" s="37" t="str">
        <x:v>passed</x:v>
      </x:c>
    </x:row>
    <x:row r="374" ht="21" customHeight="1">
      <x:c r="A374" s="2"/>
      <x:c r="B374" s="2"/>
      <x:c r="C374" s="2" t="str">
        <x:v>2022</x:v>
      </x:c>
      <x:c r="D374" s="5" t="n">
        <x:v>44694</x:v>
      </x:c>
      <x:c r="E374" s="2" t="str">
        <x:v>constrained</x:v>
      </x:c>
      <x:c r="F374" s="37" t="n">
        <x:v>13149819.414628267</x:v>
      </x:c>
      <x:c r="G374" s="37" t="n">
        <x:v>-110239.40546994242</x:v>
      </x:c>
      <x:c r="H374" s="37" t="n">
        <x:v>-47021.23766508266</x:v>
      </x:c>
      <x:c r="I374" s="37" t="n">
        <x:v>-63218.16780485975</x:v>
      </x:c>
      <x:c r="J374" s="37" t="n">
        <x:v>10813351.123560047</x:v>
      </x:c>
      <x:c r="K374" s="37" t="n">
        <x:v>10923590.52902999</x:v>
      </x:c>
      <x:c r="L374" s="37" t="n">
        <x:v>13039580.009158324</x:v>
      </x:c>
      <x:c r="M374" s="37" t="n">
        <x:v>0</x:v>
      </x:c>
      <x:c r="N374" s="37" t="n">
        <x:v>0</x:v>
      </x:c>
      <x:c r="O374" s="37" t="n">
        <x:v>720.4985707420856</x:v>
      </x:c>
      <x:c r="P374" s="37" t="n">
        <x:v>0</x:v>
      </x:c>
      <x:c r="Q374" s="37" t="n">
        <x:v>0</x:v>
      </x:c>
      <x:c r="R374" s="37" t="n">
        <x:v>0</x:v>
      </x:c>
      <x:c r="S374" s="37" t="n">
        <x:v>0</x:v>
      </x:c>
      <x:c r="T374" s="37" t="n">
        <x:v>0</x:v>
      </x:c>
      <x:c r="U374" s="37" t="n">
        <x:v>63750</x:v>
      </x:c>
      <x:c r="V374" s="37" t="n">
        <x:v>0</x:v>
      </x:c>
      <x:c r="W374" s="37" t="n">
        <x:v>93102.49282104522</x:v>
      </x:c>
      <x:c r="X374" s="37" t="n">
        <x:v>0</x:v>
      </x:c>
      <x:c r="Y374" s="37" t="n">
        <x:v>2369.8244641980114</x:v>
      </x:c>
      <x:c r="Z374" s="37" t="n">
        <x:v>11142062.33961059</x:v>
      </x:c>
      <x:c r="AA374" s="37" t="n">
        <x:v>0</x:v>
      </x:c>
      <x:c r="AB374" s="37" t="n">
        <x:v>11142062.33961059</x:v>
      </x:c>
      <x:c r="AC374" s="37" t="n">
        <x:v>2007757.0750176776</x:v>
      </x:c>
      <x:c r="AD374" s="37" t="n">
        <x:v>0</x:v>
      </x:c>
      <x:c r="AE374" s="37" t="n">
        <x:v>0</x:v>
      </x:c>
      <x:c r="AF374" s="47" t="b">
        <x:v>0</x:v>
      </x:c>
      <x:c r="AG374" s="47" t="b">
        <x:v>0</x:v>
      </x:c>
      <x:c r="AH374" s="48" t="n">
        <x:v>0</x:v>
      </x:c>
      <x:c r="AI374" s="48" t="n">
        <x:v>1.1920928955078125e-7</x:v>
      </x:c>
      <x:c r="AJ374" s="37" t="str">
        <x:v>passed</x:v>
      </x:c>
    </x:row>
    <x:row r="375" ht="21" customHeight="1">
      <x:c r="A375" s="2"/>
      <x:c r="B375" s="2"/>
      <x:c r="C375" s="2" t="str">
        <x:v>2022</x:v>
      </x:c>
      <x:c r="D375" s="5" t="n">
        <x:v>44697</x:v>
      </x:c>
      <x:c r="E375" s="2" t="str">
        <x:v>unhedged</x:v>
      </x:c>
      <x:c r="F375" s="37" t="n">
        <x:v>1271549.1237854771</x:v>
      </x:c>
      <x:c r="G375" s="37" t="n">
        <x:v>10854684.286883365</x:v>
      </x:c>
      <x:c r="H375" s="37" t="n">
        <x:v>20929.017535431183</x:v>
      </x:c>
      <x:c r="I375" s="37" t="n">
        <x:v>10833755.269347934</x:v>
      </x:c>
      <x:c r="J375" s="37" t="n">
        <x:v>10854684.286883365</x:v>
      </x:c>
      <x:c r="K375" s="37" t="n">
        <x:v>0</x:v>
      </x:c>
      <x:c r="L375" s="37" t="n">
        <x:v>12126233.410668842</x:v>
      </x:c>
      <x:c r="M375" s="37" t="n">
        <x:v>0</x:v>
      </x:c>
      <x:c r="N375" s="37" t="n">
        <x:v>0</x:v>
      </x:c>
      <x:c r="O375" s="37" t="n">
        <x:v>208.99886936950497</x:v>
      </x:c>
      <x:c r="P375" s="37" t="n">
        <x:v>0</x:v>
      </x:c>
      <x:c r="Q375" s="37" t="n">
        <x:v>0</x:v>
      </x:c>
      <x:c r="R375" s="37" t="n">
        <x:v>0</x:v>
      </x:c>
      <x:c r="S375" s="37" t="n">
        <x:v>0</x:v>
      </x:c>
      <x:c r="T375" s="37" t="n">
        <x:v>0</x:v>
      </x:c>
      <x:c r="U375" s="37" t="n">
        <x:v>63750</x:v>
      </x:c>
      <x:c r="V375" s="37" t="n">
        <x:v>0</x:v>
      </x:c>
      <x:c r="W375" s="37" t="n">
        <x:v>8973.84310220275</x:v>
      </x:c>
      <x:c r="X375" s="37" t="n">
        <x:v>0</x:v>
      </x:c>
      <x:c r="Y375" s="37" t="n">
        <x:v>1174.7193167256753</x:v>
      </x:c>
      <x:c r="Z375" s="37" t="n">
        <x:v>0</x:v>
      </x:c>
      <x:c r="AA375" s="37" t="n">
        <x:v>0</x:v>
      </x:c>
      <x:c r="AB375" s="37" t="n">
        <x:v>0</x:v>
      </x:c>
      <x:c r="AC375" s="37" t="n">
        <x:v>1271549.1237854771</x:v>
      </x:c>
      <x:c r="AD375" s="37" t="n">
        <x:v>0</x:v>
      </x:c>
      <x:c r="AE375" s="37" t="n">
        <x:v>0</x:v>
      </x:c>
      <x:c r="AF375" s="47" t="b">
        <x:v>0</x:v>
      </x:c>
      <x:c r="AG375" s="47" t="b">
        <x:v>0</x:v>
      </x:c>
      <x:c r="AH375" s="48" t="n">
        <x:v>0</x:v>
      </x:c>
      <x:c r="AI375" s="48" t="n">
        <x:v>1.1920928955078125e-7</x:v>
      </x:c>
      <x:c r="AJ375" s="37" t="str">
        <x:v>passed</x:v>
      </x:c>
    </x:row>
    <x:row r="376" ht="21" customHeight="1">
      <x:c r="A376" s="2"/>
      <x:c r="B376" s="2"/>
      <x:c r="C376" s="2" t="str">
        <x:v>2022</x:v>
      </x:c>
      <x:c r="D376" s="5" t="n">
        <x:v>44697</x:v>
      </x:c>
      <x:c r="E376" s="2" t="str">
        <x:v>duration</x:v>
      </x:c>
      <x:c r="F376" s="37" t="n">
        <x:v>9342053.027718216</x:v>
      </x:c>
      <x:c r="G376" s="37" t="n">
        <x:v>3633456.1910431515</x:v>
      </x:c>
      <x:c r="H376" s="37" t="n">
        <x:v>20618.664808541893</x:v>
      </x:c>
      <x:c r="I376" s="37" t="n">
        <x:v>3612837.5262346095</x:v>
      </x:c>
      <x:c r="J376" s="37" t="n">
        <x:v>10854684.286883365</x:v>
      </x:c>
      <x:c r="K376" s="37" t="n">
        <x:v>7221228.095840215</x:v>
      </x:c>
      <x:c r="L376" s="37" t="n">
        <x:v>12975509.218761368</x:v>
      </x:c>
      <x:c r="M376" s="37" t="n">
        <x:v>-57104.90174762889</x:v>
      </x:c>
      <x:c r="N376" s="37" t="n">
        <x:v>0</x:v>
      </x:c>
      <x:c r="O376" s="37" t="n">
        <x:v>1544.897749947384</x:v>
      </x:c>
      <x:c r="P376" s="37" t="n">
        <x:v>0</x:v>
      </x:c>
      <x:c r="Q376" s="37" t="n">
        <x:v>0</x:v>
      </x:c>
      <x:c r="R376" s="37" t="n">
        <x:v>0</x:v>
      </x:c>
      <x:c r="S376" s="37" t="n">
        <x:v>0</x:v>
      </x:c>
      <x:c r="T376" s="37" t="n">
        <x:v>0</x:v>
      </x:c>
      <x:c r="U376" s="37" t="n">
        <x:v>6645.098252371114</x:v>
      </x:c>
      <x:c r="V376" s="37" t="n">
        <x:v>0</x:v>
      </x:c>
      <x:c r="W376" s="37" t="n">
        <x:v>67784.72993735038</x:v>
      </x:c>
      <x:c r="X376" s="37" t="n">
        <x:v>0</x:v>
      </x:c>
      <x:c r="Y376" s="37" t="n">
        <x:v>1989.7428739298557</x:v>
      </x:c>
      <x:c r="Z376" s="37" t="n">
        <x:v>7365652.65775702</x:v>
      </x:c>
      <x:c r="AA376" s="37" t="n">
        <x:v>0</x:v>
      </x:c>
      <x:c r="AB376" s="37" t="n">
        <x:v>7365652.65775702</x:v>
      </x:c>
      <x:c r="AC376" s="37" t="n">
        <x:v>1976400.3699611966</x:v>
      </x:c>
      <x:c r="AD376" s="37" t="n">
        <x:v>0</x:v>
      </x:c>
      <x:c r="AE376" s="37" t="n">
        <x:v>0</x:v>
      </x:c>
      <x:c r="AF376" s="47" t="b">
        <x:v>0</x:v>
      </x:c>
      <x:c r="AG376" s="47" t="b">
        <x:v>0</x:v>
      </x:c>
      <x:c r="AH376" s="48" t="n">
        <x:v>-1.6007106751203537e-10</x:v>
      </x:c>
      <x:c r="AI376" s="48" t="n">
        <x:v>1.1920928955078125e-7</x:v>
      </x:c>
      <x:c r="AJ376" s="37" t="str">
        <x:v>passed</x:v>
      </x:c>
    </x:row>
    <x:row r="377" ht="21" customHeight="1">
      <x:c r="A377" s="2"/>
      <x:c r="B377" s="2"/>
      <x:c r="C377" s="2" t="str">
        <x:v>2022</x:v>
      </x:c>
      <x:c r="D377" s="5" t="n">
        <x:v>44697</x:v>
      </x:c>
      <x:c r="E377" s="2" t="str">
        <x:v>unweighted</x:v>
      </x:c>
      <x:c r="F377" s="37" t="n">
        <x:v>12197496.082979195</x:v>
      </x:c>
      <x:c r="G377" s="37" t="n">
        <x:v>781236.0740149833</x:v>
      </x:c>
      <x:c r="H377" s="37" t="n">
        <x:v>-5342.688475882443</x:v>
      </x:c>
      <x:c r="I377" s="37" t="n">
        <x:v>786578.7624908657</x:v>
      </x:c>
      <x:c r="J377" s="37" t="n">
        <x:v>10855676.189915368</x:v>
      </x:c>
      <x:c r="K377" s="37" t="n">
        <x:v>10074440.115900384</x:v>
      </x:c>
      <x:c r="L377" s="37" t="n">
        <x:v>12978732.156994179</x:v>
      </x:c>
      <x:c r="M377" s="37" t="n">
        <x:v>-37207.629359371575</x:v>
      </x:c>
      <x:c r="N377" s="37" t="n">
        <x:v>0</x:v>
      </x:c>
      <x:c r="O377" s="37" t="n">
        <x:v>2010.963788278401</x:v>
      </x:c>
      <x:c r="P377" s="37" t="n">
        <x:v>0</x:v>
      </x:c>
      <x:c r="Q377" s="37" t="n">
        <x:v>0</x:v>
      </x:c>
      <x:c r="R377" s="37" t="n">
        <x:v>0</x:v>
      </x:c>
      <x:c r="S377" s="37" t="n">
        <x:v>0</x:v>
      </x:c>
      <x:c r="T377" s="37" t="n">
        <x:v>0</x:v>
      </x:c>
      <x:c r="U377" s="37" t="n">
        <x:v>26542.370640628425</x:v>
      </x:c>
      <x:c r="V377" s="37" t="n">
        <x:v>0</x:v>
      </x:c>
      <x:c r="W377" s="37" t="n">
        <x:v>87902.35835970193</x:v>
      </x:c>
      <x:c r="X377" s="37" t="n">
        <x:v>0</x:v>
      </x:c>
      <x:c r="Y377" s="37" t="n">
        <x:v>2264.4056061592814</x:v>
      </x:c>
      <x:c r="Z377" s="37" t="n">
        <x:v>10275928.918218393</x:v>
      </x:c>
      <x:c r="AA377" s="37" t="n">
        <x:v>0</x:v>
      </x:c>
      <x:c r="AB377" s="37" t="n">
        <x:v>10275928.918218393</x:v>
      </x:c>
      <x:c r="AC377" s="37" t="n">
        <x:v>1921567.164760802</x:v>
      </x:c>
      <x:c r="AD377" s="37" t="n">
        <x:v>0</x:v>
      </x:c>
      <x:c r="AE377" s="37" t="n">
        <x:v>0</x:v>
      </x:c>
      <x:c r="AF377" s="47" t="b">
        <x:v>0</x:v>
      </x:c>
      <x:c r="AG377" s="47" t="b">
        <x:v>0</x:v>
      </x:c>
      <x:c r="AH377" s="48" t="n">
        <x:v>-3.8562575355172157e-10</x:v>
      </x:c>
      <x:c r="AI377" s="48" t="n">
        <x:v>1.1920928955078125e-7</x:v>
      </x:c>
      <x:c r="AJ377" s="37" t="str">
        <x:v>passed</x:v>
      </x:c>
    </x:row>
    <x:row r="378" ht="21" customHeight="1">
      <x:c r="A378" s="2"/>
      <x:c r="B378" s="2"/>
      <x:c r="C378" s="2" t="str">
        <x:v>2022</x:v>
      </x:c>
      <x:c r="D378" s="5" t="n">
        <x:v>44697</x:v>
      </x:c>
      <x:c r="E378" s="2" t="str">
        <x:v>constrained</x:v>
      </x:c>
      <x:c r="F378" s="37" t="n">
        <x:v>13113373.154993163</x:v>
      </x:c>
      <x:c r="G378" s="37" t="n">
        <x:v>-71175.98284627126</x:v>
      </x:c>
      <x:c r="H378" s="37" t="n">
        <x:v>-8525.496715148272</x:v>
      </x:c>
      <x:c r="I378" s="37" t="n">
        <x:v>-62650.48613112299</x:v>
      </x:c>
      <x:c r="J378" s="37" t="n">
        <x:v>10855089.250669291</x:v>
      </x:c>
      <x:c r="K378" s="37" t="n">
        <x:v>10926265.233515562</x:v>
      </x:c>
      <x:c r="L378" s="37" t="n">
        <x:v>13042197.172146892</x:v>
      </x:c>
      <x:c r="M378" s="37" t="n">
        <x:v>-38607.9922322334</x:v>
      </x:c>
      <x:c r="N378" s="37" t="n">
        <x:v>0</x:v>
      </x:c>
      <x:c r="O378" s="37" t="n">
        <x:v>2161.7325971294194</x:v>
      </x:c>
      <x:c r="P378" s="37" t="n">
        <x:v>0</x:v>
      </x:c>
      <x:c r="Q378" s="37" t="n">
        <x:v>0</x:v>
      </x:c>
      <x:c r="R378" s="37" t="n">
        <x:v>0</x:v>
      </x:c>
      <x:c r="S378" s="37" t="n">
        <x:v>0</x:v>
      </x:c>
      <x:c r="T378" s="37" t="n">
        <x:v>0</x:v>
      </x:c>
      <x:c r="U378" s="37" t="n">
        <x:v>25142.007767766598</x:v>
      </x:c>
      <x:c r="V378" s="37" t="n">
        <x:v>0</x:v>
      </x:c>
      <x:c r="W378" s="37" t="n">
        <x:v>95264.22541817464</x:v>
      </x:c>
      <x:c r="X378" s="37" t="n">
        <x:v>0</x:v>
      </x:c>
      <x:c r="Y378" s="37" t="n">
        <x:v>2369.8244641980114</x:v>
      </x:c>
      <x:c r="Z378" s="37" t="n">
        <x:v>11144790.538185874</x:v>
      </x:c>
      <x:c r="AA378" s="37" t="n">
        <x:v>0</x:v>
      </x:c>
      <x:c r="AB378" s="37" t="n">
        <x:v>11144790.538185874</x:v>
      </x:c>
      <x:c r="AC378" s="37" t="n">
        <x:v>1968582.6168072894</x:v>
      </x:c>
      <x:c r="AD378" s="37" t="n">
        <x:v>0</x:v>
      </x:c>
      <x:c r="AE378" s="37" t="n">
        <x:v>0</x:v>
      </x:c>
      <x:c r="AF378" s="47" t="b">
        <x:v>0</x:v>
      </x:c>
      <x:c r="AG378" s="47" t="b">
        <x:v>0</x:v>
      </x:c>
      <x:c r="AH378" s="48" t="n">
        <x:v>1.1641532182693481e-10</x:v>
      </x:c>
      <x:c r="AI378" s="48" t="n">
        <x:v>1.1920928955078125e-7</x:v>
      </x:c>
      <x:c r="AJ378" s="37" t="str">
        <x:v>passed</x:v>
      </x:c>
    </x:row>
    <x:row r="379" ht="21" customHeight="1">
      <x:c r="A379" s="2"/>
      <x:c r="B379" s="2"/>
      <x:c r="C379" s="2" t="str">
        <x:v>2022</x:v>
      </x:c>
      <x:c r="D379" s="5" t="n">
        <x:v>44698</x:v>
      </x:c>
      <x:c r="E379" s="2" t="str">
        <x:v>unhedged</x:v>
      </x:c>
      <x:c r="F379" s="37" t="n">
        <x:v>1271618.7977100683</x:v>
      </x:c>
      <x:c r="G379" s="37" t="n">
        <x:v>10789065.945833761</x:v>
      </x:c>
      <x:c r="H379" s="37" t="n">
        <x:v>21278.86289935143</x:v>
      </x:c>
      <x:c r="I379" s="37" t="n">
        <x:v>10767787.08293441</x:v>
      </x:c>
      <x:c r="J379" s="37" t="n">
        <x:v>10789065.945833761</x:v>
      </x:c>
      <x:c r="K379" s="37" t="n">
        <x:v>0</x:v>
      </x:c>
      <x:c r="L379" s="37" t="n">
        <x:v>12060684.74354383</x:v>
      </x:c>
      <x:c r="M379" s="37" t="n">
        <x:v>0</x:v>
      </x:c>
      <x:c r="N379" s="37" t="n">
        <x:v>0</x:v>
      </x:c>
      <x:c r="O379" s="37" t="n">
        <x:v>69.67392459115945</x:v>
      </x:c>
      <x:c r="P379" s="37" t="n">
        <x:v>0</x:v>
      </x:c>
      <x:c r="Q379" s="37" t="n">
        <x:v>0</x:v>
      </x:c>
      <x:c r="R379" s="37" t="n">
        <x:v>0</x:v>
      </x:c>
      <x:c r="S379" s="37" t="n">
        <x:v>0</x:v>
      </x:c>
      <x:c r="T379" s="37" t="n">
        <x:v>0</x:v>
      </x:c>
      <x:c r="U379" s="37" t="n">
        <x:v>63750</x:v>
      </x:c>
      <x:c r="V379" s="37" t="n">
        <x:v>0</x:v>
      </x:c>
      <x:c r="W379" s="37" t="n">
        <x:v>9043.51702679391</x:v>
      </x:c>
      <x:c r="X379" s="37" t="n">
        <x:v>0</x:v>
      </x:c>
      <x:c r="Y379" s="37" t="n">
        <x:v>1174.7193167256753</x:v>
      </x:c>
      <x:c r="Z379" s="37" t="n">
        <x:v>0</x:v>
      </x:c>
      <x:c r="AA379" s="37" t="n">
        <x:v>0</x:v>
      </x:c>
      <x:c r="AB379" s="37" t="n">
        <x:v>0</x:v>
      </x:c>
      <x:c r="AC379" s="37" t="n">
        <x:v>1271618.7977100683</x:v>
      </x:c>
      <x:c r="AD379" s="37" t="n">
        <x:v>0</x:v>
      </x:c>
      <x:c r="AE379" s="37" t="n">
        <x:v>0</x:v>
      </x:c>
      <x:c r="AF379" s="47" t="b">
        <x:v>0</x:v>
      </x:c>
      <x:c r="AG379" s="47" t="b">
        <x:v>0</x:v>
      </x:c>
      <x:c r="AH379" s="48" t="n">
        <x:v>0</x:v>
      </x:c>
      <x:c r="AI379" s="48" t="n">
        <x:v>1.1920928955078125e-7</x:v>
      </x:c>
      <x:c r="AJ379" s="37" t="str">
        <x:v>passed</x:v>
      </x:c>
    </x:row>
    <x:row r="380" ht="21" customHeight="1">
      <x:c r="A380" s="2"/>
      <x:c r="B380" s="2"/>
      <x:c r="C380" s="2" t="str">
        <x:v>2022</x:v>
      </x:c>
      <x:c r="D380" s="5" t="n">
        <x:v>44698</x:v>
      </x:c>
      <x:c r="E380" s="2" t="str">
        <x:v>duration</x:v>
      </x:c>
      <x:c r="F380" s="37" t="n">
        <x:v>9342564.921034804</x:v>
      </x:c>
      <x:c r="G380" s="37" t="n">
        <x:v>3625676.186883229</x:v>
      </x:c>
      <x:c r="H380" s="37" t="n">
        <x:v>20658.15744557285</x:v>
      </x:c>
      <x:c r="I380" s="37" t="n">
        <x:v>3605018.029437656</x:v>
      </x:c>
      <x:c r="J380" s="37" t="n">
        <x:v>10789065.945833761</x:v>
      </x:c>
      <x:c r="K380" s="37" t="n">
        <x:v>7163389.7589505315</x:v>
      </x:c>
      <x:c r="L380" s="37" t="n">
        <x:v>12968241.107918032</x:v>
      </x:c>
      <x:c r="M380" s="37" t="n">
        <x:v>0</x:v>
      </x:c>
      <x:c r="N380" s="37" t="n">
        <x:v>0</x:v>
      </x:c>
      <x:c r="O380" s="37" t="n">
        <x:v>511.8933165874332</x:v>
      </x:c>
      <x:c r="P380" s="37" t="n">
        <x:v>0</x:v>
      </x:c>
      <x:c r="Q380" s="37" t="n">
        <x:v>0</x:v>
      </x:c>
      <x:c r="R380" s="37" t="n">
        <x:v>0</x:v>
      </x:c>
      <x:c r="S380" s="37" t="n">
        <x:v>0</x:v>
      </x:c>
      <x:c r="T380" s="37" t="n">
        <x:v>0</x:v>
      </x:c>
      <x:c r="U380" s="37" t="n">
        <x:v>6645.098252371114</x:v>
      </x:c>
      <x:c r="V380" s="37" t="n">
        <x:v>0</x:v>
      </x:c>
      <x:c r="W380" s="37" t="n">
        <x:v>68296.62325393781</x:v>
      </x:c>
      <x:c r="X380" s="37" t="n">
        <x:v>0</x:v>
      </x:c>
      <x:c r="Y380" s="37" t="n">
        <x:v>1989.7428739298557</x:v>
      </x:c>
      <x:c r="Z380" s="37" t="n">
        <x:v>7306657.554129542</x:v>
      </x:c>
      <x:c r="AA380" s="37" t="n">
        <x:v>0</x:v>
      </x:c>
      <x:c r="AB380" s="37" t="n">
        <x:v>7306657.554129542</x:v>
      </x:c>
      <x:c r="AC380" s="37" t="n">
        <x:v>2035907.3669052618</x:v>
      </x:c>
      <x:c r="AD380" s="37" t="n">
        <x:v>0</x:v>
      </x:c>
      <x:c r="AE380" s="37" t="n">
        <x:v>0</x:v>
      </x:c>
      <x:c r="AF380" s="47" t="b">
        <x:v>0</x:v>
      </x:c>
      <x:c r="AG380" s="47" t="b">
        <x:v>0</x:v>
      </x:c>
      <x:c r="AH380" s="48" t="n">
        <x:v>0</x:v>
      </x:c>
      <x:c r="AI380" s="48" t="n">
        <x:v>1.1920928955078125e-7</x:v>
      </x:c>
      <x:c r="AJ380" s="37" t="str">
        <x:v>passed</x:v>
      </x:c>
    </x:row>
    <x:row r="381" ht="21" customHeight="1">
      <x:c r="A381" s="2"/>
      <x:c r="B381" s="2"/>
      <x:c r="C381" s="2" t="str">
        <x:v>2022</x:v>
      </x:c>
      <x:c r="D381" s="5" t="n">
        <x:v>44698</x:v>
      </x:c>
      <x:c r="E381" s="2" t="str">
        <x:v>unweighted</x:v>
      </x:c>
      <x:c r="F381" s="37" t="n">
        <x:v>12198164.438928949</x:v>
      </x:c>
      <x:c r="G381" s="37" t="n">
        <x:v>776896.9127185305</x:v>
      </x:c>
      <x:c r="H381" s="37" t="n">
        <x:v>-5351.16322325279</x:v>
      </x:c>
      <x:c r="I381" s="37" t="n">
        <x:v>782248.0759417833</x:v>
      </x:c>
      <x:c r="J381" s="37" t="n">
        <x:v>10790047.176073855</x:v>
      </x:c>
      <x:c r="K381" s="37" t="n">
        <x:v>10013150.263355324</x:v>
      </x:c>
      <x:c r="L381" s="37" t="n">
        <x:v>12975061.35164748</x:v>
      </x:c>
      <x:c r="M381" s="37" t="n">
        <x:v>0</x:v>
      </x:c>
      <x:c r="N381" s="37" t="n">
        <x:v>0</x:v>
      </x:c>
      <x:c r="O381" s="37" t="n">
        <x:v>668.3559497538954</x:v>
      </x:c>
      <x:c r="P381" s="37" t="n">
        <x:v>0</x:v>
      </x:c>
      <x:c r="Q381" s="37" t="n">
        <x:v>0</x:v>
      </x:c>
      <x:c r="R381" s="37" t="n">
        <x:v>0</x:v>
      </x:c>
      <x:c r="S381" s="37" t="n">
        <x:v>0</x:v>
      </x:c>
      <x:c r="T381" s="37" t="n">
        <x:v>0</x:v>
      </x:c>
      <x:c r="U381" s="37" t="n">
        <x:v>26542.370640628425</x:v>
      </x:c>
      <x:c r="V381" s="37" t="n">
        <x:v>0</x:v>
      </x:c>
      <x:c r="W381" s="37" t="n">
        <x:v>88570.71430945583</x:v>
      </x:c>
      <x:c r="X381" s="37" t="n">
        <x:v>0</x:v>
      </x:c>
      <x:c r="Y381" s="37" t="n">
        <x:v>2264.4056061592814</x:v>
      </x:c>
      <x:c r="Z381" s="37" t="n">
        <x:v>10213413.26862243</x:v>
      </x:c>
      <x:c r="AA381" s="37" t="n">
        <x:v>0</x:v>
      </x:c>
      <x:c r="AB381" s="37" t="n">
        <x:v>10213413.26862243</x:v>
      </x:c>
      <x:c r="AC381" s="37" t="n">
        <x:v>1984751.1703065187</x:v>
      </x:c>
      <x:c r="AD381" s="37" t="n">
        <x:v>0</x:v>
      </x:c>
      <x:c r="AE381" s="37" t="n">
        <x:v>0</x:v>
      </x:c>
      <x:c r="AF381" s="47" t="b">
        <x:v>0</x:v>
      </x:c>
      <x:c r="AG381" s="47" t="b">
        <x:v>0</x:v>
      </x:c>
      <x:c r="AH381" s="48" t="n">
        <x:v>0</x:v>
      </x:c>
      <x:c r="AI381" s="48" t="n">
        <x:v>1.1920928955078125e-7</x:v>
      </x:c>
      <x:c r="AJ381" s="37" t="str">
        <x:v>passed</x:v>
      </x:c>
    </x:row>
    <x:row r="382" ht="21" customHeight="1">
      <x:c r="A382" s="2"/>
      <x:c r="B382" s="2"/>
      <x:c r="C382" s="2" t="str">
        <x:v>2022</x:v>
      </x:c>
      <x:c r="D382" s="5" t="n">
        <x:v>44698</x:v>
      </x:c>
      <x:c r="E382" s="2" t="str">
        <x:v>constrained</x:v>
      </x:c>
      <x:c r="F382" s="37" t="n">
        <x:v>13114091.695987958</x:v>
      </x:c>
      <x:c r="G382" s="37" t="n">
        <x:v>-71240.01202852358</x:v>
      </x:c>
      <x:c r="H382" s="37" t="n">
        <x:v>-8560.595289416562</x:v>
      </x:c>
      <x:c r="I382" s="37" t="n">
        <x:v>-62679.416739107015</x:v>
      </x:c>
      <x:c r="J382" s="37" t="n">
        <x:v>10789466.552243935</x:v>
      </x:c>
      <x:c r="K382" s="37" t="n">
        <x:v>10860706.56427246</x:v>
      </x:c>
      <x:c r="L382" s="37" t="n">
        <x:v>13042851.683959436</x:v>
      </x:c>
      <x:c r="M382" s="37" t="n">
        <x:v>0</x:v>
      </x:c>
      <x:c r="N382" s="37" t="n">
        <x:v>0</x:v>
      </x:c>
      <x:c r="O382" s="37" t="n">
        <x:v>718.5409947950393</x:v>
      </x:c>
      <x:c r="P382" s="37" t="n">
        <x:v>0</x:v>
      </x:c>
      <x:c r="Q382" s="37" t="n">
        <x:v>0</x:v>
      </x:c>
      <x:c r="R382" s="37" t="n">
        <x:v>0</x:v>
      </x:c>
      <x:c r="S382" s="37" t="n">
        <x:v>0</x:v>
      </x:c>
      <x:c r="T382" s="37" t="n">
        <x:v>0</x:v>
      </x:c>
      <x:c r="U382" s="37" t="n">
        <x:v>25142.007767766598</x:v>
      </x:c>
      <x:c r="V382" s="37" t="n">
        <x:v>0</x:v>
      </x:c>
      <x:c r="W382" s="37" t="n">
        <x:v>95982.76641296968</x:v>
      </x:c>
      <x:c r="X382" s="37" t="n">
        <x:v>0</x:v>
      </x:c>
      <x:c r="Y382" s="37" t="n">
        <x:v>2369.8244641980114</x:v>
      </x:c>
      <x:c r="Z382" s="37" t="n">
        <x:v>11077920.69555791</x:v>
      </x:c>
      <x:c r="AA382" s="37" t="n">
        <x:v>0</x:v>
      </x:c>
      <x:c r="AB382" s="37" t="n">
        <x:v>11077920.69555791</x:v>
      </x:c>
      <x:c r="AC382" s="37" t="n">
        <x:v>2036171.0004300494</x:v>
      </x:c>
      <x:c r="AD382" s="37" t="n">
        <x:v>0</x:v>
      </x:c>
      <x:c r="AE382" s="37" t="n">
        <x:v>0</x:v>
      </x:c>
      <x:c r="AF382" s="47" t="b">
        <x:v>0</x:v>
      </x:c>
      <x:c r="AG382" s="47" t="b">
        <x:v>0</x:v>
      </x:c>
      <x:c r="AH382" s="48" t="n">
        <x:v>0</x:v>
      </x:c>
      <x:c r="AI382" s="48" t="n">
        <x:v>1.1920928955078125e-7</x:v>
      </x:c>
      <x:c r="AJ382" s="37" t="str">
        <x:v>passed</x:v>
      </x:c>
    </x:row>
    <x:row r="383" ht="21" customHeight="1">
      <x:c r="A383" s="2"/>
      <x:c r="B383" s="2"/>
      <x:c r="C383" s="2" t="str">
        <x:v>2022</x:v>
      </x:c>
      <x:c r="D383" s="5" t="n">
        <x:v>44699</x:v>
      </x:c>
      <x:c r="E383" s="2" t="str">
        <x:v>unhedged</x:v>
      </x:c>
      <x:c r="F383" s="37" t="n">
        <x:v>1271688.4754524084</x:v>
      </x:c>
      <x:c r="G383" s="37" t="n">
        <x:v>10843656.513530143</x:v>
      </x:c>
      <x:c r="H383" s="37" t="n">
        <x:v>21628.70826327168</x:v>
      </x:c>
      <x:c r="I383" s="37" t="n">
        <x:v>10822027.80526687</x:v>
      </x:c>
      <x:c r="J383" s="37" t="n">
        <x:v>10843656.513530143</x:v>
      </x:c>
      <x:c r="K383" s="37" t="n">
        <x:v>0</x:v>
      </x:c>
      <x:c r="L383" s="37" t="n">
        <x:v>12115344.98898255</x:v>
      </x:c>
      <x:c r="M383" s="37" t="n">
        <x:v>0</x:v>
      </x:c>
      <x:c r="N383" s="37" t="n">
        <x:v>0</x:v>
      </x:c>
      <x:c r="O383" s="37" t="n">
        <x:v>69.67774234013632</x:v>
      </x:c>
      <x:c r="P383" s="37" t="n">
        <x:v>0</x:v>
      </x:c>
      <x:c r="Q383" s="37" t="n">
        <x:v>0</x:v>
      </x:c>
      <x:c r="R383" s="37" t="n">
        <x:v>0</x:v>
      </x:c>
      <x:c r="S383" s="37" t="n">
        <x:v>0</x:v>
      </x:c>
      <x:c r="T383" s="37" t="n">
        <x:v>0</x:v>
      </x:c>
      <x:c r="U383" s="37" t="n">
        <x:v>63750</x:v>
      </x:c>
      <x:c r="V383" s="37" t="n">
        <x:v>0</x:v>
      </x:c>
      <x:c r="W383" s="37" t="n">
        <x:v>9113.194769134047</x:v>
      </x:c>
      <x:c r="X383" s="37" t="n">
        <x:v>0</x:v>
      </x:c>
      <x:c r="Y383" s="37" t="n">
        <x:v>1174.7193167256753</x:v>
      </x:c>
      <x:c r="Z383" s="37" t="n">
        <x:v>0</x:v>
      </x:c>
      <x:c r="AA383" s="37" t="n">
        <x:v>0</x:v>
      </x:c>
      <x:c r="AB383" s="37" t="n">
        <x:v>0</x:v>
      </x:c>
      <x:c r="AC383" s="37" t="n">
        <x:v>1271688.4754524084</x:v>
      </x:c>
      <x:c r="AD383" s="37" t="n">
        <x:v>0</x:v>
      </x:c>
      <x:c r="AE383" s="37" t="n">
        <x:v>0</x:v>
      </x:c>
      <x:c r="AF383" s="47" t="b">
        <x:v>0</x:v>
      </x:c>
      <x:c r="AG383" s="47" t="b">
        <x:v>0</x:v>
      </x:c>
      <x:c r="AH383" s="48" t="n">
        <x:v>0</x:v>
      </x:c>
      <x:c r="AI383" s="48" t="n">
        <x:v>1.1920928955078125e-7</x:v>
      </x:c>
      <x:c r="AJ383" s="37" t="str">
        <x:v>passed</x:v>
      </x:c>
    </x:row>
    <x:row r="384" ht="21" customHeight="1">
      <x:c r="A384" s="2"/>
      <x:c r="B384" s="2"/>
      <x:c r="C384" s="2" t="str">
        <x:v>2022</x:v>
      </x:c>
      <x:c r="D384" s="5" t="n">
        <x:v>44699</x:v>
      </x:c>
      <x:c r="E384" s="2" t="str">
        <x:v>duration</x:v>
      </x:c>
      <x:c r="F384" s="37" t="n">
        <x:v>9343076.84240034</x:v>
      </x:c>
      <x:c r="G384" s="37" t="n">
        <x:v>3618819.114316594</x:v>
      </x:c>
      <x:c r="H384" s="37" t="n">
        <x:v>20697.650082603817</x:v>
      </x:c>
      <x:c r="I384" s="37" t="n">
        <x:v>3598121.46423399</x:v>
      </x:c>
      <x:c r="J384" s="37" t="n">
        <x:v>10843656.513530143</x:v>
      </x:c>
      <x:c r="K384" s="37" t="n">
        <x:v>7224837.39921355</x:v>
      </x:c>
      <x:c r="L384" s="37" t="n">
        <x:v>12961895.956716934</x:v>
      </x:c>
      <x:c r="M384" s="37" t="n">
        <x:v>0</x:v>
      </x:c>
      <x:c r="N384" s="37" t="n">
        <x:v>0</x:v>
      </x:c>
      <x:c r="O384" s="37" t="n">
        <x:v>511.92136553674936</x:v>
      </x:c>
      <x:c r="P384" s="37" t="n">
        <x:v>0</x:v>
      </x:c>
      <x:c r="Q384" s="37" t="n">
        <x:v>0</x:v>
      </x:c>
      <x:c r="R384" s="37" t="n">
        <x:v>0</x:v>
      </x:c>
      <x:c r="S384" s="37" t="n">
        <x:v>0</x:v>
      </x:c>
      <x:c r="T384" s="37" t="n">
        <x:v>0</x:v>
      </x:c>
      <x:c r="U384" s="37" t="n">
        <x:v>6645.098252371114</x:v>
      </x:c>
      <x:c r="V384" s="37" t="n">
        <x:v>0</x:v>
      </x:c>
      <x:c r="W384" s="37" t="n">
        <x:v>68808.54461947456</x:v>
      </x:c>
      <x:c r="X384" s="37" t="n">
        <x:v>0</x:v>
      </x:c>
      <x:c r="Y384" s="37" t="n">
        <x:v>1989.7428739298557</x:v>
      </x:c>
      <x:c r="Z384" s="37" t="n">
        <x:v>7369334.147197821</x:v>
      </x:c>
      <x:c r="AA384" s="37" t="n">
        <x:v>0</x:v>
      </x:c>
      <x:c r="AB384" s="37" t="n">
        <x:v>7369334.147197821</x:v>
      </x:c>
      <x:c r="AC384" s="37" t="n">
        <x:v>1973742.6952025192</x:v>
      </x:c>
      <x:c r="AD384" s="37" t="n">
        <x:v>0</x:v>
      </x:c>
      <x:c r="AE384" s="37" t="n">
        <x:v>0</x:v>
      </x:c>
      <x:c r="AF384" s="47" t="b">
        <x:v>0</x:v>
      </x:c>
      <x:c r="AG384" s="47" t="b">
        <x:v>0</x:v>
      </x:c>
      <x:c r="AH384" s="48" t="n">
        <x:v>0</x:v>
      </x:c>
      <x:c r="AI384" s="48" t="n">
        <x:v>1.1920928955078125e-7</x:v>
      </x:c>
      <x:c r="AJ384" s="37" t="str">
        <x:v>passed</x:v>
      </x:c>
    </x:row>
    <x:row r="385" ht="21" customHeight="1">
      <x:c r="A385" s="2"/>
      <x:c r="B385" s="2"/>
      <x:c r="C385" s="2" t="str">
        <x:v>2022</x:v>
      </x:c>
      <x:c r="D385" s="5" t="n">
        <x:v>44699</x:v>
      </x:c>
      <x:c r="E385" s="2" t="str">
        <x:v>unweighted</x:v>
      </x:c>
      <x:c r="F385" s="37" t="n">
        <x:v>12198832.831500944</x:v>
      </x:c>
      <x:c r="G385" s="37" t="n">
        <x:v>779877.3762095737</x:v>
      </x:c>
      <x:c r="H385" s="37" t="n">
        <x:v>-5359.637970623135</x:v>
      </x:c>
      <x:c r="I385" s="37" t="n">
        <x:v>785237.0141801968</x:v>
      </x:c>
      <x:c r="J385" s="37" t="n">
        <x:v>10844655.219330465</x:v>
      </x:c>
      <x:c r="K385" s="37" t="n">
        <x:v>10064777.843120892</x:v>
      </x:c>
      <x:c r="L385" s="37" t="n">
        <x:v>12978710.207710518</x:v>
      </x:c>
      <x:c r="M385" s="37" t="n">
        <x:v>0</x:v>
      </x:c>
      <x:c r="N385" s="37" t="n">
        <x:v>0</x:v>
      </x:c>
      <x:c r="O385" s="37" t="n">
        <x:v>668.3925719950348</x:v>
      </x:c>
      <x:c r="P385" s="37" t="n">
        <x:v>0</x:v>
      </x:c>
      <x:c r="Q385" s="37" t="n">
        <x:v>0</x:v>
      </x:c>
      <x:c r="R385" s="37" t="n">
        <x:v>0</x:v>
      </x:c>
      <x:c r="S385" s="37" t="n">
        <x:v>0</x:v>
      </x:c>
      <x:c r="T385" s="37" t="n">
        <x:v>0</x:v>
      </x:c>
      <x:c r="U385" s="37" t="n">
        <x:v>26542.370640628425</x:v>
      </x:c>
      <x:c r="V385" s="37" t="n">
        <x:v>0</x:v>
      </x:c>
      <x:c r="W385" s="37" t="n">
        <x:v>89239.10688145086</x:v>
      </x:c>
      <x:c r="X385" s="37" t="n">
        <x:v>0</x:v>
      </x:c>
      <x:c r="Y385" s="37" t="n">
        <x:v>2264.4056061592814</x:v>
      </x:c>
      <x:c r="Z385" s="37" t="n">
        <x:v>10266073.39998331</x:v>
      </x:c>
      <x:c r="AA385" s="37" t="n">
        <x:v>0</x:v>
      </x:c>
      <x:c r="AB385" s="37" t="n">
        <x:v>10266073.39998331</x:v>
      </x:c>
      <x:c r="AC385" s="37" t="n">
        <x:v>1932759.4315176345</x:v>
      </x:c>
      <x:c r="AD385" s="37" t="n">
        <x:v>0</x:v>
      </x:c>
      <x:c r="AE385" s="37" t="n">
        <x:v>0</x:v>
      </x:c>
      <x:c r="AF385" s="47" t="b">
        <x:v>0</x:v>
      </x:c>
      <x:c r="AG385" s="47" t="b">
        <x:v>0</x:v>
      </x:c>
      <x:c r="AH385" s="48" t="n">
        <x:v>0</x:v>
      </x:c>
      <x:c r="AI385" s="48" t="n">
        <x:v>1.1920928955078125e-7</x:v>
      </x:c>
      <x:c r="AJ385" s="37" t="str">
        <x:v>passed</x:v>
      </x:c>
    </x:row>
    <x:row r="386" ht="21" customHeight="1">
      <x:c r="A386" s="2"/>
      <x:c r="B386" s="2"/>
      <x:c r="C386" s="2" t="str">
        <x:v>2022</x:v>
      </x:c>
      <x:c r="D386" s="5" t="n">
        <x:v>44699</x:v>
      </x:c>
      <x:c r="E386" s="2" t="str">
        <x:v>constrained</x:v>
      </x:c>
      <x:c r="F386" s="37" t="n">
        <x:v>13114810.276354862</x:v>
      </x:c>
      <x:c r="G386" s="37" t="n">
        <x:v>-71189.58320242877</x:v>
      </x:c>
      <x:c r="H386" s="37" t="n">
        <x:v>-8595.69386368485</x:v>
      </x:c>
      <x:c r="I386" s="37" t="n">
        <x:v>-62593.88933874392</x:v>
      </x:c>
      <x:c r="J386" s="37" t="n">
        <x:v>10844064.254679102</x:v>
      </x:c>
      <x:c r="K386" s="37" t="n">
        <x:v>10915253.83788153</x:v>
      </x:c>
      <x:c r="L386" s="37" t="n">
        <x:v>13043620.693152433</x:v>
      </x:c>
      <x:c r="M386" s="37" t="n">
        <x:v>0</x:v>
      </x:c>
      <x:c r="N386" s="37" t="n">
        <x:v>0</x:v>
      </x:c>
      <x:c r="O386" s="37" t="n">
        <x:v>718.580366903916</x:v>
      </x:c>
      <x:c r="P386" s="37" t="n">
        <x:v>0</x:v>
      </x:c>
      <x:c r="Q386" s="37" t="n">
        <x:v>0</x:v>
      </x:c>
      <x:c r="R386" s="37" t="n">
        <x:v>0</x:v>
      </x:c>
      <x:c r="S386" s="37" t="n">
        <x:v>0</x:v>
      </x:c>
      <x:c r="T386" s="37" t="n">
        <x:v>0</x:v>
      </x:c>
      <x:c r="U386" s="37" t="n">
        <x:v>25142.007767766598</x:v>
      </x:c>
      <x:c r="V386" s="37" t="n">
        <x:v>0</x:v>
      </x:c>
      <x:c r="W386" s="37" t="n">
        <x:v>96701.3467798736</x:v>
      </x:c>
      <x:c r="X386" s="37" t="n">
        <x:v>0</x:v>
      </x:c>
      <x:c r="Y386" s="37" t="n">
        <x:v>2369.8244641980114</x:v>
      </x:c>
      <x:c r="Z386" s="37" t="n">
        <x:v>11133558.91463916</x:v>
      </x:c>
      <x:c r="AA386" s="37" t="n">
        <x:v>0</x:v>
      </x:c>
      <x:c r="AB386" s="37" t="n">
        <x:v>11133558.91463916</x:v>
      </x:c>
      <x:c r="AC386" s="37" t="n">
        <x:v>1981251.3617157023</x:v>
      </x:c>
      <x:c r="AD386" s="37" t="n">
        <x:v>0</x:v>
      </x:c>
      <x:c r="AE386" s="37" t="n">
        <x:v>0</x:v>
      </x:c>
      <x:c r="AF386" s="47" t="b">
        <x:v>0</x:v>
      </x:c>
      <x:c r="AG386" s="47" t="b">
        <x:v>0</x:v>
      </x:c>
      <x:c r="AH386" s="48" t="n">
        <x:v>0</x:v>
      </x:c>
      <x:c r="AI386" s="48" t="n">
        <x:v>1.1920928955078125e-7</x:v>
      </x:c>
      <x:c r="AJ386" s="37" t="str">
        <x:v>passed</x:v>
      </x:c>
    </x:row>
    <x:row r="387" ht="21" customHeight="1">
      <x:c r="A387" s="2"/>
      <x:c r="B387" s="2"/>
      <x:c r="C387" s="2" t="str">
        <x:v>2022</x:v>
      </x:c>
      <x:c r="D387" s="5" t="n">
        <x:v>44700</x:v>
      </x:c>
      <x:c r="E387" s="2" t="str">
        <x:v>unhedged</x:v>
      </x:c>
      <x:c r="F387" s="37" t="n">
        <x:v>1271758.1570127073</x:v>
      </x:c>
      <x:c r="G387" s="37" t="n">
        <x:v>10871982.725592446</x:v>
      </x:c>
      <x:c r="H387" s="37" t="n">
        <x:v>21978.55362719193</x:v>
      </x:c>
      <x:c r="I387" s="37" t="n">
        <x:v>10850004.171965254</x:v>
      </x:c>
      <x:c r="J387" s="37" t="n">
        <x:v>10871982.725592446</x:v>
      </x:c>
      <x:c r="K387" s="37" t="n">
        <x:v>0</x:v>
      </x:c>
      <x:c r="L387" s="37" t="n">
        <x:v>12143740.882605152</x:v>
      </x:c>
      <x:c r="M387" s="37" t="n">
        <x:v>0</x:v>
      </x:c>
      <x:c r="N387" s="37" t="n">
        <x:v>0</x:v>
      </x:c>
      <x:c r="O387" s="37" t="n">
        <x:v>69.6815602988936</x:v>
      </x:c>
      <x:c r="P387" s="37" t="n">
        <x:v>0</x:v>
      </x:c>
      <x:c r="Q387" s="37" t="n">
        <x:v>0</x:v>
      </x:c>
      <x:c r="R387" s="37" t="n">
        <x:v>0</x:v>
      </x:c>
      <x:c r="S387" s="37" t="n">
        <x:v>0</x:v>
      </x:c>
      <x:c r="T387" s="37" t="n">
        <x:v>0</x:v>
      </x:c>
      <x:c r="U387" s="37" t="n">
        <x:v>63750</x:v>
      </x:c>
      <x:c r="V387" s="37" t="n">
        <x:v>0</x:v>
      </x:c>
      <x:c r="W387" s="37" t="n">
        <x:v>9182.87632943294</x:v>
      </x:c>
      <x:c r="X387" s="37" t="n">
        <x:v>0</x:v>
      </x:c>
      <x:c r="Y387" s="37" t="n">
        <x:v>1174.7193167256753</x:v>
      </x:c>
      <x:c r="Z387" s="37" t="n">
        <x:v>0</x:v>
      </x:c>
      <x:c r="AA387" s="37" t="n">
        <x:v>0</x:v>
      </x:c>
      <x:c r="AB387" s="37" t="n">
        <x:v>0</x:v>
      </x:c>
      <x:c r="AC387" s="37" t="n">
        <x:v>1271758.1570127073</x:v>
      </x:c>
      <x:c r="AD387" s="37" t="n">
        <x:v>0</x:v>
      </x:c>
      <x:c r="AE387" s="37" t="n">
        <x:v>0</x:v>
      </x:c>
      <x:c r="AF387" s="47" t="b">
        <x:v>0</x:v>
      </x:c>
      <x:c r="AG387" s="47" t="b">
        <x:v>0</x:v>
      </x:c>
      <x:c r="AH387" s="48" t="n">
        <x:v>0</x:v>
      </x:c>
      <x:c r="AI387" s="48" t="n">
        <x:v>1.1920928955078125e-7</x:v>
      </x:c>
      <x:c r="AJ387" s="37" t="str">
        <x:v>passed</x:v>
      </x:c>
    </x:row>
    <x:row r="388" ht="21" customHeight="1">
      <x:c r="A388" s="2"/>
      <x:c r="B388" s="2"/>
      <x:c r="C388" s="2" t="str">
        <x:v>2022</x:v>
      </x:c>
      <x:c r="D388" s="5" t="n">
        <x:v>44700</x:v>
      </x:c>
      <x:c r="E388" s="2" t="str">
        <x:v>duration</x:v>
      </x:c>
      <x:c r="F388" s="37" t="n">
        <x:v>9343588.791816363</x:v>
      </x:c>
      <x:c r="G388" s="37" t="n">
        <x:v>3622343.8618268324</x:v>
      </x:c>
      <x:c r="H388" s="37" t="n">
        <x:v>20737.14271963478</x:v>
      </x:c>
      <x:c r="I388" s="37" t="n">
        <x:v>3601606.7191071976</x:v>
      </x:c>
      <x:c r="J388" s="37" t="n">
        <x:v>10871982.725592446</x:v>
      </x:c>
      <x:c r="K388" s="37" t="n">
        <x:v>7249638.863765613</x:v>
      </x:c>
      <x:c r="L388" s="37" t="n">
        <x:v>12965932.653643195</x:v>
      </x:c>
      <x:c r="M388" s="37" t="n">
        <x:v>0</x:v>
      </x:c>
      <x:c r="N388" s="37" t="n">
        <x:v>0</x:v>
      </x:c>
      <x:c r="O388" s="37" t="n">
        <x:v>511.94941602274776</x:v>
      </x:c>
      <x:c r="P388" s="37" t="n">
        <x:v>0</x:v>
      </x:c>
      <x:c r="Q388" s="37" t="n">
        <x:v>0</x:v>
      </x:c>
      <x:c r="R388" s="37" t="n">
        <x:v>0</x:v>
      </x:c>
      <x:c r="S388" s="37" t="n">
        <x:v>0</x:v>
      </x:c>
      <x:c r="T388" s="37" t="n">
        <x:v>0</x:v>
      </x:c>
      <x:c r="U388" s="37" t="n">
        <x:v>6645.098252371114</x:v>
      </x:c>
      <x:c r="V388" s="37" t="n">
        <x:v>0</x:v>
      </x:c>
      <x:c r="W388" s="37" t="n">
        <x:v>69320.49403549731</x:v>
      </x:c>
      <x:c r="X388" s="37" t="n">
        <x:v>0</x:v>
      </x:c>
      <x:c r="Y388" s="37" t="n">
        <x:v>1989.7428739298557</x:v>
      </x:c>
      <x:c r="Z388" s="37" t="n">
        <x:v>7394631.641040926</x:v>
      </x:c>
      <x:c r="AA388" s="37" t="n">
        <x:v>0</x:v>
      </x:c>
      <x:c r="AB388" s="37" t="n">
        <x:v>7394631.641040926</x:v>
      </x:c>
      <x:c r="AC388" s="37" t="n">
        <x:v>1948957.1507754372</x:v>
      </x:c>
      <x:c r="AD388" s="37" t="n">
        <x:v>0</x:v>
      </x:c>
      <x:c r="AE388" s="37" t="n">
        <x:v>0</x:v>
      </x:c>
      <x:c r="AF388" s="47" t="b">
        <x:v>0</x:v>
      </x:c>
      <x:c r="AG388" s="47" t="b">
        <x:v>0</x:v>
      </x:c>
      <x:c r="AH388" s="48" t="n">
        <x:v>0</x:v>
      </x:c>
      <x:c r="AI388" s="48" t="n">
        <x:v>1.1920928955078125e-7</x:v>
      </x:c>
      <x:c r="AJ388" s="37" t="str">
        <x:v>passed</x:v>
      </x:c>
    </x:row>
    <x:row r="389" ht="21" customHeight="1">
      <x:c r="A389" s="2"/>
      <x:c r="B389" s="2"/>
      <x:c r="C389" s="2" t="str">
        <x:v>2022</x:v>
      </x:c>
      <x:c r="D389" s="5" t="n">
        <x:v>44700</x:v>
      </x:c>
      <x:c r="E389" s="2" t="str">
        <x:v>unweighted</x:v>
      </x:c>
      <x:c r="F389" s="37" t="n">
        <x:v>12199501.260697193</x:v>
      </x:c>
      <x:c r="G389" s="37" t="n">
        <x:v>781931.707422077</x:v>
      </x:c>
      <x:c r="H389" s="37" t="n">
        <x:v>-5368.112717993477</x:v>
      </x:c>
      <x:c r="I389" s="37" t="n">
        <x:v>787299.8201400704</x:v>
      </x:c>
      <x:c r="J389" s="37" t="n">
        <x:v>10872983.813485688</x:v>
      </x:c>
      <x:c r="K389" s="37" t="n">
        <x:v>10091052.10606361</x:v>
      </x:c>
      <x:c r="L389" s="37" t="n">
        <x:v>12981432.968119271</x:v>
      </x:c>
      <x:c r="M389" s="37" t="n">
        <x:v>0</x:v>
      </x:c>
      <x:c r="N389" s="37" t="n">
        <x:v>0</x:v>
      </x:c>
      <x:c r="O389" s="37" t="n">
        <x:v>668.4291962496936</x:v>
      </x:c>
      <x:c r="P389" s="37" t="n">
        <x:v>0</x:v>
      </x:c>
      <x:c r="Q389" s="37" t="n">
        <x:v>0</x:v>
      </x:c>
      <x:c r="R389" s="37" t="n">
        <x:v>0</x:v>
      </x:c>
      <x:c r="S389" s="37" t="n">
        <x:v>0</x:v>
      </x:c>
      <x:c r="T389" s="37" t="n">
        <x:v>0</x:v>
      </x:c>
      <x:c r="U389" s="37" t="n">
        <x:v>26542.370640628425</x:v>
      </x:c>
      <x:c r="V389" s="37" t="n">
        <x:v>0</x:v>
      </x:c>
      <x:c r="W389" s="37" t="n">
        <x:v>89907.53607770056</x:v>
      </x:c>
      <x:c r="X389" s="37" t="n">
        <x:v>0</x:v>
      </x:c>
      <x:c r="Y389" s="37" t="n">
        <x:v>2264.4056061592814</x:v>
      </x:c>
      <x:c r="Z389" s="37" t="n">
        <x:v>10292873.148184882</x:v>
      </x:c>
      <x:c r="AA389" s="37" t="n">
        <x:v>0</x:v>
      </x:c>
      <x:c r="AB389" s="37" t="n">
        <x:v>10292873.148184882</x:v>
      </x:c>
      <x:c r="AC389" s="37" t="n">
        <x:v>1906628.112512311</x:v>
      </x:c>
      <x:c r="AD389" s="37" t="n">
        <x:v>0</x:v>
      </x:c>
      <x:c r="AE389" s="37" t="n">
        <x:v>0</x:v>
      </x:c>
      <x:c r="AF389" s="47" t="b">
        <x:v>0</x:v>
      </x:c>
      <x:c r="AG389" s="47" t="b">
        <x:v>0</x:v>
      </x:c>
      <x:c r="AH389" s="48" t="n">
        <x:v>0</x:v>
      </x:c>
      <x:c r="AI389" s="48" t="n">
        <x:v>1.1920928955078125e-7</x:v>
      </x:c>
      <x:c r="AJ389" s="37" t="str">
        <x:v>passed</x:v>
      </x:c>
    </x:row>
    <x:row r="390" ht="21" customHeight="1">
      <x:c r="A390" s="2"/>
      <x:c r="B390" s="2"/>
      <x:c r="C390" s="2" t="str">
        <x:v>2022</x:v>
      </x:c>
      <x:c r="D390" s="5" t="n">
        <x:v>44700</x:v>
      </x:c>
      <x:c r="E390" s="2" t="str">
        <x:v>constrained</x:v>
      </x:c>
      <x:c r="F390" s="37" t="n">
        <x:v>13115528.896096034</x:v>
      </x:c>
      <x:c r="G390" s="37" t="n">
        <x:v>-70964.01187745735</x:v>
      </x:c>
      <x:c r="H390" s="37" t="n">
        <x:v>-8630.792437953138</x:v>
      </x:c>
      <x:c r="I390" s="37" t="n">
        <x:v>-62333.21943950421</x:v>
      </x:c>
      <x:c r="J390" s="37" t="n">
        <x:v>10872391.439277364</x:v>
      </x:c>
      <x:c r="K390" s="37" t="n">
        <x:v>10943355.45115482</x:v>
      </x:c>
      <x:c r="L390" s="37" t="n">
        <x:v>13044564.884218577</x:v>
      </x:c>
      <x:c r="M390" s="37" t="n">
        <x:v>0</x:v>
      </x:c>
      <x:c r="N390" s="37" t="n">
        <x:v>0</x:v>
      </x:c>
      <x:c r="O390" s="37" t="n">
        <x:v>718.6197411715984</x:v>
      </x:c>
      <x:c r="P390" s="37" t="n">
        <x:v>0</x:v>
      </x:c>
      <x:c r="Q390" s="37" t="n">
        <x:v>0</x:v>
      </x:c>
      <x:c r="R390" s="37" t="n">
        <x:v>0</x:v>
      </x:c>
      <x:c r="S390" s="37" t="n">
        <x:v>0</x:v>
      </x:c>
      <x:c r="T390" s="37" t="n">
        <x:v>0</x:v>
      </x:c>
      <x:c r="U390" s="37" t="n">
        <x:v>25142.007767766598</x:v>
      </x:c>
      <x:c r="V390" s="37" t="n">
        <x:v>0</x:v>
      </x:c>
      <x:c r="W390" s="37" t="n">
        <x:v>97419.9665210452</x:v>
      </x:c>
      <x:c r="X390" s="37" t="n">
        <x:v>0</x:v>
      </x:c>
      <x:c r="Y390" s="37" t="n">
        <x:v>2369.8244641980114</x:v>
      </x:c>
      <x:c r="Z390" s="37" t="n">
        <x:v>11162222.560177917</x:v>
      </x:c>
      <x:c r="AA390" s="37" t="n">
        <x:v>0</x:v>
      </x:c>
      <x:c r="AB390" s="37" t="n">
        <x:v>11162222.560177917</x:v>
      </x:c>
      <x:c r="AC390" s="37" t="n">
        <x:v>1953306.3359181173</x:v>
      </x:c>
      <x:c r="AD390" s="37" t="n">
        <x:v>0</x:v>
      </x:c>
      <x:c r="AE390" s="37" t="n">
        <x:v>0</x:v>
      </x:c>
      <x:c r="AF390" s="47" t="b">
        <x:v>0</x:v>
      </x:c>
      <x:c r="AG390" s="47" t="b">
        <x:v>0</x:v>
      </x:c>
      <x:c r="AH390" s="48" t="n">
        <x:v>0</x:v>
      </x:c>
      <x:c r="AI390" s="48" t="n">
        <x:v>1.1920928955078125e-7</x:v>
      </x:c>
      <x:c r="AJ390" s="37" t="str">
        <x:v>passed</x:v>
      </x:c>
    </x:row>
    <x:row r="391" ht="21" customHeight="1">
      <x:c r="A391" s="2"/>
      <x:c r="B391" s="2"/>
      <x:c r="C391" s="2" t="str">
        <x:v>2022</x:v>
      </x:c>
      <x:c r="D391" s="5" t="n">
        <x:v>44701</x:v>
      </x:c>
      <x:c r="E391" s="2" t="str">
        <x:v>unhedged</x:v>
      </x:c>
      <x:c r="F391" s="37" t="n">
        <x:v>1271827.842391174</x:v>
      </x:c>
      <x:c r="G391" s="37" t="n">
        <x:v>10905334.6142743</x:v>
      </x:c>
      <x:c r="H391" s="37" t="n">
        <x:v>22328.398991112175</x:v>
      </x:c>
      <x:c r="I391" s="37" t="n">
        <x:v>10883006.215283189</x:v>
      </x:c>
      <x:c r="J391" s="37" t="n">
        <x:v>10905334.6142743</x:v>
      </x:c>
      <x:c r="K391" s="37" t="n">
        <x:v>0</x:v>
      </x:c>
      <x:c r="L391" s="37" t="n">
        <x:v>12177162.456665475</x:v>
      </x:c>
      <x:c r="M391" s="37" t="n">
        <x:v>0</x:v>
      </x:c>
      <x:c r="N391" s="37" t="n">
        <x:v>0</x:v>
      </x:c>
      <x:c r="O391" s="37" t="n">
        <x:v>69.6853784667328</x:v>
      </x:c>
      <x:c r="P391" s="37" t="n">
        <x:v>0</x:v>
      </x:c>
      <x:c r="Q391" s="37" t="n">
        <x:v>0</x:v>
      </x:c>
      <x:c r="R391" s="37" t="n">
        <x:v>0</x:v>
      </x:c>
      <x:c r="S391" s="37" t="n">
        <x:v>0</x:v>
      </x:c>
      <x:c r="T391" s="37" t="n">
        <x:v>0</x:v>
      </x:c>
      <x:c r="U391" s="37" t="n">
        <x:v>63750</x:v>
      </x:c>
      <x:c r="V391" s="37" t="n">
        <x:v>0</x:v>
      </x:c>
      <x:c r="W391" s="37" t="n">
        <x:v>9252.561707899673</x:v>
      </x:c>
      <x:c r="X391" s="37" t="n">
        <x:v>0</x:v>
      </x:c>
      <x:c r="Y391" s="37" t="n">
        <x:v>1174.7193167256753</x:v>
      </x:c>
      <x:c r="Z391" s="37" t="n">
        <x:v>0</x:v>
      </x:c>
      <x:c r="AA391" s="37" t="n">
        <x:v>0</x:v>
      </x:c>
      <x:c r="AB391" s="37" t="n">
        <x:v>0</x:v>
      </x:c>
      <x:c r="AC391" s="37" t="n">
        <x:v>1271827.842391174</x:v>
      </x:c>
      <x:c r="AD391" s="37" t="n">
        <x:v>0</x:v>
      </x:c>
      <x:c r="AE391" s="37" t="n">
        <x:v>0</x:v>
      </x:c>
      <x:c r="AF391" s="47" t="b">
        <x:v>0</x:v>
      </x:c>
      <x:c r="AG391" s="47" t="b">
        <x:v>0</x:v>
      </x:c>
      <x:c r="AH391" s="48" t="n">
        <x:v>0</x:v>
      </x:c>
      <x:c r="AI391" s="48" t="n">
        <x:v>1.1920928955078125e-7</x:v>
      </x:c>
      <x:c r="AJ391" s="37" t="str">
        <x:v>passed</x:v>
      </x:c>
    </x:row>
    <x:row r="392" ht="21" customHeight="1">
      <x:c r="A392" s="2"/>
      <x:c r="B392" s="2"/>
      <x:c r="C392" s="2" t="str">
        <x:v>2022</x:v>
      </x:c>
      <x:c r="D392" s="5" t="n">
        <x:v>44701</x:v>
      </x:c>
      <x:c r="E392" s="2" t="str">
        <x:v>duration</x:v>
      </x:c>
      <x:c r="F392" s="37" t="n">
        <x:v>9344100.76928441</x:v>
      </x:c>
      <x:c r="G392" s="37" t="n">
        <x:v>3620392.9495716915</x:v>
      </x:c>
      <x:c r="H392" s="37" t="n">
        <x:v>20776.635356665738</x:v>
      </x:c>
      <x:c r="I392" s="37" t="n">
        <x:v>3599616.314215026</x:v>
      </x:c>
      <x:c r="J392" s="37" t="n">
        <x:v>10905334.6142743</x:v>
      </x:c>
      <x:c r="K392" s="37" t="n">
        <x:v>7284941.66470261</x:v>
      </x:c>
      <x:c r="L392" s="37" t="n">
        <x:v>12964493.718856102</x:v>
      </x:c>
      <x:c r="M392" s="37" t="n">
        <x:v>0</x:v>
      </x:c>
      <x:c r="N392" s="37" t="n">
        <x:v>0</x:v>
      </x:c>
      <x:c r="O392" s="37" t="n">
        <x:v>511.97746804729104</x:v>
      </x:c>
      <x:c r="P392" s="37" t="n">
        <x:v>0</x:v>
      </x:c>
      <x:c r="Q392" s="37" t="n">
        <x:v>0</x:v>
      </x:c>
      <x:c r="R392" s="37" t="n">
        <x:v>0</x:v>
      </x:c>
      <x:c r="S392" s="37" t="n">
        <x:v>0</x:v>
      </x:c>
      <x:c r="T392" s="37" t="n">
        <x:v>0</x:v>
      </x:c>
      <x:c r="U392" s="37" t="n">
        <x:v>6645.098252371114</x:v>
      </x:c>
      <x:c r="V392" s="37" t="n">
        <x:v>0</x:v>
      </x:c>
      <x:c r="W392" s="37" t="n">
        <x:v>69832.4715035446</x:v>
      </x:c>
      <x:c r="X392" s="37" t="n">
        <x:v>0</x:v>
      </x:c>
      <x:c r="Y392" s="37" t="n">
        <x:v>1989.7428739298557</x:v>
      </x:c>
      <x:c r="Z392" s="37" t="n">
        <x:v>7430640.497996663</x:v>
      </x:c>
      <x:c r="AA392" s="37" t="n">
        <x:v>0</x:v>
      </x:c>
      <x:c r="AB392" s="37" t="n">
        <x:v>7430640.497996663</x:v>
      </x:c>
      <x:c r="AC392" s="37" t="n">
        <x:v>1913460.2712877477</x:v>
      </x:c>
      <x:c r="AD392" s="37" t="n">
        <x:v>0</x:v>
      </x:c>
      <x:c r="AE392" s="37" t="n">
        <x:v>0</x:v>
      </x:c>
      <x:c r="AF392" s="47" t="b">
        <x:v>0</x:v>
      </x:c>
      <x:c r="AG392" s="47" t="b">
        <x:v>0</x:v>
      </x:c>
      <x:c r="AH392" s="48" t="n">
        <x:v>0</x:v>
      </x:c>
      <x:c r="AI392" s="48" t="n">
        <x:v>1.1920928955078125e-7</x:v>
      </x:c>
      <x:c r="AJ392" s="37" t="str">
        <x:v>passed</x:v>
      </x:c>
    </x:row>
    <x:row r="393" ht="21" customHeight="1">
      <x:c r="A393" s="2"/>
      <x:c r="B393" s="2"/>
      <x:c r="C393" s="2" t="str">
        <x:v>2022</x:v>
      </x:c>
      <x:c r="D393" s="5" t="n">
        <x:v>44701</x:v>
      </x:c>
      <x:c r="E393" s="2" t="str">
        <x:v>unweighted</x:v>
      </x:c>
      <x:c r="F393" s="37" t="n">
        <x:v>12200169.726519698</x:v>
      </x:c>
      <x:c r="G393" s="37" t="n">
        <x:v>783670.728644507</x:v>
      </x:c>
      <x:c r="H393" s="37" t="n">
        <x:v>-5376.587465363825</x:v>
      </x:c>
      <x:c r="I393" s="37" t="n">
        <x:v>789047.3161098708</x:v>
      </x:c>
      <x:c r="J393" s="37" t="n">
        <x:v>10906346.172548084</x:v>
      </x:c>
      <x:c r="K393" s="37" t="n">
        <x:v>10122675.443903577</x:v>
      </x:c>
      <x:c r="L393" s="37" t="n">
        <x:v>12983840.455164205</x:v>
      </x:c>
      <x:c r="M393" s="37" t="n">
        <x:v>0</x:v>
      </x:c>
      <x:c r="N393" s="37" t="n">
        <x:v>0</x:v>
      </x:c>
      <x:c r="O393" s="37" t="n">
        <x:v>668.4658225048333</x:v>
      </x:c>
      <x:c r="P393" s="37" t="n">
        <x:v>0</x:v>
      </x:c>
      <x:c r="Q393" s="37" t="n">
        <x:v>0</x:v>
      </x:c>
      <x:c r="R393" s="37" t="n">
        <x:v>0</x:v>
      </x:c>
      <x:c r="S393" s="37" t="n">
        <x:v>0</x:v>
      </x:c>
      <x:c r="T393" s="37" t="n">
        <x:v>0</x:v>
      </x:c>
      <x:c r="U393" s="37" t="n">
        <x:v>26542.370640628425</x:v>
      </x:c>
      <x:c r="V393" s="37" t="n">
        <x:v>0</x:v>
      </x:c>
      <x:c r="W393" s="37" t="n">
        <x:v>90576.00190020539</x:v>
      </x:c>
      <x:c r="X393" s="37" t="n">
        <x:v>0</x:v>
      </x:c>
      <x:c r="Y393" s="37" t="n">
        <x:v>2264.4056061592814</x:v>
      </x:c>
      <x:c r="Z393" s="37" t="n">
        <x:v>10325128.952781647</x:v>
      </x:c>
      <x:c r="AA393" s="37" t="n">
        <x:v>0</x:v>
      </x:c>
      <x:c r="AB393" s="37" t="n">
        <x:v>10325128.952781647</x:v>
      </x:c>
      <x:c r="AC393" s="37" t="n">
        <x:v>1875040.7737380508</x:v>
      </x:c>
      <x:c r="AD393" s="37" t="n">
        <x:v>0</x:v>
      </x:c>
      <x:c r="AE393" s="37" t="n">
        <x:v>0</x:v>
      </x:c>
      <x:c r="AF393" s="47" t="b">
        <x:v>0</x:v>
      </x:c>
      <x:c r="AG393" s="47" t="b">
        <x:v>0</x:v>
      </x:c>
      <x:c r="AH393" s="48" t="n">
        <x:v>0</x:v>
      </x:c>
      <x:c r="AI393" s="48" t="n">
        <x:v>1.1920928955078125e-7</x:v>
      </x:c>
      <x:c r="AJ393" s="37" t="str">
        <x:v>passed</x:v>
      </x:c>
    </x:row>
    <x:row r="394" ht="21" customHeight="1">
      <x:c r="A394" s="2"/>
      <x:c r="B394" s="2"/>
      <x:c r="C394" s="2" t="str">
        <x:v>2022</x:v>
      </x:c>
      <x:c r="D394" s="5" t="n">
        <x:v>44701</x:v>
      </x:c>
      <x:c r="E394" s="2" t="str">
        <x:v>constrained</x:v>
      </x:c>
      <x:c r="F394" s="37" t="n">
        <x:v>13116247.55521363</x:v>
      </x:c>
      <x:c r="G394" s="37" t="n">
        <x:v>-71141.62213632489</x:v>
      </x:c>
      <x:c r="H394" s="37" t="n">
        <x:v>-8665.891012221427</x:v>
      </x:c>
      <x:c r="I394" s="37" t="n">
        <x:v>-62475.73112410346</x:v>
      </x:c>
      <x:c r="J394" s="37" t="n">
        <x:v>10905747.602696575</x:v>
      </x:c>
      <x:c r="K394" s="37" t="n">
        <x:v>10976889.2248329</x:v>
      </x:c>
      <x:c r="L394" s="37" t="n">
        <x:v>13045105.933077306</x:v>
      </x:c>
      <x:c r="M394" s="37" t="n">
        <x:v>0</x:v>
      </x:c>
      <x:c r="N394" s="37" t="n">
        <x:v>0</x:v>
      </x:c>
      <x:c r="O394" s="37" t="n">
        <x:v>718.659117596224</x:v>
      </x:c>
      <x:c r="P394" s="37" t="n">
        <x:v>0</x:v>
      </x:c>
      <x:c r="Q394" s="37" t="n">
        <x:v>0</x:v>
      </x:c>
      <x:c r="R394" s="37" t="n">
        <x:v>0</x:v>
      </x:c>
      <x:c r="S394" s="37" t="n">
        <x:v>0</x:v>
      </x:c>
      <x:c r="T394" s="37" t="n">
        <x:v>0</x:v>
      </x:c>
      <x:c r="U394" s="37" t="n">
        <x:v>25142.007767766598</x:v>
      </x:c>
      <x:c r="V394" s="37" t="n">
        <x:v>0</x:v>
      </x:c>
      <x:c r="W394" s="37" t="n">
        <x:v>98138.62563864142</x:v>
      </x:c>
      <x:c r="X394" s="37" t="n">
        <x:v>0</x:v>
      </x:c>
      <x:c r="Y394" s="37" t="n">
        <x:v>2369.8244641980114</x:v>
      </x:c>
      <x:c r="Z394" s="37" t="n">
        <x:v>11196427.009329557</x:v>
      </x:c>
      <x:c r="AA394" s="37" t="n">
        <x:v>0</x:v>
      </x:c>
      <x:c r="AB394" s="37" t="n">
        <x:v>11196427.009329557</x:v>
      </x:c>
      <x:c r="AC394" s="37" t="n">
        <x:v>1919820.5458840728</x:v>
      </x:c>
      <x:c r="AD394" s="37" t="n">
        <x:v>0</x:v>
      </x:c>
      <x:c r="AE394" s="37" t="n">
        <x:v>0</x:v>
      </x:c>
      <x:c r="AF394" s="47" t="b">
        <x:v>0</x:v>
      </x:c>
      <x:c r="AG394" s="47" t="b">
        <x:v>0</x:v>
      </x:c>
      <x:c r="AH394" s="48" t="n">
        <x:v>0</x:v>
      </x:c>
      <x:c r="AI394" s="48" t="n">
        <x:v>1.1920928955078125e-7</x:v>
      </x:c>
      <x:c r="AJ394" s="37" t="str">
        <x:v>passed</x:v>
      </x:c>
    </x:row>
    <x:row r="395" ht="21" customHeight="1">
      <x:c r="A395" s="2"/>
      <x:c r="B395" s="2"/>
      <x:c r="C395" s="2" t="str">
        <x:v>2022</x:v>
      </x:c>
      <x:c r="D395" s="5" t="n">
        <x:v>44704</x:v>
      </x:c>
      <x:c r="E395" s="2" t="str">
        <x:v>unhedged</x:v>
      </x:c>
      <x:c r="F395" s="37" t="n">
        <x:v>1272036.9214376719</x:v>
      </x:c>
      <x:c r="G395" s="37" t="n">
        <x:v>10856140.48840189</x:v>
      </x:c>
      <x:c r="H395" s="37" t="n">
        <x:v>23377.93508287293</x:v>
      </x:c>
      <x:c r="I395" s="37" t="n">
        <x:v>10832762.553319016</x:v>
      </x:c>
      <x:c r="J395" s="37" t="n">
        <x:v>10856140.48840189</x:v>
      </x:c>
      <x:c r="K395" s="37" t="n">
        <x:v>0</x:v>
      </x:c>
      <x:c r="L395" s="37" t="n">
        <x:v>12128177.409839561</x:v>
      </x:c>
      <x:c r="M395" s="37" t="n">
        <x:v>0</x:v>
      </x:c>
      <x:c r="N395" s="37" t="n">
        <x:v>0</x:v>
      </x:c>
      <x:c r="O395" s="37" t="n">
        <x:v>209.07904649781995</x:v>
      </x:c>
      <x:c r="P395" s="37" t="n">
        <x:v>0</x:v>
      </x:c>
      <x:c r="Q395" s="37" t="n">
        <x:v>0</x:v>
      </x:c>
      <x:c r="R395" s="37" t="n">
        <x:v>0</x:v>
      </x:c>
      <x:c r="S395" s="37" t="n">
        <x:v>0</x:v>
      </x:c>
      <x:c r="T395" s="37" t="n">
        <x:v>0</x:v>
      </x:c>
      <x:c r="U395" s="37" t="n">
        <x:v>63750</x:v>
      </x:c>
      <x:c r="V395" s="37" t="n">
        <x:v>0</x:v>
      </x:c>
      <x:c r="W395" s="37" t="n">
        <x:v>9461.640754397493</x:v>
      </x:c>
      <x:c r="X395" s="37" t="n">
        <x:v>0</x:v>
      </x:c>
      <x:c r="Y395" s="37" t="n">
        <x:v>1174.7193167256753</x:v>
      </x:c>
      <x:c r="Z395" s="37" t="n">
        <x:v>0</x:v>
      </x:c>
      <x:c r="AA395" s="37" t="n">
        <x:v>0</x:v>
      </x:c>
      <x:c r="AB395" s="37" t="n">
        <x:v>0</x:v>
      </x:c>
      <x:c r="AC395" s="37" t="n">
        <x:v>1272036.9214376719</x:v>
      </x:c>
      <x:c r="AD395" s="37" t="n">
        <x:v>0</x:v>
      </x:c>
      <x:c r="AE395" s="37" t="n">
        <x:v>0</x:v>
      </x:c>
      <x:c r="AF395" s="47" t="b">
        <x:v>0</x:v>
      </x:c>
      <x:c r="AG395" s="47" t="b">
        <x:v>0</x:v>
      </x:c>
      <x:c r="AH395" s="48" t="n">
        <x:v>0</x:v>
      </x:c>
      <x:c r="AI395" s="48" t="n">
        <x:v>1.1920928955078125e-7</x:v>
      </x:c>
      <x:c r="AJ395" s="37" t="str">
        <x:v>passed</x:v>
      </x:c>
    </x:row>
    <x:row r="396" ht="21" customHeight="1">
      <x:c r="A396" s="2"/>
      <x:c r="B396" s="2"/>
      <x:c r="C396" s="2" t="str">
        <x:v>2022</x:v>
      </x:c>
      <x:c r="D396" s="5" t="n">
        <x:v>44704</x:v>
      </x:c>
      <x:c r="E396" s="2" t="str">
        <x:v>duration</x:v>
      </x:c>
      <x:c r="F396" s="37" t="n">
        <x:v>9345636.870016055</x:v>
      </x:c>
      <x:c r="G396" s="37" t="n">
        <x:v>3622867.8885933617</x:v>
      </x:c>
      <x:c r="H396" s="37" t="n">
        <x:v>20895.11326775863</x:v>
      </x:c>
      <x:c r="I396" s="37" t="n">
        <x:v>3601972.775325603</x:v>
      </x:c>
      <x:c r="J396" s="37" t="n">
        <x:v>10856140.48840189</x:v>
      </x:c>
      <x:c r="K396" s="37" t="n">
        <x:v>7233272.599808528</x:v>
      </x:c>
      <x:c r="L396" s="37" t="n">
        <x:v>12968504.758609418</x:v>
      </x:c>
      <x:c r="M396" s="37" t="n">
        <x:v>0</x:v>
      </x:c>
      <x:c r="N396" s="37" t="n">
        <x:v>0</x:v>
      </x:c>
      <x:c r="O396" s="37" t="n">
        <x:v>1536.1007316447794</x:v>
      </x:c>
      <x:c r="P396" s="37" t="n">
        <x:v>0</x:v>
      </x:c>
      <x:c r="Q396" s="37" t="n">
        <x:v>0</x:v>
      </x:c>
      <x:c r="R396" s="37" t="n">
        <x:v>0</x:v>
      </x:c>
      <x:c r="S396" s="37" t="n">
        <x:v>0</x:v>
      </x:c>
      <x:c r="T396" s="37" t="n">
        <x:v>0</x:v>
      </x:c>
      <x:c r="U396" s="37" t="n">
        <x:v>6645.098252371114</x:v>
      </x:c>
      <x:c r="V396" s="37" t="n">
        <x:v>0</x:v>
      </x:c>
      <x:c r="W396" s="37" t="n">
        <x:v>71368.57223518938</x:v>
      </x:c>
      <x:c r="X396" s="37" t="n">
        <x:v>0</x:v>
      </x:c>
      <x:c r="Y396" s="37" t="n">
        <x:v>1989.7428739298557</x:v>
      </x:c>
      <x:c r="Z396" s="37" t="n">
        <x:v>7377938.051804699</x:v>
      </x:c>
      <x:c r="AA396" s="37" t="n">
        <x:v>0</x:v>
      </x:c>
      <x:c r="AB396" s="37" t="n">
        <x:v>7377938.051804699</x:v>
      </x:c>
      <x:c r="AC396" s="37" t="n">
        <x:v>1967698.8182113562</x:v>
      </x:c>
      <x:c r="AD396" s="37" t="n">
        <x:v>0</x:v>
      </x:c>
      <x:c r="AE396" s="37" t="n">
        <x:v>0</x:v>
      </x:c>
      <x:c r="AF396" s="47" t="b">
        <x:v>0</x:v>
      </x:c>
      <x:c r="AG396" s="47" t="b">
        <x:v>0</x:v>
      </x:c>
      <x:c r="AH396" s="48" t="n">
        <x:v>0</x:v>
      </x:c>
      <x:c r="AI396" s="48" t="n">
        <x:v>1.1920928955078125e-7</x:v>
      </x:c>
      <x:c r="AJ396" s="37" t="str">
        <x:v>passed</x:v>
      </x:c>
    </x:row>
    <x:row r="397" ht="21" customHeight="1">
      <x:c r="A397" s="2"/>
      <x:c r="B397" s="2"/>
      <x:c r="C397" s="2" t="str">
        <x:v>2022</x:v>
      </x:c>
      <x:c r="D397" s="5" t="n">
        <x:v>44704</x:v>
      </x:c>
      <x:c r="E397" s="2" t="str">
        <x:v>unweighted</x:v>
      </x:c>
      <x:c r="F397" s="37" t="n">
        <x:v>12202175.343764827</x:v>
      </x:c>
      <x:c r="G397" s="37" t="n">
        <x:v>780957.0877963463</x:v>
      </x:c>
      <x:c r="H397" s="37" t="n">
        <x:v>-5402.011707474857</x:v>
      </x:c>
      <x:c r="I397" s="37" t="n">
        <x:v>786359.0995038211</x:v>
      </x:c>
      <x:c r="J397" s="37" t="n">
        <x:v>10857136.93116588</x:v>
      </x:c>
      <x:c r="K397" s="37" t="n">
        <x:v>10076179.843369532</x:v>
      </x:c>
      <x:c r="L397" s="37" t="n">
        <x:v>12983132.431561172</x:v>
      </x:c>
      <x:c r="M397" s="37" t="n">
        <x:v>0</x:v>
      </x:c>
      <x:c r="N397" s="37" t="n">
        <x:v>0</x:v>
      </x:c>
      <x:c r="O397" s="37" t="n">
        <x:v>2005.6172451283783</x:v>
      </x:c>
      <x:c r="P397" s="37" t="n">
        <x:v>0</x:v>
      </x:c>
      <x:c r="Q397" s="37" t="n">
        <x:v>0</x:v>
      </x:c>
      <x:c r="R397" s="37" t="n">
        <x:v>0</x:v>
      </x:c>
      <x:c r="S397" s="37" t="n">
        <x:v>0</x:v>
      </x:c>
      <x:c r="T397" s="37" t="n">
        <x:v>0</x:v>
      </x:c>
      <x:c r="U397" s="37" t="n">
        <x:v>26542.370640628425</x:v>
      </x:c>
      <x:c r="V397" s="37" t="n">
        <x:v>0</x:v>
      </x:c>
      <x:c r="W397" s="37" t="n">
        <x:v>92581.61914533377</x:v>
      </x:c>
      <x:c r="X397" s="37" t="n">
        <x:v>0</x:v>
      </x:c>
      <x:c r="Y397" s="37" t="n">
        <x:v>2264.4056061592814</x:v>
      </x:c>
      <x:c r="Z397" s="37" t="n">
        <x:v>10277703.440236922</x:v>
      </x:c>
      <x:c r="AA397" s="37" t="n">
        <x:v>0</x:v>
      </x:c>
      <x:c r="AB397" s="37" t="n">
        <x:v>10277703.440236922</x:v>
      </x:c>
      <x:c r="AC397" s="37" t="n">
        <x:v>1924471.9035279043</x:v>
      </x:c>
      <x:c r="AD397" s="37" t="n">
        <x:v>0</x:v>
      </x:c>
      <x:c r="AE397" s="37" t="n">
        <x:v>0</x:v>
      </x:c>
      <x:c r="AF397" s="47" t="b">
        <x:v>0</x:v>
      </x:c>
      <x:c r="AG397" s="47" t="b">
        <x:v>0</x:v>
      </x:c>
      <x:c r="AH397" s="48" t="n">
        <x:v>0</x:v>
      </x:c>
      <x:c r="AI397" s="48" t="n">
        <x:v>1.1920928955078125e-7</x:v>
      </x:c>
      <x:c r="AJ397" s="37" t="str">
        <x:v>passed</x:v>
      </x:c>
    </x:row>
    <x:row r="398" ht="21" customHeight="1">
      <x:c r="A398" s="2"/>
      <x:c r="B398" s="2"/>
      <x:c r="C398" s="2" t="str">
        <x:v>2022</x:v>
      </x:c>
      <x:c r="D398" s="5" t="n">
        <x:v>44704</x:v>
      </x:c>
      <x:c r="E398" s="2" t="str">
        <x:v>constrained</x:v>
      </x:c>
      <x:c r="F398" s="37" t="n">
        <x:v>13118403.768846538</x:v>
      </x:c>
      <x:c r="G398" s="37" t="n">
        <x:v>-71047.91115611575</x:v>
      </x:c>
      <x:c r="H398" s="37" t="n">
        <x:v>-8771.186735026286</x:v>
      </x:c>
      <x:c r="I398" s="37" t="n">
        <x:v>-62276.724421089464</x:v>
      </x:c>
      <x:c r="J398" s="37" t="n">
        <x:v>10856547.305622065</x:v>
      </x:c>
      <x:c r="K398" s="37" t="n">
        <x:v>10927595.216778181</x:v>
      </x:c>
      <x:c r="L398" s="37" t="n">
        <x:v>13047355.857690422</x:v>
      </x:c>
      <x:c r="M398" s="37" t="n">
        <x:v>0</x:v>
      </x:c>
      <x:c r="N398" s="37" t="n">
        <x:v>0</x:v>
      </x:c>
      <x:c r="O398" s="37" t="n">
        <x:v>2156.2136329077184</x:v>
      </x:c>
      <x:c r="P398" s="37" t="n">
        <x:v>0</x:v>
      </x:c>
      <x:c r="Q398" s="37" t="n">
        <x:v>0</x:v>
      </x:c>
      <x:c r="R398" s="37" t="n">
        <x:v>0</x:v>
      </x:c>
      <x:c r="S398" s="37" t="n">
        <x:v>0</x:v>
      </x:c>
      <x:c r="T398" s="37" t="n">
        <x:v>0</x:v>
      </x:c>
      <x:c r="U398" s="37" t="n">
        <x:v>25142.007767766598</x:v>
      </x:c>
      <x:c r="V398" s="37" t="n">
        <x:v>0</x:v>
      </x:c>
      <x:c r="W398" s="37" t="n">
        <x:v>100294.83927154914</x:v>
      </x:c>
      <x:c r="X398" s="37" t="n">
        <x:v>0</x:v>
      </x:c>
      <x:c r="Y398" s="37" t="n">
        <x:v>2369.8244641980114</x:v>
      </x:c>
      <x:c r="Z398" s="37" t="n">
        <x:v>11146147.121113745</x:v>
      </x:c>
      <x:c r="AA398" s="37" t="n">
        <x:v>0</x:v>
      </x:c>
      <x:c r="AB398" s="37" t="n">
        <x:v>11146147.121113745</x:v>
      </x:c>
      <x:c r="AC398" s="37" t="n">
        <x:v>1972256.6477327924</x:v>
      </x:c>
      <x:c r="AD398" s="37" t="n">
        <x:v>0</x:v>
      </x:c>
      <x:c r="AE398" s="37" t="n">
        <x:v>0</x:v>
      </x:c>
      <x:c r="AF398" s="47" t="b">
        <x:v>0</x:v>
      </x:c>
      <x:c r="AG398" s="47" t="b">
        <x:v>0</x:v>
      </x:c>
      <x:c r="AH398" s="48" t="n">
        <x:v>0</x:v>
      </x:c>
      <x:c r="AI398" s="48" t="n">
        <x:v>1.1920928955078125e-7</x:v>
      </x:c>
      <x:c r="AJ398" s="37" t="str">
        <x:v>passed</x:v>
      </x:c>
    </x:row>
    <x:row r="399" ht="21" customHeight="1">
      <x:c r="A399" s="2"/>
      <x:c r="B399" s="2"/>
      <x:c r="C399" s="2" t="str">
        <x:v>2022</x:v>
      </x:c>
      <x:c r="D399" s="5" t="n">
        <x:v>44705</x:v>
      </x:c>
      <x:c r="E399" s="2" t="str">
        <x:v>unhedged</x:v>
      </x:c>
      <x:c r="F399" s="37" t="n">
        <x:v>1272106.6220909012</x:v>
      </x:c>
      <x:c r="G399" s="37" t="n">
        <x:v>10931191.986254167</x:v>
      </x:c>
      <x:c r="H399" s="37" t="n">
        <x:v>23727.78044679318</x:v>
      </x:c>
      <x:c r="I399" s="37" t="n">
        <x:v>10907464.205807373</x:v>
      </x:c>
      <x:c r="J399" s="37" t="n">
        <x:v>10931191.986254167</x:v>
      </x:c>
      <x:c r="K399" s="37" t="n">
        <x:v>0</x:v>
      </x:c>
      <x:c r="L399" s="37" t="n">
        <x:v>12203298.608345069</x:v>
      </x:c>
      <x:c r="M399" s="37" t="n">
        <x:v>0</x:v>
      </x:c>
      <x:c r="N399" s="37" t="n">
        <x:v>0</x:v>
      </x:c>
      <x:c r="O399" s="37" t="n">
        <x:v>69.70065322937444</x:v>
      </x:c>
      <x:c r="P399" s="37" t="n">
        <x:v>0</x:v>
      </x:c>
      <x:c r="Q399" s="37" t="n">
        <x:v>0</x:v>
      </x:c>
      <x:c r="R399" s="37" t="n">
        <x:v>0</x:v>
      </x:c>
      <x:c r="S399" s="37" t="n">
        <x:v>0</x:v>
      </x:c>
      <x:c r="T399" s="37" t="n">
        <x:v>0</x:v>
      </x:c>
      <x:c r="U399" s="37" t="n">
        <x:v>63750</x:v>
      </x:c>
      <x:c r="V399" s="37" t="n">
        <x:v>0</x:v>
      </x:c>
      <x:c r="W399" s="37" t="n">
        <x:v>9531.341407626867</x:v>
      </x:c>
      <x:c r="X399" s="37" t="n">
        <x:v>0</x:v>
      </x:c>
      <x:c r="Y399" s="37" t="n">
        <x:v>1174.7193167256753</x:v>
      </x:c>
      <x:c r="Z399" s="37" t="n">
        <x:v>0</x:v>
      </x:c>
      <x:c r="AA399" s="37" t="n">
        <x:v>0</x:v>
      </x:c>
      <x:c r="AB399" s="37" t="n">
        <x:v>0</x:v>
      </x:c>
      <x:c r="AC399" s="37" t="n">
        <x:v>1272106.6220909012</x:v>
      </x:c>
      <x:c r="AD399" s="37" t="n">
        <x:v>0</x:v>
      </x:c>
      <x:c r="AE399" s="37" t="n">
        <x:v>0</x:v>
      </x:c>
      <x:c r="AF399" s="47" t="b">
        <x:v>0</x:v>
      </x:c>
      <x:c r="AG399" s="47" t="b">
        <x:v>0</x:v>
      </x:c>
      <x:c r="AH399" s="48" t="n">
        <x:v>0</x:v>
      </x:c>
      <x:c r="AI399" s="48" t="n">
        <x:v>1.1920928955078125e-7</x:v>
      </x:c>
      <x:c r="AJ399" s="37" t="str">
        <x:v>passed</x:v>
      </x:c>
    </x:row>
    <x:row r="400" ht="21" customHeight="1">
      <x:c r="A400" s="2"/>
      <x:c r="B400" s="2"/>
      <x:c r="C400" s="2" t="str">
        <x:v>2022</x:v>
      </x:c>
      <x:c r="D400" s="5" t="n">
        <x:v>44705</x:v>
      </x:c>
      <x:c r="E400" s="2" t="str">
        <x:v>duration</x:v>
      </x:c>
      <x:c r="F400" s="37" t="n">
        <x:v>9346148.959707562</x:v>
      </x:c>
      <x:c r="G400" s="37" t="n">
        <x:v>3624191.280687982</x:v>
      </x:c>
      <x:c r="H400" s="37" t="n">
        <x:v>20934.605904789594</x:v>
      </x:c>
      <x:c r="I400" s="37" t="n">
        <x:v>3603256.6747831926</x:v>
      </x:c>
      <x:c r="J400" s="37" t="n">
        <x:v>10931191.986254167</x:v>
      </x:c>
      <x:c r="K400" s="37" t="n">
        <x:v>7307000.705566185</x:v>
      </x:c>
      <x:c r="L400" s="37" t="n">
        <x:v>12970340.240395544</x:v>
      </x:c>
      <x:c r="M400" s="37" t="n">
        <x:v>0</x:v>
      </x:c>
      <x:c r="N400" s="37" t="n">
        <x:v>0</x:v>
      </x:c>
      <x:c r="O400" s="37" t="n">
        <x:v>512.0896915066987</x:v>
      </x:c>
      <x:c r="P400" s="37" t="n">
        <x:v>0</x:v>
      </x:c>
      <x:c r="Q400" s="37" t="n">
        <x:v>0</x:v>
      </x:c>
      <x:c r="R400" s="37" t="n">
        <x:v>0</x:v>
      </x:c>
      <x:c r="S400" s="37" t="n">
        <x:v>0</x:v>
      </x:c>
      <x:c r="T400" s="37" t="n">
        <x:v>0</x:v>
      </x:c>
      <x:c r="U400" s="37" t="n">
        <x:v>6645.098252371114</x:v>
      </x:c>
      <x:c r="V400" s="37" t="n">
        <x:v>0</x:v>
      </x:c>
      <x:c r="W400" s="37" t="n">
        <x:v>71880.66192669608</x:v>
      </x:c>
      <x:c r="X400" s="37" t="n">
        <x:v>0</x:v>
      </x:c>
      <x:c r="Y400" s="37" t="n">
        <x:v>1989.7428739298557</x:v>
      </x:c>
      <x:c r="Z400" s="37" t="n">
        <x:v>7453140.719677509</x:v>
      </x:c>
      <x:c r="AA400" s="37" t="n">
        <x:v>0</x:v>
      </x:c>
      <x:c r="AB400" s="37" t="n">
        <x:v>7453140.719677509</x:v>
      </x:c>
      <x:c r="AC400" s="37" t="n">
        <x:v>1893008.240030053</x:v>
      </x:c>
      <x:c r="AD400" s="37" t="n">
        <x:v>0</x:v>
      </x:c>
      <x:c r="AE400" s="37" t="n">
        <x:v>0</x:v>
      </x:c>
      <x:c r="AF400" s="47" t="b">
        <x:v>0</x:v>
      </x:c>
      <x:c r="AG400" s="47" t="b">
        <x:v>0</x:v>
      </x:c>
      <x:c r="AH400" s="48" t="n">
        <x:v>0</x:v>
      </x:c>
      <x:c r="AI400" s="48" t="n">
        <x:v>1.1920928955078125e-7</x:v>
      </x:c>
      <x:c r="AJ400" s="37" t="str">
        <x:v>passed</x:v>
      </x:c>
    </x:row>
    <x:row r="401" ht="21" customHeight="1">
      <x:c r="A401" s="2"/>
      <x:c r="B401" s="2"/>
      <x:c r="C401" s="2" t="str">
        <x:v>2022</x:v>
      </x:c>
      <x:c r="D401" s="5" t="n">
        <x:v>44705</x:v>
      </x:c>
      <x:c r="E401" s="2" t="str">
        <x:v>unweighted</x:v>
      </x:c>
      <x:c r="F401" s="37" t="n">
        <x:v>12202843.956112431</x:v>
      </x:c>
      <x:c r="G401" s="37" t="n">
        <x:v>785489.7002123914</x:v>
      </x:c>
      <x:c r="H401" s="37" t="n">
        <x:v>-5410.4864548452</x:v>
      </x:c>
      <x:c r="I401" s="37" t="n">
        <x:v>790900.1866672366</x:v>
      </x:c>
      <x:c r="J401" s="37" t="n">
        <x:v>10932204.040374445</x:v>
      </x:c>
      <x:c r="K401" s="37" t="n">
        <x:v>10146714.340162054</x:v>
      </x:c>
      <x:c r="L401" s="37" t="n">
        <x:v>12988333.656324822</x:v>
      </x:c>
      <x:c r="M401" s="37" t="n">
        <x:v>0</x:v>
      </x:c>
      <x:c r="N401" s="37" t="n">
        <x:v>0</x:v>
      </x:c>
      <x:c r="O401" s="37" t="n">
        <x:v>668.6123476047069</x:v>
      </x:c>
      <x:c r="P401" s="37" t="n">
        <x:v>0</x:v>
      </x:c>
      <x:c r="Q401" s="37" t="n">
        <x:v>0</x:v>
      </x:c>
      <x:c r="R401" s="37" t="n">
        <x:v>0</x:v>
      </x:c>
      <x:c r="S401" s="37" t="n">
        <x:v>0</x:v>
      </x:c>
      <x:c r="T401" s="37" t="n">
        <x:v>0</x:v>
      </x:c>
      <x:c r="U401" s="37" t="n">
        <x:v>26542.370640628425</x:v>
      </x:c>
      <x:c r="V401" s="37" t="n">
        <x:v>0</x:v>
      </x:c>
      <x:c r="W401" s="37" t="n">
        <x:v>93250.23149293847</x:v>
      </x:c>
      <x:c r="X401" s="37" t="n">
        <x:v>0</x:v>
      </x:c>
      <x:c r="Y401" s="37" t="n">
        <x:v>2264.4056061592814</x:v>
      </x:c>
      <x:c r="Z401" s="37" t="n">
        <x:v>10349648.626965296</x:v>
      </x:c>
      <x:c r="AA401" s="37" t="n">
        <x:v>0</x:v>
      </x:c>
      <x:c r="AB401" s="37" t="n">
        <x:v>10349648.626965296</x:v>
      </x:c>
      <x:c r="AC401" s="37" t="n">
        <x:v>1853195.3291471358</x:v>
      </x:c>
      <x:c r="AD401" s="37" t="n">
        <x:v>0</x:v>
      </x:c>
      <x:c r="AE401" s="37" t="n">
        <x:v>0</x:v>
      </x:c>
      <x:c r="AF401" s="47" t="b">
        <x:v>0</x:v>
      </x:c>
      <x:c r="AG401" s="47" t="b">
        <x:v>0</x:v>
      </x:c>
      <x:c r="AH401" s="48" t="n">
        <x:v>0</x:v>
      </x:c>
      <x:c r="AI401" s="48" t="n">
        <x:v>1.1920928955078125e-7</x:v>
      </x:c>
      <x:c r="AJ401" s="37" t="str">
        <x:v>passed</x:v>
      </x:c>
    </x:row>
    <x:row r="402" ht="21" customHeight="1">
      <x:c r="A402" s="2"/>
      <x:c r="B402" s="2"/>
      <x:c r="C402" s="2" t="str">
        <x:v>2022</x:v>
      </x:c>
      <x:c r="D402" s="5" t="n">
        <x:v>44705</x:v>
      </x:c>
      <x:c r="E402" s="2" t="str">
        <x:v>constrained</x:v>
      </x:c>
      <x:c r="F402" s="37" t="n">
        <x:v>13119122.585491408</x:v>
      </x:c>
      <x:c r="G402" s="37" t="n">
        <x:v>-71079.09951325538</x:v>
      </x:c>
      <x:c r="H402" s="37" t="n">
        <x:v>-8806.285309294573</x:v>
      </x:c>
      <x:c r="I402" s="37" t="n">
        <x:v>-62272.81420396081</x:v>
      </x:c>
      <x:c r="J402" s="37" t="n">
        <x:v>10931605.177115457</x:v>
      </x:c>
      <x:c r="K402" s="37" t="n">
        <x:v>11002684.276628712</x:v>
      </x:c>
      <x:c r="L402" s="37" t="n">
        <x:v>13048043.485978153</x:v>
      </x:c>
      <x:c r="M402" s="37" t="n">
        <x:v>0</x:v>
      </x:c>
      <x:c r="N402" s="37" t="n">
        <x:v>0</x:v>
      </x:c>
      <x:c r="O402" s="37" t="n">
        <x:v>718.8166448697448</x:v>
      </x:c>
      <x:c r="P402" s="37" t="n">
        <x:v>0</x:v>
      </x:c>
      <x:c r="Q402" s="37" t="n">
        <x:v>0</x:v>
      </x:c>
      <x:c r="R402" s="37" t="n">
        <x:v>0</x:v>
      </x:c>
      <x:c r="S402" s="37" t="n">
        <x:v>0</x:v>
      </x:c>
      <x:c r="T402" s="37" t="n">
        <x:v>0</x:v>
      </x:c>
      <x:c r="U402" s="37" t="n">
        <x:v>25142.007767766598</x:v>
      </x:c>
      <x:c r="V402" s="37" t="n">
        <x:v>0</x:v>
      </x:c>
      <x:c r="W402" s="37" t="n">
        <x:v>101013.65591641888</x:v>
      </x:c>
      <x:c r="X402" s="37" t="n">
        <x:v>0</x:v>
      </x:c>
      <x:c r="Y402" s="37" t="n">
        <x:v>2369.8244641980114</x:v>
      </x:c>
      <x:c r="Z402" s="37" t="n">
        <x:v>11222737.962161286</x:v>
      </x:c>
      <x:c r="AA402" s="37" t="n">
        <x:v>0</x:v>
      </x:c>
      <x:c r="AB402" s="37" t="n">
        <x:v>11222737.962161286</x:v>
      </x:c>
      <x:c r="AC402" s="37" t="n">
        <x:v>1896384.6233301219</x:v>
      </x:c>
      <x:c r="AD402" s="37" t="n">
        <x:v>0</x:v>
      </x:c>
      <x:c r="AE402" s="37" t="n">
        <x:v>0</x:v>
      </x:c>
      <x:c r="AF402" s="47" t="b">
        <x:v>0</x:v>
      </x:c>
      <x:c r="AG402" s="47" t="b">
        <x:v>0</x:v>
      </x:c>
      <x:c r="AH402" s="48" t="n">
        <x:v>0</x:v>
      </x:c>
      <x:c r="AI402" s="48" t="n">
        <x:v>1.1920928955078125e-7</x:v>
      </x:c>
      <x:c r="AJ402" s="37" t="str">
        <x:v>passed</x:v>
      </x:c>
    </x:row>
    <x:row r="403" ht="21" customHeight="1">
      <x:c r="A403" s="2"/>
      <x:c r="B403" s="2"/>
      <x:c r="C403" s="2" t="str">
        <x:v>2022</x:v>
      </x:c>
      <x:c r="D403" s="5" t="n">
        <x:v>44706</x:v>
      </x:c>
      <x:c r="E403" s="2" t="str">
        <x:v>unhedged</x:v>
      </x:c>
      <x:c r="F403" s="37" t="n">
        <x:v>1272176.326563345</x:v>
      </x:c>
      <x:c r="G403" s="37" t="n">
        <x:v>10945602.100941887</x:v>
      </x:c>
      <x:c r="H403" s="37" t="n">
        <x:v>24077.625810713424</x:v>
      </x:c>
      <x:c r="I403" s="37" t="n">
        <x:v>10921524.475131175</x:v>
      </x:c>
      <x:c r="J403" s="37" t="n">
        <x:v>10945602.100941887</x:v>
      </x:c>
      <x:c r="K403" s="37" t="n">
        <x:v>0</x:v>
      </x:c>
      <x:c r="L403" s="37" t="n">
        <x:v>12217778.427505232</x:v>
      </x:c>
      <x:c r="M403" s="37" t="n">
        <x:v>0</x:v>
      </x:c>
      <x:c r="N403" s="37" t="n">
        <x:v>0</x:v>
      </x:c>
      <x:c r="O403" s="37" t="n">
        <x:v>69.70447244378738</x:v>
      </x:c>
      <x:c r="P403" s="37" t="n">
        <x:v>0</x:v>
      </x:c>
      <x:c r="Q403" s="37" t="n">
        <x:v>0</x:v>
      </x:c>
      <x:c r="R403" s="37" t="n">
        <x:v>0</x:v>
      </x:c>
      <x:c r="S403" s="37" t="n">
        <x:v>0</x:v>
      </x:c>
      <x:c r="T403" s="37" t="n">
        <x:v>0</x:v>
      </x:c>
      <x:c r="U403" s="37" t="n">
        <x:v>63750</x:v>
      </x:c>
      <x:c r="V403" s="37" t="n">
        <x:v>0</x:v>
      </x:c>
      <x:c r="W403" s="37" t="n">
        <x:v>9601.045880070655</x:v>
      </x:c>
      <x:c r="X403" s="37" t="n">
        <x:v>0</x:v>
      </x:c>
      <x:c r="Y403" s="37" t="n">
        <x:v>1174.7193167256753</x:v>
      </x:c>
      <x:c r="Z403" s="37" t="n">
        <x:v>0</x:v>
      </x:c>
      <x:c r="AA403" s="37" t="n">
        <x:v>0</x:v>
      </x:c>
      <x:c r="AB403" s="37" t="n">
        <x:v>0</x:v>
      </x:c>
      <x:c r="AC403" s="37" t="n">
        <x:v>1272176.326563345</x:v>
      </x:c>
      <x:c r="AD403" s="37" t="n">
        <x:v>0</x:v>
      </x:c>
      <x:c r="AE403" s="37" t="n">
        <x:v>0</x:v>
      </x:c>
      <x:c r="AF403" s="47" t="b">
        <x:v>0</x:v>
      </x:c>
      <x:c r="AG403" s="47" t="b">
        <x:v>0</x:v>
      </x:c>
      <x:c r="AH403" s="48" t="n">
        <x:v>0</x:v>
      </x:c>
      <x:c r="AI403" s="48" t="n">
        <x:v>1.1920928955078125e-7</x:v>
      </x:c>
      <x:c r="AJ403" s="37" t="str">
        <x:v>passed</x:v>
      </x:c>
    </x:row>
    <x:row r="404" ht="21" customHeight="1">
      <x:c r="A404" s="2"/>
      <x:c r="B404" s="2"/>
      <x:c r="C404" s="2" t="str">
        <x:v>2022</x:v>
      </x:c>
      <x:c r="D404" s="5" t="n">
        <x:v>44706</x:v>
      </x:c>
      <x:c r="E404" s="2" t="str">
        <x:v>duration</x:v>
      </x:c>
      <x:c r="F404" s="37" t="n">
        <x:v>9346661.077458778</x:v>
      </x:c>
      <x:c r="G404" s="37" t="n">
        <x:v>3628901.488699601</x:v>
      </x:c>
      <x:c r="H404" s="37" t="n">
        <x:v>20974.098541820553</x:v>
      </x:c>
      <x:c r="I404" s="37" t="n">
        <x:v>3607927.3901577806</x:v>
      </x:c>
      <x:c r="J404" s="37" t="n">
        <x:v>10945602.100941887</x:v>
      </x:c>
      <x:c r="K404" s="37" t="n">
        <x:v>7316700.612242287</x:v>
      </x:c>
      <x:c r="L404" s="37" t="n">
        <x:v>12975562.56615838</x:v>
      </x:c>
      <x:c r="M404" s="37" t="n">
        <x:v>0</x:v>
      </x:c>
      <x:c r="N404" s="37" t="n">
        <x:v>0</x:v>
      </x:c>
      <x:c r="O404" s="37" t="n">
        <x:v>512.1177512165159</x:v>
      </x:c>
      <x:c r="P404" s="37" t="n">
        <x:v>0</x:v>
      </x:c>
      <x:c r="Q404" s="37" t="n">
        <x:v>0</x:v>
      </x:c>
      <x:c r="R404" s="37" t="n">
        <x:v>0</x:v>
      </x:c>
      <x:c r="S404" s="37" t="n">
        <x:v>0</x:v>
      </x:c>
      <x:c r="T404" s="37" t="n">
        <x:v>0</x:v>
      </x:c>
      <x:c r="U404" s="37" t="n">
        <x:v>6645.098252371114</x:v>
      </x:c>
      <x:c r="V404" s="37" t="n">
        <x:v>0</x:v>
      </x:c>
      <x:c r="W404" s="37" t="n">
        <x:v>72392.7796779126</x:v>
      </x:c>
      <x:c r="X404" s="37" t="n">
        <x:v>0</x:v>
      </x:c>
      <x:c r="Y404" s="37" t="n">
        <x:v>1989.7428739298557</x:v>
      </x:c>
      <x:c r="Z404" s="37" t="n">
        <x:v>7463034.624487133</x:v>
      </x:c>
      <x:c r="AA404" s="37" t="n">
        <x:v>0</x:v>
      </x:c>
      <x:c r="AB404" s="37" t="n">
        <x:v>7463034.624487133</x:v>
      </x:c>
      <x:c r="AC404" s="37" t="n">
        <x:v>1883626.4529716456</x:v>
      </x:c>
      <x:c r="AD404" s="37" t="n">
        <x:v>0</x:v>
      </x:c>
      <x:c r="AE404" s="37" t="n">
        <x:v>0</x:v>
      </x:c>
      <x:c r="AF404" s="47" t="b">
        <x:v>0</x:v>
      </x:c>
      <x:c r="AG404" s="47" t="b">
        <x:v>0</x:v>
      </x:c>
      <x:c r="AH404" s="48" t="n">
        <x:v>0</x:v>
      </x:c>
      <x:c r="AI404" s="48" t="n">
        <x:v>1.1920928955078125e-7</x:v>
      </x:c>
      <x:c r="AJ404" s="37" t="str">
        <x:v>passed</x:v>
      </x:c>
    </x:row>
    <x:row r="405" ht="21" customHeight="1">
      <x:c r="A405" s="2"/>
      <x:c r="B405" s="2"/>
      <x:c r="C405" s="2" t="str">
        <x:v>2022</x:v>
      </x:c>
      <x:c r="D405" s="5" t="n">
        <x:v>44706</x:v>
      </x:c>
      <x:c r="E405" s="2" t="str">
        <x:v>unweighted</x:v>
      </x:c>
      <x:c r="F405" s="37" t="n">
        <x:v>12203512.605096327</x:v>
      </x:c>
      <x:c r="G405" s="37" t="n">
        <x:v>786640.4410333326</x:v>
      </x:c>
      <x:c r="H405" s="37" t="n">
        <x:v>-5418.961202215548</x:v>
      </x:c>
      <x:c r="I405" s="37" t="n">
        <x:v>792059.4022355481</x:v>
      </x:c>
      <x:c r="J405" s="37" t="n">
        <x:v>10946616.840570705</x:v>
      </x:c>
      <x:c r="K405" s="37" t="n">
        <x:v>10159976.399537371</x:v>
      </x:c>
      <x:c r="L405" s="37" t="n">
        <x:v>12990153.046129659</x:v>
      </x:c>
      <x:c r="M405" s="37" t="n">
        <x:v>0</x:v>
      </x:c>
      <x:c r="N405" s="37" t="n">
        <x:v>0</x:v>
      </x:c>
      <x:c r="O405" s="37" t="n">
        <x:v>668.6489838957787</x:v>
      </x:c>
      <x:c r="P405" s="37" t="n">
        <x:v>0</x:v>
      </x:c>
      <x:c r="Q405" s="37" t="n">
        <x:v>0</x:v>
      </x:c>
      <x:c r="R405" s="37" t="n">
        <x:v>0</x:v>
      </x:c>
      <x:c r="S405" s="37" t="n">
        <x:v>0</x:v>
      </x:c>
      <x:c r="T405" s="37" t="n">
        <x:v>0</x:v>
      </x:c>
      <x:c r="U405" s="37" t="n">
        <x:v>26542.370640628425</x:v>
      </x:c>
      <x:c r="V405" s="37" t="n">
        <x:v>0</x:v>
      </x:c>
      <x:c r="W405" s="37" t="n">
        <x:v>93918.88047683425</x:v>
      </x:c>
      <x:c r="X405" s="37" t="n">
        <x:v>0</x:v>
      </x:c>
      <x:c r="Y405" s="37" t="n">
        <x:v>2264.4056061592814</x:v>
      </x:c>
      <x:c r="Z405" s="37" t="n">
        <x:v>10363175.927528119</x:v>
      </x:c>
      <x:c r="AA405" s="37" t="n">
        <x:v>0</x:v>
      </x:c>
      <x:c r="AB405" s="37" t="n">
        <x:v>10363175.927528119</x:v>
      </x:c>
      <x:c r="AC405" s="37" t="n">
        <x:v>1840336.6775682084</x:v>
      </x:c>
      <x:c r="AD405" s="37" t="n">
        <x:v>0</x:v>
      </x:c>
      <x:c r="AE405" s="37" t="n">
        <x:v>0</x:v>
      </x:c>
      <x:c r="AF405" s="47" t="b">
        <x:v>0</x:v>
      </x:c>
      <x:c r="AG405" s="47" t="b">
        <x:v>0</x:v>
      </x:c>
      <x:c r="AH405" s="48" t="n">
        <x:v>0</x:v>
      </x:c>
      <x:c r="AI405" s="48" t="n">
        <x:v>1.1920928955078125e-7</x:v>
      </x:c>
      <x:c r="AJ405" s="37" t="str">
        <x:v>passed</x:v>
      </x:c>
    </x:row>
    <x:row r="406" ht="21" customHeight="1">
      <x:c r="A406" s="2"/>
      <x:c r="B406" s="2"/>
      <x:c r="C406" s="2" t="str">
        <x:v>2022</x:v>
      </x:c>
      <x:c r="D406" s="5" t="n">
        <x:v>44706</x:v>
      </x:c>
      <x:c r="E406" s="2" t="str">
        <x:v>constrained</x:v>
      </x:c>
      <x:c r="F406" s="37" t="n">
        <x:v>13119841.441523489</x:v>
      </x:c>
      <x:c r="G406" s="37" t="n">
        <x:v>-70997.98102687525</x:v>
      </x:c>
      <x:c r="H406" s="37" t="n">
        <x:v>-8841.383883562861</x:v>
      </x:c>
      <x:c r="I406" s="37" t="n">
        <x:v>-62156.597143312385</x:v>
      </x:c>
      <x:c r="J406" s="37" t="n">
        <x:v>10946016.38821449</x:v>
      </x:c>
      <x:c r="K406" s="37" t="n">
        <x:v>11017014.369241364</x:v>
      </x:c>
      <x:c r="L406" s="37" t="n">
        <x:v>13048843.460496614</x:v>
      </x:c>
      <x:c r="M406" s="37" t="n">
        <x:v>0</x:v>
      </x:c>
      <x:c r="N406" s="37" t="n">
        <x:v>0</x:v>
      </x:c>
      <x:c r="O406" s="37" t="n">
        <x:v>718.8560320809484</x:v>
      </x:c>
      <x:c r="P406" s="37" t="n">
        <x:v>0</x:v>
      </x:c>
      <x:c r="Q406" s="37" t="n">
        <x:v>0</x:v>
      </x:c>
      <x:c r="R406" s="37" t="n">
        <x:v>0</x:v>
      </x:c>
      <x:c r="S406" s="37" t="n">
        <x:v>0</x:v>
      </x:c>
      <x:c r="T406" s="37" t="n">
        <x:v>0</x:v>
      </x:c>
      <x:c r="U406" s="37" t="n">
        <x:v>25142.007767766598</x:v>
      </x:c>
      <x:c r="V406" s="37" t="n">
        <x:v>0</x:v>
      </x:c>
      <x:c r="W406" s="37" t="n">
        <x:v>101732.51194849983</x:v>
      </x:c>
      <x:c r="X406" s="37" t="n">
        <x:v>0</x:v>
      </x:c>
      <x:c r="Y406" s="37" t="n">
        <x:v>2369.8244641980114</x:v>
      </x:c>
      <x:c r="Z406" s="37" t="n">
        <x:v>11237354.656626191</x:v>
      </x:c>
      <x:c r="AA406" s="37" t="n">
        <x:v>0</x:v>
      </x:c>
      <x:c r="AB406" s="37" t="n">
        <x:v>11237354.656626191</x:v>
      </x:c>
      <x:c r="AC406" s="37" t="n">
        <x:v>1882486.7848972976</x:v>
      </x:c>
      <x:c r="AD406" s="37" t="n">
        <x:v>0</x:v>
      </x:c>
      <x:c r="AE406" s="37" t="n">
        <x:v>0</x:v>
      </x:c>
      <x:c r="AF406" s="47" t="b">
        <x:v>0</x:v>
      </x:c>
      <x:c r="AG406" s="47" t="b">
        <x:v>0</x:v>
      </x:c>
      <x:c r="AH406" s="48" t="n">
        <x:v>0</x:v>
      </x:c>
      <x:c r="AI406" s="48" t="n">
        <x:v>1.1920928955078125e-7</x:v>
      </x:c>
      <x:c r="AJ406" s="37" t="str">
        <x:v>passed</x:v>
      </x:c>
    </x:row>
    <x:row r="407" ht="21" customHeight="1">
      <x:c r="A407" s="2"/>
      <x:c r="B407" s="2"/>
      <x:c r="C407" s="2" t="str">
        <x:v>2022</x:v>
      </x:c>
      <x:c r="D407" s="5" t="n">
        <x:v>44707</x:v>
      </x:c>
      <x:c r="E407" s="2" t="str">
        <x:v>unhedged</x:v>
      </x:c>
      <x:c r="F407" s="37" t="n">
        <x:v>1272246.0348552114</x:v>
      </x:c>
      <x:c r="G407" s="37" t="n">
        <x:v>10946700.095375784</x:v>
      </x:c>
      <x:c r="H407" s="37" t="n">
        <x:v>24427.47117463368</x:v>
      </x:c>
      <x:c r="I407" s="37" t="n">
        <x:v>10922272.62420115</x:v>
      </x:c>
      <x:c r="J407" s="37" t="n">
        <x:v>10946700.095375784</x:v>
      </x:c>
      <x:c r="K407" s="37" t="n">
        <x:v>0</x:v>
      </x:c>
      <x:c r="L407" s="37" t="n">
        <x:v>12218946.130230995</x:v>
      </x:c>
      <x:c r="M407" s="37" t="n">
        <x:v>0</x:v>
      </x:c>
      <x:c r="N407" s="37" t="n">
        <x:v>0</x:v>
      </x:c>
      <x:c r="O407" s="37" t="n">
        <x:v>69.70829186635092</x:v>
      </x:c>
      <x:c r="P407" s="37" t="n">
        <x:v>0</x:v>
      </x:c>
      <x:c r="Q407" s="37" t="n">
        <x:v>0</x:v>
      </x:c>
      <x:c r="R407" s="37" t="n">
        <x:v>0</x:v>
      </x:c>
      <x:c r="S407" s="37" t="n">
        <x:v>0</x:v>
      </x:c>
      <x:c r="T407" s="37" t="n">
        <x:v>0</x:v>
      </x:c>
      <x:c r="U407" s="37" t="n">
        <x:v>63750</x:v>
      </x:c>
      <x:c r="V407" s="37" t="n">
        <x:v>0</x:v>
      </x:c>
      <x:c r="W407" s="37" t="n">
        <x:v>9670.754171937006</x:v>
      </x:c>
      <x:c r="X407" s="37" t="n">
        <x:v>0</x:v>
      </x:c>
      <x:c r="Y407" s="37" t="n">
        <x:v>1174.7193167256753</x:v>
      </x:c>
      <x:c r="Z407" s="37" t="n">
        <x:v>0</x:v>
      </x:c>
      <x:c r="AA407" s="37" t="n">
        <x:v>0</x:v>
      </x:c>
      <x:c r="AB407" s="37" t="n">
        <x:v>0</x:v>
      </x:c>
      <x:c r="AC407" s="37" t="n">
        <x:v>1272246.0348552114</x:v>
      </x:c>
      <x:c r="AD407" s="37" t="n">
        <x:v>0</x:v>
      </x:c>
      <x:c r="AE407" s="37" t="n">
        <x:v>0</x:v>
      </x:c>
      <x:c r="AF407" s="47" t="b">
        <x:v>0</x:v>
      </x:c>
      <x:c r="AG407" s="47" t="b">
        <x:v>0</x:v>
      </x:c>
      <x:c r="AH407" s="48" t="n">
        <x:v>0</x:v>
      </x:c>
      <x:c r="AI407" s="48" t="n">
        <x:v>1.1920928955078125e-7</x:v>
      </x:c>
      <x:c r="AJ407" s="37" t="str">
        <x:v>passed</x:v>
      </x:c>
    </x:row>
    <x:row r="408" ht="21" customHeight="1">
      <x:c r="A408" s="2"/>
      <x:c r="B408" s="2"/>
      <x:c r="C408" s="2" t="str">
        <x:v>2022</x:v>
      </x:c>
      <x:c r="D408" s="5" t="n">
        <x:v>44707</x:v>
      </x:c>
      <x:c r="E408" s="2" t="str">
        <x:v>duration</x:v>
      </x:c>
      <x:c r="F408" s="37" t="n">
        <x:v>9347173.223271243</x:v>
      </x:c>
      <x:c r="G408" s="37" t="n">
        <x:v>3630195.575867503</x:v>
      </x:c>
      <x:c r="H408" s="37" t="n">
        <x:v>21013.59117885152</x:v>
      </x:c>
      <x:c r="I408" s="37" t="n">
        <x:v>3609181.9846886513</x:v>
      </x:c>
      <x:c r="J408" s="37" t="n">
        <x:v>10946700.095375784</x:v>
      </x:c>
      <x:c r="K408" s="37" t="n">
        <x:v>7316504.519508281</x:v>
      </x:c>
      <x:c r="L408" s="37" t="n">
        <x:v>12977368.799138747</x:v>
      </x:c>
      <x:c r="M408" s="37" t="n">
        <x:v>0</x:v>
      </x:c>
      <x:c r="N408" s="37" t="n">
        <x:v>0</x:v>
      </x:c>
      <x:c r="O408" s="37" t="n">
        <x:v>512.145812464878</x:v>
      </x:c>
      <x:c r="P408" s="37" t="n">
        <x:v>0</x:v>
      </x:c>
      <x:c r="Q408" s="37" t="n">
        <x:v>0</x:v>
      </x:c>
      <x:c r="R408" s="37" t="n">
        <x:v>0</x:v>
      </x:c>
      <x:c r="S408" s="37" t="n">
        <x:v>0</x:v>
      </x:c>
      <x:c r="T408" s="37" t="n">
        <x:v>0</x:v>
      </x:c>
      <x:c r="U408" s="37" t="n">
        <x:v>6645.098252371114</x:v>
      </x:c>
      <x:c r="V408" s="37" t="n">
        <x:v>0</x:v>
      </x:c>
      <x:c r="W408" s="37" t="n">
        <x:v>72904.92549037747</x:v>
      </x:c>
      <x:c r="X408" s="37" t="n">
        <x:v>0</x:v>
      </x:c>
      <x:c r="Y408" s="37" t="n">
        <x:v>1989.7428739298557</x:v>
      </x:c>
      <x:c r="Z408" s="37" t="n">
        <x:v>7462834.609898446</x:v>
      </x:c>
      <x:c r="AA408" s="37" t="n">
        <x:v>0</x:v>
      </x:c>
      <x:c r="AB408" s="37" t="n">
        <x:v>7462834.609898446</x:v>
      </x:c>
      <x:c r="AC408" s="37" t="n">
        <x:v>1884338.6133727971</x:v>
      </x:c>
      <x:c r="AD408" s="37" t="n">
        <x:v>0</x:v>
      </x:c>
      <x:c r="AE408" s="37" t="n">
        <x:v>0</x:v>
      </x:c>
      <x:c r="AF408" s="47" t="b">
        <x:v>0</x:v>
      </x:c>
      <x:c r="AG408" s="47" t="b">
        <x:v>0</x:v>
      </x:c>
      <x:c r="AH408" s="48" t="n">
        <x:v>0</x:v>
      </x:c>
      <x:c r="AI408" s="48" t="n">
        <x:v>1.1920928955078125e-7</x:v>
      </x:c>
      <x:c r="AJ408" s="37" t="str">
        <x:v>passed</x:v>
      </x:c>
    </x:row>
    <x:row r="409" ht="21" customHeight="1">
      <x:c r="A409" s="2"/>
      <x:c r="B409" s="2"/>
      <x:c r="C409" s="2" t="str">
        <x:v>2022</x:v>
      </x:c>
      <x:c r="D409" s="5" t="n">
        <x:v>44707</x:v>
      </x:c>
      <x:c r="E409" s="2" t="str">
        <x:v>unweighted</x:v>
      </x:c>
      <x:c r="F409" s="37" t="n">
        <x:v>12204181.290718526</x:v>
      </x:c>
      <x:c r="G409" s="37" t="n">
        <x:v>786896.9000154057</x:v>
      </x:c>
      <x:c r="H409" s="37" t="n">
        <x:v>-5427.435949585887</x:v>
      </x:c>
      <x:c r="I409" s="37" t="n">
        <x:v>792324.3359649916</x:v>
      </x:c>
      <x:c r="J409" s="37" t="n">
        <x:v>10947710.8668717</x:v>
      </x:c>
      <x:c r="K409" s="37" t="n">
        <x:v>10160813.966856293</x:v>
      </x:c>
      <x:c r="L409" s="37" t="n">
        <x:v>12991078.190733932</x:v>
      </x:c>
      <x:c r="M409" s="37" t="n">
        <x:v>0</x:v>
      </x:c>
      <x:c r="N409" s="37" t="n">
        <x:v>0</x:v>
      </x:c>
      <x:c r="O409" s="37" t="n">
        <x:v>668.6856221985072</x:v>
      </x:c>
      <x:c r="P409" s="37" t="n">
        <x:v>0</x:v>
      </x:c>
      <x:c r="Q409" s="37" t="n">
        <x:v>0</x:v>
      </x:c>
      <x:c r="R409" s="37" t="n">
        <x:v>0</x:v>
      </x:c>
      <x:c r="S409" s="37" t="n">
        <x:v>0</x:v>
      </x:c>
      <x:c r="T409" s="37" t="n">
        <x:v>0</x:v>
      </x:c>
      <x:c r="U409" s="37" t="n">
        <x:v>26542.370640628425</x:v>
      </x:c>
      <x:c r="V409" s="37" t="n">
        <x:v>0</x:v>
      </x:c>
      <x:c r="W409" s="37" t="n">
        <x:v>94587.56609903276</x:v>
      </x:c>
      <x:c r="X409" s="37" t="n">
        <x:v>0</x:v>
      </x:c>
      <x:c r="Y409" s="37" t="n">
        <x:v>2264.4056061592814</x:v>
      </x:c>
      <x:c r="Z409" s="37" t="n">
        <x:v>10364030.24619342</x:v>
      </x:c>
      <x:c r="AA409" s="37" t="n">
        <x:v>0</x:v>
      </x:c>
      <x:c r="AB409" s="37" t="n">
        <x:v>10364030.24619342</x:v>
      </x:c>
      <x:c r="AC409" s="37" t="n">
        <x:v>1840151.0445251055</x:v>
      </x:c>
      <x:c r="AD409" s="37" t="n">
        <x:v>0</x:v>
      </x:c>
      <x:c r="AE409" s="37" t="n">
        <x:v>0</x:v>
      </x:c>
      <x:c r="AF409" s="47" t="b">
        <x:v>0</x:v>
      </x:c>
      <x:c r="AG409" s="47" t="b">
        <x:v>0</x:v>
      </x:c>
      <x:c r="AH409" s="48" t="n">
        <x:v>0</x:v>
      </x:c>
      <x:c r="AI409" s="48" t="n">
        <x:v>1.1920928955078125e-7</x:v>
      </x:c>
      <x:c r="AJ409" s="37" t="str">
        <x:v>passed</x:v>
      </x:c>
    </x:row>
    <x:row r="410" ht="21" customHeight="1">
      <x:c r="A410" s="2"/>
      <x:c r="B410" s="2"/>
      <x:c r="C410" s="2" t="str">
        <x:v>2022</x:v>
      </x:c>
      <x:c r="D410" s="5" t="n">
        <x:v>44707</x:v>
      </x:c>
      <x:c r="E410" s="2" t="str">
        <x:v>constrained</x:v>
      </x:c>
      <x:c r="F410" s="37" t="n">
        <x:v>13120560.336944943</x:v>
      </x:c>
      <x:c r="G410" s="37" t="n">
        <x:v>-70847.4779831314</x:v>
      </x:c>
      <x:c r="H410" s="37" t="n">
        <x:v>-8876.482457831145</x:v>
      </x:c>
      <x:c r="I410" s="37" t="n">
        <x:v>-61970.99552530025</x:v>
      </x:c>
      <x:c r="J410" s="37" t="n">
        <x:v>10947112.762580626</x:v>
      </x:c>
      <x:c r="K410" s="37" t="n">
        <x:v>11017960.240563758</x:v>
      </x:c>
      <x:c r="L410" s="37" t="n">
        <x:v>13049712.858961811</x:v>
      </x:c>
      <x:c r="M410" s="37" t="n">
        <x:v>0</x:v>
      </x:c>
      <x:c r="N410" s="37" t="n">
        <x:v>0</x:v>
      </x:c>
      <x:c r="O410" s="37" t="n">
        <x:v>718.895421454683</x:v>
      </x:c>
      <x:c r="P410" s="37" t="n">
        <x:v>0</x:v>
      </x:c>
      <x:c r="Q410" s="37" t="n">
        <x:v>0</x:v>
      </x:c>
      <x:c r="R410" s="37" t="n">
        <x:v>0</x:v>
      </x:c>
      <x:c r="S410" s="37" t="n">
        <x:v>0</x:v>
      </x:c>
      <x:c r="T410" s="37" t="n">
        <x:v>0</x:v>
      </x:c>
      <x:c r="U410" s="37" t="n">
        <x:v>25142.007767766598</x:v>
      </x:c>
      <x:c r="V410" s="37" t="n">
        <x:v>0</x:v>
      </x:c>
      <x:c r="W410" s="37" t="n">
        <x:v>102451.40736995451</x:v>
      </x:c>
      <x:c r="X410" s="37" t="n">
        <x:v>0</x:v>
      </x:c>
      <x:c r="Y410" s="37" t="n">
        <x:v>2369.8244641980114</x:v>
      </x:c>
      <x:c r="Z410" s="37" t="n">
        <x:v>11238319.445375033</x:v>
      </x:c>
      <x:c r="AA410" s="37" t="n">
        <x:v>0</x:v>
      </x:c>
      <x:c r="AB410" s="37" t="n">
        <x:v>11238319.445375033</x:v>
      </x:c>
      <x:c r="AC410" s="37" t="n">
        <x:v>1882240.8915699106</x:v>
      </x:c>
      <x:c r="AD410" s="37" t="n">
        <x:v>0</x:v>
      </x:c>
      <x:c r="AE410" s="37" t="n">
        <x:v>0</x:v>
      </x:c>
      <x:c r="AF410" s="47" t="b">
        <x:v>0</x:v>
      </x:c>
      <x:c r="AG410" s="47" t="b">
        <x:v>0</x:v>
      </x:c>
      <x:c r="AH410" s="48" t="n">
        <x:v>0</x:v>
      </x:c>
      <x:c r="AI410" s="48" t="n">
        <x:v>1.1920928955078125e-7</x:v>
      </x:c>
      <x:c r="AJ410" s="37" t="str">
        <x:v>passed</x:v>
      </x:c>
    </x:row>
    <x:row r="411" ht="21" customHeight="1">
      <x:c r="A411" s="2"/>
      <x:c r="B411" s="2"/>
      <x:c r="C411" s="2" t="str">
        <x:v>2022</x:v>
      </x:c>
      <x:c r="D411" s="5" t="n">
        <x:v>44708</x:v>
      </x:c>
      <x:c r="E411" s="2" t="str">
        <x:v>unhedged</x:v>
      </x:c>
      <x:c r="F411" s="37" t="n">
        <x:v>1272315.7469667105</x:v>
      </x:c>
      <x:c r="G411" s="37" t="n">
        <x:v>10946404.881669592</x:v>
      </x:c>
      <x:c r="H411" s="37" t="n">
        <x:v>24777.31653855393</x:v>
      </x:c>
      <x:c r="I411" s="37" t="n">
        <x:v>10921627.565131038</x:v>
      </x:c>
      <x:c r="J411" s="37" t="n">
        <x:v>10946404.881669592</x:v>
      </x:c>
      <x:c r="K411" s="37" t="n">
        <x:v>0</x:v>
      </x:c>
      <x:c r="L411" s="37" t="n">
        <x:v>12218720.628636302</x:v>
      </x:c>
      <x:c r="M411" s="37" t="n">
        <x:v>0</x:v>
      </x:c>
      <x:c r="N411" s="37" t="n">
        <x:v>0</x:v>
      </x:c>
      <x:c r="O411" s="37" t="n">
        <x:v>69.71211149916053</x:v>
      </x:c>
      <x:c r="P411" s="37" t="n">
        <x:v>0</x:v>
      </x:c>
      <x:c r="Q411" s="37" t="n">
        <x:v>0</x:v>
      </x:c>
      <x:c r="R411" s="37" t="n">
        <x:v>0</x:v>
      </x:c>
      <x:c r="S411" s="37" t="n">
        <x:v>0</x:v>
      </x:c>
      <x:c r="T411" s="37" t="n">
        <x:v>0</x:v>
      </x:c>
      <x:c r="U411" s="37" t="n">
        <x:v>63750</x:v>
      </x:c>
      <x:c r="V411" s="37" t="n">
        <x:v>0</x:v>
      </x:c>
      <x:c r="W411" s="37" t="n">
        <x:v>9740.466283436166</x:v>
      </x:c>
      <x:c r="X411" s="37" t="n">
        <x:v>0</x:v>
      </x:c>
      <x:c r="Y411" s="37" t="n">
        <x:v>1174.7193167256753</x:v>
      </x:c>
      <x:c r="Z411" s="37" t="n">
        <x:v>0</x:v>
      </x:c>
      <x:c r="AA411" s="37" t="n">
        <x:v>0</x:v>
      </x:c>
      <x:c r="AB411" s="37" t="n">
        <x:v>0</x:v>
      </x:c>
      <x:c r="AC411" s="37" t="n">
        <x:v>1272315.7469667105</x:v>
      </x:c>
      <x:c r="AD411" s="37" t="n">
        <x:v>0</x:v>
      </x:c>
      <x:c r="AE411" s="37" t="n">
        <x:v>0</x:v>
      </x:c>
      <x:c r="AF411" s="47" t="b">
        <x:v>0</x:v>
      </x:c>
      <x:c r="AG411" s="47" t="b">
        <x:v>0</x:v>
      </x:c>
      <x:c r="AH411" s="48" t="n">
        <x:v>0</x:v>
      </x:c>
      <x:c r="AI411" s="48" t="n">
        <x:v>1.1920928955078125e-7</x:v>
      </x:c>
      <x:c r="AJ411" s="37" t="str">
        <x:v>passed</x:v>
      </x:c>
    </x:row>
    <x:row r="412" ht="21" customHeight="1">
      <x:c r="A412" s="2"/>
      <x:c r="B412" s="2"/>
      <x:c r="C412" s="2" t="str">
        <x:v>2022</x:v>
      </x:c>
      <x:c r="D412" s="5" t="n">
        <x:v>44708</x:v>
      </x:c>
      <x:c r="E412" s="2" t="str">
        <x:v>duration</x:v>
      </x:c>
      <x:c r="F412" s="37" t="n">
        <x:v>9347685.397146491</x:v>
      </x:c>
      <x:c r="G412" s="37" t="n">
        <x:v>3626514.898433147</x:v>
      </x:c>
      <x:c r="H412" s="37" t="n">
        <x:v>21053.08381588248</x:v>
      </x:c>
      <x:c r="I412" s="37" t="n">
        <x:v>3605461.8146172646</x:v>
      </x:c>
      <x:c r="J412" s="37" t="n">
        <x:v>10946404.881669592</x:v>
      </x:c>
      <x:c r="K412" s="37" t="n">
        <x:v>7319889.983236445</x:v>
      </x:c>
      <x:c r="L412" s="37" t="n">
        <x:v>12974200.295579638</x:v>
      </x:c>
      <x:c r="M412" s="37" t="n">
        <x:v>0</x:v>
      </x:c>
      <x:c r="N412" s="37" t="n">
        <x:v>0</x:v>
      </x:c>
      <x:c r="O412" s="37" t="n">
        <x:v>512.1738752480596</x:v>
      </x:c>
      <x:c r="P412" s="37" t="n">
        <x:v>0</x:v>
      </x:c>
      <x:c r="Q412" s="37" t="n">
        <x:v>0</x:v>
      </x:c>
      <x:c r="R412" s="37" t="n">
        <x:v>0</x:v>
      </x:c>
      <x:c r="S412" s="37" t="n">
        <x:v>0</x:v>
      </x:c>
      <x:c r="T412" s="37" t="n">
        <x:v>0</x:v>
      </x:c>
      <x:c r="U412" s="37" t="n">
        <x:v>6645.098252371114</x:v>
      </x:c>
      <x:c r="V412" s="37" t="n">
        <x:v>0</x:v>
      </x:c>
      <x:c r="W412" s="37" t="n">
        <x:v>73417.09936562553</x:v>
      </x:c>
      <x:c r="X412" s="37" t="n">
        <x:v>0</x:v>
      </x:c>
      <x:c r="Y412" s="37" t="n">
        <x:v>1989.7428739298557</x:v>
      </x:c>
      <x:c r="Z412" s="37" t="n">
        <x:v>7466287.782901174</x:v>
      </x:c>
      <x:c r="AA412" s="37" t="n">
        <x:v>0</x:v>
      </x:c>
      <x:c r="AB412" s="37" t="n">
        <x:v>7466287.782901174</x:v>
      </x:c>
      <x:c r="AC412" s="37" t="n">
        <x:v>1881397.614245317</x:v>
      </x:c>
      <x:c r="AD412" s="37" t="n">
        <x:v>0</x:v>
      </x:c>
      <x:c r="AE412" s="37" t="n">
        <x:v>0</x:v>
      </x:c>
      <x:c r="AF412" s="47" t="b">
        <x:v>0</x:v>
      </x:c>
      <x:c r="AG412" s="47" t="b">
        <x:v>0</x:v>
      </x:c>
      <x:c r="AH412" s="48" t="n">
        <x:v>0</x:v>
      </x:c>
      <x:c r="AI412" s="48" t="n">
        <x:v>1.1920928955078125e-7</x:v>
      </x:c>
      <x:c r="AJ412" s="37" t="str">
        <x:v>passed</x:v>
      </x:c>
    </x:row>
    <x:row r="413" ht="21" customHeight="1">
      <x:c r="A413" s="2"/>
      <x:c r="B413" s="2"/>
      <x:c r="C413" s="2" t="str">
        <x:v>2022</x:v>
      </x:c>
      <x:c r="D413" s="5" t="n">
        <x:v>44708</x:v>
      </x:c>
      <x:c r="E413" s="2" t="str">
        <x:v>unweighted</x:v>
      </x:c>
      <x:c r="F413" s="37" t="n">
        <x:v>12204850.012981031</x:v>
      </x:c>
      <x:c r="G413" s="37" t="n">
        <x:v>786429.8452224581</x:v>
      </x:c>
      <x:c r="H413" s="37" t="n">
        <x:v>-5435.910696956238</x:v>
      </x:c>
      <x:c r="I413" s="37" t="n">
        <x:v>791865.7559194143</x:v>
      </x:c>
      <x:c r="J413" s="37" t="n">
        <x:v>10947417.965710685</x:v>
      </x:c>
      <x:c r="K413" s="37" t="n">
        <x:v>10160988.120488226</x:v>
      </x:c>
      <x:c r="L413" s="37" t="n">
        <x:v>12991279.85820349</x:v>
      </x:c>
      <x:c r="M413" s="37" t="n">
        <x:v>0</x:v>
      </x:c>
      <x:c r="N413" s="37" t="n">
        <x:v>0</x:v>
      </x:c>
      <x:c r="O413" s="37" t="n">
        <x:v>668.7222625054419</x:v>
      </x:c>
      <x:c r="P413" s="37" t="n">
        <x:v>0</x:v>
      </x:c>
      <x:c r="Q413" s="37" t="n">
        <x:v>0</x:v>
      </x:c>
      <x:c r="R413" s="37" t="n">
        <x:v>0</x:v>
      </x:c>
      <x:c r="S413" s="37" t="n">
        <x:v>0</x:v>
      </x:c>
      <x:c r="T413" s="37" t="n">
        <x:v>0</x:v>
      </x:c>
      <x:c r="U413" s="37" t="n">
        <x:v>26542.370640628425</x:v>
      </x:c>
      <x:c r="V413" s="37" t="n">
        <x:v>0</x:v>
      </x:c>
      <x:c r="W413" s="37" t="n">
        <x:v>95256.2883615382</x:v>
      </x:c>
      <x:c r="X413" s="37" t="n">
        <x:v>0</x:v>
      </x:c>
      <x:c r="Y413" s="37" t="n">
        <x:v>2264.4056061592814</x:v>
      </x:c>
      <x:c r="Z413" s="37" t="n">
        <x:v>10364207.882897992</x:v>
      </x:c>
      <x:c r="AA413" s="37" t="n">
        <x:v>0</x:v>
      </x:c>
      <x:c r="AB413" s="37" t="n">
        <x:v>10364207.882897992</x:v>
      </x:c>
      <x:c r="AC413" s="37" t="n">
        <x:v>1840642.1300830394</x:v>
      </x:c>
      <x:c r="AD413" s="37" t="n">
        <x:v>0</x:v>
      </x:c>
      <x:c r="AE413" s="37" t="n">
        <x:v>0</x:v>
      </x:c>
      <x:c r="AF413" s="47" t="b">
        <x:v>0</x:v>
      </x:c>
      <x:c r="AG413" s="47" t="b">
        <x:v>0</x:v>
      </x:c>
      <x:c r="AH413" s="48" t="n">
        <x:v>0</x:v>
      </x:c>
      <x:c r="AI413" s="48" t="n">
        <x:v>1.1920928955078125e-7</x:v>
      </x:c>
      <x:c r="AJ413" s="37" t="str">
        <x:v>passed</x:v>
      </x:c>
    </x:row>
    <x:row r="414" ht="21" customHeight="1">
      <x:c r="A414" s="2"/>
      <x:c r="B414" s="2"/>
      <x:c r="C414" s="2" t="str">
        <x:v>2022</x:v>
      </x:c>
      <x:c r="D414" s="5" t="n">
        <x:v>44708</x:v>
      </x:c>
      <x:c r="E414" s="2" t="str">
        <x:v>constrained</x:v>
      </x:c>
      <x:c r="F414" s="37" t="n">
        <x:v>13121279.271757927</x:v>
      </x:c>
      <x:c r="G414" s="37" t="n">
        <x:v>-71155.80845015905</x:v>
      </x:c>
      <x:c r="H414" s="37" t="n">
        <x:v>-8911.581032099439</x:v>
      </x:c>
      <x:c r="I414" s="37" t="n">
        <x:v>-62244.227418059614</x:v>
      </x:c>
      <x:c r="J414" s="37" t="n">
        <x:v>10946818.49301617</x:v>
      </x:c>
      <x:c r="K414" s="37" t="n">
        <x:v>11017974.301466329</x:v>
      </x:c>
      <x:c r="L414" s="37" t="n">
        <x:v>13050123.463307768</x:v>
      </x:c>
      <x:c r="M414" s="37" t="n">
        <x:v>0</x:v>
      </x:c>
      <x:c r="N414" s="37" t="n">
        <x:v>0</x:v>
      </x:c>
      <x:c r="O414" s="37" t="n">
        <x:v>718.934812983498</x:v>
      </x:c>
      <x:c r="P414" s="37" t="n">
        <x:v>0</x:v>
      </x:c>
      <x:c r="Q414" s="37" t="n">
        <x:v>0</x:v>
      </x:c>
      <x:c r="R414" s="37" t="n">
        <x:v>0</x:v>
      </x:c>
      <x:c r="S414" s="37" t="n">
        <x:v>0</x:v>
      </x:c>
      <x:c r="T414" s="37" t="n">
        <x:v>0</x:v>
      </x:c>
      <x:c r="U414" s="37" t="n">
        <x:v>25142.007767766598</x:v>
      </x:c>
      <x:c r="V414" s="37" t="n">
        <x:v>0</x:v>
      </x:c>
      <x:c r="W414" s="37" t="n">
        <x:v>103170.34218293801</x:v>
      </x:c>
      <x:c r="X414" s="37" t="n">
        <x:v>0</x:v>
      </x:c>
      <x:c r="Y414" s="37" t="n">
        <x:v>2369.8244641980114</x:v>
      </x:c>
      <x:c r="Z414" s="37" t="n">
        <x:v>11238333.787495656</x:v>
      </x:c>
      <x:c r="AA414" s="37" t="n">
        <x:v>0</x:v>
      </x:c>
      <x:c r="AB414" s="37" t="n">
        <x:v>11238333.787495656</x:v>
      </x:c>
      <x:c r="AC414" s="37" t="n">
        <x:v>1882945.4842622709</x:v>
      </x:c>
      <x:c r="AD414" s="37" t="n">
        <x:v>0</x:v>
      </x:c>
      <x:c r="AE414" s="37" t="n">
        <x:v>0</x:v>
      </x:c>
      <x:c r="AF414" s="47" t="b">
        <x:v>0</x:v>
      </x:c>
      <x:c r="AG414" s="47" t="b">
        <x:v>0</x:v>
      </x:c>
      <x:c r="AH414" s="48" t="n">
        <x:v>0</x:v>
      </x:c>
      <x:c r="AI414" s="48" t="n">
        <x:v>1.1920928955078125e-7</x:v>
      </x:c>
      <x:c r="AJ414" s="37" t="str">
        <x:v>passed</x:v>
      </x:c>
    </x:row>
    <x:row r="415" ht="21" customHeight="1">
      <x:c r="A415" s="2"/>
      <x:c r="B415" s="2"/>
      <x:c r="C415" s="2" t="str">
        <x:v>2022</x:v>
      </x:c>
      <x:c r="D415" s="5" t="n">
        <x:v>44712</x:v>
      </x:c>
      <x:c r="E415" s="2" t="str">
        <x:v>unhedged</x:v>
      </x:c>
      <x:c r="F415" s="37" t="n">
        <x:v>1272594.6336132167</x:v>
      </x:c>
      <x:c r="G415" s="37" t="n">
        <x:v>10885707.804859193</x:v>
      </x:c>
      <x:c r="H415" s="37" t="n">
        <x:v>26176.697994234928</x:v>
      </x:c>
      <x:c r="I415" s="37" t="n">
        <x:v>10859531.106864959</x:v>
      </x:c>
      <x:c r="J415" s="37" t="n">
        <x:v>10885707.804859193</x:v>
      </x:c>
      <x:c r="K415" s="37" t="n">
        <x:v>0</x:v>
      </x:c>
      <x:c r="L415" s="37" t="n">
        <x:v>12158302.438472409</x:v>
      </x:c>
      <x:c r="M415" s="37" t="n">
        <x:v>0</x:v>
      </x:c>
      <x:c r="N415" s="37" t="n">
        <x:v>0</x:v>
      </x:c>
      <x:c r="O415" s="37" t="n">
        <x:v>278.88664650614373</x:v>
      </x:c>
      <x:c r="P415" s="37" t="n">
        <x:v>0</x:v>
      </x:c>
      <x:c r="Q415" s="37" t="n">
        <x:v>0</x:v>
      </x:c>
      <x:c r="R415" s="37" t="n">
        <x:v>0</x:v>
      </x:c>
      <x:c r="S415" s="37" t="n">
        <x:v>0</x:v>
      </x:c>
      <x:c r="T415" s="37" t="n">
        <x:v>0</x:v>
      </x:c>
      <x:c r="U415" s="37" t="n">
        <x:v>63750</x:v>
      </x:c>
      <x:c r="V415" s="37" t="n">
        <x:v>0</x:v>
      </x:c>
      <x:c r="W415" s="37" t="n">
        <x:v>10019.35292994231</x:v>
      </x:c>
      <x:c r="X415" s="37" t="n">
        <x:v>0</x:v>
      </x:c>
      <x:c r="Y415" s="37" t="n">
        <x:v>1174.7193167256753</x:v>
      </x:c>
      <x:c r="Z415" s="37" t="n">
        <x:v>0</x:v>
      </x:c>
      <x:c r="AA415" s="37" t="n">
        <x:v>0</x:v>
      </x:c>
      <x:c r="AB415" s="37" t="n">
        <x:v>0</x:v>
      </x:c>
      <x:c r="AC415" s="37" t="n">
        <x:v>1272594.6336132167</x:v>
      </x:c>
      <x:c r="AD415" s="37" t="n">
        <x:v>0</x:v>
      </x:c>
      <x:c r="AE415" s="37" t="n">
        <x:v>0</x:v>
      </x:c>
      <x:c r="AF415" s="47" t="b">
        <x:v>0</x:v>
      </x:c>
      <x:c r="AG415" s="47" t="b">
        <x:v>0</x:v>
      </x:c>
      <x:c r="AH415" s="48" t="n">
        <x:v>0</x:v>
      </x:c>
      <x:c r="AI415" s="48" t="n">
        <x:v>1.1920928955078125e-7</x:v>
      </x:c>
      <x:c r="AJ415" s="37" t="str">
        <x:v>passed</x:v>
      </x:c>
    </x:row>
    <x:row r="416" ht="21" customHeight="1">
      <x:c r="A416" s="2"/>
      <x:c r="B416" s="2"/>
      <x:c r="C416" s="2" t="str">
        <x:v>2022</x:v>
      </x:c>
      <x:c r="D416" s="5" t="n">
        <x:v>44712</x:v>
      </x:c>
      <x:c r="E416" s="2" t="str">
        <x:v>duration</x:v>
      </x:c>
      <x:c r="F416" s="37" t="n">
        <x:v>9349734.373306083</x:v>
      </x:c>
      <x:c r="G416" s="37" t="n">
        <x:v>3633023.3819843866</x:v>
      </x:c>
      <x:c r="H416" s="37" t="n">
        <x:v>21211.05436400633</x:v>
      </x:c>
      <x:c r="I416" s="37" t="n">
        <x:v>3611812.32762038</x:v>
      </x:c>
      <x:c r="J416" s="37" t="n">
        <x:v>10885707.804859193</x:v>
      </x:c>
      <x:c r="K416" s="37" t="n">
        <x:v>7252684.422874806</x:v>
      </x:c>
      <x:c r="L416" s="37" t="n">
        <x:v>12982757.75529047</x:v>
      </x:c>
      <x:c r="M416" s="37" t="n">
        <x:v>0</x:v>
      </x:c>
      <x:c r="N416" s="37" t="n">
        <x:v>0</x:v>
      </x:c>
      <x:c r="O416" s="37" t="n">
        <x:v>2048.9761595912278</x:v>
      </x:c>
      <x:c r="P416" s="37" t="n">
        <x:v>0</x:v>
      </x:c>
      <x:c r="Q416" s="37" t="n">
        <x:v>0</x:v>
      </x:c>
      <x:c r="R416" s="37" t="n">
        <x:v>0</x:v>
      </x:c>
      <x:c r="S416" s="37" t="n">
        <x:v>0</x:v>
      </x:c>
      <x:c r="T416" s="37" t="n">
        <x:v>0</x:v>
      </x:c>
      <x:c r="U416" s="37" t="n">
        <x:v>6645.098252371114</x:v>
      </x:c>
      <x:c r="V416" s="37" t="n">
        <x:v>0</x:v>
      </x:c>
      <x:c r="W416" s="37" t="n">
        <x:v>75466.07552521676</x:v>
      </x:c>
      <x:c r="X416" s="37" t="n">
        <x:v>0</x:v>
      </x:c>
      <x:c r="Y416" s="37" t="n">
        <x:v>1989.7428739298557</x:v>
      </x:c>
      <x:c r="Z416" s="37" t="n">
        <x:v>7397738.111332303</x:v>
      </x:c>
      <x:c r="AA416" s="37" t="n">
        <x:v>0</x:v>
      </x:c>
      <x:c r="AB416" s="37" t="n">
        <x:v>7397738.111332303</x:v>
      </x:c>
      <x:c r="AC416" s="37" t="n">
        <x:v>1951996.2619737796</x:v>
      </x:c>
      <x:c r="AD416" s="37" t="n">
        <x:v>0</x:v>
      </x:c>
      <x:c r="AE416" s="37" t="n">
        <x:v>0</x:v>
      </x:c>
      <x:c r="AF416" s="47" t="b">
        <x:v>0</x:v>
      </x:c>
      <x:c r="AG416" s="47" t="b">
        <x:v>0</x:v>
      </x:c>
      <x:c r="AH416" s="48" t="n">
        <x:v>0</x:v>
      </x:c>
      <x:c r="AI416" s="48" t="n">
        <x:v>1.1920928955078125e-7</x:v>
      </x:c>
      <x:c r="AJ416" s="37" t="str">
        <x:v>passed</x:v>
      </x:c>
    </x:row>
    <x:row r="417" ht="21" customHeight="1">
      <x:c r="A417" s="2"/>
      <x:c r="B417" s="2"/>
      <x:c r="C417" s="2" t="str">
        <x:v>2022</x:v>
      </x:c>
      <x:c r="D417" s="5" t="n">
        <x:v>44712</x:v>
      </x:c>
      <x:c r="E417" s="2" t="str">
        <x:v>unweighted</x:v>
      </x:c>
      <x:c r="F417" s="37" t="n">
        <x:v>12179114.206824869</x:v>
      </x:c>
      <x:c r="G417" s="37" t="n">
        <x:v>811262.7217405316</x:v>
      </x:c>
      <x:c r="H417" s="37" t="n">
        <x:v>22941.251962985225</x:v>
      </x:c>
      <x:c r="I417" s="37" t="n">
        <x:v>788321.4697775464</x:v>
      </x:c>
      <x:c r="J417" s="37" t="n">
        <x:v>10886704.548465764</x:v>
      </x:c>
      <x:c r="K417" s="37" t="n">
        <x:v>10075441.826725233</x:v>
      </x:c>
      <x:c r="L417" s="37" t="n">
        <x:v>12990376.9285654</x:v>
      </x:c>
      <x:c r="M417" s="37" t="n">
        <x:v>-28411.061649422838</x:v>
      </x:c>
      <x:c r="N417" s="37" t="n">
        <x:v>0</x:v>
      </x:c>
      <x:c r="O417" s="37" t="n">
        <x:v>2675.25549326092</x:v>
      </x:c>
      <x:c r="P417" s="37" t="n">
        <x:v>0</x:v>
      </x:c>
      <x:c r="Q417" s="37" t="n">
        <x:v>0</x:v>
      </x:c>
      <x:c r="R417" s="37" t="n">
        <x:v>0</x:v>
      </x:c>
      <x:c r="S417" s="37" t="n">
        <x:v>0</x:v>
      </x:c>
      <x:c r="T417" s="37" t="n">
        <x:v>0</x:v>
      </x:c>
      <x:c r="U417" s="37" t="n">
        <x:v>-1868.6910087944125</x:v>
      </x:c>
      <x:c r="V417" s="37" t="n">
        <x:v>0</x:v>
      </x:c>
      <x:c r="W417" s="37" t="n">
        <x:v>97931.54385479912</x:v>
      </x:c>
      <x:c r="X417" s="37" t="n">
        <x:v>0</x:v>
      </x:c>
      <x:c r="Y417" s="37" t="n">
        <x:v>2264.4056061592814</x:v>
      </x:c>
      <x:c r="Z417" s="37" t="n">
        <x:v>10276950.663259739</x:v>
      </x:c>
      <x:c r="AA417" s="37" t="n">
        <x:v>0</x:v>
      </x:c>
      <x:c r="AB417" s="37" t="n">
        <x:v>10276950.663259739</x:v>
      </x:c>
      <x:c r="AC417" s="37" t="n">
        <x:v>1902163.5435651299</x:v>
      </x:c>
      <x:c r="AD417" s="37" t="n">
        <x:v>0</x:v>
      </x:c>
      <x:c r="AE417" s="37" t="n">
        <x:v>0</x:v>
      </x:c>
      <x:c r="AF417" s="47" t="b">
        <x:v>0</x:v>
      </x:c>
      <x:c r="AG417" s="47" t="b">
        <x:v>0</x:v>
      </x:c>
      <x:c r="AH417" s="48" t="n">
        <x:v>-2.546585164964199e-10</x:v>
      </x:c>
      <x:c r="AI417" s="48" t="n">
        <x:v>1.1920928955078125e-7</x:v>
      </x:c>
      <x:c r="AJ417" s="37" t="str">
        <x:v>passed</x:v>
      </x:c>
    </x:row>
    <x:row r="418" ht="21" customHeight="1">
      <x:c r="A418" s="2"/>
      <x:c r="B418" s="2"/>
      <x:c r="C418" s="2" t="str">
        <x:v>2022</x:v>
      </x:c>
      <x:c r="D418" s="5" t="n">
        <x:v>44712</x:v>
      </x:c>
      <x:c r="E418" s="2" t="str">
        <x:v>constrained</x:v>
      </x:c>
      <x:c r="F418" s="37" t="n">
        <x:v>13092283.948360773</x:v>
      </x:c>
      <x:c r="G418" s="37" t="n">
        <x:v>-39606.1424358984</x:v>
      </x:c>
      <x:c r="H418" s="37" t="n">
        <x:v>22819.481278388543</x:v>
      </x:c>
      <x:c r="I418" s="37" t="n">
        <x:v>-62425.62371428694</x:v>
      </x:c>
      <x:c r="J418" s="37" t="n">
        <x:v>10886114.744904228</x:v>
      </x:c>
      <x:c r="K418" s="37" t="n">
        <x:v>10925720.887340127</x:v>
      </x:c>
      <x:c r="L418" s="37" t="n">
        <x:v>13052677.805924874</x:v>
      </x:c>
      <x:c r="M418" s="37" t="n">
        <x:v>-31871.45660756113</x:v>
      </x:c>
      <x:c r="N418" s="37" t="n">
        <x:v>0</x:v>
      </x:c>
      <x:c r="O418" s="37" t="n">
        <x:v>2876.13321040757</x:v>
      </x:c>
      <x:c r="P418" s="37" t="n">
        <x:v>0</x:v>
      </x:c>
      <x:c r="Q418" s="37" t="n">
        <x:v>0</x:v>
      </x:c>
      <x:c r="R418" s="37" t="n">
        <x:v>0</x:v>
      </x:c>
      <x:c r="S418" s="37" t="n">
        <x:v>0</x:v>
      </x:c>
      <x:c r="T418" s="37" t="n">
        <x:v>0</x:v>
      </x:c>
      <x:c r="U418" s="37" t="n">
        <x:v>-6729.4488397945315</x:v>
      </x:c>
      <x:c r="V418" s="37" t="n">
        <x:v>0</x:v>
      </x:c>
      <x:c r="W418" s="37" t="n">
        <x:v>106046.47539334558</x:v>
      </x:c>
      <x:c r="X418" s="37" t="n">
        <x:v>0</x:v>
      </x:c>
      <x:c r="Y418" s="37" t="n">
        <x:v>2369.8244641980114</x:v>
      </x:c>
      <x:c r="Z418" s="37" t="n">
        <x:v>11144235.30508693</x:v>
      </x:c>
      <x:c r="AA418" s="37" t="n">
        <x:v>0</x:v>
      </x:c>
      <x:c r="AB418" s="37" t="n">
        <x:v>11144235.30508693</x:v>
      </x:c>
      <x:c r="AC418" s="37" t="n">
        <x:v>1948048.6432738435</x:v>
      </x:c>
      <x:c r="AD418" s="37" t="n">
        <x:v>0</x:v>
      </x:c>
      <x:c r="AE418" s="37" t="n">
        <x:v>0</x:v>
      </x:c>
      <x:c r="AF418" s="47" t="b">
        <x:v>0</x:v>
      </x:c>
      <x:c r="AG418" s="47" t="b">
        <x:v>0</x:v>
      </x:c>
      <x:c r="AH418" s="48" t="n">
        <x:v>-4.2928149923682213e-10</x:v>
      </x:c>
      <x:c r="AI418" s="48" t="n">
        <x:v>1.1920928955078125e-7</x:v>
      </x:c>
      <x:c r="AJ418" s="37" t="str">
        <x:v>passed</x:v>
      </x:c>
    </x:row>
    <x:row r="419" ht="21" customHeight="1">
      <x:c r="A419" s="2"/>
      <x:c r="B419" s="2"/>
      <x:c r="C419" s="2" t="str">
        <x:v>2022</x:v>
      </x:c>
      <x:c r="D419" s="5" t="n">
        <x:v>44713</x:v>
      </x:c>
      <x:c r="E419" s="2" t="str">
        <x:v>unhedged</x:v>
      </x:c>
      <x:c r="F419" s="37" t="n">
        <x:v>1272664.3648260178</x:v>
      </x:c>
      <x:c r="G419" s="37" t="n">
        <x:v>10826203.154199796</x:v>
      </x:c>
      <x:c r="H419" s="37" t="n">
        <x:v>26526.543358155177</x:v>
      </x:c>
      <x:c r="I419" s="37" t="n">
        <x:v>10799676.610841641</x:v>
      </x:c>
      <x:c r="J419" s="37" t="n">
        <x:v>10826203.154199796</x:v>
      </x:c>
      <x:c r="K419" s="37" t="n">
        <x:v>0</x:v>
      </x:c>
      <x:c r="L419" s="37" t="n">
        <x:v>12098867.519025814</x:v>
      </x:c>
      <x:c r="M419" s="37" t="n">
        <x:v>0</x:v>
      </x:c>
      <x:c r="N419" s="37" t="n">
        <x:v>0</x:v>
      </x:c>
      <x:c r="O419" s="37" t="n">
        <x:v>69.73121280106716</x:v>
      </x:c>
      <x:c r="P419" s="37" t="n">
        <x:v>0</x:v>
      </x:c>
      <x:c r="Q419" s="37" t="n">
        <x:v>0</x:v>
      </x:c>
      <x:c r="R419" s="37" t="n">
        <x:v>0</x:v>
      </x:c>
      <x:c r="S419" s="37" t="n">
        <x:v>0</x:v>
      </x:c>
      <x:c r="T419" s="37" t="n">
        <x:v>0</x:v>
      </x:c>
      <x:c r="U419" s="37" t="n">
        <x:v>63750</x:v>
      </x:c>
      <x:c r="V419" s="37" t="n">
        <x:v>0</x:v>
      </x:c>
      <x:c r="W419" s="37" t="n">
        <x:v>10089.084142743377</x:v>
      </x:c>
      <x:c r="X419" s="37" t="n">
        <x:v>0</x:v>
      </x:c>
      <x:c r="Y419" s="37" t="n">
        <x:v>1174.7193167256753</x:v>
      </x:c>
      <x:c r="Z419" s="37" t="n">
        <x:v>0</x:v>
      </x:c>
      <x:c r="AA419" s="37" t="n">
        <x:v>0</x:v>
      </x:c>
      <x:c r="AB419" s="37" t="n">
        <x:v>0</x:v>
      </x:c>
      <x:c r="AC419" s="37" t="n">
        <x:v>1272664.3648260178</x:v>
      </x:c>
      <x:c r="AD419" s="37" t="n">
        <x:v>0</x:v>
      </x:c>
      <x:c r="AE419" s="37" t="n">
        <x:v>0</x:v>
      </x:c>
      <x:c r="AF419" s="47" t="b">
        <x:v>0</x:v>
      </x:c>
      <x:c r="AG419" s="47" t="b">
        <x:v>0</x:v>
      </x:c>
      <x:c r="AH419" s="48" t="n">
        <x:v>0</x:v>
      </x:c>
      <x:c r="AI419" s="48" t="n">
        <x:v>1.1920928955078125e-7</x:v>
      </x:c>
      <x:c r="AJ419" s="37" t="str">
        <x:v>passed</x:v>
      </x:c>
    </x:row>
    <x:row r="420" ht="21" customHeight="1">
      <x:c r="A420" s="2"/>
      <x:c r="B420" s="2"/>
      <x:c r="C420" s="2" t="str">
        <x:v>2022</x:v>
      </x:c>
      <x:c r="D420" s="5" t="n">
        <x:v>44713</x:v>
      </x:c>
      <x:c r="E420" s="2" t="str">
        <x:v>duration</x:v>
      </x:c>
      <x:c r="F420" s="37" t="n">
        <x:v>9321185.38757601</x:v>
      </x:c>
      <x:c r="G420" s="37" t="n">
        <x:v>3654504.903281481</x:v>
      </x:c>
      <x:c r="H420" s="37" t="n">
        <x:v>21271.838094319355</x:v>
      </x:c>
      <x:c r="I420" s="37" t="n">
        <x:v>3633233.065187162</x:v>
      </x:c>
      <x:c r="J420" s="37" t="n">
        <x:v>10826203.154199796</x:v>
      </x:c>
      <x:c r="K420" s="37" t="n">
        <x:v>7171698.250918315</x:v>
      </x:c>
      <x:c r="L420" s="37" t="n">
        <x:v>12975690.29085749</x:v>
      </x:c>
      <x:c r="M420" s="37" t="n">
        <x:v>0</x:v>
      </x:c>
      <x:c r="N420" s="37" t="n">
        <x:v>0</x:v>
      </x:c>
      <x:c r="O420" s="37" t="n">
        <x:v>512.3142122365534</x:v>
      </x:c>
      <x:c r="P420" s="37" t="n">
        <x:v>0</x:v>
      </x:c>
      <x:c r="Q420" s="37" t="n">
        <x:v>2.9058394102899157</x:v>
      </x:c>
      <x:c r="R420" s="37" t="n">
        <x:v>-29058.394102899154</x:v>
      </x:c>
      <x:c r="S420" s="37" t="n">
        <x:v>29058.394102899154</x:v>
      </x:c>
      <x:c r="T420" s="37" t="n">
        <x:v>0</x:v>
      </x:c>
      <x:c r="U420" s="37" t="n">
        <x:v>6645.098252371114</x:v>
      </x:c>
      <x:c r="V420" s="37" t="n">
        <x:v>0</x:v>
      </x:c>
      <x:c r="W420" s="37" t="n">
        <x:v>75978.38973745331</x:v>
      </x:c>
      <x:c r="X420" s="37" t="n">
        <x:v>0</x:v>
      </x:c>
      <x:c r="Y420" s="37" t="n">
        <x:v>1992.6487133401456</x:v>
      </x:c>
      <x:c r="Z420" s="37" t="n">
        <x:v>7315132.215936681</x:v>
      </x:c>
      <x:c r="AA420" s="37" t="n">
        <x:v>0</x:v>
      </x:c>
      <x:c r="AB420" s="37" t="n">
        <x:v>7315132.215936681</x:v>
      </x:c>
      <x:c r="AC420" s="37" t="n">
        <x:v>2006053.1716393288</x:v>
      </x:c>
      <x:c r="AD420" s="37" t="n">
        <x:v>0</x:v>
      </x:c>
      <x:c r="AE420" s="37" t="n">
        <x:v>0</x:v>
      </x:c>
      <x:c r="AF420" s="47" t="b">
        <x:v>0</x:v>
      </x:c>
      <x:c r="AG420" s="47" t="b">
        <x:v>0</x:v>
      </x:c>
      <x:c r="AH420" s="48" t="n">
        <x:v>4.0701442216573014e-10</x:v>
      </x:c>
      <x:c r="AI420" s="48" t="n">
        <x:v>1.1920928955078125e-7</x:v>
      </x:c>
      <x:c r="AJ420" s="37" t="str">
        <x:v>passed</x:v>
      </x:c>
    </x:row>
    <x:row r="421" ht="21" customHeight="1">
      <x:c r="A421" s="2"/>
      <x:c r="B421" s="2"/>
      <x:c r="C421" s="2" t="str">
        <x:v>2022</x:v>
      </x:c>
      <x:c r="D421" s="5" t="n">
        <x:v>44713</x:v>
      </x:c>
      <x:c r="E421" s="2" t="str">
        <x:v>unweighted</x:v>
      </x:c>
      <x:c r="F421" s="37" t="n">
        <x:v>12241191.541232854</x:v>
      </x:c>
      <x:c r="G421" s="37" t="n">
        <x:v>745816.3796140124</x:v>
      </x:c>
      <x:c r="H421" s="37" t="n">
        <x:v>22925.570415245133</x:v>
      </x:c>
      <x:c r="I421" s="37" t="n">
        <x:v>722890.8091987673</x:v>
      </x:c>
      <x:c r="J421" s="37" t="n">
        <x:v>10829573.383072527</x:v>
      </x:c>
      <x:c r="K421" s="37" t="n">
        <x:v>10083757.003458515</x:v>
      </x:c>
      <x:c r="L421" s="37" t="n">
        <x:v>12987007.920846866</x:v>
      </x:c>
      <x:c r="M421" s="37" t="n">
        <x:v>0</x:v>
      </x:c>
      <x:c r="N421" s="37" t="n">
        <x:v>0</x:v>
      </x:c>
      <x:c r="O421" s="37" t="n">
        <x:v>667.3487236630172</x:v>
      </x:c>
      <x:c r="P421" s="37" t="n">
        <x:v>0</x:v>
      </x:c>
      <x:c r="Q421" s="37" t="n">
        <x:v>6.666858250464964</x:v>
      </x:c>
      <x:c r="R421" s="37" t="n">
        <x:v>61416.65254257263</x:v>
      </x:c>
      <x:c r="S421" s="37" t="n">
        <x:v>66668.58250464963</x:v>
      </x:c>
      <x:c r="T421" s="37" t="n">
        <x:v>0</x:v>
      </x:c>
      <x:c r="U421" s="37" t="n">
        <x:v>-1868.6910087944125</x:v>
      </x:c>
      <x:c r="V421" s="37" t="n">
        <x:v>0</x:v>
      </x:c>
      <x:c r="W421" s="37" t="n">
        <x:v>98598.89257846214</x:v>
      </x:c>
      <x:c r="X421" s="37" t="n">
        <x:v>0</x:v>
      </x:c>
      <x:c r="Y421" s="37" t="n">
        <x:v>2271.0724644097463</x:v>
      </x:c>
      <x:c r="Z421" s="37" t="n">
        <x:v>10285432.143527685</x:v>
      </x:c>
      <x:c r="AA421" s="37" t="n">
        <x:v>0</x:v>
      </x:c>
      <x:c r="AB421" s="37" t="n">
        <x:v>10285432.143527685</x:v>
      </x:c>
      <x:c r="AC421" s="37" t="n">
        <x:v>1955759.3977051694</x:v>
      </x:c>
      <x:c r="AD421" s="37" t="n">
        <x:v>0</x:v>
      </x:c>
      <x:c r="AE421" s="37" t="n">
        <x:v>0</x:v>
      </x:c>
      <x:c r="AF421" s="47" t="b">
        <x:v>0</x:v>
      </x:c>
      <x:c r="AG421" s="47" t="b">
        <x:v>0</x:v>
      </x:c>
      <x:c r="AH421" s="48" t="n">
        <x:v>2.963851386539318e-11</x:v>
      </x:c>
      <x:c r="AI421" s="48" t="n">
        <x:v>1.1920928955078125e-7</x:v>
      </x:c>
      <x:c r="AJ421" s="37" t="str">
        <x:v>passed</x:v>
      </x:c>
    </x:row>
    <x:row r="422" ht="21" customHeight="1">
      <x:c r="A422" s="2"/>
      <x:c r="B422" s="2"/>
      <x:c r="C422" s="2" t="str">
        <x:v>2022</x:v>
      </x:c>
      <x:c r="D422" s="5" t="n">
        <x:v>44713</x:v>
      </x:c>
      <x:c r="E422" s="2" t="str">
        <x:v>constrained</x:v>
      </x:c>
      <x:c r="F422" s="37" t="n">
        <x:v>13093945.075867204</x:v>
      </x:c>
      <x:c r="G422" s="37" t="n">
        <x:v>-40714.490118570684</x:v>
      </x:c>
      <x:c r="H422" s="37" t="n">
        <x:v>22782.86423008544</x:v>
      </x:c>
      <x:c r="I422" s="37" t="n">
        <x:v>-63497.354348656125</x:v>
      </x:c>
      <x:c r="J422" s="37" t="n">
        <x:v>10829453.727727497</x:v>
      </x:c>
      <x:c r="K422" s="37" t="n">
        <x:v>10870168.217846068</x:v>
      </x:c>
      <x:c r="L422" s="37" t="n">
        <x:v>13053230.585748633</x:v>
      </x:c>
      <x:c r="M422" s="37" t="n">
        <x:v>0</x:v>
      </x:c>
      <x:c r="N422" s="37" t="n">
        <x:v>0</x:v>
      </x:c>
      <x:c r="O422" s="37" t="n">
        <x:v>717.3854218292981</x:v>
      </x:c>
      <x:c r="P422" s="37" t="n">
        <x:v>0</x:v>
      </x:c>
      <x:c r="Q422" s="37" t="n">
        <x:v>1.3870684567095597</x:v>
      </x:c>
      <x:c r="R422" s="37" t="n">
        <x:v>945.1291530572979</x:v>
      </x:c>
      <x:c r="S422" s="37" t="n">
        <x:v>13870.684567095595</x:v>
      </x:c>
      <x:c r="T422" s="37" t="n">
        <x:v>0</x:v>
      </x:c>
      <x:c r="U422" s="37" t="n">
        <x:v>-6729.4488397945315</x:v>
      </x:c>
      <x:c r="V422" s="37" t="n">
        <x:v>0</x:v>
      </x:c>
      <x:c r="W422" s="37" t="n">
        <x:v>106763.86081517488</x:v>
      </x:c>
      <x:c r="X422" s="37" t="n">
        <x:v>0</x:v>
      </x:c>
      <x:c r="Y422" s="37" t="n">
        <x:v>2371.211532654721</x:v>
      </x:c>
      <x:c r="Z422" s="37" t="n">
        <x:v>11087571.58220299</x:v>
      </x:c>
      <x:c r="AA422" s="37" t="n">
        <x:v>0</x:v>
      </x:c>
      <x:c r="AB422" s="37" t="n">
        <x:v>11087571.58220299</x:v>
      </x:c>
      <x:c r="AC422" s="37" t="n">
        <x:v>2006373.4936642144</x:v>
      </x:c>
      <x:c r="AD422" s="37" t="n">
        <x:v>0</x:v>
      </x:c>
      <x:c r="AE422" s="37" t="n">
        <x:v>0</x:v>
      </x:c>
      <x:c r="AF422" s="47" t="b">
        <x:v>0</x:v>
      </x:c>
      <x:c r="AG422" s="47" t="b">
        <x:v>0</x:v>
      </x:c>
      <x:c r="AH422" s="48" t="n">
        <x:v>1.3056680181477986e-9</x:v>
      </x:c>
      <x:c r="AI422" s="48" t="n">
        <x:v>1.1920928955078125e-7</x:v>
      </x:c>
      <x:c r="AJ422" s="37" t="str">
        <x:v>passed</x:v>
      </x:c>
    </x:row>
    <x:row r="423" ht="21" customHeight="1">
      <x:c r="A423" s="2"/>
      <x:c r="B423" s="2"/>
      <x:c r="C423" s="2" t="str">
        <x:v>2022</x:v>
      </x:c>
      <x:c r="D423" s="5" t="n">
        <x:v>44714</x:v>
      </x:c>
      <x:c r="E423" s="2" t="str">
        <x:v>unhedged</x:v>
      </x:c>
      <x:c r="F423" s="37" t="n">
        <x:v>1272734.0998597068</x:v>
      </x:c>
      <x:c r="G423" s="37" t="n">
        <x:v>10838571.722152669</x:v>
      </x:c>
      <x:c r="H423" s="37" t="n">
        <x:v>26876.388722075426</x:v>
      </x:c>
      <x:c r="I423" s="37" t="n">
        <x:v>10811695.333430594</x:v>
      </x:c>
      <x:c r="J423" s="37" t="n">
        <x:v>10838571.722152669</x:v>
      </x:c>
      <x:c r="K423" s="37" t="n">
        <x:v>0</x:v>
      </x:c>
      <x:c r="L423" s="37" t="n">
        <x:v>12111305.822012376</x:v>
      </x:c>
      <x:c r="M423" s="37" t="n">
        <x:v>0</x:v>
      </x:c>
      <x:c r="N423" s="37" t="n">
        <x:v>0</x:v>
      </x:c>
      <x:c r="O423" s="37" t="n">
        <x:v>69.73503368906677</x:v>
      </x:c>
      <x:c r="P423" s="37" t="n">
        <x:v>0</x:v>
      </x:c>
      <x:c r="Q423" s="37" t="n">
        <x:v>0</x:v>
      </x:c>
      <x:c r="R423" s="37" t="n">
        <x:v>0</x:v>
      </x:c>
      <x:c r="S423" s="37" t="n">
        <x:v>0</x:v>
      </x:c>
      <x:c r="T423" s="37" t="n">
        <x:v>0</x:v>
      </x:c>
      <x:c r="U423" s="37" t="n">
        <x:v>63750</x:v>
      </x:c>
      <x:c r="V423" s="37" t="n">
        <x:v>0</x:v>
      </x:c>
      <x:c r="W423" s="37" t="n">
        <x:v>10158.819176432444</x:v>
      </x:c>
      <x:c r="X423" s="37" t="n">
        <x:v>0</x:v>
      </x:c>
      <x:c r="Y423" s="37" t="n">
        <x:v>1174.7193167256753</x:v>
      </x:c>
      <x:c r="Z423" s="37" t="n">
        <x:v>0</x:v>
      </x:c>
      <x:c r="AA423" s="37" t="n">
        <x:v>0</x:v>
      </x:c>
      <x:c r="AB423" s="37" t="n">
        <x:v>0</x:v>
      </x:c>
      <x:c r="AC423" s="37" t="n">
        <x:v>1272734.0998597068</x:v>
      </x:c>
      <x:c r="AD423" s="37" t="n">
        <x:v>0</x:v>
      </x:c>
      <x:c r="AE423" s="37" t="n">
        <x:v>0</x:v>
      </x:c>
      <x:c r="AF423" s="47" t="b">
        <x:v>0</x:v>
      </x:c>
      <x:c r="AG423" s="47" t="b">
        <x:v>0</x:v>
      </x:c>
      <x:c r="AH423" s="48" t="n">
        <x:v>0</x:v>
      </x:c>
      <x:c r="AI423" s="48" t="n">
        <x:v>1.1920928955078125e-7</x:v>
      </x:c>
      <x:c r="AJ423" s="37" t="str">
        <x:v>passed</x:v>
      </x:c>
    </x:row>
    <x:row r="424" ht="21" customHeight="1">
      <x:c r="A424" s="2"/>
      <x:c r="B424" s="2"/>
      <x:c r="C424" s="2" t="str">
        <x:v>2022</x:v>
      </x:c>
      <x:c r="D424" s="5" t="n">
        <x:v>44714</x:v>
      </x:c>
      <x:c r="E424" s="2" t="str">
        <x:v>duration</x:v>
      </x:c>
      <x:c r="F424" s="37" t="n">
        <x:v>9321696.137460262</x:v>
      </x:c>
      <x:c r="G424" s="37" t="n">
        <x:v>3653991.9979841933</x:v>
      </x:c>
      <x:c r="H424" s="37" t="n">
        <x:v>21312.583148602203</x:v>
      </x:c>
      <x:c r="I424" s="37" t="n">
        <x:v>3632679.414835591</x:v>
      </x:c>
      <x:c r="J424" s="37" t="n">
        <x:v>10838571.722152669</x:v>
      </x:c>
      <x:c r="K424" s="37" t="n">
        <x:v>7184579.724168475</x:v>
      </x:c>
      <x:c r="L424" s="37" t="n">
        <x:v>12975688.135444455</x:v>
      </x:c>
      <x:c r="M424" s="37" t="n">
        <x:v>0</x:v>
      </x:c>
      <x:c r="N424" s="37" t="n">
        <x:v>0</x:v>
      </x:c>
      <x:c r="O424" s="37" t="n">
        <x:v>510.74988425150514</x:v>
      </x:c>
      <x:c r="P424" s="37" t="n">
        <x:v>0</x:v>
      </x:c>
      <x:c r="Q424" s="37" t="n">
        <x:v>0</x:v>
      </x:c>
      <x:c r="R424" s="37" t="n">
        <x:v>0</x:v>
      </x:c>
      <x:c r="S424" s="37" t="n">
        <x:v>0</x:v>
      </x:c>
      <x:c r="T424" s="37" t="n">
        <x:v>0</x:v>
      </x:c>
      <x:c r="U424" s="37" t="n">
        <x:v>6645.098252371114</x:v>
      </x:c>
      <x:c r="V424" s="37" t="n">
        <x:v>0</x:v>
      </x:c>
      <x:c r="W424" s="37" t="n">
        <x:v>76489.13962170482</x:v>
      </x:c>
      <x:c r="X424" s="37" t="n">
        <x:v>0</x:v>
      </x:c>
      <x:c r="Y424" s="37" t="n">
        <x:v>1992.6487133401456</x:v>
      </x:c>
      <x:c r="Z424" s="37" t="n">
        <x:v>7328271.318651845</x:v>
      </x:c>
      <x:c r="AA424" s="37" t="n">
        <x:v>0</x:v>
      </x:c>
      <x:c r="AB424" s="37" t="n">
        <x:v>7328271.318651845</x:v>
      </x:c>
      <x:c r="AC424" s="37" t="n">
        <x:v>1993424.8188084168</x:v>
      </x:c>
      <x:c r="AD424" s="37" t="n">
        <x:v>0</x:v>
      </x:c>
      <x:c r="AE424" s="37" t="n">
        <x:v>0</x:v>
      </x:c>
      <x:c r="AF424" s="47" t="b">
        <x:v>0</x:v>
      </x:c>
      <x:c r="AG424" s="47" t="b">
        <x:v>0</x:v>
      </x:c>
      <x:c r="AH424" s="48" t="n">
        <x:v>0</x:v>
      </x:c>
      <x:c r="AI424" s="48" t="n">
        <x:v>1.1920928955078125e-7</x:v>
      </x:c>
      <x:c r="AJ424" s="37" t="str">
        <x:v>passed</x:v>
      </x:c>
    </x:row>
    <x:row r="425" ht="21" customHeight="1">
      <x:c r="A425" s="2"/>
      <x:c r="B425" s="2"/>
      <x:c r="C425" s="2" t="str">
        <x:v>2022</x:v>
      </x:c>
      <x:c r="D425" s="5" t="n">
        <x:v>44714</x:v>
      </x:c>
      <x:c r="E425" s="2" t="str">
        <x:v>unweighted</x:v>
      </x:c>
      <x:c r="F425" s="37" t="n">
        <x:v>12241862.291454293</x:v>
      </x:c>
      <x:c r="G425" s="37" t="n">
        <x:v>746493.6277562324</x:v>
      </x:c>
      <x:c r="H425" s="37" t="n">
        <x:v>22916.630084748704</x:v>
      </x:c>
      <x:c r="I425" s="37" t="n">
        <x:v>723576.9976714837</x:v>
      </x:c>
      <x:c r="J425" s="37" t="n">
        <x:v>10841947.526430475</x:v>
      </x:c>
      <x:c r="K425" s="37" t="n">
        <x:v>10095453.898674244</x:v>
      </x:c>
      <x:c r="L425" s="37" t="n">
        <x:v>12988355.919210525</x:v>
      </x:c>
      <x:c r="M425" s="37" t="n">
        <x:v>0</x:v>
      </x:c>
      <x:c r="N425" s="37" t="n">
        <x:v>0</x:v>
      </x:c>
      <x:c r="O425" s="37" t="n">
        <x:v>670.7502214387059</x:v>
      </x:c>
      <x:c r="P425" s="37" t="n">
        <x:v>0</x:v>
      </x:c>
      <x:c r="Q425" s="37" t="n">
        <x:v>0</x:v>
      </x:c>
      <x:c r="R425" s="37" t="n">
        <x:v>0</x:v>
      </x:c>
      <x:c r="S425" s="37" t="n">
        <x:v>0</x:v>
      </x:c>
      <x:c r="T425" s="37" t="n">
        <x:v>0</x:v>
      </x:c>
      <x:c r="U425" s="37" t="n">
        <x:v>-1868.6910087944125</x:v>
      </x:c>
      <x:c r="V425" s="37" t="n">
        <x:v>0</x:v>
      </x:c>
      <x:c r="W425" s="37" t="n">
        <x:v>99269.64279990084</x:v>
      </x:c>
      <x:c r="X425" s="37" t="n">
        <x:v>0</x:v>
      </x:c>
      <x:c r="Y425" s="37" t="n">
        <x:v>2271.0724644097463</x:v>
      </x:c>
      <x:c r="Z425" s="37" t="n">
        <x:v>10297362.976647729</x:v>
      </x:c>
      <x:c r="AA425" s="37" t="n">
        <x:v>0</x:v>
      </x:c>
      <x:c r="AB425" s="37" t="n">
        <x:v>10297362.976647729</x:v>
      </x:c>
      <x:c r="AC425" s="37" t="n">
        <x:v>1944499.3148065638</x:v>
      </x:c>
      <x:c r="AD425" s="37" t="n">
        <x:v>0</x:v>
      </x:c>
      <x:c r="AE425" s="37" t="n">
        <x:v>0</x:v>
      </x:c>
      <x:c r="AF425" s="47" t="b">
        <x:v>0</x:v>
      </x:c>
      <x:c r="AG425" s="47" t="b">
        <x:v>0</x:v>
      </x:c>
      <x:c r="AH425" s="48" t="n">
        <x:v>0</x:v>
      </x:c>
      <x:c r="AI425" s="48" t="n">
        <x:v>1.1920928955078125e-7</x:v>
      </x:c>
      <x:c r="AJ425" s="37" t="str">
        <x:v>passed</x:v>
      </x:c>
    </x:row>
    <x:row r="426" ht="21" customHeight="1">
      <x:c r="A426" s="2"/>
      <x:c r="B426" s="2"/>
      <x:c r="C426" s="2" t="str">
        <x:v>2022</x:v>
      </x:c>
      <x:c r="D426" s="5" t="n">
        <x:v>44714</x:v>
      </x:c>
      <x:c r="E426" s="2" t="str">
        <x:v>constrained</x:v>
      </x:c>
      <x:c r="F426" s="37" t="n">
        <x:v>13094662.552309718</x:v>
      </x:c>
      <x:c r="G426" s="37" t="n">
        <x:v>-40706.09446544736</x:v>
      </x:c>
      <x:c r="H426" s="37" t="n">
        <x:v>22748.64195988322</x:v>
      </x:c>
      <x:c r="I426" s="37" t="n">
        <x:v>-63454.73642533058</x:v>
      </x:c>
      <x:c r="J426" s="37" t="n">
        <x:v>10841827.673138348</x:v>
      </x:c>
      <x:c r="K426" s="37" t="n">
        <x:v>10882533.767603796</x:v>
      </x:c>
      <x:c r="L426" s="37" t="n">
        <x:v>13053956.45784427</x:v>
      </x:c>
      <x:c r="M426" s="37" t="n">
        <x:v>0</x:v>
      </x:c>
      <x:c r="N426" s="37" t="n">
        <x:v>0</x:v>
      </x:c>
      <x:c r="O426" s="37" t="n">
        <x:v>717.4764425139874</x:v>
      </x:c>
      <x:c r="P426" s="37" t="n">
        <x:v>0</x:v>
      </x:c>
      <x:c r="Q426" s="37" t="n">
        <x:v>0</x:v>
      </x:c>
      <x:c r="R426" s="37" t="n">
        <x:v>0</x:v>
      </x:c>
      <x:c r="S426" s="37" t="n">
        <x:v>0</x:v>
      </x:c>
      <x:c r="T426" s="37" t="n">
        <x:v>0</x:v>
      </x:c>
      <x:c r="U426" s="37" t="n">
        <x:v>-6729.4488397945315</x:v>
      </x:c>
      <x:c r="V426" s="37" t="n">
        <x:v>0</x:v>
      </x:c>
      <x:c r="W426" s="37" t="n">
        <x:v>107481.33725768887</x:v>
      </x:c>
      <x:c r="X426" s="37" t="n">
        <x:v>0</x:v>
      </x:c>
      <x:c r="Y426" s="37" t="n">
        <x:v>2371.211532654721</x:v>
      </x:c>
      <x:c r="Z426" s="37" t="n">
        <x:v>11100184.442955872</x:v>
      </x:c>
      <x:c r="AA426" s="37" t="n">
        <x:v>0</x:v>
      </x:c>
      <x:c r="AB426" s="37" t="n">
        <x:v>11100184.442955872</x:v>
      </x:c>
      <x:c r="AC426" s="37" t="n">
        <x:v>1994478.109353846</x:v>
      </x:c>
      <x:c r="AD426" s="37" t="n">
        <x:v>0</x:v>
      </x:c>
      <x:c r="AE426" s="37" t="n">
        <x:v>0</x:v>
      </x:c>
      <x:c r="AF426" s="47" t="b">
        <x:v>0</x:v>
      </x:c>
      <x:c r="AG426" s="47" t="b">
        <x:v>0</x:v>
      </x:c>
      <x:c r="AH426" s="48" t="n">
        <x:v>0</x:v>
      </x:c>
      <x:c r="AI426" s="48" t="n">
        <x:v>1.1920928955078125e-7</x:v>
      </x:c>
      <x:c r="AJ426" s="37" t="str">
        <x:v>passed</x:v>
      </x:c>
    </x:row>
    <x:row r="427" ht="21" customHeight="1">
      <x:c r="A427" s="2"/>
      <x:c r="B427" s="2"/>
      <x:c r="C427" s="2" t="str">
        <x:v>2022</x:v>
      </x:c>
      <x:c r="D427" s="5" t="n">
        <x:v>44715</x:v>
      </x:c>
      <x:c r="E427" s="2" t="str">
        <x:v>unhedged</x:v>
      </x:c>
      <x:c r="F427" s="37" t="n">
        <x:v>1272803.8387144937</x:v>
      </x:c>
      <x:c r="G427" s="37" t="n">
        <x:v>10819307.023580726</x:v>
      </x:c>
      <x:c r="H427" s="37" t="n">
        <x:v>27226.234085995675</x:v>
      </x:c>
      <x:c r="I427" s="37" t="n">
        <x:v>10792080.78949473</x:v>
      </x:c>
      <x:c r="J427" s="37" t="n">
        <x:v>10819307.023580726</x:v>
      </x:c>
      <x:c r="K427" s="37" t="n">
        <x:v>0</x:v>
      </x:c>
      <x:c r="L427" s="37" t="n">
        <x:v>12092110.86229522</x:v>
      </x:c>
      <x:c r="M427" s="37" t="n">
        <x:v>0</x:v>
      </x:c>
      <x:c r="N427" s="37" t="n">
        <x:v>0</x:v>
      </x:c>
      <x:c r="O427" s="37" t="n">
        <x:v>69.73885478684679</x:v>
      </x:c>
      <x:c r="P427" s="37" t="n">
        <x:v>0</x:v>
      </x:c>
      <x:c r="Q427" s="37" t="n">
        <x:v>0</x:v>
      </x:c>
      <x:c r="R427" s="37" t="n">
        <x:v>0</x:v>
      </x:c>
      <x:c r="S427" s="37" t="n">
        <x:v>0</x:v>
      </x:c>
      <x:c r="T427" s="37" t="n">
        <x:v>0</x:v>
      </x:c>
      <x:c r="U427" s="37" t="n">
        <x:v>63750</x:v>
      </x:c>
      <x:c r="V427" s="37" t="n">
        <x:v>0</x:v>
      </x:c>
      <x:c r="W427" s="37" t="n">
        <x:v>10228.55803121929</x:v>
      </x:c>
      <x:c r="X427" s="37" t="n">
        <x:v>0</x:v>
      </x:c>
      <x:c r="Y427" s="37" t="n">
        <x:v>1174.7193167256753</x:v>
      </x:c>
      <x:c r="Z427" s="37" t="n">
        <x:v>0</x:v>
      </x:c>
      <x:c r="AA427" s="37" t="n">
        <x:v>0</x:v>
      </x:c>
      <x:c r="AB427" s="37" t="n">
        <x:v>0</x:v>
      </x:c>
      <x:c r="AC427" s="37" t="n">
        <x:v>1272803.8387144937</x:v>
      </x:c>
      <x:c r="AD427" s="37" t="n">
        <x:v>0</x:v>
      </x:c>
      <x:c r="AE427" s="37" t="n">
        <x:v>0</x:v>
      </x:c>
      <x:c r="AF427" s="47" t="b">
        <x:v>0</x:v>
      </x:c>
      <x:c r="AG427" s="47" t="b">
        <x:v>0</x:v>
      </x:c>
      <x:c r="AH427" s="48" t="n">
        <x:v>0</x:v>
      </x:c>
      <x:c r="AI427" s="48" t="n">
        <x:v>1.1920928955078125e-7</x:v>
      </x:c>
      <x:c r="AJ427" s="37" t="str">
        <x:v>passed</x:v>
      </x:c>
    </x:row>
    <x:row r="428" ht="21" customHeight="1">
      <x:c r="A428" s="2"/>
      <x:c r="B428" s="2"/>
      <x:c r="C428" s="2" t="str">
        <x:v>2022</x:v>
      </x:c>
      <x:c r="D428" s="5" t="n">
        <x:v>44715</x:v>
      </x:c>
      <x:c r="E428" s="2" t="str">
        <x:v>duration</x:v>
      </x:c>
      <x:c r="F428" s="37" t="n">
        <x:v>9322206.915330807</x:v>
      </x:c>
      <x:c r="G428" s="37" t="n">
        <x:v>3654636.2452047607</x:v>
      </x:c>
      <x:c r="H428" s="37" t="n">
        <x:v>21353.32820288505</x:v>
      </x:c>
      <x:c r="I428" s="37" t="n">
        <x:v>3633282.9170018756</x:v>
      </x:c>
      <x:c r="J428" s="37" t="n">
        <x:v>10819307.023580726</x:v>
      </x:c>
      <x:c r="K428" s="37" t="n">
        <x:v>7164670.7783759665</x:v>
      </x:c>
      <x:c r="L428" s="37" t="n">
        <x:v>12976843.160535567</x:v>
      </x:c>
      <x:c r="M428" s="37" t="n">
        <x:v>0</x:v>
      </x:c>
      <x:c r="N428" s="37" t="n">
        <x:v>0</x:v>
      </x:c>
      <x:c r="O428" s="37" t="n">
        <x:v>510.77787054516375</x:v>
      </x:c>
      <x:c r="P428" s="37" t="n">
        <x:v>0</x:v>
      </x:c>
      <x:c r="Q428" s="37" t="n">
        <x:v>0</x:v>
      </x:c>
      <x:c r="R428" s="37" t="n">
        <x:v>0</x:v>
      </x:c>
      <x:c r="S428" s="37" t="n">
        <x:v>0</x:v>
      </x:c>
      <x:c r="T428" s="37" t="n">
        <x:v>0</x:v>
      </x:c>
      <x:c r="U428" s="37" t="n">
        <x:v>6645.098252371114</x:v>
      </x:c>
      <x:c r="V428" s="37" t="n">
        <x:v>0</x:v>
      </x:c>
      <x:c r="W428" s="37" t="n">
        <x:v>76999.91749224998</x:v>
      </x:c>
      <x:c r="X428" s="37" t="n">
        <x:v>0</x:v>
      </x:c>
      <x:c r="Y428" s="37" t="n">
        <x:v>1992.6487133401456</x:v>
      </x:c>
      <x:c r="Z428" s="37" t="n">
        <x:v>7307964.193943486</x:v>
      </x:c>
      <x:c r="AA428" s="37" t="n">
        <x:v>0</x:v>
      </x:c>
      <x:c r="AB428" s="37" t="n">
        <x:v>7307964.193943486</x:v>
      </x:c>
      <x:c r="AC428" s="37" t="n">
        <x:v>2014242.7213873211</x:v>
      </x:c>
      <x:c r="AD428" s="37" t="n">
        <x:v>0</x:v>
      </x:c>
      <x:c r="AE428" s="37" t="n">
        <x:v>0</x:v>
      </x:c>
      <x:c r="AF428" s="47" t="b">
        <x:v>0</x:v>
      </x:c>
      <x:c r="AG428" s="47" t="b">
        <x:v>0</x:v>
      </x:c>
      <x:c r="AH428" s="48" t="n">
        <x:v>0</x:v>
      </x:c>
      <x:c r="AI428" s="48" t="n">
        <x:v>1.1920928955078125e-7</x:v>
      </x:c>
      <x:c r="AJ428" s="37" t="str">
        <x:v>passed</x:v>
      </x:c>
    </x:row>
    <x:row r="429" ht="21" customHeight="1">
      <x:c r="A429" s="2"/>
      <x:c r="B429" s="2"/>
      <x:c r="C429" s="2" t="str">
        <x:v>2022</x:v>
      </x:c>
      <x:c r="D429" s="5" t="n">
        <x:v>44715</x:v>
      </x:c>
      <x:c r="E429" s="2" t="str">
        <x:v>unweighted</x:v>
      </x:c>
      <x:c r="F429" s="37" t="n">
        <x:v>12242533.078429166</x:v>
      </x:c>
      <x:c r="G429" s="37" t="n">
        <x:v>745447.2464713113</x:v>
      </x:c>
      <x:c r="H429" s="37" t="n">
        <x:v>22907.689754252275</x:v>
      </x:c>
      <x:c r="I429" s="37" t="n">
        <x:v>722539.556717059</x:v>
      </x:c>
      <x:c r="J429" s="37" t="n">
        <x:v>10822666.747220524</x:v>
      </x:c>
      <x:c r="K429" s="37" t="n">
        <x:v>10077219.500749212</x:v>
      </x:c>
      <x:c r="L429" s="37" t="n">
        <x:v>12987980.324900478</x:v>
      </x:c>
      <x:c r="M429" s="37" t="n">
        <x:v>0</x:v>
      </x:c>
      <x:c r="N429" s="37" t="n">
        <x:v>0</x:v>
      </x:c>
      <x:c r="O429" s="37" t="n">
        <x:v>670.7869748733938</x:v>
      </x:c>
      <x:c r="P429" s="37" t="n">
        <x:v>0</x:v>
      </x:c>
      <x:c r="Q429" s="37" t="n">
        <x:v>0</x:v>
      </x:c>
      <x:c r="R429" s="37" t="n">
        <x:v>0</x:v>
      </x:c>
      <x:c r="S429" s="37" t="n">
        <x:v>0</x:v>
      </x:c>
      <x:c r="T429" s="37" t="n">
        <x:v>0</x:v>
      </x:c>
      <x:c r="U429" s="37" t="n">
        <x:v>-1868.6910087944125</x:v>
      </x:c>
      <x:c r="V429" s="37" t="n">
        <x:v>0</x:v>
      </x:c>
      <x:c r="W429" s="37" t="n">
        <x:v>99940.42977477424</x:v>
      </x:c>
      <x:c r="X429" s="37" t="n">
        <x:v>0</x:v>
      </x:c>
      <x:c r="Y429" s="37" t="n">
        <x:v>2271.0724644097463</x:v>
      </x:c>
      <x:c r="Z429" s="37" t="n">
        <x:v>10278763.890764195</x:v>
      </x:c>
      <x:c r="AA429" s="37" t="n">
        <x:v>0</x:v>
      </x:c>
      <x:c r="AB429" s="37" t="n">
        <x:v>10278763.890764195</x:v>
      </x:c>
      <x:c r="AC429" s="37" t="n">
        <x:v>1963769.1876649708</x:v>
      </x:c>
      <x:c r="AD429" s="37" t="n">
        <x:v>0</x:v>
      </x:c>
      <x:c r="AE429" s="37" t="n">
        <x:v>0</x:v>
      </x:c>
      <x:c r="AF429" s="47" t="b">
        <x:v>0</x:v>
      </x:c>
      <x:c r="AG429" s="47" t="b">
        <x:v>0</x:v>
      </x:c>
      <x:c r="AH429" s="48" t="n">
        <x:v>0</x:v>
      </x:c>
      <x:c r="AI429" s="48" t="n">
        <x:v>1.1920928955078125e-7</x:v>
      </x:c>
      <x:c r="AJ429" s="37" t="str">
        <x:v>passed</x:v>
      </x:c>
    </x:row>
    <x:row r="430" ht="21" customHeight="1">
      <x:c r="A430" s="2"/>
      <x:c r="B430" s="2"/>
      <x:c r="C430" s="2" t="str">
        <x:v>2022</x:v>
      </x:c>
      <x:c r="D430" s="5" t="n">
        <x:v>44715</x:v>
      </x:c>
      <x:c r="E430" s="2" t="str">
        <x:v>constrained</x:v>
      </x:c>
      <x:c r="F430" s="37" t="n">
        <x:v>13095380.068066008</x:v>
      </x:c>
      <x:c r="G430" s="37" t="n">
        <x:v>-40681.82075564721</x:v>
      </x:c>
      <x:c r="H430" s="37" t="n">
        <x:v>22714.419689681</x:v>
      </x:c>
      <x:c r="I430" s="37" t="n">
        <x:v>-63396.24044532821</x:v>
      </x:c>
      <x:c r="J430" s="37" t="n">
        <x:v>10822547.464849353</x:v>
      </x:c>
      <x:c r="K430" s="37" t="n">
        <x:v>10863229.285604998</x:v>
      </x:c>
      <x:c r="L430" s="37" t="n">
        <x:v>13054698.24731036</x:v>
      </x:c>
      <x:c r="M430" s="37" t="n">
        <x:v>0</x:v>
      </x:c>
      <x:c r="N430" s="37" t="n">
        <x:v>0</x:v>
      </x:c>
      <x:c r="O430" s="37" t="n">
        <x:v>717.515756290406</x:v>
      </x:c>
      <x:c r="P430" s="37" t="n">
        <x:v>0</x:v>
      </x:c>
      <x:c r="Q430" s="37" t="n">
        <x:v>0</x:v>
      </x:c>
      <x:c r="R430" s="37" t="n">
        <x:v>0</x:v>
      </x:c>
      <x:c r="S430" s="37" t="n">
        <x:v>0</x:v>
      </x:c>
      <x:c r="T430" s="37" t="n">
        <x:v>0</x:v>
      </x:c>
      <x:c r="U430" s="37" t="n">
        <x:v>-6729.4488397945315</x:v>
      </x:c>
      <x:c r="V430" s="37" t="n">
        <x:v>0</x:v>
      </x:c>
      <x:c r="W430" s="37" t="n">
        <x:v>108198.85301397927</x:v>
      </x:c>
      <x:c r="X430" s="37" t="n">
        <x:v>0</x:v>
      </x:c>
      <x:c r="Y430" s="37" t="n">
        <x:v>2371.211532654721</x:v>
      </x:c>
      <x:c r="Z430" s="37" t="n">
        <x:v>11080493.871317098</x:v>
      </x:c>
      <x:c r="AA430" s="37" t="n">
        <x:v>0</x:v>
      </x:c>
      <x:c r="AB430" s="37" t="n">
        <x:v>11080493.871317098</x:v>
      </x:c>
      <x:c r="AC430" s="37" t="n">
        <x:v>2014886.1967489105</x:v>
      </x:c>
      <x:c r="AD430" s="37" t="n">
        <x:v>0</x:v>
      </x:c>
      <x:c r="AE430" s="37" t="n">
        <x:v>0</x:v>
      </x:c>
      <x:c r="AF430" s="47" t="b">
        <x:v>0</x:v>
      </x:c>
      <x:c r="AG430" s="47" t="b">
        <x:v>0</x:v>
      </x:c>
      <x:c r="AH430" s="48" t="n">
        <x:v>0</x:v>
      </x:c>
      <x:c r="AI430" s="48" t="n">
        <x:v>1.1920928955078125e-7</x:v>
      </x:c>
      <x:c r="AJ430" s="37" t="str">
        <x:v>passed</x:v>
      </x:c>
    </x:row>
    <x:row r="431" ht="21" customHeight="1">
      <x:c r="A431" s="2"/>
      <x:c r="B431" s="2"/>
      <x:c r="C431" s="2" t="str">
        <x:v>2022</x:v>
      </x:c>
      <x:c r="D431" s="5" t="n">
        <x:v>44718</x:v>
      </x:c>
      <x:c r="E431" s="2" t="str">
        <x:v>unhedged</x:v>
      </x:c>
      <x:c r="F431" s="37" t="n">
        <x:v>1273013.0782075347</x:v>
      </x:c>
      <x:c r="G431" s="37" t="n">
        <x:v>10766852.19055455</x:v>
      </x:c>
      <x:c r="H431" s="37" t="n">
        <x:v>28275.770177756425</x:v>
      </x:c>
      <x:c r="I431" s="37" t="n">
        <x:v>10738576.420376794</x:v>
      </x:c>
      <x:c r="J431" s="37" t="n">
        <x:v>10766852.19055455</x:v>
      </x:c>
      <x:c r="K431" s="37" t="n">
        <x:v>0</x:v>
      </x:c>
      <x:c r="L431" s="37" t="n">
        <x:v>12039865.268762086</x:v>
      </x:c>
      <x:c r="M431" s="37" t="n">
        <x:v>0</x:v>
      </x:c>
      <x:c r="N431" s="37" t="n">
        <x:v>0</x:v>
      </x:c>
      <x:c r="O431" s="37" t="n">
        <x:v>209.23949304106645</x:v>
      </x:c>
      <x:c r="P431" s="37" t="n">
        <x:v>0</x:v>
      </x:c>
      <x:c r="Q431" s="37" t="n">
        <x:v>0</x:v>
      </x:c>
      <x:c r="R431" s="37" t="n">
        <x:v>0</x:v>
      </x:c>
      <x:c r="S431" s="37" t="n">
        <x:v>0</x:v>
      </x:c>
      <x:c r="T431" s="37" t="n">
        <x:v>0</x:v>
      </x:c>
      <x:c r="U431" s="37" t="n">
        <x:v>63750</x:v>
      </x:c>
      <x:c r="V431" s="37" t="n">
        <x:v>0</x:v>
      </x:c>
      <x:c r="W431" s="37" t="n">
        <x:v>10437.797524260357</x:v>
      </x:c>
      <x:c r="X431" s="37" t="n">
        <x:v>0</x:v>
      </x:c>
      <x:c r="Y431" s="37" t="n">
        <x:v>1174.7193167256753</x:v>
      </x:c>
      <x:c r="Z431" s="37" t="n">
        <x:v>0</x:v>
      </x:c>
      <x:c r="AA431" s="37" t="n">
        <x:v>0</x:v>
      </x:c>
      <x:c r="AB431" s="37" t="n">
        <x:v>0</x:v>
      </x:c>
      <x:c r="AC431" s="37" t="n">
        <x:v>1273013.0782075347</x:v>
      </x:c>
      <x:c r="AD431" s="37" t="n">
        <x:v>0</x:v>
      </x:c>
      <x:c r="AE431" s="37" t="n">
        <x:v>0</x:v>
      </x:c>
      <x:c r="AF431" s="47" t="b">
        <x:v>0</x:v>
      </x:c>
      <x:c r="AG431" s="47" t="b">
        <x:v>0</x:v>
      </x:c>
      <x:c r="AH431" s="48" t="n">
        <x:v>0</x:v>
      </x:c>
      <x:c r="AI431" s="48" t="n">
        <x:v>1.1920928955078125e-7</x:v>
      </x:c>
      <x:c r="AJ431" s="37" t="str">
        <x:v>passed</x:v>
      </x:c>
    </x:row>
    <x:row r="432" ht="21" customHeight="1">
      <x:c r="A432" s="2"/>
      <x:c r="B432" s="2"/>
      <x:c r="C432" s="2" t="str">
        <x:v>2022</x:v>
      </x:c>
      <x:c r="D432" s="5" t="n">
        <x:v>44718</x:v>
      </x:c>
      <x:c r="E432" s="2" t="str">
        <x:v>duration</x:v>
      </x:c>
      <x:c r="F432" s="37" t="n">
        <x:v>9323739.416875554</x:v>
      </x:c>
      <x:c r="G432" s="37" t="n">
        <x:v>3658129.2724419883</x:v>
      </x:c>
      <x:c r="H432" s="37" t="n">
        <x:v>21475.563365733597</x:v>
      </x:c>
      <x:c r="I432" s="37" t="n">
        <x:v>3636653.7090762546</x:v>
      </x:c>
      <x:c r="J432" s="37" t="n">
        <x:v>10766852.19055455</x:v>
      </x:c>
      <x:c r="K432" s="37" t="n">
        <x:v>7108722.918112562</x:v>
      </x:c>
      <x:c r="L432" s="37" t="n">
        <x:v>12981868.689317543</x:v>
      </x:c>
      <x:c r="M432" s="37" t="n">
        <x:v>0</x:v>
      </x:c>
      <x:c r="N432" s="37" t="n">
        <x:v>0</x:v>
      </x:c>
      <x:c r="O432" s="37" t="n">
        <x:v>1532.5015447475016</x:v>
      </x:c>
      <x:c r="P432" s="37" t="n">
        <x:v>0</x:v>
      </x:c>
      <x:c r="Q432" s="37" t="n">
        <x:v>0</x:v>
      </x:c>
      <x:c r="R432" s="37" t="n">
        <x:v>0</x:v>
      </x:c>
      <x:c r="S432" s="37" t="n">
        <x:v>0</x:v>
      </x:c>
      <x:c r="T432" s="37" t="n">
        <x:v>0</x:v>
      </x:c>
      <x:c r="U432" s="37" t="n">
        <x:v>6645.098252371114</x:v>
      </x:c>
      <x:c r="V432" s="37" t="n">
        <x:v>0</x:v>
      </x:c>
      <x:c r="W432" s="37" t="n">
        <x:v>78532.41903699748</x:v>
      </x:c>
      <x:c r="X432" s="37" t="n">
        <x:v>0</x:v>
      </x:c>
      <x:c r="Y432" s="37" t="n">
        <x:v>1992.6487133401456</x:v>
      </x:c>
      <x:c r="Z432" s="37" t="n">
        <x:v>7250897.376474814</x:v>
      </x:c>
      <x:c r="AA432" s="37" t="n">
        <x:v>0</x:v>
      </x:c>
      <x:c r="AB432" s="37" t="n">
        <x:v>7250897.376474814</x:v>
      </x:c>
      <x:c r="AC432" s="37" t="n">
        <x:v>2072842.0404007407</x:v>
      </x:c>
      <x:c r="AD432" s="37" t="n">
        <x:v>0</x:v>
      </x:c>
      <x:c r="AE432" s="37" t="n">
        <x:v>0</x:v>
      </x:c>
      <x:c r="AF432" s="47" t="b">
        <x:v>0</x:v>
      </x:c>
      <x:c r="AG432" s="47" t="b">
        <x:v>0</x:v>
      </x:c>
      <x:c r="AH432" s="48" t="n">
        <x:v>0</x:v>
      </x:c>
      <x:c r="AI432" s="48" t="n">
        <x:v>1.1920928955078125e-7</x:v>
      </x:c>
      <x:c r="AJ432" s="37" t="str">
        <x:v>passed</x:v>
      </x:c>
    </x:row>
    <x:row r="433" ht="21" customHeight="1">
      <x:c r="A433" s="2"/>
      <x:c r="B433" s="2"/>
      <x:c r="C433" s="2" t="str">
        <x:v>2022</x:v>
      </x:c>
      <x:c r="D433" s="5" t="n">
        <x:v>44718</x:v>
      </x:c>
      <x:c r="E433" s="2" t="str">
        <x:v>unweighted</x:v>
      </x:c>
      <x:c r="F433" s="37" t="n">
        <x:v>12244545.659894554</x:v>
      </x:c>
      <x:c r="G433" s="37" t="n">
        <x:v>742533.3811713427</x:v>
      </x:c>
      <x:c r="H433" s="37" t="n">
        <x:v>22880.868762762984</x:v>
      </x:c>
      <x:c r="I433" s="37" t="n">
        <x:v>719652.5124085797</x:v>
      </x:c>
      <x:c r="J433" s="37" t="n">
        <x:v>10770169.186339429</x:v>
      </x:c>
      <x:c r="K433" s="37" t="n">
        <x:v>10027635.805168085</x:v>
      </x:c>
      <x:c r="L433" s="37" t="n">
        <x:v>12987079.041065896</x:v>
      </x:c>
      <x:c r="M433" s="37" t="n">
        <x:v>0</x:v>
      </x:c>
      <x:c r="N433" s="37" t="n">
        <x:v>0</x:v>
      </x:c>
      <x:c r="O433" s="37" t="n">
        <x:v>2012.581465387717</x:v>
      </x:c>
      <x:c r="P433" s="37" t="n">
        <x:v>0</x:v>
      </x:c>
      <x:c r="Q433" s="37" t="n">
        <x:v>0</x:v>
      </x:c>
      <x:c r="R433" s="37" t="n">
        <x:v>0</x:v>
      </x:c>
      <x:c r="S433" s="37" t="n">
        <x:v>0</x:v>
      </x:c>
      <x:c r="T433" s="37" t="n">
        <x:v>0</x:v>
      </x:c>
      <x:c r="U433" s="37" t="n">
        <x:v>-1868.6910087944125</x:v>
      </x:c>
      <x:c r="V433" s="37" t="n">
        <x:v>0</x:v>
      </x:c>
      <x:c r="W433" s="37" t="n">
        <x:v>101953.01124016196</x:v>
      </x:c>
      <x:c r="X433" s="37" t="n">
        <x:v>0</x:v>
      </x:c>
      <x:c r="Y433" s="37" t="n">
        <x:v>2271.0724644097463</x:v>
      </x:c>
      <x:c r="Z433" s="37" t="n">
        <x:v>10228188.521271447</x:v>
      </x:c>
      <x:c r="AA433" s="37" t="n">
        <x:v>0</x:v>
      </x:c>
      <x:c r="AB433" s="37" t="n">
        <x:v>10228188.521271447</x:v>
      </x:c>
      <x:c r="AC433" s="37" t="n">
        <x:v>2016357.1386231072</x:v>
      </x:c>
      <x:c r="AD433" s="37" t="n">
        <x:v>0</x:v>
      </x:c>
      <x:c r="AE433" s="37" t="n">
        <x:v>0</x:v>
      </x:c>
      <x:c r="AF433" s="47" t="b">
        <x:v>0</x:v>
      </x:c>
      <x:c r="AG433" s="47" t="b">
        <x:v>0</x:v>
      </x:c>
      <x:c r="AH433" s="48" t="n">
        <x:v>0</x:v>
      </x:c>
      <x:c r="AI433" s="48" t="n">
        <x:v>1.1920928955078125e-7</x:v>
      </x:c>
      <x:c r="AJ433" s="37" t="str">
        <x:v>passed</x:v>
      </x:c>
    </x:row>
    <x:row r="434" ht="21" customHeight="1">
      <x:c r="A434" s="2"/>
      <x:c r="B434" s="2"/>
      <x:c r="C434" s="2" t="str">
        <x:v>2022</x:v>
      </x:c>
      <x:c r="D434" s="5" t="n">
        <x:v>44718</x:v>
      </x:c>
      <x:c r="E434" s="2" t="str">
        <x:v>constrained</x:v>
      </x:c>
      <x:c r="F434" s="37" t="n">
        <x:v>13097532.851239095</x:v>
      </x:c>
      <x:c r="G434" s="37" t="n">
        <x:v>-40781.4911094509</x:v>
      </x:c>
      <x:c r="H434" s="37" t="n">
        <x:v>22611.752879074334</x:v>
      </x:c>
      <x:c r="I434" s="37" t="n">
        <x:v>-63393.24398852524</x:v>
      </x:c>
      <x:c r="J434" s="37" t="n">
        <x:v>10770051.420962032</x:v>
      </x:c>
      <x:c r="K434" s="37" t="n">
        <x:v>10810832.912071483</x:v>
      </x:c>
      <x:c r="L434" s="37" t="n">
        <x:v>13056751.360129643</x:v>
      </x:c>
      <x:c r="M434" s="37" t="n">
        <x:v>0</x:v>
      </x:c>
      <x:c r="N434" s="37" t="n">
        <x:v>0</x:v>
      </x:c>
      <x:c r="O434" s="37" t="n">
        <x:v>2152.7831730861217</x:v>
      </x:c>
      <x:c r="P434" s="37" t="n">
        <x:v>0</x:v>
      </x:c>
      <x:c r="Q434" s="37" t="n">
        <x:v>0</x:v>
      </x:c>
      <x:c r="R434" s="37" t="n">
        <x:v>0</x:v>
      </x:c>
      <x:c r="S434" s="37" t="n">
        <x:v>0</x:v>
      </x:c>
      <x:c r="T434" s="37" t="n">
        <x:v>0</x:v>
      </x:c>
      <x:c r="U434" s="37" t="n">
        <x:v>-6729.4488397945315</x:v>
      </x:c>
      <x:c r="V434" s="37" t="n">
        <x:v>0</x:v>
      </x:c>
      <x:c r="W434" s="37" t="n">
        <x:v>110351.6361870654</x:v>
      </x:c>
      <x:c r="X434" s="37" t="n">
        <x:v>0</x:v>
      </x:c>
      <x:c r="Y434" s="37" t="n">
        <x:v>2371.211532654721</x:v>
      </x:c>
      <x:c r="Z434" s="37" t="n">
        <x:v>11027049.570312914</x:v>
      </x:c>
      <x:c r="AA434" s="37" t="n">
        <x:v>0</x:v>
      </x:c>
      <x:c r="AB434" s="37" t="n">
        <x:v>11027049.570312914</x:v>
      </x:c>
      <x:c r="AC434" s="37" t="n">
        <x:v>2070483.280926181</x:v>
      </x:c>
      <x:c r="AD434" s="37" t="n">
        <x:v>0</x:v>
      </x:c>
      <x:c r="AE434" s="37" t="n">
        <x:v>0</x:v>
      </x:c>
      <x:c r="AF434" s="47" t="b">
        <x:v>0</x:v>
      </x:c>
      <x:c r="AG434" s="47" t="b">
        <x:v>0</x:v>
      </x:c>
      <x:c r="AH434" s="48" t="n">
        <x:v>0</x:v>
      </x:c>
      <x:c r="AI434" s="48" t="n">
        <x:v>1.1920928955078125e-7</x:v>
      </x:c>
      <x:c r="AJ434" s="37" t="str">
        <x:v>passed</x:v>
      </x:c>
    </x:row>
    <x:row r="435" ht="21" customHeight="1">
      <x:c r="A435" s="2"/>
      <x:c r="B435" s="2"/>
      <x:c r="C435" s="2" t="str">
        <x:v>2022</x:v>
      </x:c>
      <x:c r="D435" s="5" t="n">
        <x:v>44719</x:v>
      </x:c>
      <x:c r="E435" s="2" t="str">
        <x:v>unhedged</x:v>
      </x:c>
      <x:c r="F435" s="37" t="n">
        <x:v>1273082.8323488066</x:v>
      </x:c>
      <x:c r="G435" s="37" t="n">
        <x:v>10797644.585830372</x:v>
      </x:c>
      <x:c r="H435" s="37" t="n">
        <x:v>28625.615541676674</x:v>
      </x:c>
      <x:c r="I435" s="37" t="n">
        <x:v>10769018.970288696</x:v>
      </x:c>
      <x:c r="J435" s="37" t="n">
        <x:v>10797644.585830372</x:v>
      </x:c>
      <x:c r="K435" s="37" t="n">
        <x:v>0</x:v>
      </x:c>
      <x:c r="L435" s="37" t="n">
        <x:v>12070727.418179179</x:v>
      </x:c>
      <x:c r="M435" s="37" t="n">
        <x:v>0</x:v>
      </x:c>
      <x:c r="N435" s="37" t="n">
        <x:v>0</x:v>
      </x:c>
      <x:c r="O435" s="37" t="n">
        <x:v>69.75414127181284</x:v>
      </x:c>
      <x:c r="P435" s="37" t="n">
        <x:v>0</x:v>
      </x:c>
      <x:c r="Q435" s="37" t="n">
        <x:v>0</x:v>
      </x:c>
      <x:c r="R435" s="37" t="n">
        <x:v>0</x:v>
      </x:c>
      <x:c r="S435" s="37" t="n">
        <x:v>0</x:v>
      </x:c>
      <x:c r="T435" s="37" t="n">
        <x:v>0</x:v>
      </x:c>
      <x:c r="U435" s="37" t="n">
        <x:v>63750</x:v>
      </x:c>
      <x:c r="V435" s="37" t="n">
        <x:v>0</x:v>
      </x:c>
      <x:c r="W435" s="37" t="n">
        <x:v>10507.55166553217</x:v>
      </x:c>
      <x:c r="X435" s="37" t="n">
        <x:v>0</x:v>
      </x:c>
      <x:c r="Y435" s="37" t="n">
        <x:v>1174.7193167256753</x:v>
      </x:c>
      <x:c r="Z435" s="37" t="n">
        <x:v>0</x:v>
      </x:c>
      <x:c r="AA435" s="37" t="n">
        <x:v>0</x:v>
      </x:c>
      <x:c r="AB435" s="37" t="n">
        <x:v>0</x:v>
      </x:c>
      <x:c r="AC435" s="37" t="n">
        <x:v>1273082.8323488066</x:v>
      </x:c>
      <x:c r="AD435" s="37" t="n">
        <x:v>0</x:v>
      </x:c>
      <x:c r="AE435" s="37" t="n">
        <x:v>0</x:v>
      </x:c>
      <x:c r="AF435" s="47" t="b">
        <x:v>0</x:v>
      </x:c>
      <x:c r="AG435" s="47" t="b">
        <x:v>0</x:v>
      </x:c>
      <x:c r="AH435" s="48" t="n">
        <x:v>0</x:v>
      </x:c>
      <x:c r="AI435" s="48" t="n">
        <x:v>1.1920928955078125e-7</x:v>
      </x:c>
      <x:c r="AJ435" s="37" t="str">
        <x:v>passed</x:v>
      </x:c>
    </x:row>
    <x:row r="436" ht="21" customHeight="1">
      <x:c r="A436" s="2"/>
      <x:c r="B436" s="2"/>
      <x:c r="C436" s="2" t="str">
        <x:v>2022</x:v>
      </x:c>
      <x:c r="D436" s="5" t="n">
        <x:v>44719</x:v>
      </x:c>
      <x:c r="E436" s="2" t="str">
        <x:v>duration</x:v>
      </x:c>
      <x:c r="F436" s="37" t="n">
        <x:v>9324250.306706615</x:v>
      </x:c>
      <x:c r="G436" s="37" t="n">
        <x:v>3654130.082311075</x:v>
      </x:c>
      <x:c r="H436" s="37" t="n">
        <x:v>21516.308420016445</x:v>
      </x:c>
      <x:c r="I436" s="37" t="n">
        <x:v>3632613.7738910588</x:v>
      </x:c>
      <x:c r="J436" s="37" t="n">
        <x:v>10797644.585830372</x:v>
      </x:c>
      <x:c r="K436" s="37" t="n">
        <x:v>7143514.503519296</x:v>
      </x:c>
      <x:c r="L436" s="37" t="n">
        <x:v>12978380.38901769</x:v>
      </x:c>
      <x:c r="M436" s="37" t="n">
        <x:v>0</x:v>
      </x:c>
      <x:c r="N436" s="37" t="n">
        <x:v>0</x:v>
      </x:c>
      <x:c r="O436" s="37" t="n">
        <x:v>510.88983106054366</x:v>
      </x:c>
      <x:c r="P436" s="37" t="n">
        <x:v>0</x:v>
      </x:c>
      <x:c r="Q436" s="37" t="n">
        <x:v>0</x:v>
      </x:c>
      <x:c r="R436" s="37" t="n">
        <x:v>0</x:v>
      </x:c>
      <x:c r="S436" s="37" t="n">
        <x:v>0</x:v>
      </x:c>
      <x:c r="T436" s="37" t="n">
        <x:v>0</x:v>
      </x:c>
      <x:c r="U436" s="37" t="n">
        <x:v>6645.098252371114</x:v>
      </x:c>
      <x:c r="V436" s="37" t="n">
        <x:v>0</x:v>
      </x:c>
      <x:c r="W436" s="37" t="n">
        <x:v>79043.30886805803</x:v>
      </x:c>
      <x:c r="X436" s="37" t="n">
        <x:v>0</x:v>
      </x:c>
      <x:c r="Y436" s="37" t="n">
        <x:v>1992.6487133401456</x:v>
      </x:c>
      <x:c r="Z436" s="37" t="n">
        <x:v>7286384.793589681</x:v>
      </x:c>
      <x:c r="AA436" s="37" t="n">
        <x:v>0</x:v>
      </x:c>
      <x:c r="AB436" s="37" t="n">
        <x:v>7286384.793589681</x:v>
      </x:c>
      <x:c r="AC436" s="37" t="n">
        <x:v>2037865.5131169334</x:v>
      </x:c>
      <x:c r="AD436" s="37" t="n">
        <x:v>0</x:v>
      </x:c>
      <x:c r="AE436" s="37" t="n">
        <x:v>0</x:v>
      </x:c>
      <x:c r="AF436" s="47" t="b">
        <x:v>0</x:v>
      </x:c>
      <x:c r="AG436" s="47" t="b">
        <x:v>0</x:v>
      </x:c>
      <x:c r="AH436" s="48" t="n">
        <x:v>0</x:v>
      </x:c>
      <x:c r="AI436" s="48" t="n">
        <x:v>1.1920928955078125e-7</x:v>
      </x:c>
      <x:c r="AJ436" s="37" t="str">
        <x:v>passed</x:v>
      </x:c>
    </x:row>
    <x:row r="437" ht="21" customHeight="1">
      <x:c r="A437" s="2"/>
      <x:c r="B437" s="2"/>
      <x:c r="C437" s="2" t="str">
        <x:v>2022</x:v>
      </x:c>
      <x:c r="D437" s="5" t="n">
        <x:v>44719</x:v>
      </x:c>
      <x:c r="E437" s="2" t="str">
        <x:v>unweighted</x:v>
      </x:c>
      <x:c r="F437" s="37" t="n">
        <x:v>12245216.593903316</x:v>
      </x:c>
      <x:c r="G437" s="37" t="n">
        <x:v>744235.3514510698</x:v>
      </x:c>
      <x:c r="H437" s="37" t="n">
        <x:v>22871.92843226656</x:v>
      </x:c>
      <x:c r="I437" s="37" t="n">
        <x:v>721363.4230188032</x:v>
      </x:c>
      <x:c r="J437" s="37" t="n">
        <x:v>10800996.644711554</x:v>
      </x:c>
      <x:c r="K437" s="37" t="n">
        <x:v>10056761.293260485</x:v>
      </x:c>
      <x:c r="L437" s="37" t="n">
        <x:v>12989451.945354385</x:v>
      </x:c>
      <x:c r="M437" s="37" t="n">
        <x:v>0</x:v>
      </x:c>
      <x:c r="N437" s="37" t="n">
        <x:v>0</x:v>
      </x:c>
      <x:c r="O437" s="37" t="n">
        <x:v>670.9340087622404</x:v>
      </x:c>
      <x:c r="P437" s="37" t="n">
        <x:v>0</x:v>
      </x:c>
      <x:c r="Q437" s="37" t="n">
        <x:v>0</x:v>
      </x:c>
      <x:c r="R437" s="37" t="n">
        <x:v>0</x:v>
      </x:c>
      <x:c r="S437" s="37" t="n">
        <x:v>0</x:v>
      </x:c>
      <x:c r="T437" s="37" t="n">
        <x:v>0</x:v>
      </x:c>
      <x:c r="U437" s="37" t="n">
        <x:v>-1868.6910087944125</x:v>
      </x:c>
      <x:c r="V437" s="37" t="n">
        <x:v>0</x:v>
      </x:c>
      <x:c r="W437" s="37" t="n">
        <x:v>102623.9452489242</x:v>
      </x:c>
      <x:c r="X437" s="37" t="n">
        <x:v>0</x:v>
      </x:c>
      <x:c r="Y437" s="37" t="n">
        <x:v>2271.0724644097463</x:v>
      </x:c>
      <x:c r="Z437" s="37" t="n">
        <x:v>10257896.519125694</x:v>
      </x:c>
      <x:c r="AA437" s="37" t="n">
        <x:v>0</x:v>
      </x:c>
      <x:c r="AB437" s="37" t="n">
        <x:v>10257896.519125694</x:v>
      </x:c>
      <x:c r="AC437" s="37" t="n">
        <x:v>1987320.0747776218</x:v>
      </x:c>
      <x:c r="AD437" s="37" t="n">
        <x:v>0</x:v>
      </x:c>
      <x:c r="AE437" s="37" t="n">
        <x:v>0</x:v>
      </x:c>
      <x:c r="AF437" s="47" t="b">
        <x:v>0</x:v>
      </x:c>
      <x:c r="AG437" s="47" t="b">
        <x:v>0</x:v>
      </x:c>
      <x:c r="AH437" s="48" t="n">
        <x:v>0</x:v>
      </x:c>
      <x:c r="AI437" s="48" t="n">
        <x:v>1.1920928955078125e-7</x:v>
      </x:c>
      <x:c r="AJ437" s="37" t="str">
        <x:v>passed</x:v>
      </x:c>
    </x:row>
    <x:row r="438" ht="21" customHeight="1">
      <x:c r="A438" s="2"/>
      <x:c r="B438" s="2"/>
      <x:c r="C438" s="2" t="str">
        <x:v>2022</x:v>
      </x:c>
      <x:c r="D438" s="5" t="n">
        <x:v>44719</x:v>
      </x:c>
      <x:c r="E438" s="2" t="str">
        <x:v>constrained</x:v>
      </x:c>
      <x:c r="F438" s="37" t="n">
        <x:v>13098250.52427204</x:v>
      </x:c>
      <x:c r="G438" s="37" t="n">
        <x:v>-40648.74924663147</x:v>
      </x:c>
      <x:c r="H438" s="37" t="n">
        <x:v>22577.530608872115</x:v>
      </x:c>
      <x:c r="I438" s="37" t="n">
        <x:v>-63226.279855503584</x:v>
      </x:c>
      <x:c r="J438" s="37" t="n">
        <x:v>10800877.634467106</x:v>
      </x:c>
      <x:c r="K438" s="37" t="n">
        <x:v>10841526.383713737</x:v>
      </x:c>
      <x:c r="L438" s="37" t="n">
        <x:v>13057601.775025409</x:v>
      </x:c>
      <x:c r="M438" s="37" t="n">
        <x:v>0</x:v>
      </x:c>
      <x:c r="N438" s="37" t="n">
        <x:v>0</x:v>
      </x:c>
      <x:c r="O438" s="37" t="n">
        <x:v>717.673032945022</x:v>
      </x:c>
      <x:c r="P438" s="37" t="n">
        <x:v>0</x:v>
      </x:c>
      <x:c r="Q438" s="37" t="n">
        <x:v>0</x:v>
      </x:c>
      <x:c r="R438" s="37" t="n">
        <x:v>0</x:v>
      </x:c>
      <x:c r="S438" s="37" t="n">
        <x:v>0</x:v>
      </x:c>
      <x:c r="T438" s="37" t="n">
        <x:v>0</x:v>
      </x:c>
      <x:c r="U438" s="37" t="n">
        <x:v>-6729.4488397945315</x:v>
      </x:c>
      <x:c r="V438" s="37" t="n">
        <x:v>0</x:v>
      </x:c>
      <x:c r="W438" s="37" t="n">
        <x:v>111069.30922001041</x:v>
      </x:c>
      <x:c r="X438" s="37" t="n">
        <x:v>0</x:v>
      </x:c>
      <x:c r="Y438" s="37" t="n">
        <x:v>2371.211532654721</x:v>
      </x:c>
      <x:c r="Z438" s="37" t="n">
        <x:v>11058356.911388012</x:v>
      </x:c>
      <x:c r="AA438" s="37" t="n">
        <x:v>0</x:v>
      </x:c>
      <x:c r="AB438" s="37" t="n">
        <x:v>11058356.911388012</x:v>
      </x:c>
      <x:c r="AC438" s="37" t="n">
        <x:v>2039893.6128840279</x:v>
      </x:c>
      <x:c r="AD438" s="37" t="n">
        <x:v>0</x:v>
      </x:c>
      <x:c r="AE438" s="37" t="n">
        <x:v>0</x:v>
      </x:c>
      <x:c r="AF438" s="47" t="b">
        <x:v>0</x:v>
      </x:c>
      <x:c r="AG438" s="47" t="b">
        <x:v>0</x:v>
      </x:c>
      <x:c r="AH438" s="48" t="n">
        <x:v>0</x:v>
      </x:c>
      <x:c r="AI438" s="48" t="n">
        <x:v>1.1920928955078125e-7</x:v>
      </x:c>
      <x:c r="AJ438" s="37" t="str">
        <x:v>passed</x:v>
      </x:c>
    </x:row>
    <x:row r="439" ht="21" customHeight="1">
      <x:c r="A439" s="2"/>
      <x:c r="B439" s="2"/>
      <x:c r="C439" s="2" t="str">
        <x:v>2022</x:v>
      </x:c>
      <x:c r="D439" s="5" t="n">
        <x:v>44720</x:v>
      </x:c>
      <x:c r="E439" s="2" t="str">
        <x:v>unhedged</x:v>
      </x:c>
      <x:c r="F439" s="37" t="n">
        <x:v>1273152.590312223</x:v>
      </x:c>
      <x:c r="G439" s="37" t="n">
        <x:v>10772233.322506007</x:v>
      </x:c>
      <x:c r="H439" s="37" t="n">
        <x:v>28975.460905596927</x:v>
      </x:c>
      <x:c r="I439" s="37" t="n">
        <x:v>10743257.86160041</x:v>
      </x:c>
      <x:c r="J439" s="37" t="n">
        <x:v>10772233.322506007</x:v>
      </x:c>
      <x:c r="K439" s="37" t="n">
        <x:v>0</x:v>
      </x:c>
      <x:c r="L439" s="37" t="n">
        <x:v>12045385.91281823</x:v>
      </x:c>
      <x:c r="M439" s="37" t="n">
        <x:v>0</x:v>
      </x:c>
      <x:c r="N439" s="37" t="n">
        <x:v>0</x:v>
      </x:c>
      <x:c r="O439" s="37" t="n">
        <x:v>69.75796341639943</x:v>
      </x:c>
      <x:c r="P439" s="37" t="n">
        <x:v>0</x:v>
      </x:c>
      <x:c r="Q439" s="37" t="n">
        <x:v>0</x:v>
      </x:c>
      <x:c r="R439" s="37" t="n">
        <x:v>0</x:v>
      </x:c>
      <x:c r="S439" s="37" t="n">
        <x:v>0</x:v>
      </x:c>
      <x:c r="T439" s="37" t="n">
        <x:v>0</x:v>
      </x:c>
      <x:c r="U439" s="37" t="n">
        <x:v>63750</x:v>
      </x:c>
      <x:c r="V439" s="37" t="n">
        <x:v>0</x:v>
      </x:c>
      <x:c r="W439" s="37" t="n">
        <x:v>10577.30962894857</x:v>
      </x:c>
      <x:c r="X439" s="37" t="n">
        <x:v>0</x:v>
      </x:c>
      <x:c r="Y439" s="37" t="n">
        <x:v>1174.7193167256753</x:v>
      </x:c>
      <x:c r="Z439" s="37" t="n">
        <x:v>0</x:v>
      </x:c>
      <x:c r="AA439" s="37" t="n">
        <x:v>0</x:v>
      </x:c>
      <x:c r="AB439" s="37" t="n">
        <x:v>0</x:v>
      </x:c>
      <x:c r="AC439" s="37" t="n">
        <x:v>1273152.590312223</x:v>
      </x:c>
      <x:c r="AD439" s="37" t="n">
        <x:v>0</x:v>
      </x:c>
      <x:c r="AE439" s="37" t="n">
        <x:v>0</x:v>
      </x:c>
      <x:c r="AF439" s="47" t="b">
        <x:v>0</x:v>
      </x:c>
      <x:c r="AG439" s="47" t="b">
        <x:v>0</x:v>
      </x:c>
      <x:c r="AH439" s="48" t="n">
        <x:v>0</x:v>
      </x:c>
      <x:c r="AI439" s="48" t="n">
        <x:v>1.1920928955078125e-7</x:v>
      </x:c>
      <x:c r="AJ439" s="37" t="str">
        <x:v>passed</x:v>
      </x:c>
    </x:row>
    <x:row r="440" ht="21" customHeight="1">
      <x:c r="A440" s="2"/>
      <x:c r="B440" s="2"/>
      <x:c r="C440" s="2" t="str">
        <x:v>2022</x:v>
      </x:c>
      <x:c r="D440" s="5" t="n">
        <x:v>44720</x:v>
      </x:c>
      <x:c r="E440" s="2" t="str">
        <x:v>duration</x:v>
      </x:c>
      <x:c r="F440" s="37" t="n">
        <x:v>9324761.224531641</x:v>
      </x:c>
      <x:c r="G440" s="37" t="n">
        <x:v>3656207.6608815687</x:v>
      </x:c>
      <x:c r="H440" s="37" t="n">
        <x:v>21557.053474299297</x:v>
      </x:c>
      <x:c r="I440" s="37" t="n">
        <x:v>3634650.6074072695</x:v>
      </x:c>
      <x:c r="J440" s="37" t="n">
        <x:v>10772233.322506007</x:v>
      </x:c>
      <x:c r="K440" s="37" t="n">
        <x:v>7116025.661624438</x:v>
      </x:c>
      <x:c r="L440" s="37" t="n">
        <x:v>12980968.88541321</x:v>
      </x:c>
      <x:c r="M440" s="37" t="n">
        <x:v>0</x:v>
      </x:c>
      <x:c r="N440" s="37" t="n">
        <x:v>0</x:v>
      </x:c>
      <x:c r="O440" s="37" t="n">
        <x:v>510.91782502643764</x:v>
      </x:c>
      <x:c r="P440" s="37" t="n">
        <x:v>0</x:v>
      </x:c>
      <x:c r="Q440" s="37" t="n">
        <x:v>0</x:v>
      </x:c>
      <x:c r="R440" s="37" t="n">
        <x:v>0</x:v>
      </x:c>
      <x:c r="S440" s="37" t="n">
        <x:v>0</x:v>
      </x:c>
      <x:c r="T440" s="37" t="n">
        <x:v>0</x:v>
      </x:c>
      <x:c r="U440" s="37" t="n">
        <x:v>6645.098252371114</x:v>
      </x:c>
      <x:c r="V440" s="37" t="n">
        <x:v>0</x:v>
      </x:c>
      <x:c r="W440" s="37" t="n">
        <x:v>79554.22669308446</x:v>
      </x:c>
      <x:c r="X440" s="37" t="n">
        <x:v>0</x:v>
      </x:c>
      <x:c r="Y440" s="37" t="n">
        <x:v>1992.6487133401456</x:v>
      </x:c>
      <x:c r="Z440" s="37" t="n">
        <x:v>7258346.174856927</x:v>
      </x:c>
      <x:c r="AA440" s="37" t="n">
        <x:v>0</x:v>
      </x:c>
      <x:c r="AB440" s="37" t="n">
        <x:v>7258346.174856927</x:v>
      </x:c>
      <x:c r="AC440" s="37" t="n">
        <x:v>2066415.049674714</x:v>
      </x:c>
      <x:c r="AD440" s="37" t="n">
        <x:v>0</x:v>
      </x:c>
      <x:c r="AE440" s="37" t="n">
        <x:v>0</x:v>
      </x:c>
      <x:c r="AF440" s="47" t="b">
        <x:v>0</x:v>
      </x:c>
      <x:c r="AG440" s="47" t="b">
        <x:v>0</x:v>
      </x:c>
      <x:c r="AH440" s="48" t="n">
        <x:v>0</x:v>
      </x:c>
      <x:c r="AI440" s="48" t="n">
        <x:v>1.1920928955078125e-7</x:v>
      </x:c>
      <x:c r="AJ440" s="37" t="str">
        <x:v>passed</x:v>
      </x:c>
    </x:row>
    <x:row r="441" ht="21" customHeight="1">
      <x:c r="A441" s="2"/>
      <x:c r="B441" s="2"/>
      <x:c r="C441" s="2" t="str">
        <x:v>2022</x:v>
      </x:c>
      <x:c r="D441" s="5" t="n">
        <x:v>44720</x:v>
      </x:c>
      <x:c r="E441" s="2" t="str">
        <x:v>unweighted</x:v>
      </x:c>
      <x:c r="F441" s="37" t="n">
        <x:v>12245887.564675586</x:v>
      </x:c>
      <x:c r="G441" s="37" t="n">
        <x:v>742895.9903043264</x:v>
      </x:c>
      <x:c r="H441" s="37" t="n">
        <x:v>22862.98810177013</x:v>
      </x:c>
      <x:c r="I441" s="37" t="n">
        <x:v>720033.0022025562</x:v>
      </x:c>
      <x:c r="J441" s="37" t="n">
        <x:v>10775557.9967462</x:v>
      </x:c>
      <x:c r="K441" s="37" t="n">
        <x:v>10032662.006441873</x:v>
      </x:c>
      <x:c r="L441" s="37" t="n">
        <x:v>12988783.554979913</x:v>
      </x:c>
      <x:c r="M441" s="37" t="n">
        <x:v>0</x:v>
      </x:c>
      <x:c r="N441" s="37" t="n">
        <x:v>0</x:v>
      </x:c>
      <x:c r="O441" s="37" t="n">
        <x:v>670.9707722701132</x:v>
      </x:c>
      <x:c r="P441" s="37" t="n">
        <x:v>0</x:v>
      </x:c>
      <x:c r="Q441" s="37" t="n">
        <x:v>0</x:v>
      </x:c>
      <x:c r="R441" s="37" t="n">
        <x:v>0</x:v>
      </x:c>
      <x:c r="S441" s="37" t="n">
        <x:v>0</x:v>
      </x:c>
      <x:c r="T441" s="37" t="n">
        <x:v>0</x:v>
      </x:c>
      <x:c r="U441" s="37" t="n">
        <x:v>-1868.6910087944125</x:v>
      </x:c>
      <x:c r="V441" s="37" t="n">
        <x:v>0</x:v>
      </x:c>
      <x:c r="W441" s="37" t="n">
        <x:v>103294.91602119431</x:v>
      </x:c>
      <x:c r="X441" s="37" t="n">
        <x:v>0</x:v>
      </x:c>
      <x:c r="Y441" s="37" t="n">
        <x:v>2271.0724644097463</x:v>
      </x:c>
      <x:c r="Z441" s="37" t="n">
        <x:v>10233315.24657071</x:v>
      </x:c>
      <x:c r="AA441" s="37" t="n">
        <x:v>0</x:v>
      </x:c>
      <x:c r="AB441" s="37" t="n">
        <x:v>10233315.24657071</x:v>
      </x:c>
      <x:c r="AC441" s="37" t="n">
        <x:v>2012572.3181048762</x:v>
      </x:c>
      <x:c r="AD441" s="37" t="n">
        <x:v>0</x:v>
      </x:c>
      <x:c r="AE441" s="37" t="n">
        <x:v>0</x:v>
      </x:c>
      <x:c r="AF441" s="47" t="b">
        <x:v>0</x:v>
      </x:c>
      <x:c r="AG441" s="47" t="b">
        <x:v>0</x:v>
      </x:c>
      <x:c r="AH441" s="48" t="n">
        <x:v>0</x:v>
      </x:c>
      <x:c r="AI441" s="48" t="n">
        <x:v>1.1920928955078125e-7</x:v>
      </x:c>
      <x:c r="AJ441" s="37" t="str">
        <x:v>passed</x:v>
      </x:c>
    </x:row>
    <x:row r="442" ht="21" customHeight="1">
      <x:c r="A442" s="2"/>
      <x:c r="B442" s="2"/>
      <x:c r="C442" s="2" t="str">
        <x:v>2022</x:v>
      </x:c>
      <x:c r="D442" s="5" t="n">
        <x:v>44720</x:v>
      </x:c>
      <x:c r="E442" s="2" t="str">
        <x:v>constrained</x:v>
      </x:c>
      <x:c r="F442" s="37" t="n">
        <x:v>13098968.236629536</x:v>
      </x:c>
      <x:c r="G442" s="37" t="n">
        <x:v>-40624.57948032097</x:v>
      </x:c>
      <x:c r="H442" s="37" t="n">
        <x:v>22543.308338669896</x:v>
      </x:c>
      <x:c r="I442" s="37" t="n">
        <x:v>-63167.88781899087</x:v>
      </x:c>
      <x:c r="J442" s="37" t="n">
        <x:v>10775439.9587558</x:v>
      </x:c>
      <x:c r="K442" s="37" t="n">
        <x:v>10816064.53823612</x:v>
      </x:c>
      <x:c r="L442" s="37" t="n">
        <x:v>13058343.657149216</x:v>
      </x:c>
      <x:c r="M442" s="37" t="n">
        <x:v>0</x:v>
      </x:c>
      <x:c r="N442" s="37" t="n">
        <x:v>0</x:v>
      </x:c>
      <x:c r="O442" s="37" t="n">
        <x:v>717.7123574968427</x:v>
      </x:c>
      <x:c r="P442" s="37" t="n">
        <x:v>0</x:v>
      </x:c>
      <x:c r="Q442" s="37" t="n">
        <x:v>0</x:v>
      </x:c>
      <x:c r="R442" s="37" t="n">
        <x:v>0</x:v>
      </x:c>
      <x:c r="S442" s="37" t="n">
        <x:v>0</x:v>
      </x:c>
      <x:c r="T442" s="37" t="n">
        <x:v>0</x:v>
      </x:c>
      <x:c r="U442" s="37" t="n">
        <x:v>-6729.4488397945315</x:v>
      </x:c>
      <x:c r="V442" s="37" t="n">
        <x:v>0</x:v>
      </x:c>
      <x:c r="W442" s="37" t="n">
        <x:v>111787.02157750726</x:v>
      </x:c>
      <x:c r="X442" s="37" t="n">
        <x:v>0</x:v>
      </x:c>
      <x:c r="Y442" s="37" t="n">
        <x:v>2371.211532654721</x:v>
      </x:c>
      <x:c r="Z442" s="37" t="n">
        <x:v>11032385.829000844</x:v>
      </x:c>
      <x:c r="AA442" s="37" t="n">
        <x:v>0</x:v>
      </x:c>
      <x:c r="AB442" s="37" t="n">
        <x:v>11032385.829000844</x:v>
      </x:c>
      <x:c r="AC442" s="37" t="n">
        <x:v>2066582.4076286927</x:v>
      </x:c>
      <x:c r="AD442" s="37" t="n">
        <x:v>0</x:v>
      </x:c>
      <x:c r="AE442" s="37" t="n">
        <x:v>0</x:v>
      </x:c>
      <x:c r="AF442" s="47" t="b">
        <x:v>0</x:v>
      </x:c>
      <x:c r="AG442" s="47" t="b">
        <x:v>0</x:v>
      </x:c>
      <x:c r="AH442" s="48" t="n">
        <x:v>0</x:v>
      </x:c>
      <x:c r="AI442" s="48" t="n">
        <x:v>1.1920928955078125e-7</x:v>
      </x:c>
      <x:c r="AJ442" s="37" t="str">
        <x:v>passed</x:v>
      </x:c>
    </x:row>
    <x:row r="443" ht="21" customHeight="1">
      <x:c r="A443" s="2"/>
      <x:c r="B443" s="2"/>
      <x:c r="C443" s="2" t="str">
        <x:v>2022</x:v>
      </x:c>
      <x:c r="D443" s="5" t="n">
        <x:v>44721</x:v>
      </x:c>
      <x:c r="E443" s="2" t="str">
        <x:v>unhedged</x:v>
      </x:c>
      <x:c r="F443" s="37" t="n">
        <x:v>1273222.3520979937</x:v>
      </x:c>
      <x:c r="G443" s="37" t="n">
        <x:v>10761448.492296237</x:v>
      </x:c>
      <x:c r="H443" s="37" t="n">
        <x:v>29325.30626951718</x:v>
      </x:c>
      <x:c r="I443" s="37" t="n">
        <x:v>10732123.18602672</x:v>
      </x:c>
      <x:c r="J443" s="37" t="n">
        <x:v>10761448.492296237</x:v>
      </x:c>
      <x:c r="K443" s="37" t="n">
        <x:v>0</x:v>
      </x:c>
      <x:c r="L443" s="37" t="n">
        <x:v>12034670.844394231</x:v>
      </x:c>
      <x:c r="M443" s="37" t="n">
        <x:v>0</x:v>
      </x:c>
      <x:c r="N443" s="37" t="n">
        <x:v>0</x:v>
      </x:c>
      <x:c r="O443" s="37" t="n">
        <x:v>69.76178577076644</x:v>
      </x:c>
      <x:c r="P443" s="37" t="n">
        <x:v>0</x:v>
      </x:c>
      <x:c r="Q443" s="37" t="n">
        <x:v>0</x:v>
      </x:c>
      <x:c r="R443" s="37" t="n">
        <x:v>0</x:v>
      </x:c>
      <x:c r="S443" s="37" t="n">
        <x:v>0</x:v>
      </x:c>
      <x:c r="T443" s="37" t="n">
        <x:v>0</x:v>
      </x:c>
      <x:c r="U443" s="37" t="n">
        <x:v>63750</x:v>
      </x:c>
      <x:c r="V443" s="37" t="n">
        <x:v>0</x:v>
      </x:c>
      <x:c r="W443" s="37" t="n">
        <x:v>10647.071414719336</x:v>
      </x:c>
      <x:c r="X443" s="37" t="n">
        <x:v>0</x:v>
      </x:c>
      <x:c r="Y443" s="37" t="n">
        <x:v>1174.7193167256753</x:v>
      </x:c>
      <x:c r="Z443" s="37" t="n">
        <x:v>0</x:v>
      </x:c>
      <x:c r="AA443" s="37" t="n">
        <x:v>0</x:v>
      </x:c>
      <x:c r="AB443" s="37" t="n">
        <x:v>0</x:v>
      </x:c>
      <x:c r="AC443" s="37" t="n">
        <x:v>1273222.3520979937</x:v>
      </x:c>
      <x:c r="AD443" s="37" t="n">
        <x:v>0</x:v>
      </x:c>
      <x:c r="AE443" s="37" t="n">
        <x:v>0</x:v>
      </x:c>
      <x:c r="AF443" s="47" t="b">
        <x:v>0</x:v>
      </x:c>
      <x:c r="AG443" s="47" t="b">
        <x:v>0</x:v>
      </x:c>
      <x:c r="AH443" s="48" t="n">
        <x:v>0</x:v>
      </x:c>
      <x:c r="AI443" s="48" t="n">
        <x:v>1.1920928955078125e-7</x:v>
      </x:c>
      <x:c r="AJ443" s="37" t="str">
        <x:v>passed</x:v>
      </x:c>
    </x:row>
    <x:row r="444" ht="21" customHeight="1">
      <x:c r="A444" s="2"/>
      <x:c r="B444" s="2"/>
      <x:c r="C444" s="2" t="str">
        <x:v>2022</x:v>
      </x:c>
      <x:c r="D444" s="5" t="n">
        <x:v>44721</x:v>
      </x:c>
      <x:c r="E444" s="2" t="str">
        <x:v>duration</x:v>
      </x:c>
      <x:c r="F444" s="37" t="n">
        <x:v>9325272.170352165</x:v>
      </x:c>
      <x:c r="G444" s="37" t="n">
        <x:v>3650504.8240139675</x:v>
      </x:c>
      <x:c r="H444" s="37" t="n">
        <x:v>21597.798528582145</x:v>
      </x:c>
      <x:c r="I444" s="37" t="n">
        <x:v>3628907.025485385</x:v>
      </x:c>
      <x:c r="J444" s="37" t="n">
        <x:v>10761448.492296237</x:v>
      </x:c>
      <x:c r="K444" s="37" t="n">
        <x:v>7110943.66828227</x:v>
      </x:c>
      <x:c r="L444" s="37" t="n">
        <x:v>12975776.994366132</x:v>
      </x:c>
      <x:c r="M444" s="37" t="n">
        <x:v>0</x:v>
      </x:c>
      <x:c r="N444" s="37" t="n">
        <x:v>0</x:v>
      </x:c>
      <x:c r="O444" s="37" t="n">
        <x:v>510.94582052342594</x:v>
      </x:c>
      <x:c r="P444" s="37" t="n">
        <x:v>0</x:v>
      </x:c>
      <x:c r="Q444" s="37" t="n">
        <x:v>0</x:v>
      </x:c>
      <x:c r="R444" s="37" t="n">
        <x:v>0</x:v>
      </x:c>
      <x:c r="S444" s="37" t="n">
        <x:v>0</x:v>
      </x:c>
      <x:c r="T444" s="37" t="n">
        <x:v>0</x:v>
      </x:c>
      <x:c r="U444" s="37" t="n">
        <x:v>6645.098252371114</x:v>
      </x:c>
      <x:c r="V444" s="37" t="n">
        <x:v>0</x:v>
      </x:c>
      <x:c r="W444" s="37" t="n">
        <x:v>80065.17251360789</x:v>
      </x:c>
      <x:c r="X444" s="37" t="n">
        <x:v>0</x:v>
      </x:c>
      <x:c r="Y444" s="37" t="n">
        <x:v>1992.6487133401456</x:v>
      </x:c>
      <x:c r="Z444" s="37" t="n">
        <x:v>7253162.541647916</x:v>
      </x:c>
      <x:c r="AA444" s="37" t="n">
        <x:v>0</x:v>
      </x:c>
      <x:c r="AB444" s="37" t="n">
        <x:v>7253162.541647916</x:v>
      </x:c>
      <x:c r="AC444" s="37" t="n">
        <x:v>2072109.628704249</x:v>
      </x:c>
      <x:c r="AD444" s="37" t="n">
        <x:v>0</x:v>
      </x:c>
      <x:c r="AE444" s="37" t="n">
        <x:v>0</x:v>
      </x:c>
      <x:c r="AF444" s="47" t="b">
        <x:v>0</x:v>
      </x:c>
      <x:c r="AG444" s="47" t="b">
        <x:v>0</x:v>
      </x:c>
      <x:c r="AH444" s="48" t="n">
        <x:v>0</x:v>
      </x:c>
      <x:c r="AI444" s="48" t="n">
        <x:v>1.1920928955078125e-7</x:v>
      </x:c>
      <x:c r="AJ444" s="37" t="str">
        <x:v>passed</x:v>
      </x:c>
    </x:row>
    <x:row r="445" ht="21" customHeight="1">
      <x:c r="A445" s="2"/>
      <x:c r="B445" s="2"/>
      <x:c r="C445" s="2" t="str">
        <x:v>2022</x:v>
      </x:c>
      <x:c r="D445" s="5" t="n">
        <x:v>44721</x:v>
      </x:c>
      <x:c r="E445" s="2" t="str">
        <x:v>unweighted</x:v>
      </x:c>
      <x:c r="F445" s="37" t="n">
        <x:v>12246558.572213378</x:v>
      </x:c>
      <x:c r="G445" s="37" t="n">
        <x:v>742052.2708983235</x:v>
      </x:c>
      <x:c r="H445" s="37" t="n">
        <x:v>22854.0477712737</x:v>
      </x:c>
      <x:c r="I445" s="37" t="n">
        <x:v>719198.2231270499</x:v>
      </x:c>
      <x:c r="J445" s="37" t="n">
        <x:v>10764776.222048543</x:v>
      </x:c>
      <x:c r="K445" s="37" t="n">
        <x:v>10022723.95115022</x:v>
      </x:c>
      <x:c r="L445" s="37" t="n">
        <x:v>12988610.843111701</x:v>
      </x:c>
      <x:c r="M445" s="37" t="n">
        <x:v>0</x:v>
      </x:c>
      <x:c r="N445" s="37" t="n">
        <x:v>0</x:v>
      </x:c>
      <x:c r="O445" s="37" t="n">
        <x:v>671.0075377915055</x:v>
      </x:c>
      <x:c r="P445" s="37" t="n">
        <x:v>0</x:v>
      </x:c>
      <x:c r="Q445" s="37" t="n">
        <x:v>0</x:v>
      </x:c>
      <x:c r="R445" s="37" t="n">
        <x:v>0</x:v>
      </x:c>
      <x:c r="S445" s="37" t="n">
        <x:v>0</x:v>
      </x:c>
      <x:c r="T445" s="37" t="n">
        <x:v>0</x:v>
      </x:c>
      <x:c r="U445" s="37" t="n">
        <x:v>-1868.6910087944125</x:v>
      </x:c>
      <x:c r="V445" s="37" t="n">
        <x:v>0</x:v>
      </x:c>
      <x:c r="W445" s="37" t="n">
        <x:v>103965.92355898581</x:v>
      </x:c>
      <x:c r="X445" s="37" t="n">
        <x:v>0</x:v>
      </x:c>
      <x:c r="Y445" s="37" t="n">
        <x:v>2271.0724644097463</x:v>
      </x:c>
      <x:c r="Z445" s="37" t="n">
        <x:v>10223178.430173224</x:v>
      </x:c>
      <x:c r="AA445" s="37" t="n">
        <x:v>0</x:v>
      </x:c>
      <x:c r="AB445" s="37" t="n">
        <x:v>10223178.430173224</x:v>
      </x:c>
      <x:c r="AC445" s="37" t="n">
        <x:v>2023380.142040154</x:v>
      </x:c>
      <x:c r="AD445" s="37" t="n">
        <x:v>0</x:v>
      </x:c>
      <x:c r="AE445" s="37" t="n">
        <x:v>0</x:v>
      </x:c>
      <x:c r="AF445" s="47" t="b">
        <x:v>0</x:v>
      </x:c>
      <x:c r="AG445" s="47" t="b">
        <x:v>0</x:v>
      </x:c>
      <x:c r="AH445" s="48" t="n">
        <x:v>0</x:v>
      </x:c>
      <x:c r="AI445" s="48" t="n">
        <x:v>1.1920928955078125e-7</x:v>
      </x:c>
      <x:c r="AJ445" s="37" t="str">
        <x:v>passed</x:v>
      </x:c>
    </x:row>
    <x:row r="446" ht="21" customHeight="1">
      <x:c r="A446" s="2"/>
      <x:c r="B446" s="2"/>
      <x:c r="C446" s="2" t="str">
        <x:v>2022</x:v>
      </x:c>
      <x:c r="D446" s="5" t="n">
        <x:v>44721</x:v>
      </x:c>
      <x:c r="E446" s="2" t="str">
        <x:v>constrained</x:v>
      </x:c>
      <x:c r="F446" s="37" t="n">
        <x:v>13099685.988313736</x:v>
      </x:c>
      <x:c r="G446" s="37" t="n">
        <x:v>-40599.542806921105</x:v>
      </x:c>
      <x:c r="H446" s="37" t="n">
        <x:v>22509.086068467677</x:v>
      </x:c>
      <x:c r="I446" s="37" t="n">
        <x:v>-63108.62887538878</x:v>
      </x:c>
      <x:c r="J446" s="37" t="n">
        <x:v>10764658.075576385</x:v>
      </x:c>
      <x:c r="K446" s="37" t="n">
        <x:v>10805257.618383305</x:v>
      </x:c>
      <x:c r="L446" s="37" t="n">
        <x:v>13059086.445506815</x:v>
      </x:c>
      <x:c r="M446" s="37" t="n">
        <x:v>0</x:v>
      </x:c>
      <x:c r="N446" s="37" t="n">
        <x:v>0</x:v>
      </x:c>
      <x:c r="O446" s="37" t="n">
        <x:v>717.7516842000186</x:v>
      </x:c>
      <x:c r="P446" s="37" t="n">
        <x:v>0</x:v>
      </x:c>
      <x:c r="Q446" s="37" t="n">
        <x:v>0</x:v>
      </x:c>
      <x:c r="R446" s="37" t="n">
        <x:v>0</x:v>
      </x:c>
      <x:c r="S446" s="37" t="n">
        <x:v>0</x:v>
      </x:c>
      <x:c r="T446" s="37" t="n">
        <x:v>0</x:v>
      </x:c>
      <x:c r="U446" s="37" t="n">
        <x:v>-6729.4488397945315</x:v>
      </x:c>
      <x:c r="V446" s="37" t="n">
        <x:v>0</x:v>
      </x:c>
      <x:c r="W446" s="37" t="n">
        <x:v>112504.77326170728</x:v>
      </x:c>
      <x:c r="X446" s="37" t="n">
        <x:v>0</x:v>
      </x:c>
      <x:c r="Y446" s="37" t="n">
        <x:v>2371.211532654721</x:v>
      </x:c>
      <x:c r="Z446" s="37" t="n">
        <x:v>11021362.770750972</x:v>
      </x:c>
      <x:c r="AA446" s="37" t="n">
        <x:v>0</x:v>
      </x:c>
      <x:c r="AB446" s="37" t="n">
        <x:v>11021362.770750972</x:v>
      </x:c>
      <x:c r="AC446" s="37" t="n">
        <x:v>2078323.2175627649</x:v>
      </x:c>
      <x:c r="AD446" s="37" t="n">
        <x:v>0</x:v>
      </x:c>
      <x:c r="AE446" s="37" t="n">
        <x:v>0</x:v>
      </x:c>
      <x:c r="AF446" s="47" t="b">
        <x:v>0</x:v>
      </x:c>
      <x:c r="AG446" s="47" t="b">
        <x:v>0</x:v>
      </x:c>
      <x:c r="AH446" s="48" t="n">
        <x:v>0</x:v>
      </x:c>
      <x:c r="AI446" s="48" t="n">
        <x:v>1.1920928955078125e-7</x:v>
      </x:c>
      <x:c r="AJ446" s="37" t="str">
        <x:v>passed</x:v>
      </x:c>
    </x:row>
    <x:row r="447" ht="21" customHeight="1">
      <x:c r="A447" s="2"/>
      <x:c r="B447" s="2"/>
      <x:c r="C447" s="2" t="str">
        <x:v>2022</x:v>
      </x:c>
      <x:c r="D447" s="5" t="n">
        <x:v>44722</x:v>
      </x:c>
      <x:c r="E447" s="2" t="str">
        <x:v>unhedged</x:v>
      </x:c>
      <x:c r="F447" s="37" t="n">
        <x:v>1273292.117706328</x:v>
      </x:c>
      <x:c r="G447" s="37" t="n">
        <x:v>10665487.676612843</x:v>
      </x:c>
      <x:c r="H447" s="37" t="n">
        <x:v>29675.151633437425</x:v>
      </x:c>
      <x:c r="I447" s="37" t="n">
        <x:v>10635812.524979405</x:v>
      </x:c>
      <x:c r="J447" s="37" t="n">
        <x:v>10665487.676612843</x:v>
      </x:c>
      <x:c r="K447" s="37" t="n">
        <x:v>0</x:v>
      </x:c>
      <x:c r="L447" s="37" t="n">
        <x:v>11938779.794319171</x:v>
      </x:c>
      <x:c r="M447" s="37" t="n">
        <x:v>0</x:v>
      </x:c>
      <x:c r="N447" s="37" t="n">
        <x:v>0</x:v>
      </x:c>
      <x:c r="O447" s="37" t="n">
        <x:v>69.76560833421536</x:v>
      </x:c>
      <x:c r="P447" s="37" t="n">
        <x:v>0</x:v>
      </x:c>
      <x:c r="Q447" s="37" t="n">
        <x:v>0</x:v>
      </x:c>
      <x:c r="R447" s="37" t="n">
        <x:v>0</x:v>
      </x:c>
      <x:c r="S447" s="37" t="n">
        <x:v>0</x:v>
      </x:c>
      <x:c r="T447" s="37" t="n">
        <x:v>0</x:v>
      </x:c>
      <x:c r="U447" s="37" t="n">
        <x:v>63750</x:v>
      </x:c>
      <x:c r="V447" s="37" t="n">
        <x:v>0</x:v>
      </x:c>
      <x:c r="W447" s="37" t="n">
        <x:v>10716.837023053551</x:v>
      </x:c>
      <x:c r="X447" s="37" t="n">
        <x:v>0</x:v>
      </x:c>
      <x:c r="Y447" s="37" t="n">
        <x:v>1174.7193167256753</x:v>
      </x:c>
      <x:c r="Z447" s="37" t="n">
        <x:v>0</x:v>
      </x:c>
      <x:c r="AA447" s="37" t="n">
        <x:v>0</x:v>
      </x:c>
      <x:c r="AB447" s="37" t="n">
        <x:v>0</x:v>
      </x:c>
      <x:c r="AC447" s="37" t="n">
        <x:v>1273292.117706328</x:v>
      </x:c>
      <x:c r="AD447" s="37" t="n">
        <x:v>0</x:v>
      </x:c>
      <x:c r="AE447" s="37" t="n">
        <x:v>0</x:v>
      </x:c>
      <x:c r="AF447" s="47" t="b">
        <x:v>0</x:v>
      </x:c>
      <x:c r="AG447" s="47" t="b">
        <x:v>0</x:v>
      </x:c>
      <x:c r="AH447" s="48" t="n">
        <x:v>0</x:v>
      </x:c>
      <x:c r="AI447" s="48" t="n">
        <x:v>1.1920928955078125e-7</x:v>
      </x:c>
      <x:c r="AJ447" s="37" t="str">
        <x:v>passed</x:v>
      </x:c>
    </x:row>
    <x:row r="448" ht="21" customHeight="1">
      <x:c r="A448" s="2"/>
      <x:c r="B448" s="2"/>
      <x:c r="C448" s="2" t="str">
        <x:v>2022</x:v>
      </x:c>
      <x:c r="D448" s="5" t="n">
        <x:v>44722</x:v>
      </x:c>
      <x:c r="E448" s="2" t="str">
        <x:v>duration</x:v>
      </x:c>
      <x:c r="F448" s="37" t="n">
        <x:v>9325783.144169718</x:v>
      </x:c>
      <x:c r="G448" s="37" t="n">
        <x:v>3638873.560885517</x:v>
      </x:c>
      <x:c r="H448" s="37" t="n">
        <x:v>21638.543582864993</x:v>
      </x:c>
      <x:c r="I448" s="37" t="n">
        <x:v>3617235.017302652</x:v>
      </x:c>
      <x:c r="J448" s="37" t="n">
        <x:v>10665487.676612843</x:v>
      </x:c>
      <x:c r="K448" s="37" t="n">
        <x:v>7026614.115727326</x:v>
      </x:c>
      <x:c r="L448" s="37" t="n">
        <x:v>12964656.705055235</x:v>
      </x:c>
      <x:c r="M448" s="37" t="n">
        <x:v>0</x:v>
      </x:c>
      <x:c r="N448" s="37" t="n">
        <x:v>0</x:v>
      </x:c>
      <x:c r="O448" s="37" t="n">
        <x:v>510.9738175533712</x:v>
      </x:c>
      <x:c r="P448" s="37" t="n">
        <x:v>0</x:v>
      </x:c>
      <x:c r="Q448" s="37" t="n">
        <x:v>0</x:v>
      </x:c>
      <x:c r="R448" s="37" t="n">
        <x:v>0</x:v>
      </x:c>
      <x:c r="S448" s="37" t="n">
        <x:v>0</x:v>
      </x:c>
      <x:c r="T448" s="37" t="n">
        <x:v>0</x:v>
      </x:c>
      <x:c r="U448" s="37" t="n">
        <x:v>6645.098252371114</x:v>
      </x:c>
      <x:c r="V448" s="37" t="n">
        <x:v>0</x:v>
      </x:c>
      <x:c r="W448" s="37" t="n">
        <x:v>80576.14633116126</x:v>
      </x:c>
      <x:c r="X448" s="37" t="n">
        <x:v>0</x:v>
      </x:c>
      <x:c r="Y448" s="37" t="n">
        <x:v>1992.6487133401456</x:v>
      </x:c>
      <x:c r="Z448" s="37" t="n">
        <x:v>7167146.398041872</x:v>
      </x:c>
      <x:c r="AA448" s="37" t="n">
        <x:v>0</x:v>
      </x:c>
      <x:c r="AB448" s="37" t="n">
        <x:v>7167146.398041872</x:v>
      </x:c>
      <x:c r="AC448" s="37" t="n">
        <x:v>2158636.7461278457</x:v>
      </x:c>
      <x:c r="AD448" s="37" t="n">
        <x:v>0</x:v>
      </x:c>
      <x:c r="AE448" s="37" t="n">
        <x:v>0</x:v>
      </x:c>
      <x:c r="AF448" s="47" t="b">
        <x:v>0</x:v>
      </x:c>
      <x:c r="AG448" s="47" t="b">
        <x:v>0</x:v>
      </x:c>
      <x:c r="AH448" s="48" t="n">
        <x:v>0</x:v>
      </x:c>
      <x:c r="AI448" s="48" t="n">
        <x:v>1.1920928955078125e-7</x:v>
      </x:c>
      <x:c r="AJ448" s="37" t="str">
        <x:v>passed</x:v>
      </x:c>
    </x:row>
    <x:row r="449" ht="21" customHeight="1">
      <x:c r="A449" s="2"/>
      <x:c r="B449" s="2"/>
      <x:c r="C449" s="2" t="str">
        <x:v>2022</x:v>
      </x:c>
      <x:c r="D449" s="5" t="n">
        <x:v>44722</x:v>
      </x:c>
      <x:c r="E449" s="2" t="str">
        <x:v>unweighted</x:v>
      </x:c>
      <x:c r="F449" s="37" t="n">
        <x:v>12247229.616518702</x:v>
      </x:c>
      <x:c r="G449" s="37" t="n">
        <x:v>735770.1959597521</x:v>
      </x:c>
      <x:c r="H449" s="37" t="n">
        <x:v>22845.10744077727</x:v>
      </x:c>
      <x:c r="I449" s="37" t="n">
        <x:v>712925.0885189748</x:v>
      </x:c>
      <x:c r="J449" s="37" t="n">
        <x:v>10668790.059138281</x:v>
      </x:c>
      <x:c r="K449" s="37" t="n">
        <x:v>9933019.863178529</x:v>
      </x:c>
      <x:c r="L449" s="37" t="n">
        <x:v>12982999.812478455</x:v>
      </x:c>
      <x:c r="M449" s="37" t="n">
        <x:v>0</x:v>
      </x:c>
      <x:c r="N449" s="37" t="n">
        <x:v>0</x:v>
      </x:c>
      <x:c r="O449" s="37" t="n">
        <x:v>671.0443053245544</x:v>
      </x:c>
      <x:c r="P449" s="37" t="n">
        <x:v>0</x:v>
      </x:c>
      <x:c r="Q449" s="37" t="n">
        <x:v>0</x:v>
      </x:c>
      <x:c r="R449" s="37" t="n">
        <x:v>0</x:v>
      </x:c>
      <x:c r="S449" s="37" t="n">
        <x:v>0</x:v>
      </x:c>
      <x:c r="T449" s="37" t="n">
        <x:v>0</x:v>
      </x:c>
      <x:c r="U449" s="37" t="n">
        <x:v>-1868.6910087944125</x:v>
      </x:c>
      <x:c r="V449" s="37" t="n">
        <x:v>0</x:v>
      </x:c>
      <x:c r="W449" s="37" t="n">
        <x:v>104636.96786431037</x:v>
      </x:c>
      <x:c r="X449" s="37" t="n">
        <x:v>0</x:v>
      </x:c>
      <x:c r="Y449" s="37" t="n">
        <x:v>2271.0724644097463</x:v>
      </x:c>
      <x:c r="Z449" s="37" t="n">
        <x:v>10131680.2604421</x:v>
      </x:c>
      <x:c r="AA449" s="37" t="n">
        <x:v>0</x:v>
      </x:c>
      <x:c r="AB449" s="37" t="n">
        <x:v>10131680.2604421</x:v>
      </x:c>
      <x:c r="AC449" s="37" t="n">
        <x:v>2115549.356076602</x:v>
      </x:c>
      <x:c r="AD449" s="37" t="n">
        <x:v>0</x:v>
      </x:c>
      <x:c r="AE449" s="37" t="n">
        <x:v>0</x:v>
      </x:c>
      <x:c r="AF449" s="47" t="b">
        <x:v>0</x:v>
      </x:c>
      <x:c r="AG449" s="47" t="b">
        <x:v>0</x:v>
      </x:c>
      <x:c r="AH449" s="48" t="n">
        <x:v>0</x:v>
      </x:c>
      <x:c r="AI449" s="48" t="n">
        <x:v>1.1920928955078125e-7</x:v>
      </x:c>
      <x:c r="AJ449" s="37" t="str">
        <x:v>passed</x:v>
      </x:c>
    </x:row>
    <x:row r="450" ht="21" customHeight="1">
      <x:c r="A450" s="2"/>
      <x:c r="B450" s="2"/>
      <x:c r="C450" s="2" t="str">
        <x:v>2022</x:v>
      </x:c>
      <x:c r="D450" s="5" t="n">
        <x:v>44722</x:v>
      </x:c>
      <x:c r="E450" s="2" t="str">
        <x:v>constrained</x:v>
      </x:c>
      <x:c r="F450" s="37" t="n">
        <x:v>13100403.779326793</x:v>
      </x:c>
      <x:c r="G450" s="37" t="n">
        <x:v>-40982.210173076295</x:v>
      </x:c>
      <x:c r="H450" s="37" t="n">
        <x:v>22474.863798265455</x:v>
      </x:c>
      <x:c r="I450" s="37" t="n">
        <x:v>-63457.07397134175</x:v>
      </x:c>
      <x:c r="J450" s="37" t="n">
        <x:v>10668672.812584583</x:v>
      </x:c>
      <x:c r="K450" s="37" t="n">
        <x:v>10709655.022757659</x:v>
      </x:c>
      <x:c r="L450" s="37" t="n">
        <x:v>13059421.569153717</x:v>
      </x:c>
      <x:c r="M450" s="37" t="n">
        <x:v>0</x:v>
      </x:c>
      <x:c r="N450" s="37" t="n">
        <x:v>0</x:v>
      </x:c>
      <x:c r="O450" s="37" t="n">
        <x:v>717.7910130564123</x:v>
      </x:c>
      <x:c r="P450" s="37" t="n">
        <x:v>0</x:v>
      </x:c>
      <x:c r="Q450" s="37" t="n">
        <x:v>0</x:v>
      </x:c>
      <x:c r="R450" s="37" t="n">
        <x:v>0</x:v>
      </x:c>
      <x:c r="S450" s="37" t="n">
        <x:v>0</x:v>
      </x:c>
      <x:c r="T450" s="37" t="n">
        <x:v>0</x:v>
      </x:c>
      <x:c r="U450" s="37" t="n">
        <x:v>-6729.4488397945315</x:v>
      </x:c>
      <x:c r="V450" s="37" t="n">
        <x:v>0</x:v>
      </x:c>
      <x:c r="W450" s="37" t="n">
        <x:v>113222.56427476369</x:v>
      </x:c>
      <x:c r="X450" s="37" t="n">
        <x:v>0</x:v>
      </x:c>
      <x:c r="Y450" s="37" t="n">
        <x:v>2371.211532654721</x:v>
      </x:c>
      <x:c r="Z450" s="37" t="n">
        <x:v>10923848.123212812</x:v>
      </x:c>
      <x:c r="AA450" s="37" t="n">
        <x:v>0</x:v>
      </x:c>
      <x:c r="AB450" s="37" t="n">
        <x:v>10923848.123212812</x:v>
      </x:c>
      <x:c r="AC450" s="37" t="n">
        <x:v>2176555.6561139803</x:v>
      </x:c>
      <x:c r="AD450" s="37" t="n">
        <x:v>0</x:v>
      </x:c>
      <x:c r="AE450" s="37" t="n">
        <x:v>0</x:v>
      </x:c>
      <x:c r="AF450" s="47" t="b">
        <x:v>0</x:v>
      </x:c>
      <x:c r="AG450" s="47" t="b">
        <x:v>0</x:v>
      </x:c>
      <x:c r="AH450" s="48" t="n">
        <x:v>0</x:v>
      </x:c>
      <x:c r="AI450" s="48" t="n">
        <x:v>1.1920928955078125e-7</x:v>
      </x:c>
      <x:c r="AJ450" s="37" t="str">
        <x:v>passed</x:v>
      </x:c>
    </x:row>
    <x:row r="451" ht="21" customHeight="1">
      <x:c r="A451" s="2"/>
      <x:c r="B451" s="2"/>
      <x:c r="C451" s="2" t="str">
        <x:v>2022</x:v>
      </x:c>
      <x:c r="D451" s="5" t="n">
        <x:v>44725</x:v>
      </x:c>
      <x:c r="E451" s="2" t="str">
        <x:v>unhedged</x:v>
      </x:c>
      <x:c r="F451" s="37" t="n">
        <x:v>1273501.4374688067</x:v>
      </x:c>
      <x:c r="G451" s="37" t="n">
        <x:v>10492690.203297574</x:v>
      </x:c>
      <x:c r="H451" s="37" t="n">
        <x:v>30724.68772519817</x:v>
      </x:c>
      <x:c r="I451" s="37" t="n">
        <x:v>10461965.515572377</x:v>
      </x:c>
      <x:c r="J451" s="37" t="n">
        <x:v>10492690.203297574</x:v>
      </x:c>
      <x:c r="K451" s="37" t="n">
        <x:v>0</x:v>
      </x:c>
      <x:c r="L451" s="37" t="n">
        <x:v>11766191.64076638</x:v>
      </x:c>
      <x:c r="M451" s="37" t="n">
        <x:v>0</x:v>
      </x:c>
      <x:c r="N451" s="37" t="n">
        <x:v>0</x:v>
      </x:c>
      <x:c r="O451" s="37" t="n">
        <x:v>209.3197624788154</x:v>
      </x:c>
      <x:c r="P451" s="37" t="n">
        <x:v>0</x:v>
      </x:c>
      <x:c r="Q451" s="37" t="n">
        <x:v>0</x:v>
      </x:c>
      <x:c r="R451" s="37" t="n">
        <x:v>0</x:v>
      </x:c>
      <x:c r="S451" s="37" t="n">
        <x:v>0</x:v>
      </x:c>
      <x:c r="T451" s="37" t="n">
        <x:v>0</x:v>
      </x:c>
      <x:c r="U451" s="37" t="n">
        <x:v>63750</x:v>
      </x:c>
      <x:c r="V451" s="37" t="n">
        <x:v>0</x:v>
      </x:c>
      <x:c r="W451" s="37" t="n">
        <x:v>10926.156785532366</x:v>
      </x:c>
      <x:c r="X451" s="37" t="n">
        <x:v>0</x:v>
      </x:c>
      <x:c r="Y451" s="37" t="n">
        <x:v>1174.7193167256753</x:v>
      </x:c>
      <x:c r="Z451" s="37" t="n">
        <x:v>0</x:v>
      </x:c>
      <x:c r="AA451" s="37" t="n">
        <x:v>0</x:v>
      </x:c>
      <x:c r="AB451" s="37" t="n">
        <x:v>0</x:v>
      </x:c>
      <x:c r="AC451" s="37" t="n">
        <x:v>1273501.4374688067</x:v>
      </x:c>
      <x:c r="AD451" s="37" t="n">
        <x:v>0</x:v>
      </x:c>
      <x:c r="AE451" s="37" t="n">
        <x:v>0</x:v>
      </x:c>
      <x:c r="AF451" s="47" t="b">
        <x:v>0</x:v>
      </x:c>
      <x:c r="AG451" s="47" t="b">
        <x:v>0</x:v>
      </x:c>
      <x:c r="AH451" s="48" t="n">
        <x:v>0</x:v>
      </x:c>
      <x:c r="AI451" s="48" t="n">
        <x:v>1.1920928955078125e-7</x:v>
      </x:c>
      <x:c r="AJ451" s="37" t="str">
        <x:v>passed</x:v>
      </x:c>
    </x:row>
    <x:row r="452" ht="21" customHeight="1">
      <x:c r="A452" s="2"/>
      <x:c r="B452" s="2"/>
      <x:c r="C452" s="2" t="str">
        <x:v>2022</x:v>
      </x:c>
      <x:c r="D452" s="5" t="n">
        <x:v>44725</x:v>
      </x:c>
      <x:c r="E452" s="2" t="str">
        <x:v>duration</x:v>
      </x:c>
      <x:c r="F452" s="37" t="n">
        <x:v>9327316.233619908</x:v>
      </x:c>
      <x:c r="G452" s="37" t="n">
        <x:v>3630778.3664094303</x:v>
      </x:c>
      <x:c r="H452" s="37" t="n">
        <x:v>21760.778745713535</x:v>
      </x:c>
      <x:c r="I452" s="37" t="n">
        <x:v>3609017.5876637166</x:v>
      </x:c>
      <x:c r="J452" s="37" t="n">
        <x:v>10492690.203297574</x:v>
      </x:c>
      <x:c r="K452" s="37" t="n">
        <x:v>6861911.836888145</x:v>
      </x:c>
      <x:c r="L452" s="37" t="n">
        <x:v>12958094.600029338</x:v>
      </x:c>
      <x:c r="M452" s="37" t="n">
        <x:v>0</x:v>
      </x:c>
      <x:c r="N452" s="37" t="n">
        <x:v>0</x:v>
      </x:c>
      <x:c r="O452" s="37" t="n">
        <x:v>1533.0894501898438</x:v>
      </x:c>
      <x:c r="P452" s="37" t="n">
        <x:v>0</x:v>
      </x:c>
      <x:c r="Q452" s="37" t="n">
        <x:v>0</x:v>
      </x:c>
      <x:c r="R452" s="37" t="n">
        <x:v>0</x:v>
      </x:c>
      <x:c r="S452" s="37" t="n">
        <x:v>0</x:v>
      </x:c>
      <x:c r="T452" s="37" t="n">
        <x:v>0</x:v>
      </x:c>
      <x:c r="U452" s="37" t="n">
        <x:v>6645.098252371114</x:v>
      </x:c>
      <x:c r="V452" s="37" t="n">
        <x:v>0</x:v>
      </x:c>
      <x:c r="W452" s="37" t="n">
        <x:v>82109.2357813511</x:v>
      </x:c>
      <x:c r="X452" s="37" t="n">
        <x:v>0</x:v>
      </x:c>
      <x:c r="Y452" s="37" t="n">
        <x:v>1992.6487133401456</x:v>
      </x:c>
      <x:c r="Z452" s="37" t="n">
        <x:v>6999150.073625907</x:v>
      </x:c>
      <x:c r="AA452" s="37" t="n">
        <x:v>0</x:v>
      </x:c>
      <x:c r="AB452" s="37" t="n">
        <x:v>6999150.073625907</x:v>
      </x:c>
      <x:c r="AC452" s="37" t="n">
        <x:v>2328166.1599940006</x:v>
      </x:c>
      <x:c r="AD452" s="37" t="n">
        <x:v>0</x:v>
      </x:c>
      <x:c r="AE452" s="37" t="n">
        <x:v>0</x:v>
      </x:c>
      <x:c r="AF452" s="47" t="b">
        <x:v>0</x:v>
      </x:c>
      <x:c r="AG452" s="47" t="b">
        <x:v>0</x:v>
      </x:c>
      <x:c r="AH452" s="48" t="n">
        <x:v>0</x:v>
      </x:c>
      <x:c r="AI452" s="48" t="n">
        <x:v>1.1920928955078125e-7</x:v>
      </x:c>
      <x:c r="AJ452" s="37" t="str">
        <x:v>passed</x:v>
      </x:c>
    </x:row>
    <x:row r="453" ht="21" customHeight="1">
      <x:c r="A453" s="2"/>
      <x:c r="B453" s="2"/>
      <x:c r="C453" s="2" t="str">
        <x:v>2022</x:v>
      </x:c>
      <x:c r="D453" s="5" t="n">
        <x:v>44725</x:v>
      </x:c>
      <x:c r="E453" s="2" t="str">
        <x:v>unweighted</x:v>
      </x:c>
      <x:c r="F453" s="37" t="n">
        <x:v>12249242.97006005</x:v>
      </x:c>
      <x:c r="G453" s="37" t="n">
        <x:v>725508.432801937</x:v>
      </x:c>
      <x:c r="H453" s="37" t="n">
        <x:v>22818.28644928798</x:v>
      </x:c>
      <x:c r="I453" s="37" t="n">
        <x:v>702690.146352649</x:v>
      </x:c>
      <x:c r="J453" s="37" t="n">
        <x:v>10495879.6185135</x:v>
      </x:c>
      <x:c r="K453" s="37" t="n">
        <x:v>9770371.185711563</x:v>
      </x:c>
      <x:c r="L453" s="37" t="n">
        <x:v>12974751.402861988</x:v>
      </x:c>
      <x:c r="M453" s="37" t="n">
        <x:v>0</x:v>
      </x:c>
      <x:c r="N453" s="37" t="n">
        <x:v>0</x:v>
      </x:c>
      <x:c r="O453" s="37" t="n">
        <x:v>2013.3535413481295</x:v>
      </x:c>
      <x:c r="P453" s="37" t="n">
        <x:v>0</x:v>
      </x:c>
      <x:c r="Q453" s="37" t="n">
        <x:v>0</x:v>
      </x:c>
      <x:c r="R453" s="37" t="n">
        <x:v>0</x:v>
      </x:c>
      <x:c r="S453" s="37" t="n">
        <x:v>0</x:v>
      </x:c>
      <x:c r="T453" s="37" t="n">
        <x:v>0</x:v>
      </x:c>
      <x:c r="U453" s="37" t="n">
        <x:v>-1868.6910087944125</x:v>
      </x:c>
      <x:c r="V453" s="37" t="n">
        <x:v>0</x:v>
      </x:c>
      <x:c r="W453" s="37" t="n">
        <x:v>106650.3214056585</x:v>
      </x:c>
      <x:c r="X453" s="37" t="n">
        <x:v>0</x:v>
      </x:c>
      <x:c r="Y453" s="37" t="n">
        <x:v>2271.0724644097463</x:v>
      </x:c>
      <x:c r="Z453" s="37" t="n">
        <x:v>9965778.609425794</x:v>
      </x:c>
      <x:c r="AA453" s="37" t="n">
        <x:v>0</x:v>
      </x:c>
      <x:c r="AB453" s="37" t="n">
        <x:v>9965778.609425794</x:v>
      </x:c>
      <x:c r="AC453" s="37" t="n">
        <x:v>2283464.360634256</x:v>
      </x:c>
      <x:c r="AD453" s="37" t="n">
        <x:v>0</x:v>
      </x:c>
      <x:c r="AE453" s="37" t="n">
        <x:v>0</x:v>
      </x:c>
      <x:c r="AF453" s="47" t="b">
        <x:v>0</x:v>
      </x:c>
      <x:c r="AG453" s="47" t="b">
        <x:v>0</x:v>
      </x:c>
      <x:c r="AH453" s="48" t="n">
        <x:v>0</x:v>
      </x:c>
      <x:c r="AI453" s="48" t="n">
        <x:v>1.1920928955078125e-7</x:v>
      </x:c>
      <x:c r="AJ453" s="37" t="str">
        <x:v>passed</x:v>
      </x:c>
    </x:row>
    <x:row r="454" ht="21" customHeight="1">
      <x:c r="A454" s="2"/>
      <x:c r="B454" s="2"/>
      <x:c r="C454" s="2" t="str">
        <x:v>2022</x:v>
      </x:c>
      <x:c r="D454" s="5" t="n">
        <x:v>44725</x:v>
      </x:c>
      <x:c r="E454" s="2" t="str">
        <x:v>constrained</x:v>
      </x:c>
      <x:c r="F454" s="37" t="n">
        <x:v>13102557.388360677</x:v>
      </x:c>
      <x:c r="G454" s="37" t="n">
        <x:v>-41052.344303405036</x:v>
      </x:c>
      <x:c r="H454" s="37" t="n">
        <x:v>22372.19698765879</x:v>
      </x:c>
      <x:c r="I454" s="37" t="n">
        <x:v>-63424.541291063826</x:v>
      </x:c>
      <x:c r="J454" s="37" t="n">
        <x:v>10495766.382708896</x:v>
      </x:c>
      <x:c r="K454" s="37" t="n">
        <x:v>10536818.7270123</x:v>
      </x:c>
      <x:c r="L454" s="37" t="n">
        <x:v>13061505.044057272</x:v>
      </x:c>
      <x:c r="M454" s="37" t="n">
        <x:v>0</x:v>
      </x:c>
      <x:c r="N454" s="37" t="n">
        <x:v>0</x:v>
      </x:c>
      <x:c r="O454" s="37" t="n">
        <x:v>2153.6090338844806</x:v>
      </x:c>
      <x:c r="P454" s="37" t="n">
        <x:v>0</x:v>
      </x:c>
      <x:c r="Q454" s="37" t="n">
        <x:v>0</x:v>
      </x:c>
      <x:c r="R454" s="37" t="n">
        <x:v>0</x:v>
      </x:c>
      <x:c r="S454" s="37" t="n">
        <x:v>0</x:v>
      </x:c>
      <x:c r="T454" s="37" t="n">
        <x:v>0</x:v>
      </x:c>
      <x:c r="U454" s="37" t="n">
        <x:v>-6729.4488397945315</x:v>
      </x:c>
      <x:c r="V454" s="37" t="n">
        <x:v>0</x:v>
      </x:c>
      <x:c r="W454" s="37" t="n">
        <x:v>115376.17330864817</x:v>
      </x:c>
      <x:c r="X454" s="37" t="n">
        <x:v>0</x:v>
      </x:c>
      <x:c r="Y454" s="37" t="n">
        <x:v>2371.211532654721</x:v>
      </x:c>
      <x:c r="Z454" s="37" t="n">
        <x:v>10747555.101552548</x:v>
      </x:c>
      <x:c r="AA454" s="37" t="n">
        <x:v>0</x:v>
      </x:c>
      <x:c r="AB454" s="37" t="n">
        <x:v>10747555.101552548</x:v>
      </x:c>
      <x:c r="AC454" s="37" t="n">
        <x:v>2355002.2868081294</x:v>
      </x:c>
      <x:c r="AD454" s="37" t="n">
        <x:v>0</x:v>
      </x:c>
      <x:c r="AE454" s="37" t="n">
        <x:v>0</x:v>
      </x:c>
      <x:c r="AF454" s="47" t="b">
        <x:v>0</x:v>
      </x:c>
      <x:c r="AG454" s="47" t="b">
        <x:v>0</x:v>
      </x:c>
      <x:c r="AH454" s="48" t="n">
        <x:v>0</x:v>
      </x:c>
      <x:c r="AI454" s="48" t="n">
        <x:v>1.1920928955078125e-7</x:v>
      </x:c>
      <x:c r="AJ454" s="37" t="str">
        <x:v>passed</x:v>
      </x:c>
    </x:row>
    <x:row r="455" ht="21" customHeight="1">
      <x:c r="A455" s="2"/>
      <x:c r="B455" s="2"/>
      <x:c r="C455" s="2" t="str">
        <x:v>2022</x:v>
      </x:c>
      <x:c r="D455" s="5" t="n">
        <x:v>44726</x:v>
      </x:c>
      <x:c r="E455" s="2" t="str">
        <x:v>unhedged</x:v>
      </x:c>
      <x:c r="F455" s="37" t="n">
        <x:v>1273571.21836949</x:v>
      </x:c>
      <x:c r="G455" s="37" t="n">
        <x:v>10451644.007294223</x:v>
      </x:c>
      <x:c r="H455" s="37" t="n">
        <x:v>31074.533089118428</x:v>
      </x:c>
      <x:c r="I455" s="37" t="n">
        <x:v>10420569.474205105</x:v>
      </x:c>
      <x:c r="J455" s="37" t="n">
        <x:v>10451644.007294223</x:v>
      </x:c>
      <x:c r="K455" s="37" t="n">
        <x:v>0</x:v>
      </x:c>
      <x:c r="L455" s="37" t="n">
        <x:v>11725215.225663712</x:v>
      </x:c>
      <x:c r="M455" s="37" t="n">
        <x:v>0</x:v>
      </x:c>
      <x:c r="N455" s="37" t="n">
        <x:v>0</x:v>
      </x:c>
      <x:c r="O455" s="37" t="n">
        <x:v>69.780900683254</x:v>
      </x:c>
      <x:c r="P455" s="37" t="n">
        <x:v>0</x:v>
      </x:c>
      <x:c r="Q455" s="37" t="n">
        <x:v>0</x:v>
      </x:c>
      <x:c r="R455" s="37" t="n">
        <x:v>0</x:v>
      </x:c>
      <x:c r="S455" s="37" t="n">
        <x:v>0</x:v>
      </x:c>
      <x:c r="T455" s="37" t="n">
        <x:v>0</x:v>
      </x:c>
      <x:c r="U455" s="37" t="n">
        <x:v>63750</x:v>
      </x:c>
      <x:c r="V455" s="37" t="n">
        <x:v>0</x:v>
      </x:c>
      <x:c r="W455" s="37" t="n">
        <x:v>10995.93768621562</x:v>
      </x:c>
      <x:c r="X455" s="37" t="n">
        <x:v>0</x:v>
      </x:c>
      <x:c r="Y455" s="37" t="n">
        <x:v>1174.7193167256753</x:v>
      </x:c>
      <x:c r="Z455" s="37" t="n">
        <x:v>0</x:v>
      </x:c>
      <x:c r="AA455" s="37" t="n">
        <x:v>0</x:v>
      </x:c>
      <x:c r="AB455" s="37" t="n">
        <x:v>0</x:v>
      </x:c>
      <x:c r="AC455" s="37" t="n">
        <x:v>1273571.21836949</x:v>
      </x:c>
      <x:c r="AD455" s="37" t="n">
        <x:v>0</x:v>
      </x:c>
      <x:c r="AE455" s="37" t="n">
        <x:v>0</x:v>
      </x:c>
      <x:c r="AF455" s="47" t="b">
        <x:v>0</x:v>
      </x:c>
      <x:c r="AG455" s="47" t="b">
        <x:v>0</x:v>
      </x:c>
      <x:c r="AH455" s="48" t="n">
        <x:v>0</x:v>
      </x:c>
      <x:c r="AI455" s="48" t="n">
        <x:v>1.1920928955078125e-7</x:v>
      </x:c>
      <x:c r="AJ455" s="37" t="str">
        <x:v>passed</x:v>
      </x:c>
    </x:row>
    <x:row r="456" ht="21" customHeight="1">
      <x:c r="A456" s="2"/>
      <x:c r="B456" s="2"/>
      <x:c r="C456" s="2" t="str">
        <x:v>2022</x:v>
      </x:c>
      <x:c r="D456" s="5" t="n">
        <x:v>44726</x:v>
      </x:c>
      <x:c r="E456" s="2" t="str">
        <x:v>duration</x:v>
      </x:c>
      <x:c r="F456" s="37" t="n">
        <x:v>9327827.319440931</x:v>
      </x:c>
      <x:c r="G456" s="37" t="n">
        <x:v>3633877.778950422</x:v>
      </x:c>
      <x:c r="H456" s="37" t="n">
        <x:v>21801.52379999639</x:v>
      </x:c>
      <x:c r="I456" s="37" t="n">
        <x:v>3612076.2551504257</x:v>
      </x:c>
      <x:c r="J456" s="37" t="n">
        <x:v>10451644.007294223</x:v>
      </x:c>
      <x:c r="K456" s="37" t="n">
        <x:v>6817766.228343802</x:v>
      </x:c>
      <x:c r="L456" s="37" t="n">
        <x:v>12961705.098391354</x:v>
      </x:c>
      <x:c r="M456" s="37" t="n">
        <x:v>0</x:v>
      </x:c>
      <x:c r="N456" s="37" t="n">
        <x:v>0</x:v>
      </x:c>
      <x:c r="O456" s="37" t="n">
        <x:v>511.0858210232109</x:v>
      </x:c>
      <x:c r="P456" s="37" t="n">
        <x:v>0</x:v>
      </x:c>
      <x:c r="Q456" s="37" t="n">
        <x:v>0</x:v>
      </x:c>
      <x:c r="R456" s="37" t="n">
        <x:v>0</x:v>
      </x:c>
      <x:c r="S456" s="37" t="n">
        <x:v>0</x:v>
      </x:c>
      <x:c r="T456" s="37" t="n">
        <x:v>0</x:v>
      </x:c>
      <x:c r="U456" s="37" t="n">
        <x:v>6645.098252371114</x:v>
      </x:c>
      <x:c r="V456" s="37" t="n">
        <x:v>0</x:v>
      </x:c>
      <x:c r="W456" s="37" t="n">
        <x:v>82620.32160237432</x:v>
      </x:c>
      <x:c r="X456" s="37" t="n">
        <x:v>0</x:v>
      </x:c>
      <x:c r="Y456" s="37" t="n">
        <x:v>1992.6487133401456</x:v>
      </x:c>
      <x:c r="Z456" s="37" t="n">
        <x:v>6954121.552910678</x:v>
      </x:c>
      <x:c r="AA456" s="37" t="n">
        <x:v>0</x:v>
      </x:c>
      <x:c r="AB456" s="37" t="n">
        <x:v>6954121.552910678</x:v>
      </x:c>
      <x:c r="AC456" s="37" t="n">
        <x:v>2373705.766530253</x:v>
      </x:c>
      <x:c r="AD456" s="37" t="n">
        <x:v>0</x:v>
      </x:c>
      <x:c r="AE456" s="37" t="n">
        <x:v>0</x:v>
      </x:c>
      <x:c r="AF456" s="47" t="b">
        <x:v>0</x:v>
      </x:c>
      <x:c r="AG456" s="47" t="b">
        <x:v>0</x:v>
      </x:c>
      <x:c r="AH456" s="48" t="n">
        <x:v>0</x:v>
      </x:c>
      <x:c r="AI456" s="48" t="n">
        <x:v>1.1920928955078125e-7</x:v>
      </x:c>
      <x:c r="AJ456" s="37" t="str">
        <x:v>passed</x:v>
      </x:c>
    </x:row>
    <x:row r="457" ht="21" customHeight="1">
      <x:c r="A457" s="2"/>
      <x:c r="B457" s="2"/>
      <x:c r="C457" s="2" t="str">
        <x:v>2022</x:v>
      </x:c>
      <x:c r="D457" s="5" t="n">
        <x:v>44726</x:v>
      </x:c>
      <x:c r="E457" s="2" t="str">
        <x:v>unweighted</x:v>
      </x:c>
      <x:c r="F457" s="37" t="n">
        <x:v>12249914.161455672</x:v>
      </x:c>
      <x:c r="G457" s="37" t="n">
        <x:v>722507.3473370607</x:v>
      </x:c>
      <x:c r="H457" s="37" t="n">
        <x:v>22809.346118791556</x:v>
      </x:c>
      <x:c r="I457" s="37" t="n">
        <x:v>699698.0012182691</x:v>
      </x:c>
      <x:c r="J457" s="37" t="n">
        <x:v>10454818.626337487</x:v>
      </x:c>
      <x:c r="K457" s="37" t="n">
        <x:v>9732311.279000426</x:v>
      </x:c>
      <x:c r="L457" s="37" t="n">
        <x:v>12972421.508792734</x:v>
      </x:c>
      <x:c r="M457" s="37" t="n">
        <x:v>0</x:v>
      </x:c>
      <x:c r="N457" s="37" t="n">
        <x:v>0</x:v>
      </x:c>
      <x:c r="O457" s="37" t="n">
        <x:v>671.1913956217468</x:v>
      </x:c>
      <x:c r="P457" s="37" t="n">
        <x:v>0</x:v>
      </x:c>
      <x:c r="Q457" s="37" t="n">
        <x:v>0</x:v>
      </x:c>
      <x:c r="R457" s="37" t="n">
        <x:v>0</x:v>
      </x:c>
      <x:c r="S457" s="37" t="n">
        <x:v>0</x:v>
      </x:c>
      <x:c r="T457" s="37" t="n">
        <x:v>0</x:v>
      </x:c>
      <x:c r="U457" s="37" t="n">
        <x:v>-1868.6910087944125</x:v>
      </x:c>
      <x:c r="V457" s="37" t="n">
        <x:v>0</x:v>
      </x:c>
      <x:c r="W457" s="37" t="n">
        <x:v>107321.51280128025</x:v>
      </x:c>
      <x:c r="X457" s="37" t="n">
        <x:v>0</x:v>
      </x:c>
      <x:c r="Y457" s="37" t="n">
        <x:v>2271.0724644097463</x:v>
      </x:c>
      <x:c r="Z457" s="37" t="n">
        <x:v>9926957.504580434</x:v>
      </x:c>
      <x:c r="AA457" s="37" t="n">
        <x:v>0</x:v>
      </x:c>
      <x:c r="AB457" s="37" t="n">
        <x:v>9926957.504580434</x:v>
      </x:c>
      <x:c r="AC457" s="37" t="n">
        <x:v>2322956.656875238</x:v>
      </x:c>
      <x:c r="AD457" s="37" t="n">
        <x:v>0</x:v>
      </x:c>
      <x:c r="AE457" s="37" t="n">
        <x:v>0</x:v>
      </x:c>
      <x:c r="AF457" s="47" t="b">
        <x:v>0</x:v>
      </x:c>
      <x:c r="AG457" s="47" t="b">
        <x:v>0</x:v>
      </x:c>
      <x:c r="AH457" s="48" t="n">
        <x:v>0</x:v>
      </x:c>
      <x:c r="AI457" s="48" t="n">
        <x:v>1.1920928955078125e-7</x:v>
      </x:c>
      <x:c r="AJ457" s="37" t="str">
        <x:v>passed</x:v>
      </x:c>
    </x:row>
    <x:row r="458" ht="21" customHeight="1">
      <x:c r="A458" s="2"/>
      <x:c r="B458" s="2"/>
      <x:c r="C458" s="2" t="str">
        <x:v>2022</x:v>
      </x:c>
      <x:c r="D458" s="5" t="n">
        <x:v>44726</x:v>
      </x:c>
      <x:c r="E458" s="2" t="str">
        <x:v>constrained</x:v>
      </x:c>
      <x:c r="F458" s="37" t="n">
        <x:v>13103275.336710727</x:v>
      </x:c>
      <x:c r="G458" s="37" t="n">
        <x:v>-41963.12489297399</x:v>
      </x:c>
      <x:c r="H458" s="37" t="n">
        <x:v>22337.974717456575</x:v>
      </x:c>
      <x:c r="I458" s="37" t="n">
        <x:v>-64301.09961043057</x:v>
      </x:c>
      <x:c r="J458" s="37" t="n">
        <x:v>10454705.91585066</x:v>
      </x:c>
      <x:c r="K458" s="37" t="n">
        <x:v>10496669.040743634</x:v>
      </x:c>
      <x:c r="L458" s="37" t="n">
        <x:v>13061312.211817753</x:v>
      </x:c>
      <x:c r="M458" s="37" t="n">
        <x:v>0</x:v>
      </x:c>
      <x:c r="N458" s="37" t="n">
        <x:v>0</x:v>
      </x:c>
      <x:c r="O458" s="37" t="n">
        <x:v>717.9483500495553</x:v>
      </x:c>
      <x:c r="P458" s="37" t="n">
        <x:v>0</x:v>
      </x:c>
      <x:c r="Q458" s="37" t="n">
        <x:v>0</x:v>
      </x:c>
      <x:c r="R458" s="37" t="n">
        <x:v>0</x:v>
      </x:c>
      <x:c r="S458" s="37" t="n">
        <x:v>0</x:v>
      </x:c>
      <x:c r="T458" s="37" t="n">
        <x:v>0</x:v>
      </x:c>
      <x:c r="U458" s="37" t="n">
        <x:v>-6729.4488397945315</x:v>
      </x:c>
      <x:c r="V458" s="37" t="n">
        <x:v>0</x:v>
      </x:c>
      <x:c r="W458" s="37" t="n">
        <x:v>116094.12165869772</x:v>
      </x:c>
      <x:c r="X458" s="37" t="n">
        <x:v>0</x:v>
      </x:c>
      <x:c r="Y458" s="37" t="n">
        <x:v>2371.211532654721</x:v>
      </x:c>
      <x:c r="Z458" s="37" t="n">
        <x:v>10706602.421558507</x:v>
      </x:c>
      <x:c r="AA458" s="37" t="n">
        <x:v>0</x:v>
      </x:c>
      <x:c r="AB458" s="37" t="n">
        <x:v>10706602.421558507</x:v>
      </x:c>
      <x:c r="AC458" s="37" t="n">
        <x:v>2396672.91515222</x:v>
      </x:c>
      <x:c r="AD458" s="37" t="n">
        <x:v>0</x:v>
      </x:c>
      <x:c r="AE458" s="37" t="n">
        <x:v>0</x:v>
      </x:c>
      <x:c r="AF458" s="47" t="b">
        <x:v>0</x:v>
      </x:c>
      <x:c r="AG458" s="47" t="b">
        <x:v>0</x:v>
      </x:c>
      <x:c r="AH458" s="48" t="n">
        <x:v>0</x:v>
      </x:c>
      <x:c r="AI458" s="48" t="n">
        <x:v>1.1920928955078125e-7</x:v>
      </x:c>
      <x:c r="AJ458" s="37" t="str">
        <x:v>passed</x:v>
      </x:c>
    </x:row>
    <x:row r="459" ht="21" customHeight="1">
      <x:c r="A459" s="2"/>
      <x:c r="B459" s="2"/>
      <x:c r="C459" s="2" t="str">
        <x:v>2022</x:v>
      </x:c>
      <x:c r="D459" s="5" t="n">
        <x:v>44727</x:v>
      </x:c>
      <x:c r="E459" s="2" t="str">
        <x:v>unhedged</x:v>
      </x:c>
      <x:c r="F459" s="37" t="n">
        <x:v>1273641.0030937844</x:v>
      </x:c>
      <x:c r="G459" s="37" t="n">
        <x:v>10564937.124423582</x:v>
      </x:c>
      <x:c r="H459" s="37" t="n">
        <x:v>31424.378453038673</x:v>
      </x:c>
      <x:c r="I459" s="37" t="n">
        <x:v>10533512.745970543</x:v>
      </x:c>
      <x:c r="J459" s="37" t="n">
        <x:v>10564937.124423582</x:v>
      </x:c>
      <x:c r="K459" s="37" t="n">
        <x:v>0</x:v>
      </x:c>
      <x:c r="L459" s="37" t="n">
        <x:v>11838578.127517367</x:v>
      </x:c>
      <x:c r="M459" s="37" t="n">
        <x:v>0</x:v>
      </x:c>
      <x:c r="N459" s="37" t="n">
        <x:v>0</x:v>
      </x:c>
      <x:c r="O459" s="37" t="n">
        <x:v>69.78472429444082</x:v>
      </x:c>
      <x:c r="P459" s="37" t="n">
        <x:v>0</x:v>
      </x:c>
      <x:c r="Q459" s="37" t="n">
        <x:v>0</x:v>
      </x:c>
      <x:c r="R459" s="37" t="n">
        <x:v>0</x:v>
      </x:c>
      <x:c r="S459" s="37" t="n">
        <x:v>0</x:v>
      </x:c>
      <x:c r="T459" s="37" t="n">
        <x:v>0</x:v>
      </x:c>
      <x:c r="U459" s="37" t="n">
        <x:v>63750</x:v>
      </x:c>
      <x:c r="V459" s="37" t="n">
        <x:v>0</x:v>
      </x:c>
      <x:c r="W459" s="37" t="n">
        <x:v>11065.722410510061</x:v>
      </x:c>
      <x:c r="X459" s="37" t="n">
        <x:v>0</x:v>
      </x:c>
      <x:c r="Y459" s="37" t="n">
        <x:v>1174.7193167256753</x:v>
      </x:c>
      <x:c r="Z459" s="37" t="n">
        <x:v>0</x:v>
      </x:c>
      <x:c r="AA459" s="37" t="n">
        <x:v>0</x:v>
      </x:c>
      <x:c r="AB459" s="37" t="n">
        <x:v>0</x:v>
      </x:c>
      <x:c r="AC459" s="37" t="n">
        <x:v>1273641.0030937844</x:v>
      </x:c>
      <x:c r="AD459" s="37" t="n">
        <x:v>0</x:v>
      </x:c>
      <x:c r="AE459" s="37" t="n">
        <x:v>0</x:v>
      </x:c>
      <x:c r="AF459" s="47" t="b">
        <x:v>0</x:v>
      </x:c>
      <x:c r="AG459" s="47" t="b">
        <x:v>0</x:v>
      </x:c>
      <x:c r="AH459" s="48" t="n">
        <x:v>0</x:v>
      </x:c>
      <x:c r="AI459" s="48" t="n">
        <x:v>1.1920928955078125e-7</x:v>
      </x:c>
      <x:c r="AJ459" s="37" t="str">
        <x:v>passed</x:v>
      </x:c>
    </x:row>
    <x:row r="460" ht="21" customHeight="1">
      <x:c r="A460" s="2"/>
      <x:c r="B460" s="2"/>
      <x:c r="C460" s="2" t="str">
        <x:v>2022</x:v>
      </x:c>
      <x:c r="D460" s="5" t="n">
        <x:v>44727</x:v>
      </x:c>
      <x:c r="E460" s="2" t="str">
        <x:v>duration</x:v>
      </x:c>
      <x:c r="F460" s="37" t="n">
        <x:v>9328338.433266655</x:v>
      </x:c>
      <x:c r="G460" s="37" t="n">
        <x:v>3650113.84900516</x:v>
      </x:c>
      <x:c r="H460" s="37" t="n">
        <x:v>21842.26885427923</x:v>
      </x:c>
      <x:c r="I460" s="37" t="n">
        <x:v>3628271.580150881</x:v>
      </x:c>
      <x:c r="J460" s="37" t="n">
        <x:v>10564937.124423582</x:v>
      </x:c>
      <x:c r="K460" s="37" t="n">
        <x:v>6914823.275418422</x:v>
      </x:c>
      <x:c r="L460" s="37" t="n">
        <x:v>12978452.282271814</x:v>
      </x:c>
      <x:c r="M460" s="37" t="n">
        <x:v>0</x:v>
      </x:c>
      <x:c r="N460" s="37" t="n">
        <x:v>0</x:v>
      </x:c>
      <x:c r="O460" s="37" t="n">
        <x:v>511.11382572352886</x:v>
      </x:c>
      <x:c r="P460" s="37" t="n">
        <x:v>0</x:v>
      </x:c>
      <x:c r="Q460" s="37" t="n">
        <x:v>0</x:v>
      </x:c>
      <x:c r="R460" s="37" t="n">
        <x:v>0</x:v>
      </x:c>
      <x:c r="S460" s="37" t="n">
        <x:v>0</x:v>
      </x:c>
      <x:c r="T460" s="37" t="n">
        <x:v>0</x:v>
      </x:c>
      <x:c r="U460" s="37" t="n">
        <x:v>6645.098252371114</x:v>
      </x:c>
      <x:c r="V460" s="37" t="n">
        <x:v>0</x:v>
      </x:c>
      <x:c r="W460" s="37" t="n">
        <x:v>83131.43542809784</x:v>
      </x:c>
      <x:c r="X460" s="37" t="n">
        <x:v>0</x:v>
      </x:c>
      <x:c r="Y460" s="37" t="n">
        <x:v>1992.6487133401456</x:v>
      </x:c>
      <x:c r="Z460" s="37" t="n">
        <x:v>7053119.740926791</x:v>
      </x:c>
      <x:c r="AA460" s="37" t="n">
        <x:v>0</x:v>
      </x:c>
      <x:c r="AB460" s="37" t="n">
        <x:v>7053119.740926791</x:v>
      </x:c>
      <x:c r="AC460" s="37" t="n">
        <x:v>2275218.6923398636</x:v>
      </x:c>
      <x:c r="AD460" s="37" t="n">
        <x:v>0</x:v>
      </x:c>
      <x:c r="AE460" s="37" t="n">
        <x:v>0</x:v>
      </x:c>
      <x:c r="AF460" s="47" t="b">
        <x:v>0</x:v>
      </x:c>
      <x:c r="AG460" s="47" t="b">
        <x:v>0</x:v>
      </x:c>
      <x:c r="AH460" s="48" t="n">
        <x:v>0</x:v>
      </x:c>
      <x:c r="AI460" s="48" t="n">
        <x:v>1.1920928955078125e-7</x:v>
      </x:c>
      <x:c r="AJ460" s="37" t="str">
        <x:v>passed</x:v>
      </x:c>
    </x:row>
    <x:row r="461" ht="21" customHeight="1">
      <x:c r="A461" s="2"/>
      <x:c r="B461" s="2"/>
      <x:c r="C461" s="2" t="str">
        <x:v>2022</x:v>
      </x:c>
      <x:c r="D461" s="5" t="n">
        <x:v>44727</x:v>
      </x:c>
      <x:c r="E461" s="2" t="str">
        <x:v>unweighted</x:v>
      </x:c>
      <x:c r="F461" s="37" t="n">
        <x:v>12250585.389628904</x:v>
      </x:c>
      <x:c r="G461" s="37" t="n">
        <x:v>730132.1178679608</x:v>
      </x:c>
      <x:c r="H461" s="37" t="n">
        <x:v>22800.405788295124</x:v>
      </x:c>
      <x:c r="I461" s="37" t="n">
        <x:v>707331.7120796657</x:v>
      </x:c>
      <x:c r="J461" s="37" t="n">
        <x:v>10568147.457765896</x:v>
      </x:c>
      <x:c r="K461" s="37" t="n">
        <x:v>9838015.339897936</x:v>
      </x:c>
      <x:c r="L461" s="37" t="n">
        <x:v>12980717.507496865</x:v>
      </x:c>
      <x:c r="M461" s="37" t="n">
        <x:v>0</x:v>
      </x:c>
      <x:c r="N461" s="37" t="n">
        <x:v>0</x:v>
      </x:c>
      <x:c r="O461" s="37" t="n">
        <x:v>671.228173231706</x:v>
      </x:c>
      <x:c r="P461" s="37" t="n">
        <x:v>0</x:v>
      </x:c>
      <x:c r="Q461" s="37" t="n">
        <x:v>0</x:v>
      </x:c>
      <x:c r="R461" s="37" t="n">
        <x:v>0</x:v>
      </x:c>
      <x:c r="S461" s="37" t="n">
        <x:v>0</x:v>
      </x:c>
      <x:c r="T461" s="37" t="n">
        <x:v>0</x:v>
      </x:c>
      <x:c r="U461" s="37" t="n">
        <x:v>-1868.6910087944125</x:v>
      </x:c>
      <x:c r="V461" s="37" t="n">
        <x:v>0</x:v>
      </x:c>
      <x:c r="W461" s="37" t="n">
        <x:v>107992.74097451195</x:v>
      </x:c>
      <x:c r="X461" s="37" t="n">
        <x:v>0</x:v>
      </x:c>
      <x:c r="Y461" s="37" t="n">
        <x:v>2271.0724644097463</x:v>
      </x:c>
      <x:c r="Z461" s="37" t="n">
        <x:v>10034775.646695895</x:v>
      </x:c>
      <x:c r="AA461" s="37" t="n">
        <x:v>0</x:v>
      </x:c>
      <x:c r="AB461" s="37" t="n">
        <x:v>10034775.646695895</x:v>
      </x:c>
      <x:c r="AC461" s="37" t="n">
        <x:v>2215809.742933009</x:v>
      </x:c>
      <x:c r="AD461" s="37" t="n">
        <x:v>0</x:v>
      </x:c>
      <x:c r="AE461" s="37" t="n">
        <x:v>0</x:v>
      </x:c>
      <x:c r="AF461" s="47" t="b">
        <x:v>0</x:v>
      </x:c>
      <x:c r="AG461" s="47" t="b">
        <x:v>0</x:v>
      </x:c>
      <x:c r="AH461" s="48" t="n">
        <x:v>0</x:v>
      </x:c>
      <x:c r="AI461" s="48" t="n">
        <x:v>1.1920928955078125e-7</x:v>
      </x:c>
      <x:c r="AJ461" s="37" t="str">
        <x:v>passed</x:v>
      </x:c>
    </x:row>
    <x:row r="462" ht="21" customHeight="1">
      <x:c r="A462" s="2"/>
      <x:c r="B462" s="2"/>
      <x:c r="C462" s="2" t="str">
        <x:v>2022</x:v>
      </x:c>
      <x:c r="D462" s="5" t="n">
        <x:v>44727</x:v>
      </x:c>
      <x:c r="E462" s="2" t="str">
        <x:v>constrained</x:v>
      </x:c>
      <x:c r="F462" s="37" t="n">
        <x:v>13103993.324400412</x:v>
      </x:c>
      <x:c r="G462" s="37" t="n">
        <x:v>-41440.96804327816</x:v>
      </x:c>
      <x:c r="H462" s="37" t="n">
        <x:v>22303.75244725435</x:v>
      </x:c>
      <x:c r="I462" s="37" t="n">
        <x:v>-63744.720490532505</x:v>
      </x:c>
      <x:c r="J462" s="37" t="n">
        <x:v>10568033.479291959</x:v>
      </x:c>
      <x:c r="K462" s="37" t="n">
        <x:v>10609474.447335236</x:v>
      </x:c>
      <x:c r="L462" s="37" t="n">
        <x:v>13062552.356357133</x:v>
      </x:c>
      <x:c r="M462" s="37" t="n">
        <x:v>0</x:v>
      </x:c>
      <x:c r="N462" s="37" t="n">
        <x:v>0</x:v>
      </x:c>
      <x:c r="O462" s="37" t="n">
        <x:v>717.9876896850765</x:v>
      </x:c>
      <x:c r="P462" s="37" t="n">
        <x:v>0</x:v>
      </x:c>
      <x:c r="Q462" s="37" t="n">
        <x:v>0</x:v>
      </x:c>
      <x:c r="R462" s="37" t="n">
        <x:v>0</x:v>
      </x:c>
      <x:c r="S462" s="37" t="n">
        <x:v>0</x:v>
      </x:c>
      <x:c r="T462" s="37" t="n">
        <x:v>0</x:v>
      </x:c>
      <x:c r="U462" s="37" t="n">
        <x:v>-6729.4488397945315</x:v>
      </x:c>
      <x:c r="V462" s="37" t="n">
        <x:v>0</x:v>
      </x:c>
      <x:c r="W462" s="37" t="n">
        <x:v>116812.1093483828</x:v>
      </x:c>
      <x:c r="X462" s="37" t="n">
        <x:v>0</x:v>
      </x:c>
      <x:c r="Y462" s="37" t="n">
        <x:v>2371.211532654721</x:v>
      </x:c>
      <x:c r="Z462" s="37" t="n">
        <x:v>10821663.93628194</x:v>
      </x:c>
      <x:c r="AA462" s="37" t="n">
        <x:v>0</x:v>
      </x:c>
      <x:c r="AB462" s="37" t="n">
        <x:v>10821663.93628194</x:v>
      </x:c>
      <x:c r="AC462" s="37" t="n">
        <x:v>2282329.388118472</x:v>
      </x:c>
      <x:c r="AD462" s="37" t="n">
        <x:v>0</x:v>
      </x:c>
      <x:c r="AE462" s="37" t="n">
        <x:v>0</x:v>
      </x:c>
      <x:c r="AF462" s="47" t="b">
        <x:v>0</x:v>
      </x:c>
      <x:c r="AG462" s="47" t="b">
        <x:v>0</x:v>
      </x:c>
      <x:c r="AH462" s="48" t="n">
        <x:v>0</x:v>
      </x:c>
      <x:c r="AI462" s="48" t="n">
        <x:v>1.1920928955078125e-7</x:v>
      </x:c>
      <x:c r="AJ462" s="37" t="str">
        <x:v>passed</x:v>
      </x:c>
    </x:row>
    <x:row r="463" ht="21" customHeight="1">
      <x:c r="A463" s="2"/>
      <x:c r="B463" s="2"/>
      <x:c r="C463" s="2" t="str">
        <x:v>2022</x:v>
      </x:c>
      <x:c r="D463" s="5" t="n">
        <x:v>44728</x:v>
      </x:c>
      <x:c r="E463" s="2" t="str">
        <x:v>unhedged</x:v>
      </x:c>
      <x:c r="F463" s="37" t="n">
        <x:v>1273710.7916418992</x:v>
      </x:c>
      <x:c r="G463" s="37" t="n">
        <x:v>10606839.310953945</x:v>
      </x:c>
      <x:c r="H463" s="37" t="n">
        <x:v>31774.22381695892</x:v>
      </x:c>
      <x:c r="I463" s="37" t="n">
        <x:v>10575065.087136986</x:v>
      </x:c>
      <x:c r="J463" s="37" t="n">
        <x:v>10606839.310953945</x:v>
      </x:c>
      <x:c r="K463" s="37" t="n">
        <x:v>0</x:v>
      </x:c>
      <x:c r="L463" s="37" t="n">
        <x:v>11880550.102595843</x:v>
      </x:c>
      <x:c r="M463" s="37" t="n">
        <x:v>0</x:v>
      </x:c>
      <x:c r="N463" s="37" t="n">
        <x:v>0</x:v>
      </x:c>
      <x:c r="O463" s="37" t="n">
        <x:v>69.78854811470956</x:v>
      </x:c>
      <x:c r="P463" s="37" t="n">
        <x:v>0</x:v>
      </x:c>
      <x:c r="Q463" s="37" t="n">
        <x:v>0</x:v>
      </x:c>
      <x:c r="R463" s="37" t="n">
        <x:v>0</x:v>
      </x:c>
      <x:c r="S463" s="37" t="n">
        <x:v>0</x:v>
      </x:c>
      <x:c r="T463" s="37" t="n">
        <x:v>0</x:v>
      </x:c>
      <x:c r="U463" s="37" t="n">
        <x:v>63750</x:v>
      </x:c>
      <x:c r="V463" s="37" t="n">
        <x:v>0</x:v>
      </x:c>
      <x:c r="W463" s="37" t="n">
        <x:v>11135.51095862477</x:v>
      </x:c>
      <x:c r="X463" s="37" t="n">
        <x:v>0</x:v>
      </x:c>
      <x:c r="Y463" s="37" t="n">
        <x:v>1174.7193167256753</x:v>
      </x:c>
      <x:c r="Z463" s="37" t="n">
        <x:v>0</x:v>
      </x:c>
      <x:c r="AA463" s="37" t="n">
        <x:v>0</x:v>
      </x:c>
      <x:c r="AB463" s="37" t="n">
        <x:v>0</x:v>
      </x:c>
      <x:c r="AC463" s="37" t="n">
        <x:v>1273710.7916418992</x:v>
      </x:c>
      <x:c r="AD463" s="37" t="n">
        <x:v>0</x:v>
      </x:c>
      <x:c r="AE463" s="37" t="n">
        <x:v>0</x:v>
      </x:c>
      <x:c r="AF463" s="47" t="b">
        <x:v>0</x:v>
      </x:c>
      <x:c r="AG463" s="47" t="b">
        <x:v>0</x:v>
      </x:c>
      <x:c r="AH463" s="48" t="n">
        <x:v>0</x:v>
      </x:c>
      <x:c r="AI463" s="48" t="n">
        <x:v>1.1920928955078125e-7</x:v>
      </x:c>
      <x:c r="AJ463" s="37" t="str">
        <x:v>passed</x:v>
      </x:c>
    </x:row>
    <x:row r="464" ht="21" customHeight="1">
      <x:c r="A464" s="2"/>
      <x:c r="B464" s="2"/>
      <x:c r="C464" s="2" t="str">
        <x:v>2022</x:v>
      </x:c>
      <x:c r="D464" s="5" t="n">
        <x:v>44728</x:v>
      </x:c>
      <x:c r="E464" s="2" t="str">
        <x:v>duration</x:v>
      </x:c>
      <x:c r="F464" s="37" t="n">
        <x:v>9328849.575098615</x:v>
      </x:c>
      <x:c r="G464" s="37" t="n">
        <x:v>3636487.5410162862</x:v>
      </x:c>
      <x:c r="H464" s="37" t="n">
        <x:v>21883.013908562083</x:v>
      </x:c>
      <x:c r="I464" s="37" t="n">
        <x:v>3614604.527107724</x:v>
      </x:c>
      <x:c r="J464" s="37" t="n">
        <x:v>10606839.310953945</x:v>
      </x:c>
      <x:c r="K464" s="37" t="n">
        <x:v>6970351.769937659</x:v>
      </x:c>
      <x:c r="L464" s="37" t="n">
        <x:v>12965337.116114901</x:v>
      </x:c>
      <x:c r="M464" s="37" t="n">
        <x:v>0</x:v>
      </x:c>
      <x:c r="N464" s="37" t="n">
        <x:v>0</x:v>
      </x:c>
      <x:c r="O464" s="37" t="n">
        <x:v>511.1418319605291</x:v>
      </x:c>
      <x:c r="P464" s="37" t="n">
        <x:v>0</x:v>
      </x:c>
      <x:c r="Q464" s="37" t="n">
        <x:v>0</x:v>
      </x:c>
      <x:c r="R464" s="37" t="n">
        <x:v>0</x:v>
      </x:c>
      <x:c r="S464" s="37" t="n">
        <x:v>0</x:v>
      </x:c>
      <x:c r="T464" s="37" t="n">
        <x:v>0</x:v>
      </x:c>
      <x:c r="U464" s="37" t="n">
        <x:v>6645.098252371114</x:v>
      </x:c>
      <x:c r="V464" s="37" t="n">
        <x:v>0</x:v>
      </x:c>
      <x:c r="W464" s="37" t="n">
        <x:v>83642.57726005837</x:v>
      </x:c>
      <x:c r="X464" s="37" t="n">
        <x:v>0</x:v>
      </x:c>
      <x:c r="Y464" s="37" t="n">
        <x:v>1992.6487133401456</x:v>
      </x:c>
      <x:c r="Z464" s="37" t="n">
        <x:v>7109758.805336412</x:v>
      </x:c>
      <x:c r="AA464" s="37" t="n">
        <x:v>0</x:v>
      </x:c>
      <x:c r="AB464" s="37" t="n">
        <x:v>7109758.805336412</x:v>
      </x:c>
      <x:c r="AC464" s="37" t="n">
        <x:v>2219090.769762203</x:v>
      </x:c>
      <x:c r="AD464" s="37" t="n">
        <x:v>0</x:v>
      </x:c>
      <x:c r="AE464" s="37" t="n">
        <x:v>0</x:v>
      </x:c>
      <x:c r="AF464" s="47" t="b">
        <x:v>0</x:v>
      </x:c>
      <x:c r="AG464" s="47" t="b">
        <x:v>0</x:v>
      </x:c>
      <x:c r="AH464" s="48" t="n">
        <x:v>0</x:v>
      </x:c>
      <x:c r="AI464" s="48" t="n">
        <x:v>1.1920928955078125e-7</x:v>
      </x:c>
      <x:c r="AJ464" s="37" t="str">
        <x:v>passed</x:v>
      </x:c>
    </x:row>
    <x:row r="465" ht="21" customHeight="1">
      <x:c r="A465" s="2"/>
      <x:c r="B465" s="2"/>
      <x:c r="C465" s="2" t="str">
        <x:v>2022</x:v>
      </x:c>
      <x:c r="D465" s="5" t="n">
        <x:v>44728</x:v>
      </x:c>
      <x:c r="E465" s="2" t="str">
        <x:v>unweighted</x:v>
      </x:c>
      <x:c r="F465" s="37" t="n">
        <x:v>12251256.654581761</x:v>
      </x:c>
      <x:c r="G465" s="37" t="n">
        <x:v>732269.5200853433</x:v>
      </x:c>
      <x:c r="H465" s="37" t="n">
        <x:v>22791.46545779869</x:v>
      </x:c>
      <x:c r="I465" s="37" t="n">
        <x:v>709478.0546275446</x:v>
      </x:c>
      <x:c r="J465" s="37" t="n">
        <x:v>10610074.659411097</x:v>
      </x:c>
      <x:c r="K465" s="37" t="n">
        <x:v>9877805.139325753</x:v>
      </x:c>
      <x:c r="L465" s="37" t="n">
        <x:v>12983526.174667105</x:v>
      </x:c>
      <x:c r="M465" s="37" t="n">
        <x:v>0</x:v>
      </x:c>
      <x:c r="N465" s="37" t="n">
        <x:v>0</x:v>
      </x:c>
      <x:c r="O465" s="37" t="n">
        <x:v>671.2649528570473</x:v>
      </x:c>
      <x:c r="P465" s="37" t="n">
        <x:v>0</x:v>
      </x:c>
      <x:c r="Q465" s="37" t="n">
        <x:v>0</x:v>
      </x:c>
      <x:c r="R465" s="37" t="n">
        <x:v>0</x:v>
      </x:c>
      <x:c r="S465" s="37" t="n">
        <x:v>0</x:v>
      </x:c>
      <x:c r="T465" s="37" t="n">
        <x:v>0</x:v>
      </x:c>
      <x:c r="U465" s="37" t="n">
        <x:v>-1868.6910087944125</x:v>
      </x:c>
      <x:c r="V465" s="37" t="n">
        <x:v>0</x:v>
      </x:c>
      <x:c r="W465" s="37" t="n">
        <x:v>108664.005927369</x:v>
      </x:c>
      <x:c r="X465" s="37" t="n">
        <x:v>0</x:v>
      </x:c>
      <x:c r="Y465" s="37" t="n">
        <x:v>2271.0724644097463</x:v>
      </x:c>
      <x:c r="Z465" s="37" t="n">
        <x:v>10075361.242112268</x:v>
      </x:c>
      <x:c r="AA465" s="37" t="n">
        <x:v>0</x:v>
      </x:c>
      <x:c r="AB465" s="37" t="n">
        <x:v>10075361.242112268</x:v>
      </x:c>
      <x:c r="AC465" s="37" t="n">
        <x:v>2175895.412469493</x:v>
      </x:c>
      <x:c r="AD465" s="37" t="n">
        <x:v>0</x:v>
      </x:c>
      <x:c r="AE465" s="37" t="n">
        <x:v>0</x:v>
      </x:c>
      <x:c r="AF465" s="47" t="b">
        <x:v>0</x:v>
      </x:c>
      <x:c r="AG465" s="47" t="b">
        <x:v>0</x:v>
      </x:c>
      <x:c r="AH465" s="48" t="n">
        <x:v>0</x:v>
      </x:c>
      <x:c r="AI465" s="48" t="n">
        <x:v>1.1920928955078125e-7</x:v>
      </x:c>
      <x:c r="AJ465" s="37" t="str">
        <x:v>passed</x:v>
      </x:c>
    </x:row>
    <x:row r="466" ht="21" customHeight="1">
      <x:c r="A466" s="2"/>
      <x:c r="B466" s="2"/>
      <x:c r="C466" s="2" t="str">
        <x:v>2022</x:v>
      </x:c>
      <x:c r="D466" s="5" t="n">
        <x:v>44728</x:v>
      </x:c>
      <x:c r="E466" s="2" t="str">
        <x:v>constrained</x:v>
      </x:c>
      <x:c r="F466" s="37" t="n">
        <x:v>13104711.351431886</x:v>
      </x:c>
      <x:c r="G466" s="37" t="n">
        <x:v>-40981.10588107538</x:v>
      </x:c>
      <x:c r="H466" s="37" t="n">
        <x:v>22269.53017705213</x:v>
      </x:c>
      <x:c r="I466" s="37" t="n">
        <x:v>-63250.63605812751</x:v>
      </x:c>
      <x:c r="J466" s="37" t="n">
        <x:v>10609959.79280988</x:v>
      </x:c>
      <x:c r="K466" s="37" t="n">
        <x:v>10650940.898690956</x:v>
      </x:c>
      <x:c r="L466" s="37" t="n">
        <x:v>13063730.24555081</x:v>
      </x:c>
      <x:c r="M466" s="37" t="n">
        <x:v>0</x:v>
      </x:c>
      <x:c r="N466" s="37" t="n">
        <x:v>0</x:v>
      </x:c>
      <x:c r="O466" s="37" t="n">
        <x:v>718.0270314738154</x:v>
      </x:c>
      <x:c r="P466" s="37" t="n">
        <x:v>0</x:v>
      </x:c>
      <x:c r="Q466" s="37" t="n">
        <x:v>0</x:v>
      </x:c>
      <x:c r="R466" s="37" t="n">
        <x:v>0</x:v>
      </x:c>
      <x:c r="S466" s="37" t="n">
        <x:v>0</x:v>
      </x:c>
      <x:c r="T466" s="37" t="n">
        <x:v>0</x:v>
      </x:c>
      <x:c r="U466" s="37" t="n">
        <x:v>-6729.4488397945315</x:v>
      </x:c>
      <x:c r="V466" s="37" t="n">
        <x:v>0</x:v>
      </x:c>
      <x:c r="W466" s="37" t="n">
        <x:v>117530.13637985662</x:v>
      </x:c>
      <x:c r="X466" s="37" t="n">
        <x:v>0</x:v>
      </x:c>
      <x:c r="Y466" s="37" t="n">
        <x:v>2371.211532654721</x:v>
      </x:c>
      <x:c r="Z466" s="37" t="n">
        <x:v>10863959.716664774</x:v>
      </x:c>
      <x:c r="AA466" s="37" t="n">
        <x:v>0</x:v>
      </x:c>
      <x:c r="AB466" s="37" t="n">
        <x:v>10863959.716664774</x:v>
      </x:c>
      <x:c r="AC466" s="37" t="n">
        <x:v>2240751.6347671114</x:v>
      </x:c>
      <x:c r="AD466" s="37" t="n">
        <x:v>0</x:v>
      </x:c>
      <x:c r="AE466" s="37" t="n">
        <x:v>0</x:v>
      </x:c>
      <x:c r="AF466" s="47" t="b">
        <x:v>0</x:v>
      </x:c>
      <x:c r="AG466" s="47" t="b">
        <x:v>0</x:v>
      </x:c>
      <x:c r="AH466" s="48" t="n">
        <x:v>0</x:v>
      </x:c>
      <x:c r="AI466" s="48" t="n">
        <x:v>1.1920928955078125e-7</x:v>
      </x:c>
      <x:c r="AJ466" s="37" t="str">
        <x:v>passed</x:v>
      </x:c>
    </x:row>
    <x:row r="467" ht="21" customHeight="1">
      <x:c r="A467" s="2"/>
      <x:c r="B467" s="2"/>
      <x:c r="C467" s="2" t="str">
        <x:v>2022</x:v>
      </x:c>
      <x:c r="D467" s="5" t="n">
        <x:v>44729</x:v>
      </x:c>
      <x:c r="E467" s="2" t="str">
        <x:v>unhedged</x:v>
      </x:c>
      <x:c r="F467" s="37" t="n">
        <x:v>1273780.584014044</x:v>
      </x:c>
      <x:c r="G467" s="37" t="n">
        <x:v>10605627.956970315</x:v>
      </x:c>
      <x:c r="H467" s="37" t="n">
        <x:v>32124.069180879174</x:v>
      </x:c>
      <x:c r="I467" s="37" t="n">
        <x:v>10573503.887789436</x:v>
      </x:c>
      <x:c r="J467" s="37" t="n">
        <x:v>10605627.956970315</x:v>
      </x:c>
      <x:c r="K467" s="37" t="n">
        <x:v>0</x:v>
      </x:c>
      <x:c r="L467" s="37" t="n">
        <x:v>11879408.540984359</x:v>
      </x:c>
      <x:c r="M467" s="37" t="n">
        <x:v>0</x:v>
      </x:c>
      <x:c r="N467" s="37" t="n">
        <x:v>0</x:v>
      </x:c>
      <x:c r="O467" s="37" t="n">
        <x:v>69.7923721447587</x:v>
      </x:c>
      <x:c r="P467" s="37" t="n">
        <x:v>0</x:v>
      </x:c>
      <x:c r="Q467" s="37" t="n">
        <x:v>0</x:v>
      </x:c>
      <x:c r="R467" s="37" t="n">
        <x:v>0</x:v>
      </x:c>
      <x:c r="S467" s="37" t="n">
        <x:v>0</x:v>
      </x:c>
      <x:c r="T467" s="37" t="n">
        <x:v>0</x:v>
      </x:c>
      <x:c r="U467" s="37" t="n">
        <x:v>63750</x:v>
      </x:c>
      <x:c r="V467" s="37" t="n">
        <x:v>0</x:v>
      </x:c>
      <x:c r="W467" s="37" t="n">
        <x:v>11205.30333076953</x:v>
      </x:c>
      <x:c r="X467" s="37" t="n">
        <x:v>0</x:v>
      </x:c>
      <x:c r="Y467" s="37" t="n">
        <x:v>1174.7193167256753</x:v>
      </x:c>
      <x:c r="Z467" s="37" t="n">
        <x:v>0</x:v>
      </x:c>
      <x:c r="AA467" s="37" t="n">
        <x:v>0</x:v>
      </x:c>
      <x:c r="AB467" s="37" t="n">
        <x:v>0</x:v>
      </x:c>
      <x:c r="AC467" s="37" t="n">
        <x:v>1273780.584014044</x:v>
      </x:c>
      <x:c r="AD467" s="37" t="n">
        <x:v>0</x:v>
      </x:c>
      <x:c r="AE467" s="37" t="n">
        <x:v>0</x:v>
      </x:c>
      <x:c r="AF467" s="47" t="b">
        <x:v>0</x:v>
      </x:c>
      <x:c r="AG467" s="47" t="b">
        <x:v>0</x:v>
      </x:c>
      <x:c r="AH467" s="48" t="n">
        <x:v>0</x:v>
      </x:c>
      <x:c r="AI467" s="48" t="n">
        <x:v>1.1920928955078125e-7</x:v>
      </x:c>
      <x:c r="AJ467" s="37" t="str">
        <x:v>passed</x:v>
      </x:c>
    </x:row>
    <x:row r="468" ht="21" customHeight="1">
      <x:c r="A468" s="2"/>
      <x:c r="B468" s="2"/>
      <x:c r="C468" s="2" t="str">
        <x:v>2022</x:v>
      </x:c>
      <x:c r="D468" s="5" t="n">
        <x:v>44729</x:v>
      </x:c>
      <x:c r="E468" s="2" t="str">
        <x:v>duration</x:v>
      </x:c>
      <x:c r="F468" s="37" t="n">
        <x:v>9329360.744938347</x:v>
      </x:c>
      <x:c r="G468" s="37" t="n">
        <x:v>3638078.6047486877</x:v>
      </x:c>
      <x:c r="H468" s="37" t="n">
        <x:v>21923.75896284493</x:v>
      </x:c>
      <x:c r="I468" s="37" t="n">
        <x:v>3616154.8457858427</x:v>
      </x:c>
      <x:c r="J468" s="37" t="n">
        <x:v>10605627.956970315</x:v>
      </x:c>
      <x:c r="K468" s="37" t="n">
        <x:v>6967549.352221627</x:v>
      </x:c>
      <x:c r="L468" s="37" t="n">
        <x:v>12967439.349687036</x:v>
      </x:c>
      <x:c r="M468" s="37" t="n">
        <x:v>0</x:v>
      </x:c>
      <x:c r="N468" s="37" t="n">
        <x:v>0</x:v>
      </x:c>
      <x:c r="O468" s="37" t="n">
        <x:v>511.1698397323489</x:v>
      </x:c>
      <x:c r="P468" s="37" t="n">
        <x:v>0</x:v>
      </x:c>
      <x:c r="Q468" s="37" t="n">
        <x:v>0</x:v>
      </x:c>
      <x:c r="R468" s="37" t="n">
        <x:v>0</x:v>
      </x:c>
      <x:c r="S468" s="37" t="n">
        <x:v>0</x:v>
      </x:c>
      <x:c r="T468" s="37" t="n">
        <x:v>0</x:v>
      </x:c>
      <x:c r="U468" s="37" t="n">
        <x:v>6645.098252371114</x:v>
      </x:c>
      <x:c r="V468" s="37" t="n">
        <x:v>0</x:v>
      </x:c>
      <x:c r="W468" s="37" t="n">
        <x:v>84153.74709979072</x:v>
      </x:c>
      <x:c r="X468" s="37" t="n">
        <x:v>0</x:v>
      </x:c>
      <x:c r="Y468" s="37" t="n">
        <x:v>1992.6487133401456</x:v>
      </x:c>
      <x:c r="Z468" s="37" t="n">
        <x:v>7106900.339266059</x:v>
      </x:c>
      <x:c r="AA468" s="37" t="n">
        <x:v>0</x:v>
      </x:c>
      <x:c r="AB468" s="37" t="n">
        <x:v>7106900.339266059</x:v>
      </x:c>
      <x:c r="AC468" s="37" t="n">
        <x:v>2222460.4056722885</x:v>
      </x:c>
      <x:c r="AD468" s="37" t="n">
        <x:v>0</x:v>
      </x:c>
      <x:c r="AE468" s="37" t="n">
        <x:v>0</x:v>
      </x:c>
      <x:c r="AF468" s="47" t="b">
        <x:v>0</x:v>
      </x:c>
      <x:c r="AG468" s="47" t="b">
        <x:v>0</x:v>
      </x:c>
      <x:c r="AH468" s="48" t="n">
        <x:v>0</x:v>
      </x:c>
      <x:c r="AI468" s="48" t="n">
        <x:v>1.1920928955078125e-7</x:v>
      </x:c>
      <x:c r="AJ468" s="37" t="str">
        <x:v>passed</x:v>
      </x:c>
    </x:row>
    <x:row r="469" ht="21" customHeight="1">
      <x:c r="A469" s="2"/>
      <x:c r="B469" s="2"/>
      <x:c r="C469" s="2" t="str">
        <x:v>2022</x:v>
      </x:c>
      <x:c r="D469" s="5" t="n">
        <x:v>44729</x:v>
      </x:c>
      <x:c r="E469" s="2" t="str">
        <x:v>unweighted</x:v>
      </x:c>
      <x:c r="F469" s="37" t="n">
        <x:v>12251927.95631626</x:v>
      </x:c>
      <x:c r="G469" s="37" t="n">
        <x:v>731866.076086893</x:v>
      </x:c>
      <x:c r="H469" s="37" t="n">
        <x:v>22782.525127302262</x:v>
      </x:c>
      <x:c r="I469" s="37" t="n">
        <x:v>709083.5509595907</x:v>
      </x:c>
      <x:c r="J469" s="37" t="n">
        <x:v>10608890.207964808</x:v>
      </x:c>
      <x:c r="K469" s="37" t="n">
        <x:v>9877024.131877916</x:v>
      </x:c>
      <x:c r="L469" s="37" t="n">
        <x:v>12983794.032403154</x:v>
      </x:c>
      <x:c r="M469" s="37" t="n">
        <x:v>0</x:v>
      </x:c>
      <x:c r="N469" s="37" t="n">
        <x:v>0</x:v>
      </x:c>
      <x:c r="O469" s="37" t="n">
        <x:v>671.3017344996333</x:v>
      </x:c>
      <x:c r="P469" s="37" t="n">
        <x:v>0</x:v>
      </x:c>
      <x:c r="Q469" s="37" t="n">
        <x:v>0</x:v>
      </x:c>
      <x:c r="R469" s="37" t="n">
        <x:v>0</x:v>
      </x:c>
      <x:c r="S469" s="37" t="n">
        <x:v>0</x:v>
      </x:c>
      <x:c r="T469" s="37" t="n">
        <x:v>0</x:v>
      </x:c>
      <x:c r="U469" s="37" t="n">
        <x:v>-1868.6910087944125</x:v>
      </x:c>
      <x:c r="V469" s="37" t="n">
        <x:v>0</x:v>
      </x:c>
      <x:c r="W469" s="37" t="n">
        <x:v>109335.30766186863</x:v>
      </x:c>
      <x:c r="X469" s="37" t="n">
        <x:v>0</x:v>
      </x:c>
      <x:c r="Y469" s="37" t="n">
        <x:v>2271.0724644097463</x:v>
      </x:c>
      <x:c r="Z469" s="37" t="n">
        <x:v>10074564.614515474</x:v>
      </x:c>
      <x:c r="AA469" s="37" t="n">
        <x:v>0</x:v>
      </x:c>
      <x:c r="AB469" s="37" t="n">
        <x:v>10074564.614515474</x:v>
      </x:c>
      <x:c r="AC469" s="37" t="n">
        <x:v>2177363.3418007866</x:v>
      </x:c>
      <x:c r="AD469" s="37" t="n">
        <x:v>0</x:v>
      </x:c>
      <x:c r="AE469" s="37" t="n">
        <x:v>0</x:v>
      </x:c>
      <x:c r="AF469" s="47" t="b">
        <x:v>0</x:v>
      </x:c>
      <x:c r="AG469" s="47" t="b">
        <x:v>0</x:v>
      </x:c>
      <x:c r="AH469" s="48" t="n">
        <x:v>0</x:v>
      </x:c>
      <x:c r="AI469" s="48" t="n">
        <x:v>1.1920928955078125e-7</x:v>
      </x:c>
      <x:c r="AJ469" s="37" t="str">
        <x:v>passed</x:v>
      </x:c>
    </x:row>
    <x:row r="470" ht="21" customHeight="1">
      <x:c r="A470" s="2"/>
      <x:c r="B470" s="2"/>
      <x:c r="C470" s="2" t="str">
        <x:v>2022</x:v>
      </x:c>
      <x:c r="D470" s="5" t="n">
        <x:v>44729</x:v>
      </x:c>
      <x:c r="E470" s="2" t="str">
        <x:v>constrained</x:v>
      </x:c>
      <x:c r="F470" s="37" t="n">
        <x:v>13105429.417807309</x:v>
      </x:c>
      <x:c r="G470" s="37" t="n">
        <x:v>-41469.368143330554</x:v>
      </x:c>
      <x:c r="H470" s="37" t="n">
        <x:v>22235.307906849906</x:v>
      </x:c>
      <x:c r="I470" s="37" t="n">
        <x:v>-63704.67605018046</x:v>
      </x:c>
      <x:c r="J470" s="37" t="n">
        <x:v>10608774.38622597</x:v>
      </x:c>
      <x:c r="K470" s="37" t="n">
        <x:v>10650243.754369302</x:v>
      </x:c>
      <x:c r="L470" s="37" t="n">
        <x:v>13063960.049663978</x:v>
      </x:c>
      <x:c r="M470" s="37" t="n">
        <x:v>0</x:v>
      </x:c>
      <x:c r="N470" s="37" t="n">
        <x:v>0</x:v>
      </x:c>
      <x:c r="O470" s="37" t="n">
        <x:v>718.0663754232228</x:v>
      </x:c>
      <x:c r="P470" s="37" t="n">
        <x:v>0</x:v>
      </x:c>
      <x:c r="Q470" s="37" t="n">
        <x:v>0</x:v>
      </x:c>
      <x:c r="R470" s="37" t="n">
        <x:v>0</x:v>
      </x:c>
      <x:c r="S470" s="37" t="n">
        <x:v>0</x:v>
      </x:c>
      <x:c r="T470" s="37" t="n">
        <x:v>0</x:v>
      </x:c>
      <x:c r="U470" s="37" t="n">
        <x:v>-6729.4488397945315</x:v>
      </x:c>
      <x:c r="V470" s="37" t="n">
        <x:v>0</x:v>
      </x:c>
      <x:c r="W470" s="37" t="n">
        <x:v>118248.20275527984</x:v>
      </x:c>
      <x:c r="X470" s="37" t="n">
        <x:v>0</x:v>
      </x:c>
      <x:c r="Y470" s="37" t="n">
        <x:v>2371.211532654721</x:v>
      </x:c>
      <x:c r="Z470" s="37" t="n">
        <x:v>10863248.629456688</x:v>
      </x:c>
      <x:c r="AA470" s="37" t="n">
        <x:v>0</x:v>
      </x:c>
      <x:c r="AB470" s="37" t="n">
        <x:v>10863248.629456688</x:v>
      </x:c>
      <x:c r="AC470" s="37" t="n">
        <x:v>2242180.7883506212</x:v>
      </x:c>
      <x:c r="AD470" s="37" t="n">
        <x:v>0</x:v>
      </x:c>
      <x:c r="AE470" s="37" t="n">
        <x:v>0</x:v>
      </x:c>
      <x:c r="AF470" s="47" t="b">
        <x:v>0</x:v>
      </x:c>
      <x:c r="AG470" s="47" t="b">
        <x:v>0</x:v>
      </x:c>
      <x:c r="AH470" s="48" t="n">
        <x:v>0</x:v>
      </x:c>
      <x:c r="AI470" s="48" t="n">
        <x:v>1.1920928955078125e-7</x:v>
      </x:c>
      <x:c r="AJ470" s="37" t="str">
        <x:v>passed</x:v>
      </x:c>
    </x:row>
    <x:row r="471" ht="21" customHeight="1">
      <x:c r="A471" s="2"/>
      <x:c r="B471" s="2"/>
      <x:c r="C471" s="2" t="str">
        <x:v>2022</x:v>
      </x:c>
      <x:c r="D471" s="5" t="n">
        <x:v>44733</x:v>
      </x:c>
      <x:c r="E471" s="2" t="str">
        <x:v>unhedged</x:v>
      </x:c>
      <x:c r="F471" s="37" t="n">
        <x:v>1274059.7917471146</x:v>
      </x:c>
      <x:c r="G471" s="37" t="n">
        <x:v>10577291.380597122</x:v>
      </x:c>
      <x:c r="H471" s="37" t="n">
        <x:v>33523.45063656018</x:v>
      </x:c>
      <x:c r="I471" s="37" t="n">
        <x:v>10543767.929960562</x:v>
      </x:c>
      <x:c r="J471" s="37" t="n">
        <x:v>10577291.380597122</x:v>
      </x:c>
      <x:c r="K471" s="37" t="n">
        <x:v>0</x:v>
      </x:c>
      <x:c r="L471" s="37" t="n">
        <x:v>11851351.172344238</x:v>
      </x:c>
      <x:c r="M471" s="37" t="n">
        <x:v>0</x:v>
      </x:c>
      <x:c r="N471" s="37" t="n">
        <x:v>0</x:v>
      </x:c>
      <x:c r="O471" s="37" t="n">
        <x:v>279.2077330707107</x:v>
      </x:c>
      <x:c r="P471" s="37" t="n">
        <x:v>0</x:v>
      </x:c>
      <x:c r="Q471" s="37" t="n">
        <x:v>0</x:v>
      </x:c>
      <x:c r="R471" s="37" t="n">
        <x:v>0</x:v>
      </x:c>
      <x:c r="S471" s="37" t="n">
        <x:v>0</x:v>
      </x:c>
      <x:c r="T471" s="37" t="n">
        <x:v>0</x:v>
      </x:c>
      <x:c r="U471" s="37" t="n">
        <x:v>63750</x:v>
      </x:c>
      <x:c r="V471" s="37" t="n">
        <x:v>0</x:v>
      </x:c>
      <x:c r="W471" s="37" t="n">
        <x:v>11484.51106384024</x:v>
      </x:c>
      <x:c r="X471" s="37" t="n">
        <x:v>0</x:v>
      </x:c>
      <x:c r="Y471" s="37" t="n">
        <x:v>1174.7193167256753</x:v>
      </x:c>
      <x:c r="Z471" s="37" t="n">
        <x:v>0</x:v>
      </x:c>
      <x:c r="AA471" s="37" t="n">
        <x:v>0</x:v>
      </x:c>
      <x:c r="AB471" s="37" t="n">
        <x:v>0</x:v>
      </x:c>
      <x:c r="AC471" s="37" t="n">
        <x:v>1274059.7917471146</x:v>
      </x:c>
      <x:c r="AD471" s="37" t="n">
        <x:v>0</x:v>
      </x:c>
      <x:c r="AE471" s="37" t="n">
        <x:v>0</x:v>
      </x:c>
      <x:c r="AF471" s="47" t="b">
        <x:v>0</x:v>
      </x:c>
      <x:c r="AG471" s="47" t="b">
        <x:v>0</x:v>
      </x:c>
      <x:c r="AH471" s="48" t="n">
        <x:v>0</x:v>
      </x:c>
      <x:c r="AI471" s="48" t="n">
        <x:v>1.1920928955078125e-7</x:v>
      </x:c>
      <x:c r="AJ471" s="37" t="str">
        <x:v>passed</x:v>
      </x:c>
    </x:row>
    <x:row r="472" ht="21" customHeight="1">
      <x:c r="A472" s="2"/>
      <x:c r="B472" s="2"/>
      <x:c r="C472" s="2" t="str">
        <x:v>2022</x:v>
      </x:c>
      <x:c r="D472" s="5" t="n">
        <x:v>44733</x:v>
      </x:c>
      <x:c r="E472" s="2" t="str">
        <x:v>duration</x:v>
      </x:c>
      <x:c r="F472" s="37" t="n">
        <x:v>9331405.704405686</x:v>
      </x:c>
      <x:c r="G472" s="37" t="n">
        <x:v>3647793.453365421</x:v>
      </x:c>
      <x:c r="H472" s="37" t="n">
        <x:v>22086.739179976328</x:v>
      </x:c>
      <x:c r="I472" s="37" t="n">
        <x:v>3625706.7141854446</x:v>
      </x:c>
      <x:c r="J472" s="37" t="n">
        <x:v>10577291.380597122</x:v>
      </x:c>
      <x:c r="K472" s="37" t="n">
        <x:v>6929497.927231702</x:v>
      </x:c>
      <x:c r="L472" s="37" t="n">
        <x:v>12979199.157771107</x:v>
      </x:c>
      <x:c r="M472" s="37" t="n">
        <x:v>0</x:v>
      </x:c>
      <x:c r="N472" s="37" t="n">
        <x:v>0</x:v>
      </x:c>
      <x:c r="O472" s="37" t="n">
        <x:v>2044.959467338398</x:v>
      </x:c>
      <x:c r="P472" s="37" t="n">
        <x:v>0</x:v>
      </x:c>
      <x:c r="Q472" s="37" t="n">
        <x:v>0</x:v>
      </x:c>
      <x:c r="R472" s="37" t="n">
        <x:v>0</x:v>
      </x:c>
      <x:c r="S472" s="37" t="n">
        <x:v>0</x:v>
      </x:c>
      <x:c r="T472" s="37" t="n">
        <x:v>0</x:v>
      </x:c>
      <x:c r="U472" s="37" t="n">
        <x:v>6645.098252371114</x:v>
      </x:c>
      <x:c r="V472" s="37" t="n">
        <x:v>0</x:v>
      </x:c>
      <x:c r="W472" s="37" t="n">
        <x:v>86198.70656712912</x:v>
      </x:c>
      <x:c r="X472" s="37" t="n">
        <x:v>0</x:v>
      </x:c>
      <x:c r="Y472" s="37" t="n">
        <x:v>1992.6487133401456</x:v>
      </x:c>
      <x:c r="Z472" s="37" t="n">
        <x:v>7068087.885776336</x:v>
      </x:c>
      <x:c r="AA472" s="37" t="n">
        <x:v>0</x:v>
      </x:c>
      <x:c r="AB472" s="37" t="n">
        <x:v>7068087.885776336</x:v>
      </x:c>
      <x:c r="AC472" s="37" t="n">
        <x:v>2263317.8186293496</x:v>
      </x:c>
      <x:c r="AD472" s="37" t="n">
        <x:v>0</x:v>
      </x:c>
      <x:c r="AE472" s="37" t="n">
        <x:v>0</x:v>
      </x:c>
      <x:c r="AF472" s="47" t="b">
        <x:v>0</x:v>
      </x:c>
      <x:c r="AG472" s="47" t="b">
        <x:v>0</x:v>
      </x:c>
      <x:c r="AH472" s="48" t="n">
        <x:v>0</x:v>
      </x:c>
      <x:c r="AI472" s="48" t="n">
        <x:v>1.1920928955078125e-7</x:v>
      </x:c>
      <x:c r="AJ472" s="37" t="str">
        <x:v>passed</x:v>
      </x:c>
    </x:row>
    <x:row r="473" ht="21" customHeight="1">
      <x:c r="A473" s="2"/>
      <x:c r="B473" s="2"/>
      <x:c r="C473" s="2" t="str">
        <x:v>2022</x:v>
      </x:c>
      <x:c r="D473" s="5" t="n">
        <x:v>44733</x:v>
      </x:c>
      <x:c r="E473" s="2" t="str">
        <x:v>unweighted</x:v>
      </x:c>
      <x:c r="F473" s="37" t="n">
        <x:v>12254613.531110976</x:v>
      </x:c>
      <x:c r="G473" s="37" t="n">
        <x:v>730751.3710084741</x:v>
      </x:c>
      <x:c r="H473" s="37" t="n">
        <x:v>22746.76380531655</x:v>
      </x:c>
      <x:c r="I473" s="37" t="n">
        <x:v>708004.6072031576</x:v>
      </x:c>
      <x:c r="J473" s="37" t="n">
        <x:v>10580509.304342637</x:v>
      </x:c>
      <x:c r="K473" s="37" t="n">
        <x:v>9849757.933334162</x:v>
      </x:c>
      <x:c r="L473" s="37" t="n">
        <x:v>12985364.90211945</x:v>
      </x:c>
      <x:c r="M473" s="37" t="n">
        <x:v>0</x:v>
      </x:c>
      <x:c r="N473" s="37" t="n">
        <x:v>0</x:v>
      </x:c>
      <x:c r="O473" s="37" t="n">
        <x:v>2685.5747947152704</x:v>
      </x:c>
      <x:c r="P473" s="37" t="n">
        <x:v>0</x:v>
      </x:c>
      <x:c r="Q473" s="37" t="n">
        <x:v>0</x:v>
      </x:c>
      <x:c r="R473" s="37" t="n">
        <x:v>0</x:v>
      </x:c>
      <x:c r="S473" s="37" t="n">
        <x:v>0</x:v>
      </x:c>
      <x:c r="T473" s="37" t="n">
        <x:v>0</x:v>
      </x:c>
      <x:c r="U473" s="37" t="n">
        <x:v>-1868.6910087944125</x:v>
      </x:c>
      <x:c r="V473" s="37" t="n">
        <x:v>0</x:v>
      </x:c>
      <x:c r="W473" s="37" t="n">
        <x:v>112020.8824565839</x:v>
      </x:c>
      <x:c r="X473" s="37" t="n">
        <x:v>0</x:v>
      </x:c>
      <x:c r="Y473" s="37" t="n">
        <x:v>2271.0724644097463</x:v>
      </x:c>
      <x:c r="Z473" s="37" t="n">
        <x:v>10046753.092000846</x:v>
      </x:c>
      <x:c r="AA473" s="37" t="n">
        <x:v>0</x:v>
      </x:c>
      <x:c r="AB473" s="37" t="n">
        <x:v>10046753.092000846</x:v>
      </x:c>
      <x:c r="AC473" s="37" t="n">
        <x:v>2207860.43911013</x:v>
      </x:c>
      <x:c r="AD473" s="37" t="n">
        <x:v>0</x:v>
      </x:c>
      <x:c r="AE473" s="37" t="n">
        <x:v>0</x:v>
      </x:c>
      <x:c r="AF473" s="47" t="b">
        <x:v>0</x:v>
      </x:c>
      <x:c r="AG473" s="47" t="b">
        <x:v>0</x:v>
      </x:c>
      <x:c r="AH473" s="48" t="n">
        <x:v>0</x:v>
      </x:c>
      <x:c r="AI473" s="48" t="n">
        <x:v>1.1920928955078125e-7</x:v>
      </x:c>
      <x:c r="AJ473" s="37" t="str">
        <x:v>passed</x:v>
      </x:c>
    </x:row>
    <x:row r="474" ht="21" customHeight="1">
      <x:c r="A474" s="2"/>
      <x:c r="B474" s="2"/>
      <x:c r="C474" s="2" t="str">
        <x:v>2022</x:v>
      </x:c>
      <x:c r="D474" s="5" t="n">
        <x:v>44733</x:v>
      </x:c>
      <x:c r="E474" s="2" t="str">
        <x:v>constrained</x:v>
      </x:c>
      <x:c r="F474" s="37" t="n">
        <x:v>13108302.07679158</x:v>
      </x:c>
      <x:c r="G474" s="37" t="n">
        <x:v>-41398.225537064485</x:v>
      </x:c>
      <x:c r="H474" s="37" t="n">
        <x:v>22098.41882604103</x:v>
      </x:c>
      <x:c r="I474" s="37" t="n">
        <x:v>-63496.644363105515</x:v>
      </x:c>
      <x:c r="J474" s="37" t="n">
        <x:v>10580395.056381863</x:v>
      </x:c>
      <x:c r="K474" s="37" t="n">
        <x:v>10621793.281918926</x:v>
      </x:c>
      <x:c r="L474" s="37" t="n">
        <x:v>13066903.851254515</x:v>
      </x:c>
      <x:c r="M474" s="37" t="n">
        <x:v>0</x:v>
      </x:c>
      <x:c r="N474" s="37" t="n">
        <x:v>0</x:v>
      </x:c>
      <x:c r="O474" s="37" t="n">
        <x:v>2872.6589842718095</x:v>
      </x:c>
      <x:c r="P474" s="37" t="n">
        <x:v>0</x:v>
      </x:c>
      <x:c r="Q474" s="37" t="n">
        <x:v>0</x:v>
      </x:c>
      <x:c r="R474" s="37" t="n">
        <x:v>0</x:v>
      </x:c>
      <x:c r="S474" s="37" t="n">
        <x:v>0</x:v>
      </x:c>
      <x:c r="T474" s="37" t="n">
        <x:v>0</x:v>
      </x:c>
      <x:c r="U474" s="37" t="n">
        <x:v>-6729.4488397945315</x:v>
      </x:c>
      <x:c r="V474" s="37" t="n">
        <x:v>0</x:v>
      </x:c>
      <x:c r="W474" s="37" t="n">
        <x:v>121120.86173955165</x:v>
      </x:c>
      <x:c r="X474" s="37" t="n">
        <x:v>0</x:v>
      </x:c>
      <x:c r="Y474" s="37" t="n">
        <x:v>2371.211532654721</x:v>
      </x:c>
      <x:c r="Z474" s="37" t="n">
        <x:v>10834229.147557305</x:v>
      </x:c>
      <x:c r="AA474" s="37" t="n">
        <x:v>0</x:v>
      </x:c>
      <x:c r="AB474" s="37" t="n">
        <x:v>10834229.147557305</x:v>
      </x:c>
      <x:c r="AC474" s="37" t="n">
        <x:v>2274072.9292342756</x:v>
      </x:c>
      <x:c r="AD474" s="37" t="n">
        <x:v>0</x:v>
      </x:c>
      <x:c r="AE474" s="37" t="n">
        <x:v>0</x:v>
      </x:c>
      <x:c r="AF474" s="47" t="b">
        <x:v>0</x:v>
      </x:c>
      <x:c r="AG474" s="47" t="b">
        <x:v>0</x:v>
      </x:c>
      <x:c r="AH474" s="48" t="n">
        <x:v>0</x:v>
      </x:c>
      <x:c r="AI474" s="48" t="n">
        <x:v>1.1920928955078125e-7</x:v>
      </x:c>
      <x:c r="AJ474" s="37" t="str">
        <x:v>passed</x:v>
      </x:c>
    </x:row>
    <x:row r="475" ht="21" customHeight="1">
      <x:c r="A475" s="2"/>
      <x:c r="B475" s="2"/>
      <x:c r="C475" s="2" t="str">
        <x:v>2022</x:v>
      </x:c>
      <x:c r="D475" s="5" t="n">
        <x:v>44734</x:v>
      </x:c>
      <x:c r="E475" s="2" t="str">
        <x:v>unhedged</x:v>
      </x:c>
      <x:c r="F475" s="37" t="n">
        <x:v>1274129.603242553</x:v>
      </x:c>
      <x:c r="G475" s="37" t="n">
        <x:v>10672062.874731261</x:v>
      </x:c>
      <x:c r="H475" s="37" t="n">
        <x:v>33873.296000480426</x:v>
      </x:c>
      <x:c r="I475" s="37" t="n">
        <x:v>10638189.57873078</x:v>
      </x:c>
      <x:c r="J475" s="37" t="n">
        <x:v>10672062.874731261</x:v>
      </x:c>
      <x:c r="K475" s="37" t="n">
        <x:v>0</x:v>
      </x:c>
      <x:c r="L475" s="37" t="n">
        <x:v>11946192.477973815</x:v>
      </x:c>
      <x:c r="M475" s="37" t="n">
        <x:v>0</x:v>
      </x:c>
      <x:c r="N475" s="37" t="n">
        <x:v>0</x:v>
      </x:c>
      <x:c r="O475" s="37" t="n">
        <x:v>69.81149543845095</x:v>
      </x:c>
      <x:c r="P475" s="37" t="n">
        <x:v>0</x:v>
      </x:c>
      <x:c r="Q475" s="37" t="n">
        <x:v>0</x:v>
      </x:c>
      <x:c r="R475" s="37" t="n">
        <x:v>0</x:v>
      </x:c>
      <x:c r="S475" s="37" t="n">
        <x:v>0</x:v>
      </x:c>
      <x:c r="T475" s="37" t="n">
        <x:v>0</x:v>
      </x:c>
      <x:c r="U475" s="37" t="n">
        <x:v>63750</x:v>
      </x:c>
      <x:c r="V475" s="37" t="n">
        <x:v>0</x:v>
      </x:c>
      <x:c r="W475" s="37" t="n">
        <x:v>11554.322559278691</x:v>
      </x:c>
      <x:c r="X475" s="37" t="n">
        <x:v>0</x:v>
      </x:c>
      <x:c r="Y475" s="37" t="n">
        <x:v>1174.7193167256753</x:v>
      </x:c>
      <x:c r="Z475" s="37" t="n">
        <x:v>0</x:v>
      </x:c>
      <x:c r="AA475" s="37" t="n">
        <x:v>0</x:v>
      </x:c>
      <x:c r="AB475" s="37" t="n">
        <x:v>0</x:v>
      </x:c>
      <x:c r="AC475" s="37" t="n">
        <x:v>1274129.603242553</x:v>
      </x:c>
      <x:c r="AD475" s="37" t="n">
        <x:v>0</x:v>
      </x:c>
      <x:c r="AE475" s="37" t="n">
        <x:v>0</x:v>
      </x:c>
      <x:c r="AF475" s="47" t="b">
        <x:v>0</x:v>
      </x:c>
      <x:c r="AG475" s="47" t="b">
        <x:v>0</x:v>
      </x:c>
      <x:c r="AH475" s="48" t="n">
        <x:v>0</x:v>
      </x:c>
      <x:c r="AI475" s="48" t="n">
        <x:v>1.1920928955078125e-7</x:v>
      </x:c>
      <x:c r="AJ475" s="37" t="str">
        <x:v>passed</x:v>
      </x:c>
    </x:row>
    <x:row r="476" ht="21" customHeight="1">
      <x:c r="A476" s="2"/>
      <x:c r="B476" s="2"/>
      <x:c r="C476" s="2" t="str">
        <x:v>2022</x:v>
      </x:c>
      <x:c r="D476" s="5" t="n">
        <x:v>44734</x:v>
      </x:c>
      <x:c r="E476" s="2" t="str">
        <x:v>duration</x:v>
      </x:c>
      <x:c r="F476" s="37" t="n">
        <x:v>9331917.014307298</x:v>
      </x:c>
      <x:c r="G476" s="37" t="n">
        <x:v>3647475.72623704</x:v>
      </x:c>
      <x:c r="H476" s="37" t="n">
        <x:v>22127.484234259176</x:v>
      </x:c>
      <x:c r="I476" s="37" t="n">
        <x:v>3625348.242002781</x:v>
      </x:c>
      <x:c r="J476" s="37" t="n">
        <x:v>10672062.874731261</x:v>
      </x:c>
      <x:c r="K476" s="37" t="n">
        <x:v>7024587.148494221</x:v>
      </x:c>
      <x:c r="L476" s="37" t="n">
        <x:v>12979392.740544338</x:v>
      </x:c>
      <x:c r="M476" s="37" t="n">
        <x:v>0</x:v>
      </x:c>
      <x:c r="N476" s="37" t="n">
        <x:v>0</x:v>
      </x:c>
      <x:c r="O476" s="37" t="n">
        <x:v>511.30990161187947</x:v>
      </x:c>
      <x:c r="P476" s="37" t="n">
        <x:v>0</x:v>
      </x:c>
      <x:c r="Q476" s="37" t="n">
        <x:v>0</x:v>
      </x:c>
      <x:c r="R476" s="37" t="n">
        <x:v>0</x:v>
      </x:c>
      <x:c r="S476" s="37" t="n">
        <x:v>0</x:v>
      </x:c>
      <x:c r="T476" s="37" t="n">
        <x:v>0</x:v>
      </x:c>
      <x:c r="U476" s="37" t="n">
        <x:v>6645.098252371114</x:v>
      </x:c>
      <x:c r="V476" s="37" t="n">
        <x:v>0</x:v>
      </x:c>
      <x:c r="W476" s="37" t="n">
        <x:v>86710.016468741</x:v>
      </x:c>
      <x:c r="X476" s="37" t="n">
        <x:v>0</x:v>
      </x:c>
      <x:c r="Y476" s="37" t="n">
        <x:v>1992.6487133401456</x:v>
      </x:c>
      <x:c r="Z476" s="37" t="n">
        <x:v>7165078.891464106</x:v>
      </x:c>
      <x:c r="AA476" s="37" t="n">
        <x:v>0</x:v>
      </x:c>
      <x:c r="AB476" s="37" t="n">
        <x:v>7165078.891464106</x:v>
      </x:c>
      <x:c r="AC476" s="37" t="n">
        <x:v>2166838.122843192</x:v>
      </x:c>
      <x:c r="AD476" s="37" t="n">
        <x:v>0</x:v>
      </x:c>
      <x:c r="AE476" s="37" t="n">
        <x:v>0</x:v>
      </x:c>
      <x:c r="AF476" s="47" t="b">
        <x:v>0</x:v>
      </x:c>
      <x:c r="AG476" s="47" t="b">
        <x:v>0</x:v>
      </x:c>
      <x:c r="AH476" s="48" t="n">
        <x:v>0</x:v>
      </x:c>
      <x:c r="AI476" s="48" t="n">
        <x:v>1.1920928955078125e-7</x:v>
      </x:c>
      <x:c r="AJ476" s="37" t="str">
        <x:v>passed</x:v>
      </x:c>
    </x:row>
    <x:row r="477" ht="21" customHeight="1">
      <x:c r="A477" s="2"/>
      <x:c r="B477" s="2"/>
      <x:c r="C477" s="2" t="str">
        <x:v>2022</x:v>
      </x:c>
      <x:c r="D477" s="5" t="n">
        <x:v>44734</x:v>
      </x:c>
      <x:c r="E477" s="2" t="str">
        <x:v>unweighted</x:v>
      </x:c>
      <x:c r="F477" s="37" t="n">
        <x:v>12255285.016783915</x:v>
      </x:c>
      <x:c r="G477" s="37" t="n">
        <x:v>736167.9196998018</x:v>
      </x:c>
      <x:c r="H477" s="37" t="n">
        <x:v>22737.82347482012</x:v>
      </x:c>
      <x:c r="I477" s="37" t="n">
        <x:v>713430.0962249817</x:v>
      </x:c>
      <x:c r="J477" s="37" t="n">
        <x:v>10675357.512306347</x:v>
      </x:c>
      <x:c r="K477" s="37" t="n">
        <x:v>9939189.592606546</x:v>
      </x:c>
      <x:c r="L477" s="37" t="n">
        <x:v>12991452.936483717</x:v>
      </x:c>
      <x:c r="M477" s="37" t="n">
        <x:v>0</x:v>
      </x:c>
      <x:c r="N477" s="37" t="n">
        <x:v>0</x:v>
      </x:c>
      <x:c r="O477" s="37" t="n">
        <x:v>671.4856729395688</x:v>
      </x:c>
      <x:c r="P477" s="37" t="n">
        <x:v>0</x:v>
      </x:c>
      <x:c r="Q477" s="37" t="n">
        <x:v>0</x:v>
      </x:c>
      <x:c r="R477" s="37" t="n">
        <x:v>0</x:v>
      </x:c>
      <x:c r="S477" s="37" t="n">
        <x:v>0</x:v>
      </x:c>
      <x:c r="T477" s="37" t="n">
        <x:v>0</x:v>
      </x:c>
      <x:c r="U477" s="37" t="n">
        <x:v>-1868.6910087944125</x:v>
      </x:c>
      <x:c r="V477" s="37" t="n">
        <x:v>0</x:v>
      </x:c>
      <x:c r="W477" s="37" t="n">
        <x:v>112692.36812952347</x:v>
      </x:c>
      <x:c r="X477" s="37" t="n">
        <x:v>0</x:v>
      </x:c>
      <x:c r="Y477" s="37" t="n">
        <x:v>2271.0724644097463</x:v>
      </x:c>
      <x:c r="Z477" s="37" t="n">
        <x:v>10137973.384458678</x:v>
      </x:c>
      <x:c r="AA477" s="37" t="n">
        <x:v>0</x:v>
      </x:c>
      <x:c r="AB477" s="37" t="n">
        <x:v>10137973.384458678</x:v>
      </x:c>
      <x:c r="AC477" s="37" t="n">
        <x:v>2117311.6323252376</x:v>
      </x:c>
      <x:c r="AD477" s="37" t="n">
        <x:v>0</x:v>
      </x:c>
      <x:c r="AE477" s="37" t="n">
        <x:v>0</x:v>
      </x:c>
      <x:c r="AF477" s="47" t="b">
        <x:v>0</x:v>
      </x:c>
      <x:c r="AG477" s="47" t="b">
        <x:v>0</x:v>
      </x:c>
      <x:c r="AH477" s="48" t="n">
        <x:v>0</x:v>
      </x:c>
      <x:c r="AI477" s="48" t="n">
        <x:v>1.1920928955078125e-7</x:v>
      </x:c>
      <x:c r="AJ477" s="37" t="str">
        <x:v>passed</x:v>
      </x:c>
    </x:row>
    <x:row r="478" ht="21" customHeight="1">
      <x:c r="A478" s="2"/>
      <x:c r="B478" s="2"/>
      <x:c r="C478" s="2" t="str">
        <x:v>2022</x:v>
      </x:c>
      <x:c r="D478" s="5" t="n">
        <x:v>44734</x:v>
      </x:c>
      <x:c r="E478" s="2" t="str">
        <x:v>constrained</x:v>
      </x:c>
      <x:c r="F478" s="37" t="n">
        <x:v>13109020.33991908</x:v>
      </x:c>
      <x:c r="G478" s="37" t="n">
        <x:v>-41372.02063548525</x:v>
      </x:c>
      <x:c r="H478" s="37" t="n">
        <x:v>22064.196555838807</x:v>
      </x:c>
      <x:c r="I478" s="37" t="n">
        <x:v>-63436.21719132406</x:v>
      </x:c>
      <x:c r="J478" s="37" t="n">
        <x:v>10675240.540726468</x:v>
      </x:c>
      <x:c r="K478" s="37" t="n">
        <x:v>10716612.561361954</x:v>
      </x:c>
      <x:c r="L478" s="37" t="n">
        <x:v>13067648.319283593</x:v>
      </x:c>
      <x:c r="M478" s="37" t="n">
        <x:v>0</x:v>
      </x:c>
      <x:c r="N478" s="37" t="n">
        <x:v>0</x:v>
      </x:c>
      <x:c r="O478" s="37" t="n">
        <x:v>718.2631274983287</x:v>
      </x:c>
      <x:c r="P478" s="37" t="n">
        <x:v>0</x:v>
      </x:c>
      <x:c r="Q478" s="37" t="n">
        <x:v>0</x:v>
      </x:c>
      <x:c r="R478" s="37" t="n">
        <x:v>0</x:v>
      </x:c>
      <x:c r="S478" s="37" t="n">
        <x:v>0</x:v>
      </x:c>
      <x:c r="T478" s="37" t="n">
        <x:v>0</x:v>
      </x:c>
      <x:c r="U478" s="37" t="n">
        <x:v>-6729.4488397945315</x:v>
      </x:c>
      <x:c r="V478" s="37" t="n">
        <x:v>0</x:v>
      </x:c>
      <x:c r="W478" s="37" t="n">
        <x:v>121839.12486704998</x:v>
      </x:c>
      <x:c r="X478" s="37" t="n">
        <x:v>0</x:v>
      </x:c>
      <x:c r="Y478" s="37" t="n">
        <x:v>2371.211532654721</x:v>
      </x:c>
      <x:c r="Z478" s="37" t="n">
        <x:v>10930944.812589193</x:v>
      </x:c>
      <x:c r="AA478" s="37" t="n">
        <x:v>0</x:v>
      </x:c>
      <x:c r="AB478" s="37" t="n">
        <x:v>10930944.812589193</x:v>
      </x:c>
      <x:c r="AC478" s="37" t="n">
        <x:v>2178075.5273298863</x:v>
      </x:c>
      <x:c r="AD478" s="37" t="n">
        <x:v>0</x:v>
      </x:c>
      <x:c r="AE478" s="37" t="n">
        <x:v>0</x:v>
      </x:c>
      <x:c r="AF478" s="47" t="b">
        <x:v>0</x:v>
      </x:c>
      <x:c r="AG478" s="47" t="b">
        <x:v>0</x:v>
      </x:c>
      <x:c r="AH478" s="48" t="n">
        <x:v>0</x:v>
      </x:c>
      <x:c r="AI478" s="48" t="n">
        <x:v>1.1920928955078125e-7</x:v>
      </x:c>
      <x:c r="AJ478" s="37" t="str">
        <x:v>passed</x:v>
      </x:c>
    </x:row>
    <x:row r="479" ht="21" customHeight="1">
      <x:c r="A479" s="2"/>
      <x:c r="B479" s="2"/>
      <x:c r="C479" s="2" t="str">
        <x:v>2022</x:v>
      </x:c>
      <x:c r="D479" s="5" t="n">
        <x:v>44735</x:v>
      </x:c>
      <x:c r="E479" s="2" t="str">
        <x:v>unhedged</x:v>
      </x:c>
      <x:c r="F479" s="37" t="n">
        <x:v>1274199.4185632786</x:v>
      </x:c>
      <x:c r="G479" s="37" t="n">
        <x:v>10717288.722998807</x:v>
      </x:c>
      <x:c r="H479" s="37" t="n">
        <x:v>34223.14136440067</x:v>
      </x:c>
      <x:c r="I479" s="37" t="n">
        <x:v>10683065.581634406</x:v>
      </x:c>
      <x:c r="J479" s="37" t="n">
        <x:v>10717288.722998807</x:v>
      </x:c>
      <x:c r="K479" s="37" t="n">
        <x:v>0</x:v>
      </x:c>
      <x:c r="L479" s="37" t="n">
        <x:v>11991488.141562086</x:v>
      </x:c>
      <x:c r="M479" s="37" t="n">
        <x:v>0</x:v>
      </x:c>
      <x:c r="N479" s="37" t="n">
        <x:v>0</x:v>
      </x:c>
      <x:c r="O479" s="37" t="n">
        <x:v>69.81532072555274</x:v>
      </x:c>
      <x:c r="P479" s="37" t="n">
        <x:v>0</x:v>
      </x:c>
      <x:c r="Q479" s="37" t="n">
        <x:v>0</x:v>
      </x:c>
      <x:c r="R479" s="37" t="n">
        <x:v>0</x:v>
      </x:c>
      <x:c r="S479" s="37" t="n">
        <x:v>0</x:v>
      </x:c>
      <x:c r="T479" s="37" t="n">
        <x:v>0</x:v>
      </x:c>
      <x:c r="U479" s="37" t="n">
        <x:v>63750</x:v>
      </x:c>
      <x:c r="V479" s="37" t="n">
        <x:v>0</x:v>
      </x:c>
      <x:c r="W479" s="37" t="n">
        <x:v>11624.137880004244</x:v>
      </x:c>
      <x:c r="X479" s="37" t="n">
        <x:v>0</x:v>
      </x:c>
      <x:c r="Y479" s="37" t="n">
        <x:v>1174.7193167256753</x:v>
      </x:c>
      <x:c r="Z479" s="37" t="n">
        <x:v>0</x:v>
      </x:c>
      <x:c r="AA479" s="37" t="n">
        <x:v>0</x:v>
      </x:c>
      <x:c r="AB479" s="37" t="n">
        <x:v>0</x:v>
      </x:c>
      <x:c r="AC479" s="37" t="n">
        <x:v>1274199.4185632786</x:v>
      </x:c>
      <x:c r="AD479" s="37" t="n">
        <x:v>0</x:v>
      </x:c>
      <x:c r="AE479" s="37" t="n">
        <x:v>0</x:v>
      </x:c>
      <x:c r="AF479" s="47" t="b">
        <x:v>0</x:v>
      </x:c>
      <x:c r="AG479" s="47" t="b">
        <x:v>0</x:v>
      </x:c>
      <x:c r="AH479" s="48" t="n">
        <x:v>0</x:v>
      </x:c>
      <x:c r="AI479" s="48" t="n">
        <x:v>1.1920928955078125e-7</x:v>
      </x:c>
      <x:c r="AJ479" s="37" t="str">
        <x:v>passed</x:v>
      </x:c>
    </x:row>
    <x:row r="480" ht="21" customHeight="1">
      <x:c r="A480" s="2"/>
      <x:c r="B480" s="2"/>
      <x:c r="C480" s="2" t="str">
        <x:v>2022</x:v>
      </x:c>
      <x:c r="D480" s="5" t="n">
        <x:v>44735</x:v>
      </x:c>
      <x:c r="E480" s="2" t="str">
        <x:v>duration</x:v>
      </x:c>
      <x:c r="F480" s="37" t="n">
        <x:v>9332428.35222589</x:v>
      </x:c>
      <x:c r="G480" s="37" t="n">
        <x:v>3649133.5965513135</x:v>
      </x:c>
      <x:c r="H480" s="37" t="n">
        <x:v>22168.22928854202</x:v>
      </x:c>
      <x:c r="I480" s="37" t="n">
        <x:v>3626965.3672627714</x:v>
      </x:c>
      <x:c r="J480" s="37" t="n">
        <x:v>10717288.722998807</x:v>
      </x:c>
      <x:c r="K480" s="37" t="n">
        <x:v>7068155.126447493</x:v>
      </x:c>
      <x:c r="L480" s="37" t="n">
        <x:v>12981561.948777204</x:v>
      </x:c>
      <x:c r="M480" s="37" t="n">
        <x:v>0</x:v>
      </x:c>
      <x:c r="N480" s="37" t="n">
        <x:v>0</x:v>
      </x:c>
      <x:c r="O480" s="37" t="n">
        <x:v>511.3379185926169</x:v>
      </x:c>
      <x:c r="P480" s="37" t="n">
        <x:v>0</x:v>
      </x:c>
      <x:c r="Q480" s="37" t="n">
        <x:v>0</x:v>
      </x:c>
      <x:c r="R480" s="37" t="n">
        <x:v>0</x:v>
      </x:c>
      <x:c r="S480" s="37" t="n">
        <x:v>0</x:v>
      </x:c>
      <x:c r="T480" s="37" t="n">
        <x:v>0</x:v>
      </x:c>
      <x:c r="U480" s="37" t="n">
        <x:v>6645.098252371114</x:v>
      </x:c>
      <x:c r="V480" s="37" t="n">
        <x:v>0</x:v>
      </x:c>
      <x:c r="W480" s="37" t="n">
        <x:v>87221.35438733362</x:v>
      </x:c>
      <x:c r="X480" s="37" t="n">
        <x:v>0</x:v>
      </x:c>
      <x:c r="Y480" s="37" t="n">
        <x:v>1992.6487133401456</x:v>
      </x:c>
      <x:c r="Z480" s="37" t="n">
        <x:v>7209518.228976443</x:v>
      </x:c>
      <x:c r="AA480" s="37" t="n">
        <x:v>0</x:v>
      </x:c>
      <x:c r="AB480" s="37" t="n">
        <x:v>7209518.228976443</x:v>
      </x:c>
      <x:c r="AC480" s="37" t="n">
        <x:v>2122910.123249447</x:v>
      </x:c>
      <x:c r="AD480" s="37" t="n">
        <x:v>0</x:v>
      </x:c>
      <x:c r="AE480" s="37" t="n">
        <x:v>0</x:v>
      </x:c>
      <x:c r="AF480" s="47" t="b">
        <x:v>0</x:v>
      </x:c>
      <x:c r="AG480" s="47" t="b">
        <x:v>0</x:v>
      </x:c>
      <x:c r="AH480" s="48" t="n">
        <x:v>0</x:v>
      </x:c>
      <x:c r="AI480" s="48" t="n">
        <x:v>1.1920928955078125e-7</x:v>
      </x:c>
      <x:c r="AJ480" s="37" t="str">
        <x:v>passed</x:v>
      </x:c>
    </x:row>
    <x:row r="481" ht="21" customHeight="1">
      <x:c r="A481" s="2"/>
      <x:c r="B481" s="2"/>
      <x:c r="C481" s="2" t="str">
        <x:v>2022</x:v>
      </x:c>
      <x:c r="D481" s="5" t="n">
        <x:v>44735</x:v>
      </x:c>
      <x:c r="E481" s="2" t="str">
        <x:v>unweighted</x:v>
      </x:c>
      <x:c r="F481" s="37" t="n">
        <x:v>12255956.539250588</x:v>
      </x:c>
      <x:c r="G481" s="37" t="n">
        <x:v>739110.6134200224</x:v>
      </x:c>
      <x:c r="H481" s="37" t="n">
        <x:v>22728.88314432369</x:v>
      </x:c>
      <x:c r="I481" s="37" t="n">
        <x:v>716381.7302756987</x:v>
      </x:c>
      <x:c r="J481" s="37" t="n">
        <x:v>10720603.948698342</x:v>
      </x:c>
      <x:c r="K481" s="37" t="n">
        <x:v>9981493.33527832</x:v>
      </x:c>
      <x:c r="L481" s="37" t="n">
        <x:v>12995067.15267061</x:v>
      </x:c>
      <x:c r="M481" s="37" t="n">
        <x:v>0</x:v>
      </x:c>
      <x:c r="N481" s="37" t="n">
        <x:v>0</x:v>
      </x:c>
      <x:c r="O481" s="37" t="n">
        <x:v>671.5224666725844</x:v>
      </x:c>
      <x:c r="P481" s="37" t="n">
        <x:v>0</x:v>
      </x:c>
      <x:c r="Q481" s="37" t="n">
        <x:v>0</x:v>
      </x:c>
      <x:c r="R481" s="37" t="n">
        <x:v>0</x:v>
      </x:c>
      <x:c r="S481" s="37" t="n">
        <x:v>0</x:v>
      </x:c>
      <x:c r="T481" s="37" t="n">
        <x:v>0</x:v>
      </x:c>
      <x:c r="U481" s="37" t="n">
        <x:v>-1868.6910087944125</x:v>
      </x:c>
      <x:c r="V481" s="37" t="n">
        <x:v>0</x:v>
      </x:c>
      <x:c r="W481" s="37" t="n">
        <x:v>113363.89059619606</x:v>
      </x:c>
      <x:c r="X481" s="37" t="n">
        <x:v>0</x:v>
      </x:c>
      <x:c r="Y481" s="37" t="n">
        <x:v>2271.0724644097463</x:v>
      </x:c>
      <x:c r="Z481" s="37" t="n">
        <x:v>10181123.201983886</x:v>
      </x:c>
      <x:c r="AA481" s="37" t="n">
        <x:v>0</x:v>
      </x:c>
      <x:c r="AB481" s="37" t="n">
        <x:v>10181123.201983886</x:v>
      </x:c>
      <x:c r="AC481" s="37" t="n">
        <x:v>2074833.3372667022</x:v>
      </x:c>
      <x:c r="AD481" s="37" t="n">
        <x:v>0</x:v>
      </x:c>
      <x:c r="AE481" s="37" t="n">
        <x:v>0</x:v>
      </x:c>
      <x:c r="AF481" s="47" t="b">
        <x:v>0</x:v>
      </x:c>
      <x:c r="AG481" s="47" t="b">
        <x:v>0</x:v>
      </x:c>
      <x:c r="AH481" s="48" t="n">
        <x:v>0</x:v>
      </x:c>
      <x:c r="AI481" s="48" t="n">
        <x:v>1.1920928955078125e-7</x:v>
      </x:c>
      <x:c r="AJ481" s="37" t="str">
        <x:v>passed</x:v>
      </x:c>
    </x:row>
    <x:row r="482" ht="21" customHeight="1">
      <x:c r="A482" s="2"/>
      <x:c r="B482" s="2"/>
      <x:c r="C482" s="2" t="str">
        <x:v>2022</x:v>
      </x:c>
      <x:c r="D482" s="5" t="n">
        <x:v>44735</x:v>
      </x:c>
      <x:c r="E482" s="2" t="str">
        <x:v>constrained</x:v>
      </x:c>
      <x:c r="F482" s="37" t="n">
        <x:v>13109738.64240346</x:v>
      </x:c>
      <x:c r="G482" s="37" t="n">
        <x:v>-41028.263259051186</x:v>
      </x:c>
      <x:c r="H482" s="37" t="n">
        <x:v>22029.974285636585</x:v>
      </x:c>
      <x:c r="I482" s="37" t="n">
        <x:v>-63058.23754468777</x:v>
      </x:c>
      <x:c r="J482" s="37" t="n">
        <x:v>10720486.246165395</x:v>
      </x:c>
      <x:c r="K482" s="37" t="n">
        <x:v>10761514.509424446</x:v>
      </x:c>
      <x:c r="L482" s="37" t="n">
        <x:v>13068710.379144408</x:v>
      </x:c>
      <x:c r="M482" s="37" t="n">
        <x:v>0</x:v>
      </x:c>
      <x:c r="N482" s="37" t="n">
        <x:v>0</x:v>
      </x:c>
      <x:c r="O482" s="37" t="n">
        <x:v>718.3024843800813</x:v>
      </x:c>
      <x:c r="P482" s="37" t="n">
        <x:v>0</x:v>
      </x:c>
      <x:c r="Q482" s="37" t="n">
        <x:v>0</x:v>
      </x:c>
      <x:c r="R482" s="37" t="n">
        <x:v>0</x:v>
      </x:c>
      <x:c r="S482" s="37" t="n">
        <x:v>0</x:v>
      </x:c>
      <x:c r="T482" s="37" t="n">
        <x:v>0</x:v>
      </x:c>
      <x:c r="U482" s="37" t="n">
        <x:v>-6729.4488397945315</x:v>
      </x:c>
      <x:c r="V482" s="37" t="n">
        <x:v>0</x:v>
      </x:c>
      <x:c r="W482" s="37" t="n">
        <x:v>122557.42735143006</x:v>
      </x:c>
      <x:c r="X482" s="37" t="n">
        <x:v>0</x:v>
      </x:c>
      <x:c r="Y482" s="37" t="n">
        <x:v>2371.211532654721</x:v>
      </x:c>
      <x:c r="Z482" s="37" t="n">
        <x:v>10976744.799612936</x:v>
      </x:c>
      <x:c r="AA482" s="37" t="n">
        <x:v>0</x:v>
      </x:c>
      <x:c r="AB482" s="37" t="n">
        <x:v>10976744.799612936</x:v>
      </x:c>
      <x:c r="AC482" s="37" t="n">
        <x:v>2132993.8427905235</x:v>
      </x:c>
      <x:c r="AD482" s="37" t="n">
        <x:v>0</x:v>
      </x:c>
      <x:c r="AE482" s="37" t="n">
        <x:v>0</x:v>
      </x:c>
      <x:c r="AF482" s="47" t="b">
        <x:v>0</x:v>
      </x:c>
      <x:c r="AG482" s="47" t="b">
        <x:v>0</x:v>
      </x:c>
      <x:c r="AH482" s="48" t="n">
        <x:v>0</x:v>
      </x:c>
      <x:c r="AI482" s="48" t="n">
        <x:v>1.1920928955078125e-7</x:v>
      </x:c>
      <x:c r="AJ482" s="37" t="str">
        <x:v>passed</x:v>
      </x:c>
    </x:row>
    <x:row r="483" ht="21" customHeight="1">
      <x:c r="A483" s="2"/>
      <x:c r="B483" s="2"/>
      <x:c r="C483" s="2" t="str">
        <x:v>2022</x:v>
      </x:c>
      <x:c r="D483" s="5" t="n">
        <x:v>44736</x:v>
      </x:c>
      <x:c r="E483" s="2" t="str">
        <x:v>unhedged</x:v>
      </x:c>
      <x:c r="F483" s="37" t="n">
        <x:v>1274269.2377095015</x:v>
      </x:c>
      <x:c r="G483" s="37" t="n">
        <x:v>10697843.37606632</x:v>
      </x:c>
      <x:c r="H483" s="37" t="n">
        <x:v>34572.986728320924</x:v>
      </x:c>
      <x:c r="I483" s="37" t="n">
        <x:v>10663270.389337998</x:v>
      </x:c>
      <x:c r="J483" s="37" t="n">
        <x:v>10697843.37606632</x:v>
      </x:c>
      <x:c r="K483" s="37" t="n">
        <x:v>0</x:v>
      </x:c>
      <x:c r="L483" s="37" t="n">
        <x:v>11972112.613775821</x:v>
      </x:c>
      <x:c r="M483" s="37" t="n">
        <x:v>0</x:v>
      </x:c>
      <x:c r="N483" s="37" t="n">
        <x:v>0</x:v>
      </x:c>
      <x:c r="O483" s="37" t="n">
        <x:v>69.8191462229006</x:v>
      </x:c>
      <x:c r="P483" s="37" t="n">
        <x:v>0</x:v>
      </x:c>
      <x:c r="Q483" s="37" t="n">
        <x:v>0</x:v>
      </x:c>
      <x:c r="R483" s="37" t="n">
        <x:v>0</x:v>
      </x:c>
      <x:c r="S483" s="37" t="n">
        <x:v>0</x:v>
      </x:c>
      <x:c r="T483" s="37" t="n">
        <x:v>0</x:v>
      </x:c>
      <x:c r="U483" s="37" t="n">
        <x:v>63750</x:v>
      </x:c>
      <x:c r="V483" s="37" t="n">
        <x:v>0</x:v>
      </x:c>
      <x:c r="W483" s="37" t="n">
        <x:v>11693.957026227145</x:v>
      </x:c>
      <x:c r="X483" s="37" t="n">
        <x:v>0</x:v>
      </x:c>
      <x:c r="Y483" s="37" t="n">
        <x:v>1174.7193167256753</x:v>
      </x:c>
      <x:c r="Z483" s="37" t="n">
        <x:v>0</x:v>
      </x:c>
      <x:c r="AA483" s="37" t="n">
        <x:v>0</x:v>
      </x:c>
      <x:c r="AB483" s="37" t="n">
        <x:v>0</x:v>
      </x:c>
      <x:c r="AC483" s="37" t="n">
        <x:v>1274269.2377095015</x:v>
      </x:c>
      <x:c r="AD483" s="37" t="n">
        <x:v>0</x:v>
      </x:c>
      <x:c r="AE483" s="37" t="n">
        <x:v>0</x:v>
      </x:c>
      <x:c r="AF483" s="47" t="b">
        <x:v>0</x:v>
      </x:c>
      <x:c r="AG483" s="47" t="b">
        <x:v>0</x:v>
      </x:c>
      <x:c r="AH483" s="48" t="n">
        <x:v>0</x:v>
      </x:c>
      <x:c r="AI483" s="48" t="n">
        <x:v>1.1920928955078125e-7</x:v>
      </x:c>
      <x:c r="AJ483" s="37" t="str">
        <x:v>passed</x:v>
      </x:c>
    </x:row>
    <x:row r="484" ht="21" customHeight="1">
      <x:c r="A484" s="2"/>
      <x:c r="B484" s="2"/>
      <x:c r="C484" s="2" t="str">
        <x:v>2022</x:v>
      </x:c>
      <x:c r="D484" s="5" t="n">
        <x:v>44736</x:v>
      </x:c>
      <x:c r="E484" s="2" t="str">
        <x:v>duration</x:v>
      </x:c>
      <x:c r="F484" s="37" t="n">
        <x:v>9332939.718163</x:v>
      </x:c>
      <x:c r="G484" s="37" t="n">
        <x:v>3652172.430741816</x:v>
      </x:c>
      <x:c r="H484" s="37" t="n">
        <x:v>22208.974342824873</x:v>
      </x:c>
      <x:c r="I484" s="37" t="n">
        <x:v>3629963.456398991</x:v>
      </x:c>
      <x:c r="J484" s="37" t="n">
        <x:v>10697843.37606632</x:v>
      </x:c>
      <x:c r="K484" s="37" t="n">
        <x:v>7045670.945324505</x:v>
      </x:c>
      <x:c r="L484" s="37" t="n">
        <x:v>12985112.148904815</x:v>
      </x:c>
      <x:c r="M484" s="37" t="n">
        <x:v>0</x:v>
      </x:c>
      <x:c r="N484" s="37" t="n">
        <x:v>0</x:v>
      </x:c>
      <x:c r="O484" s="37" t="n">
        <x:v>511.3659371100366</x:v>
      </x:c>
      <x:c r="P484" s="37" t="n">
        <x:v>0</x:v>
      </x:c>
      <x:c r="Q484" s="37" t="n">
        <x:v>0</x:v>
      </x:c>
      <x:c r="R484" s="37" t="n">
        <x:v>0</x:v>
      </x:c>
      <x:c r="S484" s="37" t="n">
        <x:v>0</x:v>
      </x:c>
      <x:c r="T484" s="37" t="n">
        <x:v>0</x:v>
      </x:c>
      <x:c r="U484" s="37" t="n">
        <x:v>6645.098252371114</x:v>
      </x:c>
      <x:c r="V484" s="37" t="n">
        <x:v>0</x:v>
      </x:c>
      <x:c r="W484" s="37" t="n">
        <x:v>87732.72032444365</x:v>
      </x:c>
      <x:c r="X484" s="37" t="n">
        <x:v>0</x:v>
      </x:c>
      <x:c r="Y484" s="37" t="n">
        <x:v>1992.6487133401456</x:v>
      </x:c>
      <x:c r="Z484" s="37" t="n">
        <x:v>7186584.364230995</x:v>
      </x:c>
      <x:c r="AA484" s="37" t="n">
        <x:v>0</x:v>
      </x:c>
      <x:c r="AB484" s="37" t="n">
        <x:v>7186584.364230995</x:v>
      </x:c>
      <x:c r="AC484" s="37" t="n">
        <x:v>2146355.3539320054</x:v>
      </x:c>
      <x:c r="AD484" s="37" t="n">
        <x:v>0</x:v>
      </x:c>
      <x:c r="AE484" s="37" t="n">
        <x:v>0</x:v>
      </x:c>
      <x:c r="AF484" s="47" t="b">
        <x:v>0</x:v>
      </x:c>
      <x:c r="AG484" s="47" t="b">
        <x:v>0</x:v>
      </x:c>
      <x:c r="AH484" s="48" t="n">
        <x:v>0</x:v>
      </x:c>
      <x:c r="AI484" s="48" t="n">
        <x:v>1.1920928955078125e-7</x:v>
      </x:c>
      <x:c r="AJ484" s="37" t="str">
        <x:v>passed</x:v>
      </x:c>
    </x:row>
    <x:row r="485" ht="21" customHeight="1">
      <x:c r="A485" s="2"/>
      <x:c r="B485" s="2"/>
      <x:c r="C485" s="2" t="str">
        <x:v>2022</x:v>
      </x:c>
      <x:c r="D485" s="5" t="n">
        <x:v>44736</x:v>
      </x:c>
      <x:c r="E485" s="2" t="str">
        <x:v>unweighted</x:v>
      </x:c>
      <x:c r="F485" s="37" t="n">
        <x:v>12256628.098513016</x:v>
      </x:c>
      <x:c r="G485" s="37" t="n">
        <x:v>738199.4209739148</x:v>
      </x:c>
      <x:c r="H485" s="37" t="n">
        <x:v>22719.942813827263</x:v>
      </x:c>
      <x:c r="I485" s="37" t="n">
        <x:v>715479.4781600875</x:v>
      </x:c>
      <x:c r="J485" s="37" t="n">
        <x:v>10701130.381751524</x:v>
      </x:c>
      <x:c r="K485" s="37" t="n">
        <x:v>9962930.96077761</x:v>
      </x:c>
      <x:c r="L485" s="37" t="n">
        <x:v>12994827.519486932</x:v>
      </x:c>
      <x:c r="M485" s="37" t="n">
        <x:v>0</x:v>
      </x:c>
      <x:c r="N485" s="37" t="n">
        <x:v>0</x:v>
      </x:c>
      <x:c r="O485" s="37" t="n">
        <x:v>671.5592624284327</x:v>
      </x:c>
      <x:c r="P485" s="37" t="n">
        <x:v>0</x:v>
      </x:c>
      <x:c r="Q485" s="37" t="n">
        <x:v>0</x:v>
      </x:c>
      <x:c r="R485" s="37" t="n">
        <x:v>0</x:v>
      </x:c>
      <x:c r="S485" s="37" t="n">
        <x:v>0</x:v>
      </x:c>
      <x:c r="T485" s="37" t="n">
        <x:v>0</x:v>
      </x:c>
      <x:c r="U485" s="37" t="n">
        <x:v>-1868.6910087944125</x:v>
      </x:c>
      <x:c r="V485" s="37" t="n">
        <x:v>0</x:v>
      </x:c>
      <x:c r="W485" s="37" t="n">
        <x:v>114035.44985862449</x:v>
      </x:c>
      <x:c r="X485" s="37" t="n">
        <x:v>0</x:v>
      </x:c>
      <x:c r="Y485" s="37" t="n">
        <x:v>2271.0724644097463</x:v>
      </x:c>
      <x:c r="Z485" s="37" t="n">
        <x:v>10162189.579993162</x:v>
      </x:c>
      <x:c r="AA485" s="37" t="n">
        <x:v>0</x:v>
      </x:c>
      <x:c r="AB485" s="37" t="n">
        <x:v>10162189.579993162</x:v>
      </x:c>
      <x:c r="AC485" s="37" t="n">
        <x:v>2094438.5185198542</x:v>
      </x:c>
      <x:c r="AD485" s="37" t="n">
        <x:v>0</x:v>
      </x:c>
      <x:c r="AE485" s="37" t="n">
        <x:v>0</x:v>
      </x:c>
      <x:c r="AF485" s="47" t="b">
        <x:v>0</x:v>
      </x:c>
      <x:c r="AG485" s="47" t="b">
        <x:v>0</x:v>
      </x:c>
      <x:c r="AH485" s="48" t="n">
        <x:v>0</x:v>
      </x:c>
      <x:c r="AI485" s="48" t="n">
        <x:v>1.1920928955078125e-7</x:v>
      </x:c>
      <x:c r="AJ485" s="37" t="str">
        <x:v>passed</x:v>
      </x:c>
    </x:row>
    <x:row r="486" ht="21" customHeight="1">
      <x:c r="A486" s="2"/>
      <x:c r="B486" s="2"/>
      <x:c r="C486" s="2" t="str">
        <x:v>2022</x:v>
      </x:c>
      <x:c r="D486" s="5" t="n">
        <x:v>44736</x:v>
      </x:c>
      <x:c r="E486" s="2" t="str">
        <x:v>constrained</x:v>
      </x:c>
      <x:c r="F486" s="37" t="n">
        <x:v>13110456.984246882</x:v>
      </x:c>
      <x:c r="G486" s="37" t="n">
        <x:v>-40943.48080839363</x:v>
      </x:c>
      <x:c r="H486" s="37" t="n">
        <x:v>21995.752015434366</x:v>
      </x:c>
      <x:c r="I486" s="37" t="n">
        <x:v>-62939.232823827995</x:v>
      </x:c>
      <x:c r="J486" s="37" t="n">
        <x:v>10701013.68113141</x:v>
      </x:c>
      <x:c r="K486" s="37" t="n">
        <x:v>10741957.161939804</x:v>
      </x:c>
      <x:c r="L486" s="37" t="n">
        <x:v>13069513.503438488</x:v>
      </x:c>
      <x:c r="M486" s="37" t="n">
        <x:v>0</x:v>
      </x:c>
      <x:c r="N486" s="37" t="n">
        <x:v>0</x:v>
      </x:c>
      <x:c r="O486" s="37" t="n">
        <x:v>718.3418434225023</x:v>
      </x:c>
      <x:c r="P486" s="37" t="n">
        <x:v>0</x:v>
      </x:c>
      <x:c r="Q486" s="37" t="n">
        <x:v>0</x:v>
      </x:c>
      <x:c r="R486" s="37" t="n">
        <x:v>0</x:v>
      </x:c>
      <x:c r="S486" s="37" t="n">
        <x:v>0</x:v>
      </x:c>
      <x:c r="T486" s="37" t="n">
        <x:v>0</x:v>
      </x:c>
      <x:c r="U486" s="37" t="n">
        <x:v>-6729.4488397945315</x:v>
      </x:c>
      <x:c r="V486" s="37" t="n">
        <x:v>0</x:v>
      </x:c>
      <x:c r="W486" s="37" t="n">
        <x:v>123275.76919485256</x:v>
      </x:c>
      <x:c r="X486" s="37" t="n">
        <x:v>0</x:v>
      </x:c>
      <x:c r="Y486" s="37" t="n">
        <x:v>2371.211532654721</x:v>
      </x:c>
      <x:c r="Z486" s="37" t="n">
        <x:v>10956796.3051786</x:v>
      </x:c>
      <x:c r="AA486" s="37" t="n">
        <x:v>0</x:v>
      </x:c>
      <x:c r="AB486" s="37" t="n">
        <x:v>10956796.3051786</x:v>
      </x:c>
      <x:c r="AC486" s="37" t="n">
        <x:v>2153660.6790682822</x:v>
      </x:c>
      <x:c r="AD486" s="37" t="n">
        <x:v>0</x:v>
      </x:c>
      <x:c r="AE486" s="37" t="n">
        <x:v>0</x:v>
      </x:c>
      <x:c r="AF486" s="47" t="b">
        <x:v>0</x:v>
      </x:c>
      <x:c r="AG486" s="47" t="b">
        <x:v>0</x:v>
      </x:c>
      <x:c r="AH486" s="48" t="n">
        <x:v>0</x:v>
      </x:c>
      <x:c r="AI486" s="48" t="n">
        <x:v>1.1920928955078125e-7</x:v>
      </x:c>
      <x:c r="AJ486" s="37" t="str">
        <x:v>passed</x:v>
      </x:c>
    </x:row>
    <x:row r="487" ht="21" customHeight="1">
      <x:c r="A487" s="2"/>
      <x:c r="B487" s="2"/>
      <x:c r="C487" s="2" t="str">
        <x:v>2022</x:v>
      </x:c>
      <x:c r="D487" s="5" t="n">
        <x:v>44739</x:v>
      </x:c>
      <x:c r="E487" s="2" t="str">
        <x:v>unhedged</x:v>
      </x:c>
      <x:c r="F487" s="37" t="n">
        <x:v>1274478.7181032482</x:v>
      </x:c>
      <x:c r="G487" s="37" t="n">
        <x:v>10658925.677532053</x:v>
      </x:c>
      <x:c r="H487" s="37" t="n">
        <x:v>35622.52282008167</x:v>
      </x:c>
      <x:c r="I487" s="37" t="n">
        <x:v>10623303.154711971</x:v>
      </x:c>
      <x:c r="J487" s="37" t="n">
        <x:v>10658925.677532053</x:v>
      </x:c>
      <x:c r="K487" s="37" t="n">
        <x:v>0</x:v>
      </x:c>
      <x:c r="L487" s="37" t="n">
        <x:v>11933404.395635301</x:v>
      </x:c>
      <x:c r="M487" s="37" t="n">
        <x:v>0</x:v>
      </x:c>
      <x:c r="N487" s="37" t="n">
        <x:v>0</x:v>
      </x:c>
      <x:c r="O487" s="37" t="n">
        <x:v>209.48039374663495</x:v>
      </x:c>
      <x:c r="P487" s="37" t="n">
        <x:v>0</x:v>
      </x:c>
      <x:c r="Q487" s="37" t="n">
        <x:v>0</x:v>
      </x:c>
      <x:c r="R487" s="37" t="n">
        <x:v>0</x:v>
      </x:c>
      <x:c r="S487" s="37" t="n">
        <x:v>0</x:v>
      </x:c>
      <x:c r="T487" s="37" t="n">
        <x:v>0</x:v>
      </x:c>
      <x:c r="U487" s="37" t="n">
        <x:v>63750</x:v>
      </x:c>
      <x:c r="V487" s="37" t="n">
        <x:v>0</x:v>
      </x:c>
      <x:c r="W487" s="37" t="n">
        <x:v>11903.43741997378</x:v>
      </x:c>
      <x:c r="X487" s="37" t="n">
        <x:v>0</x:v>
      </x:c>
      <x:c r="Y487" s="37" t="n">
        <x:v>1174.7193167256753</x:v>
      </x:c>
      <x:c r="Z487" s="37" t="n">
        <x:v>0</x:v>
      </x:c>
      <x:c r="AA487" s="37" t="n">
        <x:v>0</x:v>
      </x:c>
      <x:c r="AB487" s="37" t="n">
        <x:v>0</x:v>
      </x:c>
      <x:c r="AC487" s="37" t="n">
        <x:v>1274478.7181032482</x:v>
      </x:c>
      <x:c r="AD487" s="37" t="n">
        <x:v>0</x:v>
      </x:c>
      <x:c r="AE487" s="37" t="n">
        <x:v>0</x:v>
      </x:c>
      <x:c r="AF487" s="47" t="b">
        <x:v>0</x:v>
      </x:c>
      <x:c r="AG487" s="47" t="b">
        <x:v>0</x:v>
      </x:c>
      <x:c r="AH487" s="48" t="n">
        <x:v>0</x:v>
      </x:c>
      <x:c r="AI487" s="48" t="n">
        <x:v>1.1920928955078125e-7</x:v>
      </x:c>
      <x:c r="AJ487" s="37" t="str">
        <x:v>passed</x:v>
      </x:c>
    </x:row>
    <x:row r="488" ht="21" customHeight="1">
      <x:c r="A488" s="2"/>
      <x:c r="B488" s="2"/>
      <x:c r="C488" s="2" t="str">
        <x:v>2022</x:v>
      </x:c>
      <x:c r="D488" s="5" t="n">
        <x:v>44739</x:v>
      </x:c>
      <x:c r="E488" s="2" t="str">
        <x:v>duration</x:v>
      </x:c>
      <x:c r="F488" s="37" t="n">
        <x:v>9334473.984100778</x:v>
      </x:c>
      <x:c r="G488" s="37" t="n">
        <x:v>3651170.6168074007</x:v>
      </x:c>
      <x:c r="H488" s="37" t="n">
        <x:v>22331.209505673418</x:v>
      </x:c>
      <x:c r="I488" s="37" t="n">
        <x:v>3628839.407301727</x:v>
      </x:c>
      <x:c r="J488" s="37" t="n">
        <x:v>10658925.677532053</x:v>
      </x:c>
      <x:c r="K488" s="37" t="n">
        <x:v>7007755.060724652</x:v>
      </x:c>
      <x:c r="L488" s="37" t="n">
        <x:v>12985644.600908179</x:v>
      </x:c>
      <x:c r="M488" s="37" t="n">
        <x:v>0</x:v>
      </x:c>
      <x:c r="N488" s="37" t="n">
        <x:v>0</x:v>
      </x:c>
      <x:c r="O488" s="37" t="n">
        <x:v>1534.265937777236</x:v>
      </x:c>
      <x:c r="P488" s="37" t="n">
        <x:v>0</x:v>
      </x:c>
      <x:c r="Q488" s="37" t="n">
        <x:v>0</x:v>
      </x:c>
      <x:c r="R488" s="37" t="n">
        <x:v>0</x:v>
      </x:c>
      <x:c r="S488" s="37" t="n">
        <x:v>0</x:v>
      </x:c>
      <x:c r="T488" s="37" t="n">
        <x:v>0</x:v>
      </x:c>
      <x:c r="U488" s="37" t="n">
        <x:v>6645.098252371114</x:v>
      </x:c>
      <x:c r="V488" s="37" t="n">
        <x:v>0</x:v>
      </x:c>
      <x:c r="W488" s="37" t="n">
        <x:v>89266.98626222089</x:v>
      </x:c>
      <x:c r="X488" s="37" t="n">
        <x:v>0</x:v>
      </x:c>
      <x:c r="Y488" s="37" t="n">
        <x:v>1992.6487133401456</x:v>
      </x:c>
      <x:c r="Z488" s="37" t="n">
        <x:v>7147910.161939146</x:v>
      </x:c>
      <x:c r="AA488" s="37" t="n">
        <x:v>0</x:v>
      </x:c>
      <x:c r="AB488" s="37" t="n">
        <x:v>7147910.161939146</x:v>
      </x:c>
      <x:c r="AC488" s="37" t="n">
        <x:v>2186563.8221616317</x:v>
      </x:c>
      <x:c r="AD488" s="37" t="n">
        <x:v>0</x:v>
      </x:c>
      <x:c r="AE488" s="37" t="n">
        <x:v>0</x:v>
      </x:c>
      <x:c r="AF488" s="47" t="b">
        <x:v>0</x:v>
      </x:c>
      <x:c r="AG488" s="47" t="b">
        <x:v>0</x:v>
      </x:c>
      <x:c r="AH488" s="48" t="n">
        <x:v>0</x:v>
      </x:c>
      <x:c r="AI488" s="48" t="n">
        <x:v>1.1920928955078125e-7</x:v>
      </x:c>
      <x:c r="AJ488" s="37" t="str">
        <x:v>passed</x:v>
      </x:c>
    </x:row>
    <x:row r="489" ht="21" customHeight="1">
      <x:c r="A489" s="2"/>
      <x:c r="B489" s="2"/>
      <x:c r="C489" s="2" t="str">
        <x:v>2022</x:v>
      </x:c>
      <x:c r="D489" s="5" t="n">
        <x:v>44739</x:v>
      </x:c>
      <x:c r="E489" s="2" t="str">
        <x:v>unweighted</x:v>
      </x:c>
      <x:c r="F489" s="37" t="n">
        <x:v>12258642.997094965</x:v>
      </x:c>
      <x:c r="G489" s="37" t="n">
        <x:v>735794.9780766437</x:v>
      </x:c>
      <x:c r="H489" s="37" t="n">
        <x:v>22693.121822337973</x:v>
      </x:c>
      <x:c r="I489" s="37" t="n">
        <x:v>713101.8562543057</x:v>
      </x:c>
      <x:c r="J489" s="37" t="n">
        <x:v>10662189.68962889</x:v>
      </x:c>
      <x:c r="K489" s="37" t="n">
        <x:v>9926394.711552246</x:v>
      </x:c>
      <x:c r="L489" s="37" t="n">
        <x:v>12994437.975171609</x:v>
      </x:c>
      <x:c r="M489" s="37" t="n">
        <x:v>0</x:v>
      </x:c>
      <x:c r="N489" s="37" t="n">
        <x:v>0</x:v>
      </x:c>
      <x:c r="O489" s="37" t="n">
        <x:v>2014.8985819481313</x:v>
      </x:c>
      <x:c r="P489" s="37" t="n">
        <x:v>0</x:v>
      </x:c>
      <x:c r="Q489" s="37" t="n">
        <x:v>0</x:v>
      </x:c>
      <x:c r="R489" s="37" t="n">
        <x:v>0</x:v>
      </x:c>
      <x:c r="S489" s="37" t="n">
        <x:v>0</x:v>
      </x:c>
      <x:c r="T489" s="37" t="n">
        <x:v>0</x:v>
      </x:c>
      <x:c r="U489" s="37" t="n">
        <x:v>-1868.6910087944125</x:v>
      </x:c>
      <x:c r="V489" s="37" t="n">
        <x:v>0</x:v>
      </x:c>
      <x:c r="W489" s="37" t="n">
        <x:v>116050.34844057262</x:v>
      </x:c>
      <x:c r="X489" s="37" t="n">
        <x:v>0</x:v>
      </x:c>
      <x:c r="Y489" s="37" t="n">
        <x:v>2271.0724644097463</x:v>
      </x:c>
      <x:c r="Z489" s="37" t="n">
        <x:v>10124922.605783291</x:v>
      </x:c>
      <x:c r="AA489" s="37" t="n">
        <x:v>0</x:v>
      </x:c>
      <x:c r="AB489" s="37" t="n">
        <x:v>10124922.605783291</x:v>
      </x:c>
      <x:c r="AC489" s="37" t="n">
        <x:v>2133720.3913116734</x:v>
      </x:c>
      <x:c r="AD489" s="37" t="n">
        <x:v>0</x:v>
      </x:c>
      <x:c r="AE489" s="37" t="n">
        <x:v>0</x:v>
      </x:c>
      <x:c r="AF489" s="47" t="b">
        <x:v>0</x:v>
      </x:c>
      <x:c r="AG489" s="47" t="b">
        <x:v>0</x:v>
      </x:c>
      <x:c r="AH489" s="48" t="n">
        <x:v>0</x:v>
      </x:c>
      <x:c r="AI489" s="48" t="n">
        <x:v>1.1920928955078125e-7</x:v>
      </x:c>
      <x:c r="AJ489" s="37" t="str">
        <x:v>passed</x:v>
      </x:c>
    </x:row>
    <x:row r="490" ht="21" customHeight="1">
      <x:c r="A490" s="2"/>
      <x:c r="B490" s="2"/>
      <x:c r="C490" s="2" t="str">
        <x:v>2022</x:v>
      </x:c>
      <x:c r="D490" s="5" t="n">
        <x:v>44739</x:v>
      </x:c>
      <x:c r="E490" s="2" t="str">
        <x:v>constrained</x:v>
      </x:c>
      <x:c r="F490" s="37" t="n">
        <x:v>13112612.24595295</x:v>
      </x:c>
      <x:c r="G490" s="37" t="n">
        <x:v>-41110.47837789049</x:v>
      </x:c>
      <x:c r="H490" s="37" t="n">
        <x:v>21893.085204827705</x:v>
      </x:c>
      <x:c r="I490" s="37" t="n">
        <x:v>-63003.5635827182</x:v>
      </x:c>
      <x:c r="J490" s="37" t="n">
        <x:v>10662073.805364532</x:v>
      </x:c>
      <x:c r="K490" s="37" t="n">
        <x:v>10703184.283742424</x:v>
      </x:c>
      <x:c r="L490" s="37" t="n">
        <x:v>13071501.767575061</x:v>
      </x:c>
      <x:c r="M490" s="37" t="n">
        <x:v>0</x:v>
      </x:c>
      <x:c r="N490" s="37" t="n">
        <x:v>0</x:v>
      </x:c>
      <x:c r="O490" s="37" t="n">
        <x:v>2155.261706069112</x:v>
      </x:c>
      <x:c r="P490" s="37" t="n">
        <x:v>0</x:v>
      </x:c>
      <x:c r="Q490" s="37" t="n">
        <x:v>0</x:v>
      </x:c>
      <x:c r="R490" s="37" t="n">
        <x:v>0</x:v>
      </x:c>
      <x:c r="S490" s="37" t="n">
        <x:v>0</x:v>
      </x:c>
      <x:c r="T490" s="37" t="n">
        <x:v>0</x:v>
      </x:c>
      <x:c r="U490" s="37" t="n">
        <x:v>-6729.4488397945315</x:v>
      </x:c>
      <x:c r="V490" s="37" t="n">
        <x:v>0</x:v>
      </x:c>
      <x:c r="W490" s="37" t="n">
        <x:v>125431.03090092167</x:v>
      </x:c>
      <x:c r="X490" s="37" t="n">
        <x:v>0</x:v>
      </x:c>
      <x:c r="Y490" s="37" t="n">
        <x:v>2371.211532654721</x:v>
      </x:c>
      <x:c r="Z490" s="37" t="n">
        <x:v>10917247.969417272</x:v>
      </x:c>
      <x:c r="AA490" s="37" t="n">
        <x:v>0</x:v>
      </x:c>
      <x:c r="AB490" s="37" t="n">
        <x:v>10917247.969417272</x:v>
      </x:c>
      <x:c r="AC490" s="37" t="n">
        <x:v>2195364.2765356787</x:v>
      </x:c>
      <x:c r="AD490" s="37" t="n">
        <x:v>0</x:v>
      </x:c>
      <x:c r="AE490" s="37" t="n">
        <x:v>0</x:v>
      </x:c>
      <x:c r="AF490" s="47" t="b">
        <x:v>0</x:v>
      </x:c>
      <x:c r="AG490" s="47" t="b">
        <x:v>0</x:v>
      </x:c>
      <x:c r="AH490" s="48" t="n">
        <x:v>0</x:v>
      </x:c>
      <x:c r="AI490" s="48" t="n">
        <x:v>1.1920928955078125e-7</x:v>
      </x:c>
      <x:c r="AJ490" s="37" t="str">
        <x:v>passed</x:v>
      </x:c>
    </x:row>
    <x:row r="491" ht="21" customHeight="1">
      <x:c r="A491" s="2"/>
      <x:c r="B491" s="2"/>
      <x:c r="C491" s="2" t="str">
        <x:v>2022</x:v>
      </x:c>
      <x:c r="D491" s="5" t="n">
        <x:v>44740</x:v>
      </x:c>
      <x:c r="E491" s="2" t="str">
        <x:v>unhedged</x:v>
      </x:c>
      <x:c r="F491" s="37" t="n">
        <x:v>1274548.5525535552</x:v>
      </x:c>
      <x:c r="G491" s="37" t="n">
        <x:v>10656966.300832365</x:v>
      </x:c>
      <x:c r="H491" s="37" t="n">
        <x:v>35972.36818400192</x:v>
      </x:c>
      <x:c r="I491" s="37" t="n">
        <x:v>10620993.932648363</x:v>
      </x:c>
      <x:c r="J491" s="37" t="n">
        <x:v>10656966.300832365</x:v>
      </x:c>
      <x:c r="K491" s="37" t="n">
        <x:v>0</x:v>
      </x:c>
      <x:c r="L491" s="37" t="n">
        <x:v>11931514.85338592</x:v>
      </x:c>
      <x:c r="M491" s="37" t="n">
        <x:v>0</x:v>
      </x:c>
      <x:c r="N491" s="37" t="n">
        <x:v>0</x:v>
      </x:c>
      <x:c r="O491" s="37" t="n">
        <x:v>69.83445030706935</x:v>
      </x:c>
      <x:c r="P491" s="37" t="n">
        <x:v>0</x:v>
      </x:c>
      <x:c r="Q491" s="37" t="n">
        <x:v>0</x:v>
      </x:c>
      <x:c r="R491" s="37" t="n">
        <x:v>0</x:v>
      </x:c>
      <x:c r="S491" s="37" t="n">
        <x:v>0</x:v>
      </x:c>
      <x:c r="T491" s="37" t="n">
        <x:v>0</x:v>
      </x:c>
      <x:c r="U491" s="37" t="n">
        <x:v>63750</x:v>
      </x:c>
      <x:c r="V491" s="37" t="n">
        <x:v>0</x:v>
      </x:c>
      <x:c r="W491" s="37" t="n">
        <x:v>11973.271870280849</x:v>
      </x:c>
      <x:c r="X491" s="37" t="n">
        <x:v>0</x:v>
      </x:c>
      <x:c r="Y491" s="37" t="n">
        <x:v>1174.7193167256753</x:v>
      </x:c>
      <x:c r="Z491" s="37" t="n">
        <x:v>0</x:v>
      </x:c>
      <x:c r="AA491" s="37" t="n">
        <x:v>0</x:v>
      </x:c>
      <x:c r="AB491" s="37" t="n">
        <x:v>0</x:v>
      </x:c>
      <x:c r="AC491" s="37" t="n">
        <x:v>1274548.5525535552</x:v>
      </x:c>
      <x:c r="AD491" s="37" t="n">
        <x:v>0</x:v>
      </x:c>
      <x:c r="AE491" s="37" t="n">
        <x:v>0</x:v>
      </x:c>
      <x:c r="AF491" s="47" t="b">
        <x:v>0</x:v>
      </x:c>
      <x:c r="AG491" s="47" t="b">
        <x:v>0</x:v>
      </x:c>
      <x:c r="AH491" s="48" t="n">
        <x:v>0</x:v>
      </x:c>
      <x:c r="AI491" s="48" t="n">
        <x:v>1.1920928955078125e-7</x:v>
      </x:c>
      <x:c r="AJ491" s="37" t="str">
        <x:v>passed</x:v>
      </x:c>
    </x:row>
    <x:row r="492" ht="21" customHeight="1">
      <x:c r="A492" s="2"/>
      <x:c r="B492" s="2"/>
      <x:c r="C492" s="2" t="str">
        <x:v>2022</x:v>
      </x:c>
      <x:c r="D492" s="5" t="n">
        <x:v>44740</x:v>
      </x:c>
      <x:c r="E492" s="2" t="str">
        <x:v>duration</x:v>
      </x:c>
      <x:c r="F492" s="37" t="n">
        <x:v>9334985.462127304</x:v>
      </x:c>
      <x:c r="G492" s="37" t="n">
        <x:v>3651741.563117604</x:v>
      </x:c>
      <x:c r="H492" s="37" t="n">
        <x:v>22371.954559956263</x:v>
      </x:c>
      <x:c r="I492" s="37" t="n">
        <x:v>3629369.6085576476</x:v>
      </x:c>
      <x:c r="J492" s="37" t="n">
        <x:v>10656966.300832365</x:v>
      </x:c>
      <x:c r="K492" s="37" t="n">
        <x:v>7005224.73771476</x:v>
      </x:c>
      <x:c r="L492" s="37" t="n">
        <x:v>12986727.025244907</x:v>
      </x:c>
      <x:c r="M492" s="37" t="n">
        <x:v>0</x:v>
      </x:c>
      <x:c r="N492" s="37" t="n">
        <x:v>0</x:v>
      </x:c>
      <x:c r="O492" s="37" t="n">
        <x:v>511.4780265260488</x:v>
      </x:c>
      <x:c r="P492" s="37" t="n">
        <x:v>0</x:v>
      </x:c>
      <x:c r="Q492" s="37" t="n">
        <x:v>0</x:v>
      </x:c>
      <x:c r="R492" s="37" t="n">
        <x:v>0</x:v>
      </x:c>
      <x:c r="S492" s="37" t="n">
        <x:v>0</x:v>
      </x:c>
      <x:c r="T492" s="37" t="n">
        <x:v>0</x:v>
      </x:c>
      <x:c r="U492" s="37" t="n">
        <x:v>6645.098252371114</x:v>
      </x:c>
      <x:c r="V492" s="37" t="n">
        <x:v>0</x:v>
      </x:c>
      <x:c r="W492" s="37" t="n">
        <x:v>89778.46428874694</x:v>
      </x:c>
      <x:c r="X492" s="37" t="n">
        <x:v>0</x:v>
      </x:c>
      <x:c r="Y492" s="37" t="n">
        <x:v>1992.6487133401456</x:v>
      </x:c>
      <x:c r="Z492" s="37" t="n">
        <x:v>7145329.232469055</x:v>
      </x:c>
      <x:c r="AA492" s="37" t="n">
        <x:v>0</x:v>
      </x:c>
      <x:c r="AB492" s="37" t="n">
        <x:v>7145329.232469055</x:v>
      </x:c>
      <x:c r="AC492" s="37" t="n">
        <x:v>2189656.229658249</x:v>
      </x:c>
      <x:c r="AD492" s="37" t="n">
        <x:v>0</x:v>
      </x:c>
      <x:c r="AE492" s="37" t="n">
        <x:v>0</x:v>
      </x:c>
      <x:c r="AF492" s="47" t="b">
        <x:v>0</x:v>
      </x:c>
      <x:c r="AG492" s="47" t="b">
        <x:v>0</x:v>
      </x:c>
      <x:c r="AH492" s="48" t="n">
        <x:v>0</x:v>
      </x:c>
      <x:c r="AI492" s="48" t="n">
        <x:v>1.1920928955078125e-7</x:v>
      </x:c>
      <x:c r="AJ492" s="37" t="str">
        <x:v>passed</x:v>
      </x:c>
    </x:row>
    <x:row r="493" ht="21" customHeight="1">
      <x:c r="A493" s="2"/>
      <x:c r="B493" s="2"/>
      <x:c r="C493" s="2" t="str">
        <x:v>2022</x:v>
      </x:c>
      <x:c r="D493" s="5" t="n">
        <x:v>44740</x:v>
      </x:c>
      <x:c r="E493" s="2" t="str">
        <x:v>unweighted</x:v>
      </x:c>
      <x:c r="F493" s="37" t="n">
        <x:v>12259314.70356056</x:v>
      </x:c>
      <x:c r="G493" s="37" t="n">
        <x:v>735706.9683643186</x:v>
      </x:c>
      <x:c r="H493" s="37" t="n">
        <x:v>22684.18149184154</x:v>
      </x:c>
      <x:c r="I493" s="37" t="n">
        <x:v>713022.786872477</x:v>
      </x:c>
      <x:c r="J493" s="37" t="n">
        <x:v>10660233.910131734</x:v>
      </x:c>
      <x:c r="K493" s="37" t="n">
        <x:v>9924526.941767415</x:v>
      </x:c>
      <x:c r="L493" s="37" t="n">
        <x:v>12995021.671924878</x:v>
      </x:c>
      <x:c r="M493" s="37" t="n">
        <x:v>0</x:v>
      </x:c>
      <x:c r="N493" s="37" t="n">
        <x:v>0</x:v>
      </x:c>
      <x:c r="O493" s="37" t="n">
        <x:v>671.7064655944705</x:v>
      </x:c>
      <x:c r="P493" s="37" t="n">
        <x:v>0</x:v>
      </x:c>
      <x:c r="Q493" s="37" t="n">
        <x:v>0</x:v>
      </x:c>
      <x:c r="R493" s="37" t="n">
        <x:v>0</x:v>
      </x:c>
      <x:c r="S493" s="37" t="n">
        <x:v>0</x:v>
      </x:c>
      <x:c r="T493" s="37" t="n">
        <x:v>0</x:v>
      </x:c>
      <x:c r="U493" s="37" t="n">
        <x:v>-1868.6910087944125</x:v>
      </x:c>
      <x:c r="V493" s="37" t="n">
        <x:v>0</x:v>
      </x:c>
      <x:c r="W493" s="37" t="n">
        <x:v>116722.05490616709</x:v>
      </x:c>
      <x:c r="X493" s="37" t="n">
        <x:v>0</x:v>
      </x:c>
      <x:c r="Y493" s="37" t="n">
        <x:v>2271.0724644097463</x:v>
      </x:c>
      <x:c r="Z493" s="37" t="n">
        <x:v>10123017.480602764</x:v>
      </x:c>
      <x:c r="AA493" s="37" t="n">
        <x:v>0</x:v>
      </x:c>
      <x:c r="AB493" s="37" t="n">
        <x:v>10123017.480602764</x:v>
      </x:c>
      <x:c r="AC493" s="37" t="n">
        <x:v>2136297.2229577955</x:v>
      </x:c>
      <x:c r="AD493" s="37" t="n">
        <x:v>0</x:v>
      </x:c>
      <x:c r="AE493" s="37" t="n">
        <x:v>0</x:v>
      </x:c>
      <x:c r="AF493" s="47" t="b">
        <x:v>0</x:v>
      </x:c>
      <x:c r="AG493" s="47" t="b">
        <x:v>0</x:v>
      </x:c>
      <x:c r="AH493" s="48" t="n">
        <x:v>0</x:v>
      </x:c>
      <x:c r="AI493" s="48" t="n">
        <x:v>1.1920928955078125e-7</x:v>
      </x:c>
      <x:c r="AJ493" s="37" t="str">
        <x:v>passed</x:v>
      </x:c>
    </x:row>
    <x:row r="494" ht="21" customHeight="1">
      <x:c r="A494" s="2"/>
      <x:c r="B494" s="2"/>
      <x:c r="C494" s="2" t="str">
        <x:v>2022</x:v>
      </x:c>
      <x:c r="D494" s="5" t="n">
        <x:v>44740</x:v>
      </x:c>
      <x:c r="E494" s="2" t="str">
        <x:v>constrained</x:v>
      </x:c>
      <x:c r="F494" s="37" t="n">
        <x:v>13113330.7452541</x:v>
      </x:c>
      <x:c r="G494" s="37" t="n">
        <x:v>-41131.32652169929</x:v>
      </x:c>
      <x:c r="H494" s="37" t="n">
        <x:v>21858.86293462548</x:v>
      </x:c>
      <x:c r="I494" s="37" t="n">
        <x:v>-62990.18945632476</x:v>
      </x:c>
      <x:c r="J494" s="37" t="n">
        <x:v>10660117.898153644</x:v>
      </x:c>
      <x:c r="K494" s="37" t="n">
        <x:v>10701249.224675344</x:v>
      </x:c>
      <x:c r="L494" s="37" t="n">
        <x:v>13072199.418732401</x:v>
      </x:c>
      <x:c r="M494" s="37" t="n">
        <x:v>0</x:v>
      </x:c>
      <x:c r="N494" s="37" t="n">
        <x:v>0</x:v>
      </x:c>
      <x:c r="O494" s="37" t="n">
        <x:v>718.4993011485785</x:v>
      </x:c>
      <x:c r="P494" s="37" t="n">
        <x:v>0</x:v>
      </x:c>
      <x:c r="Q494" s="37" t="n">
        <x:v>0</x:v>
      </x:c>
      <x:c r="R494" s="37" t="n">
        <x:v>0</x:v>
      </x:c>
      <x:c r="S494" s="37" t="n">
        <x:v>0</x:v>
      </x:c>
      <x:c r="T494" s="37" t="n">
        <x:v>0</x:v>
      </x:c>
      <x:c r="U494" s="37" t="n">
        <x:v>-6729.4488397945315</x:v>
      </x:c>
      <x:c r="V494" s="37" t="n">
        <x:v>0</x:v>
      </x:c>
      <x:c r="W494" s="37" t="n">
        <x:v>126149.53020207025</x:v>
      </x:c>
      <x:c r="X494" s="37" t="n">
        <x:v>0</x:v>
      </x:c>
      <x:c r="Y494" s="37" t="n">
        <x:v>2371.211532654721</x:v>
      </x:c>
      <x:c r="Z494" s="37" t="n">
        <x:v>10915274.209168851</x:v>
      </x:c>
      <x:c r="AA494" s="37" t="n">
        <x:v>0</x:v>
      </x:c>
      <x:c r="AB494" s="37" t="n">
        <x:v>10915274.209168851</x:v>
      </x:c>
      <x:c r="AC494" s="37" t="n">
        <x:v>2198056.536085248</x:v>
      </x:c>
      <x:c r="AD494" s="37" t="n">
        <x:v>0</x:v>
      </x:c>
      <x:c r="AE494" s="37" t="n">
        <x:v>0</x:v>
      </x:c>
      <x:c r="AF494" s="47" t="b">
        <x:v>0</x:v>
      </x:c>
      <x:c r="AG494" s="47" t="b">
        <x:v>0</x:v>
      </x:c>
      <x:c r="AH494" s="48" t="n">
        <x:v>0</x:v>
      </x:c>
      <x:c r="AI494" s="48" t="n">
        <x:v>1.1920928955078125e-7</x:v>
      </x:c>
      <x:c r="AJ494" s="37" t="str">
        <x:v>passed</x:v>
      </x:c>
    </x:row>
    <x:row r="495" ht="21" customHeight="1">
      <x:c r="A495" s="2"/>
      <x:c r="B495" s="2"/>
      <x:c r="C495" s="2" t="str">
        <x:v>2022</x:v>
      </x:c>
      <x:c r="D495" s="5" t="n">
        <x:v>44741</x:v>
      </x:c>
      <x:c r="E495" s="2" t="str">
        <x:v>unhedged</x:v>
      </x:c>
      <x:c r="F495" s="37" t="n">
        <x:v>1274618.3908304074</x:v>
      </x:c>
      <x:c r="G495" s="37" t="n">
        <x:v>10712476.710503144</x:v>
      </x:c>
      <x:c r="H495" s="37" t="n">
        <x:v>36322.213547922176</x:v>
      </x:c>
      <x:c r="I495" s="37" t="n">
        <x:v>10676154.496955222</x:v>
      </x:c>
      <x:c r="J495" s="37" t="n">
        <x:v>10712476.710503144</x:v>
      </x:c>
      <x:c r="K495" s="37" t="n">
        <x:v>0</x:v>
      </x:c>
      <x:c r="L495" s="37" t="n">
        <x:v>11987095.101333551</x:v>
      </x:c>
      <x:c r="M495" s="37" t="n">
        <x:v>0</x:v>
      </x:c>
      <x:c r="N495" s="37" t="n">
        <x:v>0</x:v>
      </x:c>
      <x:c r="O495" s="37" t="n">
        <x:v>69.8382768521551</x:v>
      </x:c>
      <x:c r="P495" s="37" t="n">
        <x:v>0</x:v>
      </x:c>
      <x:c r="Q495" s="37" t="n">
        <x:v>0</x:v>
      </x:c>
      <x:c r="R495" s="37" t="n">
        <x:v>0</x:v>
      </x:c>
      <x:c r="S495" s="37" t="n">
        <x:v>0</x:v>
      </x:c>
      <x:c r="T495" s="37" t="n">
        <x:v>0</x:v>
      </x:c>
      <x:c r="U495" s="37" t="n">
        <x:v>63750</x:v>
      </x:c>
      <x:c r="V495" s="37" t="n">
        <x:v>0</x:v>
      </x:c>
      <x:c r="W495" s="37" t="n">
        <x:v>12043.110147133004</x:v>
      </x:c>
      <x:c r="X495" s="37" t="n">
        <x:v>0</x:v>
      </x:c>
      <x:c r="Y495" s="37" t="n">
        <x:v>1174.7193167256753</x:v>
      </x:c>
      <x:c r="Z495" s="37" t="n">
        <x:v>0</x:v>
      </x:c>
      <x:c r="AA495" s="37" t="n">
        <x:v>0</x:v>
      </x:c>
      <x:c r="AB495" s="37" t="n">
        <x:v>0</x:v>
      </x:c>
      <x:c r="AC495" s="37" t="n">
        <x:v>1274618.3908304074</x:v>
      </x:c>
      <x:c r="AD495" s="37" t="n">
        <x:v>0</x:v>
      </x:c>
      <x:c r="AE495" s="37" t="n">
        <x:v>0</x:v>
      </x:c>
      <x:c r="AF495" s="47" t="b">
        <x:v>0</x:v>
      </x:c>
      <x:c r="AG495" s="47" t="b">
        <x:v>0</x:v>
      </x:c>
      <x:c r="AH495" s="48" t="n">
        <x:v>0</x:v>
      </x:c>
      <x:c r="AI495" s="48" t="n">
        <x:v>1.1920928955078125e-7</x:v>
      </x:c>
      <x:c r="AJ495" s="37" t="str">
        <x:v>passed</x:v>
      </x:c>
    </x:row>
    <x:row r="496" ht="21" customHeight="1">
      <x:c r="A496" s="2"/>
      <x:c r="B496" s="2"/>
      <x:c r="C496" s="2" t="str">
        <x:v>2022</x:v>
      </x:c>
      <x:c r="D496" s="5" t="n">
        <x:v>44741</x:v>
      </x:c>
      <x:c r="E496" s="2" t="str">
        <x:v>duration</x:v>
      </x:c>
      <x:c r="F496" s="37" t="n">
        <x:v>9335496.968180021</x:v>
      </x:c>
      <x:c r="G496" s="37" t="n">
        <x:v>3651083.915804484</x:v>
      </x:c>
      <x:c r="H496" s="37" t="n">
        <x:v>22412.699614239118</x:v>
      </x:c>
      <x:c r="I496" s="37" t="n">
        <x:v>3628671.216190245</x:v>
      </x:c>
      <x:c r="J496" s="37" t="n">
        <x:v>10712476.710503144</x:v>
      </x:c>
      <x:c r="K496" s="37" t="n">
        <x:v>7061392.79469866</x:v>
      </x:c>
      <x:c r="L496" s="37" t="n">
        <x:v>12986580.883984506</x:v>
      </x:c>
      <x:c r="M496" s="37" t="n">
        <x:v>0</x:v>
      </x:c>
      <x:c r="N496" s="37" t="n">
        <x:v>0</x:v>
      </x:c>
      <x:c r="O496" s="37" t="n">
        <x:v>511.5060527175665</x:v>
      </x:c>
      <x:c r="P496" s="37" t="n">
        <x:v>0</x:v>
      </x:c>
      <x:c r="Q496" s="37" t="n">
        <x:v>0</x:v>
      </x:c>
      <x:c r="R496" s="37" t="n">
        <x:v>0</x:v>
      </x:c>
      <x:c r="S496" s="37" t="n">
        <x:v>0</x:v>
      </x:c>
      <x:c r="T496" s="37" t="n">
        <x:v>0</x:v>
      </x:c>
      <x:c r="U496" s="37" t="n">
        <x:v>6645.098252371114</x:v>
      </x:c>
      <x:c r="V496" s="37" t="n">
        <x:v>0</x:v>
      </x:c>
      <x:c r="W496" s="37" t="n">
        <x:v>90289.9703414645</x:v>
      </x:c>
      <x:c r="X496" s="37" t="n">
        <x:v>0</x:v>
      </x:c>
      <x:c r="Y496" s="37" t="n">
        <x:v>1992.6487133401456</x:v>
      </x:c>
      <x:c r="Z496" s="37" t="n">
        <x:v>7202620.6505926335</x:v>
      </x:c>
      <x:c r="AA496" s="37" t="n">
        <x:v>0</x:v>
      </x:c>
      <x:c r="AB496" s="37" t="n">
        <x:v>7202620.6505926335</x:v>
      </x:c>
      <x:c r="AC496" s="37" t="n">
        <x:v>2132876.3175873877</x:v>
      </x:c>
      <x:c r="AD496" s="37" t="n">
        <x:v>0</x:v>
      </x:c>
      <x:c r="AE496" s="37" t="n">
        <x:v>0</x:v>
      </x:c>
      <x:c r="AF496" s="47" t="b">
        <x:v>0</x:v>
      </x:c>
      <x:c r="AG496" s="47" t="b">
        <x:v>0</x:v>
      </x:c>
      <x:c r="AH496" s="48" t="n">
        <x:v>0</x:v>
      </x:c>
      <x:c r="AI496" s="48" t="n">
        <x:v>1.1920928955078125e-7</x:v>
      </x:c>
      <x:c r="AJ496" s="37" t="str">
        <x:v>passed</x:v>
      </x:c>
    </x:row>
    <x:row r="497" ht="21" customHeight="1">
      <x:c r="A497" s="2"/>
      <x:c r="B497" s="2"/>
      <x:c r="C497" s="2" t="str">
        <x:v>2022</x:v>
      </x:c>
      <x:c r="D497" s="5" t="n">
        <x:v>44741</x:v>
      </x:c>
      <x:c r="E497" s="2" t="str">
        <x:v>unweighted</x:v>
      </x:c>
      <x:c r="F497" s="37" t="n">
        <x:v>12259986.446831986</x:v>
      </x:c>
      <x:c r="G497" s="37" t="n">
        <x:v>738999.7471092304</x:v>
      </x:c>
      <x:c r="H497" s="37" t="n">
        <x:v>22675.24116134512</x:v>
      </x:c>
      <x:c r="I497" s="37" t="n">
        <x:v>716324.5059478852</x:v>
      </x:c>
      <x:c r="J497" s="37" t="n">
        <x:v>10715787.66882947</x:v>
      </x:c>
      <x:c r="K497" s="37" t="n">
        <x:v>9976787.92172024</x:v>
      </x:c>
      <x:c r="L497" s="37" t="n">
        <x:v>12998986.193941217</x:v>
      </x:c>
      <x:c r="M497" s="37" t="n">
        <x:v>0</x:v>
      </x:c>
      <x:c r="N497" s="37" t="n">
        <x:v>0</x:v>
      </x:c>
      <x:c r="O497" s="37" t="n">
        <x:v>671.743271427229</x:v>
      </x:c>
      <x:c r="P497" s="37" t="n">
        <x:v>0</x:v>
      </x:c>
      <x:c r="Q497" s="37" t="n">
        <x:v>0</x:v>
      </x:c>
      <x:c r="R497" s="37" t="n">
        <x:v>0</x:v>
      </x:c>
      <x:c r="S497" s="37" t="n">
        <x:v>0</x:v>
      </x:c>
      <x:c r="T497" s="37" t="n">
        <x:v>0</x:v>
      </x:c>
      <x:c r="U497" s="37" t="n">
        <x:v>-1868.6910087944125</x:v>
      </x:c>
      <x:c r="V497" s="37" t="n">
        <x:v>0</x:v>
      </x:c>
      <x:c r="W497" s="37" t="n">
        <x:v>117393.79817759432</x:v>
      </x:c>
      <x:c r="X497" s="37" t="n">
        <x:v>0</x:v>
      </x:c>
      <x:c r="Y497" s="37" t="n">
        <x:v>2271.0724644097463</x:v>
      </x:c>
      <x:c r="Z497" s="37" t="n">
        <x:v>10176323.680154646</x:v>
      </x:c>
      <x:c r="AA497" s="37" t="n">
        <x:v>0</x:v>
      </x:c>
      <x:c r="AB497" s="37" t="n">
        <x:v>10176323.680154646</x:v>
      </x:c>
      <x:c r="AC497" s="37" t="n">
        <x:v>2083662.7666773405</x:v>
      </x:c>
      <x:c r="AD497" s="37" t="n">
        <x:v>0</x:v>
      </x:c>
      <x:c r="AE497" s="37" t="n">
        <x:v>0</x:v>
      </x:c>
      <x:c r="AF497" s="47" t="b">
        <x:v>0</x:v>
      </x:c>
      <x:c r="AG497" s="47" t="b">
        <x:v>0</x:v>
      </x:c>
      <x:c r="AH497" s="48" t="n">
        <x:v>0</x:v>
      </x:c>
      <x:c r="AI497" s="48" t="n">
        <x:v>1.1920928955078125e-7</x:v>
      </x:c>
      <x:c r="AJ497" s="37" t="str">
        <x:v>passed</x:v>
      </x:c>
    </x:row>
    <x:row r="498" ht="21" customHeight="1">
      <x:c r="A498" s="2"/>
      <x:c r="B498" s="2"/>
      <x:c r="C498" s="2" t="str">
        <x:v>2022</x:v>
      </x:c>
      <x:c r="D498" s="5" t="n">
        <x:v>44741</x:v>
      </x:c>
      <x:c r="E498" s="2" t="str">
        <x:v>constrained</x:v>
      </x:c>
      <x:c r="F498" s="37" t="n">
        <x:v>13114049.283925071</x:v>
      </x:c>
      <x:c r="G498" s="37" t="n">
        <x:v>-40958.06808177283</x:v>
      </x:c>
      <x:c r="H498" s="37" t="n">
        <x:v>21824.640664423263</x:v>
      </x:c>
      <x:c r="I498" s="37" t="n">
        <x:v>-62782.70874619609</x:v>
      </x:c>
      <x:c r="J498" s="37" t="n">
        <x:v>10715670.117803745</x:v>
      </x:c>
      <x:c r="K498" s="37" t="n">
        <x:v>10756628.185885517</x:v>
      </x:c>
      <x:c r="L498" s="37" t="n">
        <x:v>13073091.2158433</x:v>
      </x:c>
      <x:c r="M498" s="37" t="n">
        <x:v>0</x:v>
      </x:c>
      <x:c r="N498" s="37" t="n">
        <x:v>0</x:v>
      </x:c>
      <x:c r="O498" s="37" t="n">
        <x:v>718.5386709719896</x:v>
      </x:c>
      <x:c r="P498" s="37" t="n">
        <x:v>0</x:v>
      </x:c>
      <x:c r="Q498" s="37" t="n">
        <x:v>0</x:v>
      </x:c>
      <x:c r="R498" s="37" t="n">
        <x:v>0</x:v>
      </x:c>
      <x:c r="S498" s="37" t="n">
        <x:v>0</x:v>
      </x:c>
      <x:c r="T498" s="37" t="n">
        <x:v>0</x:v>
      </x:c>
      <x:c r="U498" s="37" t="n">
        <x:v>-6729.4488397945315</x:v>
      </x:c>
      <x:c r="V498" s="37" t="n">
        <x:v>0</x:v>
      </x:c>
      <x:c r="W498" s="37" t="n">
        <x:v>126868.06887304224</x:v>
      </x:c>
      <x:c r="X498" s="37" t="n">
        <x:v>0</x:v>
      </x:c>
      <x:c r="Y498" s="37" t="n">
        <x:v>2371.211532654721</x:v>
      </x:c>
      <x:c r="Z498" s="37" t="n">
        <x:v>10971760.749603227</x:v>
      </x:c>
      <x:c r="AA498" s="37" t="n">
        <x:v>0</x:v>
      </x:c>
      <x:c r="AB498" s="37" t="n">
        <x:v>10971760.749603227</x:v>
      </x:c>
      <x:c r="AC498" s="37" t="n">
        <x:v>2142288.5343218446</x:v>
      </x:c>
      <x:c r="AD498" s="37" t="n">
        <x:v>0</x:v>
      </x:c>
      <x:c r="AE498" s="37" t="n">
        <x:v>0</x:v>
      </x:c>
      <x:c r="AF498" s="47" t="b">
        <x:v>0</x:v>
      </x:c>
      <x:c r="AG498" s="47" t="b">
        <x:v>0</x:v>
      </x:c>
      <x:c r="AH498" s="48" t="n">
        <x:v>0</x:v>
      </x:c>
      <x:c r="AI498" s="48" t="n">
        <x:v>1.1920928955078125e-7</x:v>
      </x:c>
      <x:c r="AJ498" s="37" t="str">
        <x:v>passed</x:v>
      </x:c>
    </x:row>
    <x:row r="499" ht="21" customHeight="1">
      <x:c r="A499" s="2"/>
      <x:c r="B499" s="2"/>
      <x:c r="C499" s="2" t="str">
        <x:v>2022</x:v>
      </x:c>
      <x:c r="D499" s="5" t="n">
        <x:v>44742</x:v>
      </x:c>
      <x:c r="E499" s="2" t="str">
        <x:v>unhedged</x:v>
      </x:c>
      <x:c r="F499" s="37" t="n">
        <x:v>1274688.2329340149</x:v>
      </x:c>
      <x:c r="G499" s="37" t="n">
        <x:v>10787431.95029831</x:v>
      </x:c>
      <x:c r="H499" s="37" t="n">
        <x:v>36672.058911842425</x:v>
      </x:c>
      <x:c r="I499" s="37" t="n">
        <x:v>10750759.891386466</x:v>
      </x:c>
      <x:c r="J499" s="37" t="n">
        <x:v>10787431.95029831</x:v>
      </x:c>
      <x:c r="K499" s="37" t="n">
        <x:v>0</x:v>
      </x:c>
      <x:c r="L499" s="37" t="n">
        <x:v>12062120.183232324</x:v>
      </x:c>
      <x:c r="M499" s="37" t="n">
        <x:v>0</x:v>
      </x:c>
      <x:c r="N499" s="37" t="n">
        <x:v>0</x:v>
      </x:c>
      <x:c r="O499" s="37" t="n">
        <x:v>69.84210360748693</x:v>
      </x:c>
      <x:c r="P499" s="37" t="n">
        <x:v>0</x:v>
      </x:c>
      <x:c r="Q499" s="37" t="n">
        <x:v>0</x:v>
      </x:c>
      <x:c r="R499" s="37" t="n">
        <x:v>0</x:v>
      </x:c>
      <x:c r="S499" s="37" t="n">
        <x:v>0</x:v>
      </x:c>
      <x:c r="T499" s="37" t="n">
        <x:v>0</x:v>
      </x:c>
      <x:c r="U499" s="37" t="n">
        <x:v>63750</x:v>
      </x:c>
      <x:c r="V499" s="37" t="n">
        <x:v>0</x:v>
      </x:c>
      <x:c r="W499" s="37" t="n">
        <x:v>12112.95225074049</x:v>
      </x:c>
      <x:c r="X499" s="37" t="n">
        <x:v>0</x:v>
      </x:c>
      <x:c r="Y499" s="37" t="n">
        <x:v>1174.7193167256753</x:v>
      </x:c>
      <x:c r="Z499" s="37" t="n">
        <x:v>0</x:v>
      </x:c>
      <x:c r="AA499" s="37" t="n">
        <x:v>0</x:v>
      </x:c>
      <x:c r="AB499" s="37" t="n">
        <x:v>0</x:v>
      </x:c>
      <x:c r="AC499" s="37" t="n">
        <x:v>1274688.2329340149</x:v>
      </x:c>
      <x:c r="AD499" s="37" t="n">
        <x:v>0</x:v>
      </x:c>
      <x:c r="AE499" s="37" t="n">
        <x:v>0</x:v>
      </x:c>
      <x:c r="AF499" s="47" t="b">
        <x:v>0</x:v>
      </x:c>
      <x:c r="AG499" s="47" t="b">
        <x:v>0</x:v>
      </x:c>
      <x:c r="AH499" s="48" t="n">
        <x:v>0</x:v>
      </x:c>
      <x:c r="AI499" s="48" t="n">
        <x:v>1.1920928955078125e-7</x:v>
      </x:c>
      <x:c r="AJ499" s="37" t="str">
        <x:v>passed</x:v>
      </x:c>
    </x:row>
    <x:row r="500" ht="21" customHeight="1">
      <x:c r="A500" s="2"/>
      <x:c r="B500" s="2"/>
      <x:c r="C500" s="2" t="str">
        <x:v>2022</x:v>
      </x:c>
      <x:c r="D500" s="5" t="n">
        <x:v>44742</x:v>
      </x:c>
      <x:c r="E500" s="2" t="str">
        <x:v>duration</x:v>
      </x:c>
      <x:c r="F500" s="37" t="n">
        <x:v>9336008.50226047</x:v>
      </x:c>
      <x:c r="G500" s="37" t="n">
        <x:v>3658825.9505978525</x:v>
      </x:c>
      <x:c r="H500" s="37" t="n">
        <x:v>22453.444668521963</x:v>
      </x:c>
      <x:c r="I500" s="37" t="n">
        <x:v>3636372.5059293304</x:v>
      </x:c>
      <x:c r="J500" s="37" t="n">
        <x:v>10787431.95029831</x:v>
      </x:c>
      <x:c r="K500" s="37" t="n">
        <x:v>7128605.999700458</x:v>
      </x:c>
      <x:c r="L500" s="37" t="n">
        <x:v>12994834.452858323</x:v>
      </x:c>
      <x:c r="M500" s="37" t="n">
        <x:v>0</x:v>
      </x:c>
      <x:c r="N500" s="37" t="n">
        <x:v>0</x:v>
      </x:c>
      <x:c r="O500" s="37" t="n">
        <x:v>511.53408044949174</x:v>
      </x:c>
      <x:c r="P500" s="37" t="n">
        <x:v>0</x:v>
      </x:c>
      <x:c r="Q500" s="37" t="n">
        <x:v>0</x:v>
      </x:c>
      <x:c r="R500" s="37" t="n">
        <x:v>0</x:v>
      </x:c>
      <x:c r="S500" s="37" t="n">
        <x:v>0</x:v>
      </x:c>
      <x:c r="T500" s="37" t="n">
        <x:v>0</x:v>
      </x:c>
      <x:c r="U500" s="37" t="n">
        <x:v>6645.098252371114</x:v>
      </x:c>
      <x:c r="V500" s="37" t="n">
        <x:v>0</x:v>
      </x:c>
      <x:c r="W500" s="37" t="n">
        <x:v>90801.504421914</x:v>
      </x:c>
      <x:c r="X500" s="37" t="n">
        <x:v>0</x:v>
      </x:c>
      <x:c r="Y500" s="37" t="n">
        <x:v>1992.6487133401456</x:v>
      </x:c>
      <x:c r="Z500" s="37" t="n">
        <x:v>7271178.119694467</x:v>
      </x:c>
      <x:c r="AA500" s="37" t="n">
        <x:v>0</x:v>
      </x:c>
      <x:c r="AB500" s="37" t="n">
        <x:v>7271178.119694467</x:v>
      </x:c>
      <x:c r="AC500" s="37" t="n">
        <x:v>2064830.382566004</x:v>
      </x:c>
      <x:c r="AD500" s="37" t="n">
        <x:v>0</x:v>
      </x:c>
      <x:c r="AE500" s="37" t="n">
        <x:v>0</x:v>
      </x:c>
      <x:c r="AF500" s="47" t="b">
        <x:v>0</x:v>
      </x:c>
      <x:c r="AG500" s="47" t="b">
        <x:v>0</x:v>
      </x:c>
      <x:c r="AH500" s="48" t="n">
        <x:v>0</x:v>
      </x:c>
      <x:c r="AI500" s="48" t="n">
        <x:v>1.1920928955078125e-7</x:v>
      </x:c>
      <x:c r="AJ500" s="37" t="str">
        <x:v>passed</x:v>
      </x:c>
    </x:row>
    <x:row r="501" ht="21" customHeight="1">
      <x:c r="A501" s="2"/>
      <x:c r="B501" s="2"/>
      <x:c r="C501" s="2" t="str">
        <x:v>2022</x:v>
      </x:c>
      <x:c r="D501" s="5" t="n">
        <x:v>44742</x:v>
      </x:c>
      <x:c r="E501" s="2" t="str">
        <x:v>unweighted</x:v>
      </x:c>
      <x:c r="F501" s="37" t="n">
        <x:v>12260658.226911265</x:v>
      </x:c>
      <x:c r="G501" s="37" t="n">
        <x:v>743820.5164776677</x:v>
      </x:c>
      <x:c r="H501" s="37" t="n">
        <x:v>22666.300830848686</x:v>
      </x:c>
      <x:c r="I501" s="37" t="n">
        <x:v>721154.2156468191</x:v>
      </x:c>
      <x:c r="J501" s="37" t="n">
        <x:v>10790788.058838299</x:v>
      </x:c>
      <x:c r="K501" s="37" t="n">
        <x:v>10046967.54236063</x:v>
      </x:c>
      <x:c r="L501" s="37" t="n">
        <x:v>13004478.743388932</x:v>
      </x:c>
      <x:c r="M501" s="37" t="n">
        <x:v>0</x:v>
      </x:c>
      <x:c r="N501" s="37" t="n">
        <x:v>0</x:v>
      </x:c>
      <x:c r="O501" s="37" t="n">
        <x:v>671.7800792790949</x:v>
      </x:c>
      <x:c r="P501" s="37" t="n">
        <x:v>0</x:v>
      </x:c>
      <x:c r="Q501" s="37" t="n">
        <x:v>0</x:v>
      </x:c>
      <x:c r="R501" s="37" t="n">
        <x:v>0</x:v>
      </x:c>
      <x:c r="S501" s="37" t="n">
        <x:v>0</x:v>
      </x:c>
      <x:c r="T501" s="37" t="n">
        <x:v>0</x:v>
      </x:c>
      <x:c r="U501" s="37" t="n">
        <x:v>-1868.6910087944125</x:v>
      </x:c>
      <x:c r="V501" s="37" t="n">
        <x:v>0</x:v>
      </x:c>
      <x:c r="W501" s="37" t="n">
        <x:v>118065.57825687341</x:v>
      </x:c>
      <x:c r="X501" s="37" t="n">
        <x:v>0</x:v>
      </x:c>
      <x:c r="Y501" s="37" t="n">
        <x:v>2271.0724644097463</x:v>
      </x:c>
      <x:c r="Z501" s="37" t="n">
        <x:v>10247906.893207842</x:v>
      </x:c>
      <x:c r="AA501" s="37" t="n">
        <x:v>0</x:v>
      </x:c>
      <x:c r="AB501" s="37" t="n">
        <x:v>10247906.893207842</x:v>
      </x:c>
      <x:c r="AC501" s="37" t="n">
        <x:v>2012751.333703423</x:v>
      </x:c>
      <x:c r="AD501" s="37" t="n">
        <x:v>0</x:v>
      </x:c>
      <x:c r="AE501" s="37" t="n">
        <x:v>0</x:v>
      </x:c>
      <x:c r="AF501" s="47" t="b">
        <x:v>0</x:v>
      </x:c>
      <x:c r="AG501" s="47" t="b">
        <x:v>0</x:v>
      </x:c>
      <x:c r="AH501" s="48" t="n">
        <x:v>0</x:v>
      </x:c>
      <x:c r="AI501" s="48" t="n">
        <x:v>1.1920928955078125e-7</x:v>
      </x:c>
      <x:c r="AJ501" s="37" t="str">
        <x:v>passed</x:v>
      </x:c>
    </x:row>
    <x:row r="502" ht="21" customHeight="1">
      <x:c r="A502" s="2"/>
      <x:c r="B502" s="2"/>
      <x:c r="C502" s="2" t="str">
        <x:v>2022</x:v>
      </x:c>
      <x:c r="D502" s="5" t="n">
        <x:v>44742</x:v>
      </x:c>
      <x:c r="E502" s="2" t="str">
        <x:v>constrained</x:v>
      </x:c>
      <x:c r="F502" s="37" t="n">
        <x:v>13114767.861968027</x:v>
      </x:c>
      <x:c r="G502" s="37" t="n">
        <x:v>-40744.84759623427</x:v>
      </x:c>
      <x:c r="H502" s="37" t="n">
        <x:v>21790.418394221044</x:v>
      </x:c>
      <x:c r="I502" s="37" t="n">
        <x:v>-62535.265990455315</x:v>
      </x:c>
      <x:c r="J502" s="37" t="n">
        <x:v>10790668.904816277</x:v>
      </x:c>
      <x:c r="K502" s="37" t="n">
        <x:v>10831413.752412513</x:v>
      </x:c>
      <x:c r="L502" s="37" t="n">
        <x:v>13074023.014371794</x:v>
      </x:c>
      <x:c r="M502" s="37" t="n">
        <x:v>0</x:v>
      </x:c>
      <x:c r="N502" s="37" t="n">
        <x:v>0</x:v>
      </x:c>
      <x:c r="O502" s="37" t="n">
        <x:v>718.5780429560691</x:v>
      </x:c>
      <x:c r="P502" s="37" t="n">
        <x:v>0</x:v>
      </x:c>
      <x:c r="Q502" s="37" t="n">
        <x:v>0</x:v>
      </x:c>
      <x:c r="R502" s="37" t="n">
        <x:v>0</x:v>
      </x:c>
      <x:c r="S502" s="37" t="n">
        <x:v>0</x:v>
      </x:c>
      <x:c r="T502" s="37" t="n">
        <x:v>0</x:v>
      </x:c>
      <x:c r="U502" s="37" t="n">
        <x:v>-6729.4488397945315</x:v>
      </x:c>
      <x:c r="V502" s="37" t="n">
        <x:v>0</x:v>
      </x:c>
      <x:c r="W502" s="37" t="n">
        <x:v>127586.64691599831</x:v>
      </x:c>
      <x:c r="X502" s="37" t="n">
        <x:v>0</x:v>
      </x:c>
      <x:c r="Y502" s="37" t="n">
        <x:v>2371.211532654721</x:v>
      </x:c>
      <x:c r="Z502" s="37" t="n">
        <x:v>11048042.027460763</x:v>
      </x:c>
      <x:c r="AA502" s="37" t="n">
        <x:v>0</x:v>
      </x:c>
      <x:c r="AB502" s="37" t="n">
        <x:v>11048042.027460763</x:v>
      </x:c>
      <x:c r="AC502" s="37" t="n">
        <x:v>2066725.8345072642</x:v>
      </x:c>
      <x:c r="AD502" s="37" t="n">
        <x:v>0</x:v>
      </x:c>
      <x:c r="AE502" s="37" t="n">
        <x:v>0</x:v>
      </x:c>
      <x:c r="AF502" s="47" t="b">
        <x:v>0</x:v>
      </x:c>
      <x:c r="AG502" s="47" t="b">
        <x:v>0</x:v>
      </x:c>
      <x:c r="AH502" s="48" t="n">
        <x:v>0</x:v>
      </x:c>
      <x:c r="AI502" s="48" t="n">
        <x:v>1.1920928955078125e-7</x:v>
      </x:c>
      <x:c r="AJ502" s="37" t="str">
        <x:v>passed</x:v>
      </x:c>
    </x:row>
    <x:row r="503" ht="21" customHeight="1">
      <x:c r="A503" s="2"/>
      <x:c r="B503" s="2"/>
      <x:c r="C503" s="2" t="str">
        <x:v>2022</x:v>
      </x:c>
      <x:c r="D503" s="5" t="n">
        <x:v>44743</x:v>
      </x:c>
      <x:c r="E503" s="2" t="str">
        <x:v>unhedged</x:v>
      </x:c>
      <x:c r="F503" s="37" t="n">
        <x:v>1274758.0788645865</x:v>
      </x:c>
      <x:c r="G503" s="37" t="n">
        <x:v>10871351.01180385</x:v>
      </x:c>
      <x:c r="H503" s="37" t="n">
        <x:v>37021.904275762674</x:v>
      </x:c>
      <x:c r="I503" s="37" t="n">
        <x:v>10834329.107528089</x:v>
      </x:c>
      <x:c r="J503" s="37" t="n">
        <x:v>10871351.01180385</x:v>
      </x:c>
      <x:c r="K503" s="37" t="n">
        <x:v>0</x:v>
      </x:c>
      <x:c r="L503" s="37" t="n">
        <x:v>12146109.090668436</x:v>
      </x:c>
      <x:c r="M503" s="37" t="n">
        <x:v>0</x:v>
      </x:c>
      <x:c r="N503" s="37" t="n">
        <x:v>0</x:v>
      </x:c>
      <x:c r="O503" s="37" t="n">
        <x:v>69.84593057166785</x:v>
      </x:c>
      <x:c r="P503" s="37" t="n">
        <x:v>0</x:v>
      </x:c>
      <x:c r="Q503" s="37" t="n">
        <x:v>0</x:v>
      </x:c>
      <x:c r="R503" s="37" t="n">
        <x:v>0</x:v>
      </x:c>
      <x:c r="S503" s="37" t="n">
        <x:v>0</x:v>
      </x:c>
      <x:c r="T503" s="37" t="n">
        <x:v>0</x:v>
      </x:c>
      <x:c r="U503" s="37" t="n">
        <x:v>63750</x:v>
      </x:c>
      <x:c r="V503" s="37" t="n">
        <x:v>0</x:v>
      </x:c>
      <x:c r="W503" s="37" t="n">
        <x:v>12182.798181312159</x:v>
      </x:c>
      <x:c r="X503" s="37" t="n">
        <x:v>0</x:v>
      </x:c>
      <x:c r="Y503" s="37" t="n">
        <x:v>1174.7193167256753</x:v>
      </x:c>
      <x:c r="Z503" s="37" t="n">
        <x:v>0</x:v>
      </x:c>
      <x:c r="AA503" s="37" t="n">
        <x:v>0</x:v>
      </x:c>
      <x:c r="AB503" s="37" t="n">
        <x:v>0</x:v>
      </x:c>
      <x:c r="AC503" s="37" t="n">
        <x:v>1274758.0788645865</x:v>
      </x:c>
      <x:c r="AD503" s="37" t="n">
        <x:v>0</x:v>
      </x:c>
      <x:c r="AE503" s="37" t="n">
        <x:v>0</x:v>
      </x:c>
      <x:c r="AF503" s="47" t="b">
        <x:v>0</x:v>
      </x:c>
      <x:c r="AG503" s="47" t="b">
        <x:v>0</x:v>
      </x:c>
      <x:c r="AH503" s="48" t="n">
        <x:v>0</x:v>
      </x:c>
      <x:c r="AI503" s="48" t="n">
        <x:v>1.1920928955078125e-7</x:v>
      </x:c>
      <x:c r="AJ503" s="37" t="str">
        <x:v>passed</x:v>
      </x:c>
    </x:row>
    <x:row r="504" ht="21" customHeight="1">
      <x:c r="A504" s="2"/>
      <x:c r="B504" s="2"/>
      <x:c r="C504" s="2" t="str">
        <x:v>2022</x:v>
      </x:c>
      <x:c r="D504" s="5" t="n">
        <x:v>44743</x:v>
      </x:c>
      <x:c r="E504" s="2" t="str">
        <x:v>duration</x:v>
      </x:c>
      <x:c r="F504" s="37" t="n">
        <x:v>9321751.488145225</x:v>
      </x:c>
      <x:c r="G504" s="37" t="n">
        <x:v>3667142.1487626056</x:v>
      </x:c>
      <x:c r="H504" s="37" t="n">
        <x:v>22523.907539797405</x:v>
      </x:c>
      <x:c r="I504" s="37" t="n">
        <x:v>3644618.241222808</x:v>
      </x:c>
      <x:c r="J504" s="37" t="n">
        <x:v>10871351.01180385</x:v>
      </x:c>
      <x:c r="K504" s="37" t="n">
        <x:v>7204208.863041244</x:v>
      </x:c>
      <x:c r="L504" s="37" t="n">
        <x:v>12988893.63690783</x:v>
      </x:c>
      <x:c r="M504" s="37" t="n">
        <x:v>0</x:v>
      </x:c>
      <x:c r="N504" s="37" t="n">
        <x:v>0</x:v>
      </x:c>
      <x:c r="O504" s="37" t="n">
        <x:v>511.56210971437395</x:v>
      </x:c>
      <x:c r="P504" s="37" t="n">
        <x:v>0</x:v>
      </x:c>
      <x:c r="Q504" s="37" t="n">
        <x:v>1.476709951500917</x:v>
      </x:c>
      <x:c r="R504" s="37" t="n">
        <x:v>-14767.09951500917</x:v>
      </x:c>
      <x:c r="S504" s="37" t="n">
        <x:v>14767.09951500917</x:v>
      </x:c>
      <x:c r="T504" s="37" t="n">
        <x:v>0</x:v>
      </x:c>
      <x:c r="U504" s="37" t="n">
        <x:v>6645.098252371114</x:v>
      </x:c>
      <x:c r="V504" s="37" t="n">
        <x:v>0</x:v>
      </x:c>
      <x:c r="W504" s="37" t="n">
        <x:v>91313.06653162837</x:v>
      </x:c>
      <x:c r="X504" s="37" t="n">
        <x:v>0</x:v>
      </x:c>
      <x:c r="Y504" s="37" t="n">
        <x:v>1994.1254232916465</x:v>
      </x:c>
      <x:c r="Z504" s="37" t="n">
        <x:v>7348293.04030207</x:v>
      </x:c>
      <x:c r="AA504" s="37" t="n">
        <x:v>0</x:v>
      </x:c>
      <x:c r="AB504" s="37" t="n">
        <x:v>7348293.04030207</x:v>
      </x:c>
      <x:c r="AC504" s="37" t="n">
        <x:v>1973458.447843155</x:v>
      </x:c>
      <x:c r="AD504" s="37" t="n">
        <x:v>0</x:v>
      </x:c>
      <x:c r="AE504" s="37" t="n">
        <x:v>0</x:v>
      </x:c>
      <x:c r="AF504" s="47" t="b">
        <x:v>0</x:v>
      </x:c>
      <x:c r="AG504" s="47" t="b">
        <x:v>0</x:v>
      </x:c>
      <x:c r="AH504" s="48" t="n">
        <x:v>2.835724988159427e-10</x:v>
      </x:c>
      <x:c r="AI504" s="48" t="n">
        <x:v>1.1920928955078125e-7</x:v>
      </x:c>
      <x:c r="AJ504" s="37" t="str">
        <x:v>passed</x:v>
      </x:c>
    </x:row>
    <x:row r="505" ht="21" customHeight="1">
      <x:c r="A505" s="2"/>
      <x:c r="B505" s="2"/>
      <x:c r="C505" s="2" t="str">
        <x:v>2022</x:v>
      </x:c>
      <x:c r="D505" s="5" t="n">
        <x:v>44743</x:v>
      </x:c>
      <x:c r="E505" s="2" t="str">
        <x:v>unweighted</x:v>
      </x:c>
      <x:c r="F505" s="37" t="n">
        <x:v>12327745.826465258</x:v>
      </x:c>
      <x:c r="G505" s="37" t="n">
        <x:v>682678.5838368139</x:v>
      </x:c>
      <x:c r="H505" s="37" t="n">
        <x:v>22602.497176560046</x:v>
      </x:c>
      <x:c r="I505" s="37" t="n">
        <x:v>660076.0866602539</x:v>
      </x:c>
      <x:c r="J505" s="37" t="n">
        <x:v>10877567.626355955</x:v>
      </x:c>
      <x:c r="K505" s="37" t="n">
        <x:v>10194889.042519141</x:v>
      </x:c>
      <x:c r="L505" s="37" t="n">
        <x:v>13010424.410302073</x:v>
      </x:c>
      <x:c r="M505" s="37" t="n">
        <x:v>0</x:v>
      </x:c>
      <x:c r="N505" s="37" t="n">
        <x:v>0</x:v>
      </x:c>
      <x:c r="O505" s="37" t="n">
        <x:v>671.8168891482055</x:v>
      </x:c>
      <x:c r="P505" s="37" t="n">
        <x:v>0</x:v>
      </x:c>
      <x:c r="Q505" s="37" t="n">
        <x:v>7.306974691398375</x:v>
      </x:c>
      <x:c r="R505" s="37" t="n">
        <x:v>66423.08963953788</x:v>
      </x:c>
      <x:c r="S505" s="37" t="n">
        <x:v>73069.74691398375</x:v>
      </x:c>
      <x:c r="T505" s="37" t="n">
        <x:v>0</x:v>
      </x:c>
      <x:c r="U505" s="37" t="n">
        <x:v>-1868.6910087944125</x:v>
      </x:c>
      <x:c r="V505" s="37" t="n">
        <x:v>0</x:v>
      </x:c>
      <x:c r="W505" s="37" t="n">
        <x:v>118737.39514602162</x:v>
      </x:c>
      <x:c r="X505" s="37" t="n">
        <x:v>0</x:v>
      </x:c>
      <x:c r="Y505" s="37" t="n">
        <x:v>2278.3794391011447</x:v>
      </x:c>
      <x:c r="Z505" s="37" t="n">
        <x:v>10398786.823369524</x:v>
      </x:c>
      <x:c r="AA505" s="37" t="n">
        <x:v>0</x:v>
      </x:c>
      <x:c r="AB505" s="37" t="n">
        <x:v>10398786.823369524</x:v>
      </x:c>
      <x:c r="AC505" s="37" t="n">
        <x:v>1928959.0030957349</x:v>
      </x:c>
      <x:c r="AD505" s="37" t="n">
        <x:v>0</x:v>
      </x:c>
      <x:c r="AE505" s="37" t="n">
        <x:v>0</x:v>
      </x:c>
      <x:c r="AF505" s="47" t="b">
        <x:v>0</x:v>
      </x:c>
      <x:c r="AG505" s="47" t="b">
        <x:v>0</x:v>
      </x:c>
      <x:c r="AH505" s="48" t="n">
        <x:v>-1.7157955056745777e-9</x:v>
      </x:c>
      <x:c r="AI505" s="48" t="n">
        <x:v>1.1920928955078125e-7</x:v>
      </x:c>
      <x:c r="AJ505" s="37" t="str">
        <x:v>passed</x:v>
      </x:c>
    </x:row>
    <x:row r="506" ht="21" customHeight="1">
      <x:c r="A506" s="2"/>
      <x:c r="B506" s="2"/>
      <x:c r="C506" s="2" t="str">
        <x:v>2022</x:v>
      </x:c>
      <x:c r="D506" s="5" t="n">
        <x:v>44743</x:v>
      </x:c>
      <x:c r="E506" s="2" t="str">
        <x:v>constrained</x:v>
      </x:c>
      <x:c r="F506" s="37" t="n">
        <x:v>13135228.893243205</x:v>
      </x:c>
      <x:c r="G506" s="37" t="n">
        <x:v>-59488.18915543922</x:v>
      </x:c>
      <x:c r="H506" s="37" t="n">
        <x:v>21752.441423660704</x:v>
      </x:c>
      <x:c r="I506" s="37" t="n">
        <x:v>-81240.63057909993</x:v>
      </x:c>
      <x:c r="J506" s="37" t="n">
        <x:v>10878282.527857572</x:v>
      </x:c>
      <x:c r="K506" s="37" t="n">
        <x:v>10937770.71701301</x:v>
      </x:c>
      <x:c r="L506" s="37" t="n">
        <x:v>13075740.704087766</x:v>
      </x:c>
      <x:c r="M506" s="37" t="n">
        <x:v>0</x:v>
      </x:c>
      <x:c r="N506" s="37" t="n">
        <x:v>0</x:v>
      </x:c>
      <x:c r="O506" s="37" t="n">
        <x:v>718.6174170970917</x:v>
      </x:c>
      <x:c r="P506" s="37" t="n">
        <x:v>0</x:v>
      </x:c>
      <x:c r="Q506" s="37" t="n">
        <x:v>4.814285009475139</x:v>
      </x:c>
      <x:c r="R506" s="37" t="n">
        <x:v>19747.228143090895</x:v>
      </x:c>
      <x:c r="S506" s="37" t="n">
        <x:v>48142.85009475139</x:v>
      </x:c>
      <x:c r="T506" s="37" t="n">
        <x:v>0</x:v>
      </x:c>
      <x:c r="U506" s="37" t="n">
        <x:v>-6729.4488397945315</x:v>
      </x:c>
      <x:c r="V506" s="37" t="n">
        <x:v>0</x:v>
      </x:c>
      <x:c r="W506" s="37" t="n">
        <x:v>128305.2643330954</x:v>
      </x:c>
      <x:c r="X506" s="37" t="n">
        <x:v>0</x:v>
      </x:c>
      <x:c r="Y506" s="37" t="n">
        <x:v>2376.025817664196</x:v>
      </x:c>
      <x:c r="Z506" s="37" t="n">
        <x:v>11156526.13135327</x:v>
      </x:c>
      <x:c r="AA506" s="37" t="n">
        <x:v>0</x:v>
      </x:c>
      <x:c r="AB506" s="37" t="n">
        <x:v>11156526.13135327</x:v>
      </x:c>
      <x:c r="AC506" s="37" t="n">
        <x:v>1978702.7618899345</x:v>
      </x:c>
      <x:c r="AD506" s="37" t="n">
        <x:v>0</x:v>
      </x:c>
      <x:c r="AE506" s="37" t="n">
        <x:v>0</x:v>
      </x:c>
      <x:c r="AF506" s="47" t="b">
        <x:v>0</x:v>
      </x:c>
      <x:c r="AG506" s="47" t="b">
        <x:v>0</x:v>
      </x:c>
      <x:c r="AH506" s="48" t="n">
        <x:v>-1.1372272012977191e-9</x:v>
      </x:c>
      <x:c r="AI506" s="48" t="n">
        <x:v>1.1920928955078125e-7</x:v>
      </x:c>
      <x:c r="AJ506" s="37" t="str">
        <x:v>passed</x:v>
      </x:c>
    </x:row>
    <x:row r="507" ht="21" customHeight="1">
      <x:c r="A507" s="2"/>
      <x:c r="B507" s="2"/>
      <x:c r="C507" s="2" t="str">
        <x:v>2022</x:v>
      </x:c>
      <x:c r="D507" s="5" t="n">
        <x:v>44747</x:v>
      </x:c>
      <x:c r="E507" s="2" t="str">
        <x:v>unhedged</x:v>
      </x:c>
      <x:c r="F507" s="37" t="n">
        <x:v>1275037.5008607137</x:v>
      </x:c>
      <x:c r="G507" s="37" t="n">
        <x:v>10895241.671871066</x:v>
      </x:c>
      <x:c r="H507" s="37" t="n">
        <x:v>38421.28573144367</x:v>
      </x:c>
      <x:c r="I507" s="37" t="n">
        <x:v>10856820.386139622</x:v>
      </x:c>
      <x:c r="J507" s="37" t="n">
        <x:v>10895241.671871066</x:v>
      </x:c>
      <x:c r="K507" s="37" t="n">
        <x:v>0</x:v>
      </x:c>
      <x:c r="L507" s="37" t="n">
        <x:v>12170279.17273178</x:v>
      </x:c>
      <x:c r="M507" s="37" t="n">
        <x:v>0</x:v>
      </x:c>
      <x:c r="N507" s="37" t="n">
        <x:v>0</x:v>
      </x:c>
      <x:c r="O507" s="37" t="n">
        <x:v>279.42199612711556</x:v>
      </x:c>
      <x:c r="P507" s="37" t="n">
        <x:v>0</x:v>
      </x:c>
      <x:c r="Q507" s="37" t="n">
        <x:v>0</x:v>
      </x:c>
      <x:c r="R507" s="37" t="n">
        <x:v>0</x:v>
      </x:c>
      <x:c r="S507" s="37" t="n">
        <x:v>0</x:v>
      </x:c>
      <x:c r="T507" s="37" t="n">
        <x:v>0</x:v>
      </x:c>
      <x:c r="U507" s="37" t="n">
        <x:v>63750</x:v>
      </x:c>
      <x:c r="V507" s="37" t="n">
        <x:v>0</x:v>
      </x:c>
      <x:c r="W507" s="37" t="n">
        <x:v>12462.220177439274</x:v>
      </x:c>
      <x:c r="X507" s="37" t="n">
        <x:v>0</x:v>
      </x:c>
      <x:c r="Y507" s="37" t="n">
        <x:v>1174.7193167256753</x:v>
      </x:c>
      <x:c r="Z507" s="37" t="n">
        <x:v>0</x:v>
      </x:c>
      <x:c r="AA507" s="37" t="n">
        <x:v>0</x:v>
      </x:c>
      <x:c r="AB507" s="37" t="n">
        <x:v>0</x:v>
      </x:c>
      <x:c r="AC507" s="37" t="n">
        <x:v>1275037.5008607137</x:v>
      </x:c>
      <x:c r="AD507" s="37" t="n">
        <x:v>0</x:v>
      </x:c>
      <x:c r="AE507" s="37" t="n">
        <x:v>0</x:v>
      </x:c>
      <x:c r="AF507" s="47" t="b">
        <x:v>0</x:v>
      </x:c>
      <x:c r="AG507" s="47" t="b">
        <x:v>0</x:v>
      </x:c>
      <x:c r="AH507" s="48" t="n">
        <x:v>0</x:v>
      </x:c>
      <x:c r="AI507" s="48" t="n">
        <x:v>1.1920928955078125e-7</x:v>
      </x:c>
      <x:c r="AJ507" s="37" t="str">
        <x:v>passed</x:v>
      </x:c>
    </x:row>
    <x:row r="508" ht="21" customHeight="1">
      <x:c r="A508" s="2"/>
      <x:c r="B508" s="2"/>
      <x:c r="C508" s="2" t="str">
        <x:v>2022</x:v>
      </x:c>
      <x:c r="D508" s="5" t="n">
        <x:v>44747</x:v>
      </x:c>
      <x:c r="E508" s="2" t="str">
        <x:v>duration</x:v>
      </x:c>
      <x:c r="F508" s="37" t="n">
        <x:v>9323794.779693171</x:v>
      </x:c>
      <x:c r="G508" s="37" t="n">
        <x:v>3674841.06116136</x:v>
      </x:c>
      <x:c r="H508" s="37" t="n">
        <x:v>22689.41693284306</x:v>
      </x:c>
      <x:c r="I508" s="37" t="n">
        <x:v>3652151.6442285166</x:v>
      </x:c>
      <x:c r="J508" s="37" t="n">
        <x:v>10895241.671871066</x:v>
      </x:c>
      <x:c r="K508" s="37" t="n">
        <x:v>7220400.610709707</x:v>
      </x:c>
      <x:c r="L508" s="37" t="n">
        <x:v>12998635.840854531</x:v>
      </x:c>
      <x:c r="M508" s="37" t="n">
        <x:v>0</x:v>
      </x:c>
      <x:c r="N508" s="37" t="n">
        <x:v>0</x:v>
      </x:c>
      <x:c r="O508" s="37" t="n">
        <x:v>2043.291547946632</x:v>
      </x:c>
      <x:c r="P508" s="37" t="n">
        <x:v>0</x:v>
      </x:c>
      <x:c r="Q508" s="37" t="n">
        <x:v>0</x:v>
      </x:c>
      <x:c r="R508" s="37" t="n">
        <x:v>0</x:v>
      </x:c>
      <x:c r="S508" s="37" t="n">
        <x:v>0</x:v>
      </x:c>
      <x:c r="T508" s="37" t="n">
        <x:v>0</x:v>
      </x:c>
      <x:c r="U508" s="37" t="n">
        <x:v>6645.098252371114</x:v>
      </x:c>
      <x:c r="V508" s="37" t="n">
        <x:v>0</x:v>
      </x:c>
      <x:c r="W508" s="37" t="n">
        <x:v>93356.358079575</x:v>
      </x:c>
      <x:c r="X508" s="37" t="n">
        <x:v>0</x:v>
      </x:c>
      <x:c r="Y508" s="37" t="n">
        <x:v>1994.1254232916465</x:v>
      </x:c>
      <x:c r="Z508" s="37" t="n">
        <x:v>7364808.622923901</x:v>
      </x:c>
      <x:c r="AA508" s="37" t="n">
        <x:v>0</x:v>
      </x:c>
      <x:c r="AB508" s="37" t="n">
        <x:v>7364808.622923901</x:v>
      </x:c>
      <x:c r="AC508" s="37" t="n">
        <x:v>1958986.15676927</x:v>
      </x:c>
      <x:c r="AD508" s="37" t="n">
        <x:v>0</x:v>
      </x:c>
      <x:c r="AE508" s="37" t="n">
        <x:v>0</x:v>
      </x:c>
      <x:c r="AF508" s="47" t="b">
        <x:v>0</x:v>
      </x:c>
      <x:c r="AG508" s="47" t="b">
        <x:v>0</x:v>
      </x:c>
      <x:c r="AH508" s="48" t="n">
        <x:v>0</x:v>
      </x:c>
      <x:c r="AI508" s="48" t="n">
        <x:v>1.1920928955078125e-7</x:v>
      </x:c>
      <x:c r="AJ508" s="37" t="str">
        <x:v>passed</x:v>
      </x:c>
    </x:row>
    <x:row r="509" ht="21" customHeight="1">
      <x:c r="A509" s="2"/>
      <x:c r="B509" s="2"/>
      <x:c r="C509" s="2" t="str">
        <x:v>2022</x:v>
      </x:c>
      <x:c r="D509" s="5" t="n">
        <x:v>44747</x:v>
      </x:c>
      <x:c r="E509" s="2" t="str">
        <x:v>unweighted</x:v>
      </x:c>
      <x:c r="F509" s="37" t="n">
        <x:v>12330448.020241233</x:v>
      </x:c>
      <x:c r="G509" s="37" t="n">
        <x:v>684253.3582421364</x:v>
      </x:c>
      <x:c r="H509" s="37" t="n">
        <x:v>22560.733294464975</x:v>
      </x:c>
      <x:c r="I509" s="37" t="n">
        <x:v>661692.6249476714</x:v>
      </x:c>
      <x:c r="J509" s="37" t="n">
        <x:v>10901515.247154325</x:v>
      </x:c>
      <x:c r="K509" s="37" t="n">
        <x:v>10217261.888912188</x:v>
      </x:c>
      <x:c r="L509" s="37" t="n">
        <x:v>13014701.37848337</x:v>
      </x:c>
      <x:c r="M509" s="37" t="n">
        <x:v>0</x:v>
      </x:c>
      <x:c r="N509" s="37" t="n">
        <x:v>0</x:v>
      </x:c>
      <x:c r="O509" s="37" t="n">
        <x:v>2702.193775974214</x:v>
      </x:c>
      <x:c r="P509" s="37" t="n">
        <x:v>0</x:v>
      </x:c>
      <x:c r="Q509" s="37" t="n">
        <x:v>0</x:v>
      </x:c>
      <x:c r="R509" s="37" t="n">
        <x:v>0</x:v>
      </x:c>
      <x:c r="S509" s="37" t="n">
        <x:v>0</x:v>
      </x:c>
      <x:c r="T509" s="37" t="n">
        <x:v>0</x:v>
      </x:c>
      <x:c r="U509" s="37" t="n">
        <x:v>-1868.6910087944125</x:v>
      </x:c>
      <x:c r="V509" s="37" t="n">
        <x:v>0</x:v>
      </x:c>
      <x:c r="W509" s="37" t="n">
        <x:v>121439.58892199583</x:v>
      </x:c>
      <x:c r="X509" s="37" t="n">
        <x:v>0</x:v>
      </x:c>
      <x:c r="Y509" s="37" t="n">
        <x:v>2278.3794391011447</x:v>
      </x:c>
      <x:c r="Z509" s="37" t="n">
        <x:v>10421607.126690432</x:v>
      </x:c>
      <x:c r="AA509" s="37" t="n">
        <x:v>0</x:v>
      </x:c>
      <x:c r="AB509" s="37" t="n">
        <x:v>10421607.126690432</x:v>
      </x:c>
      <x:c r="AC509" s="37" t="n">
        <x:v>1908840.8935508002</x:v>
      </x:c>
      <x:c r="AD509" s="37" t="n">
        <x:v>0</x:v>
      </x:c>
      <x:c r="AE509" s="37" t="n">
        <x:v>0</x:v>
      </x:c>
      <x:c r="AF509" s="47" t="b">
        <x:v>0</x:v>
      </x:c>
      <x:c r="AG509" s="47" t="b">
        <x:v>0</x:v>
      </x:c>
      <x:c r="AH509" s="48" t="n">
        <x:v>0</x:v>
      </x:c>
      <x:c r="AI509" s="48" t="n">
        <x:v>1.1920928955078125e-7</x:v>
      </x:c>
      <x:c r="AJ509" s="37" t="str">
        <x:v>passed</x:v>
      </x:c>
    </x:row>
    <x:row r="510" ht="21" customHeight="1">
      <x:c r="A510" s="2"/>
      <x:c r="B510" s="2"/>
      <x:c r="C510" s="2" t="str">
        <x:v>2022</x:v>
      </x:c>
      <x:c r="D510" s="5" t="n">
        <x:v>44747</x:v>
      </x:c>
      <x:c r="E510" s="2" t="str">
        <x:v>constrained</x:v>
      </x:c>
      <x:c r="F510" s="37" t="n">
        <x:v>13138108.084156204</x:v>
      </x:c>
      <x:c r="G510" s="37" t="n">
        <x:v>-59604.63630628784</x:v>
      </x:c>
      <x:c r="H510" s="37" t="n">
        <x:v>21615.248693671012</x:v>
      </x:c>
      <x:c r="I510" s="37" t="n">
        <x:v>-81219.88499995886</x:v>
      </x:c>
      <x:c r="J510" s="37" t="n">
        <x:v>10902236.699055985</x:v>
      </x:c>
      <x:c r="K510" s="37" t="n">
        <x:v>10961841.335362272</x:v>
      </x:c>
      <x:c r="L510" s="37" t="n">
        <x:v>13078503.447849916</x:v>
      </x:c>
      <x:c r="M510" s="37" t="n">
        <x:v>0</x:v>
      </x:c>
      <x:c r="N510" s="37" t="n">
        <x:v>0</x:v>
      </x:c>
      <x:c r="O510" s="37" t="n">
        <x:v>2879.1909129992127</x:v>
      </x:c>
      <x:c r="P510" s="37" t="n">
        <x:v>0</x:v>
      </x:c>
      <x:c r="Q510" s="37" t="n">
        <x:v>0</x:v>
      </x:c>
      <x:c r="R510" s="37" t="n">
        <x:v>0</x:v>
      </x:c>
      <x:c r="S510" s="37" t="n">
        <x:v>0</x:v>
      </x:c>
      <x:c r="T510" s="37" t="n">
        <x:v>0</x:v>
      </x:c>
      <x:c r="U510" s="37" t="n">
        <x:v>-6729.4488397945315</x:v>
      </x:c>
      <x:c r="V510" s="37" t="n">
        <x:v>0</x:v>
      </x:c>
      <x:c r="W510" s="37" t="n">
        <x:v>131184.4552460946</x:v>
      </x:c>
      <x:c r="X510" s="37" t="n">
        <x:v>0</x:v>
      </x:c>
      <x:c r="Y510" s="37" t="n">
        <x:v>2376.025817664196</x:v>
      </x:c>
      <x:c r="Z510" s="37" t="n">
        <x:v>11181078.162069518</x:v>
      </x:c>
      <x:c r="AA510" s="37" t="n">
        <x:v>0</x:v>
      </x:c>
      <x:c r="AB510" s="37" t="n">
        <x:v>11181078.162069518</x:v>
      </x:c>
      <x:c r="AC510" s="37" t="n">
        <x:v>1957029.922086686</x:v>
      </x:c>
      <x:c r="AD510" s="37" t="n">
        <x:v>0</x:v>
      </x:c>
      <x:c r="AE510" s="37" t="n">
        <x:v>0</x:v>
      </x:c>
      <x:c r="AF510" s="47" t="b">
        <x:v>0</x:v>
      </x:c>
      <x:c r="AG510" s="47" t="b">
        <x:v>0</x:v>
      </x:c>
      <x:c r="AH510" s="48" t="n">
        <x:v>0</x:v>
      </x:c>
      <x:c r="AI510" s="48" t="n">
        <x:v>1.1920928955078125e-7</x:v>
      </x:c>
      <x:c r="AJ510" s="37" t="str">
        <x:v>passed</x:v>
      </x:c>
    </x:row>
    <x:row r="511" ht="21" customHeight="1">
      <x:c r="A511" s="2"/>
      <x:c r="B511" s="2"/>
      <x:c r="C511" s="2" t="str">
        <x:v>2022</x:v>
      </x:c>
      <x:c r="D511" s="5" t="n">
        <x:v>44748</x:v>
      </x:c>
      <x:c r="E511" s="2" t="str">
        <x:v>unhedged</x:v>
      </x:c>
      <x:c r="F511" s="37" t="n">
        <x:v>1275107.3659292543</x:v>
      </x:c>
      <x:c r="G511" s="37" t="n">
        <x:v>10824696.650060304</x:v>
      </x:c>
      <x:c r="H511" s="37" t="n">
        <x:v>38771.13109536392</x:v>
      </x:c>
      <x:c r="I511" s="37" t="n">
        <x:v>10785925.518964939</x:v>
      </x:c>
      <x:c r="J511" s="37" t="n">
        <x:v>10824696.650060304</x:v>
      </x:c>
      <x:c r="K511" s="37" t="n">
        <x:v>0</x:v>
      </x:c>
      <x:c r="L511" s="37" t="n">
        <x:v>12099804.015989557</x:v>
      </x:c>
      <x:c r="M511" s="37" t="n">
        <x:v>0</x:v>
      </x:c>
      <x:c r="N511" s="37" t="n">
        <x:v>0</x:v>
      </x:c>
      <x:c r="O511" s="37" t="n">
        <x:v>69.86506854067557</x:v>
      </x:c>
      <x:c r="P511" s="37" t="n">
        <x:v>0</x:v>
      </x:c>
      <x:c r="Q511" s="37" t="n">
        <x:v>0</x:v>
      </x:c>
      <x:c r="R511" s="37" t="n">
        <x:v>0</x:v>
      </x:c>
      <x:c r="S511" s="37" t="n">
        <x:v>0</x:v>
      </x:c>
      <x:c r="T511" s="37" t="n">
        <x:v>0</x:v>
      </x:c>
      <x:c r="U511" s="37" t="n">
        <x:v>63750</x:v>
      </x:c>
      <x:c r="V511" s="37" t="n">
        <x:v>0</x:v>
      </x:c>
      <x:c r="W511" s="37" t="n">
        <x:v>12532.08524597995</x:v>
      </x:c>
      <x:c r="X511" s="37" t="n">
        <x:v>0</x:v>
      </x:c>
      <x:c r="Y511" s="37" t="n">
        <x:v>1174.7193167256753</x:v>
      </x:c>
      <x:c r="Z511" s="37" t="n">
        <x:v>0</x:v>
      </x:c>
      <x:c r="AA511" s="37" t="n">
        <x:v>0</x:v>
      </x:c>
      <x:c r="AB511" s="37" t="n">
        <x:v>0</x:v>
      </x:c>
      <x:c r="AC511" s="37" t="n">
        <x:v>1275107.3659292543</x:v>
      </x:c>
      <x:c r="AD511" s="37" t="n">
        <x:v>0</x:v>
      </x:c>
      <x:c r="AE511" s="37" t="n">
        <x:v>0</x:v>
      </x:c>
      <x:c r="AF511" s="47" t="b">
        <x:v>0</x:v>
      </x:c>
      <x:c r="AG511" s="47" t="b">
        <x:v>0</x:v>
      </x:c>
      <x:c r="AH511" s="48" t="n">
        <x:v>0</x:v>
      </x:c>
      <x:c r="AI511" s="48" t="n">
        <x:v>1.1920928955078125e-7</x:v>
      </x:c>
      <x:c r="AJ511" s="37" t="str">
        <x:v>passed</x:v>
      </x:c>
    </x:row>
    <x:row r="512" ht="21" customHeight="1">
      <x:c r="A512" s="2"/>
      <x:c r="B512" s="2"/>
      <x:c r="C512" s="2" t="str">
        <x:v>2022</x:v>
      </x:c>
      <x:c r="D512" s="5" t="n">
        <x:v>44748</x:v>
      </x:c>
      <x:c r="E512" s="2" t="str">
        <x:v>duration</x:v>
      </x:c>
      <x:c r="F512" s="37" t="n">
        <x:v>9324305.672557812</x:v>
      </x:c>
      <x:c r="G512" s="37" t="n">
        <x:v>3666354.8318845937</x:v>
      </x:c>
      <x:c r="H512" s="37" t="n">
        <x:v>22730.794281104478</x:v>
      </x:c>
      <x:c r="I512" s="37" t="n">
        <x:v>3643624.037603489</x:v>
      </x:c>
      <x:c r="J512" s="37" t="n">
        <x:v>10824696.650060304</x:v>
      </x:c>
      <x:c r="K512" s="37" t="n">
        <x:v>7158341.818175709</x:v>
      </x:c>
      <x:c r="L512" s="37" t="n">
        <x:v>12990660.504442405</x:v>
      </x:c>
      <x:c r="M512" s="37" t="n">
        <x:v>0</x:v>
      </x:c>
      <x:c r="N512" s="37" t="n">
        <x:v>0</x:v>
      </x:c>
      <x:c r="O512" s="37" t="n">
        <x:v>510.89286464080215</x:v>
      </x:c>
      <x:c r="P512" s="37" t="n">
        <x:v>0</x:v>
      </x:c>
      <x:c r="Q512" s="37" t="n">
        <x:v>0</x:v>
      </x:c>
      <x:c r="R512" s="37" t="n">
        <x:v>0</x:v>
      </x:c>
      <x:c r="S512" s="37" t="n">
        <x:v>0</x:v>
      </x:c>
      <x:c r="T512" s="37" t="n">
        <x:v>0</x:v>
      </x:c>
      <x:c r="U512" s="37" t="n">
        <x:v>6645.098252371114</x:v>
      </x:c>
      <x:c r="V512" s="37" t="n">
        <x:v>0</x:v>
      </x:c>
      <x:c r="W512" s="37" t="n">
        <x:v>93867.2509442158</x:v>
      </x:c>
      <x:c r="X512" s="37" t="n">
        <x:v>0</x:v>
      </x:c>
      <x:c r="Y512" s="37" t="n">
        <x:v>1994.1254232916465</x:v>
      </x:c>
      <x:c r="Z512" s="37" t="n">
        <x:v>7301508.654539223</x:v>
      </x:c>
      <x:c r="AA512" s="37" t="n">
        <x:v>0</x:v>
      </x:c>
      <x:c r="AB512" s="37" t="n">
        <x:v>7301508.654539223</x:v>
      </x:c>
      <x:c r="AC512" s="37" t="n">
        <x:v>2022797.0180185894</x:v>
      </x:c>
      <x:c r="AD512" s="37" t="n">
        <x:v>0</x:v>
      </x:c>
      <x:c r="AE512" s="37" t="n">
        <x:v>0</x:v>
      </x:c>
      <x:c r="AF512" s="47" t="b">
        <x:v>0</x:v>
      </x:c>
      <x:c r="AG512" s="47" t="b">
        <x:v>0</x:v>
      </x:c>
      <x:c r="AH512" s="48" t="n">
        <x:v>0</x:v>
      </x:c>
      <x:c r="AI512" s="48" t="n">
        <x:v>1.1920928955078125e-7</x:v>
      </x:c>
      <x:c r="AJ512" s="37" t="str">
        <x:v>passed</x:v>
      </x:c>
    </x:row>
    <x:row r="513" ht="21" customHeight="1">
      <x:c r="A513" s="2"/>
      <x:c r="B513" s="2"/>
      <x:c r="C513" s="2" t="str">
        <x:v>2022</x:v>
      </x:c>
      <x:c r="D513" s="5" t="n">
        <x:v>44748</x:v>
      </x:c>
      <x:c r="E513" s="2" t="str">
        <x:v>unweighted</x:v>
      </x:c>
      <x:c r="F513" s="37" t="n">
        <x:v>12331123.661228644</x:v>
      </x:c>
      <x:c r="G513" s="37" t="n">
        <x:v>680203.0902518418</x:v>
      </x:c>
      <x:c r="H513" s="37" t="n">
        <x:v>22550.29232394121</x:v>
      </x:c>
      <x:c r="I513" s="37" t="n">
        <x:v>657652.7979279006</x:v>
      </x:c>
      <x:c r="J513" s="37" t="n">
        <x:v>10830881.40346585</x:v>
      </x:c>
      <x:c r="K513" s="37" t="n">
        <x:v>10150678.313214008</x:v>
      </x:c>
      <x:c r="L513" s="37" t="n">
        <x:v>13011326.751480486</x:v>
      </x:c>
      <x:c r="M513" s="37" t="n">
        <x:v>0</x:v>
      </x:c>
      <x:c r="N513" s="37" t="n">
        <x:v>0</x:v>
      </x:c>
      <x:c r="O513" s="37" t="n">
        <x:v>675.6409874111414</x:v>
      </x:c>
      <x:c r="P513" s="37" t="n">
        <x:v>0</x:v>
      </x:c>
      <x:c r="Q513" s="37" t="n">
        <x:v>0</x:v>
      </x:c>
      <x:c r="R513" s="37" t="n">
        <x:v>0</x:v>
      </x:c>
      <x:c r="S513" s="37" t="n">
        <x:v>0</x:v>
      </x:c>
      <x:c r="T513" s="37" t="n">
        <x:v>0</x:v>
      </x:c>
      <x:c r="U513" s="37" t="n">
        <x:v>-1868.6910087944125</x:v>
      </x:c>
      <x:c r="V513" s="37" t="n">
        <x:v>0</x:v>
      </x:c>
      <x:c r="W513" s="37" t="n">
        <x:v>122115.22990940697</x:v>
      </x:c>
      <x:c r="X513" s="37" t="n">
        <x:v>0</x:v>
      </x:c>
      <x:c r="Y513" s="37" t="n">
        <x:v>2278.3794391011447</x:v>
      </x:c>
      <x:c r="Z513" s="37" t="n">
        <x:v>10353691.879478289</x:v>
      </x:c>
      <x:c r="AA513" s="37" t="n">
        <x:v>0</x:v>
      </x:c>
      <x:c r="AB513" s="37" t="n">
        <x:v>10353691.879478289</x:v>
      </x:c>
      <x:c r="AC513" s="37" t="n">
        <x:v>1977431.781750355</x:v>
      </x:c>
      <x:c r="AD513" s="37" t="n">
        <x:v>0</x:v>
      </x:c>
      <x:c r="AE513" s="37" t="n">
        <x:v>0</x:v>
      </x:c>
      <x:c r="AF513" s="47" t="b">
        <x:v>0</x:v>
      </x:c>
      <x:c r="AG513" s="47" t="b">
        <x:v>0</x:v>
      </x:c>
      <x:c r="AH513" s="48" t="n">
        <x:v>0</x:v>
      </x:c>
      <x:c r="AI513" s="48" t="n">
        <x:v>1.1920928955078125e-7</x:v>
      </x:c>
      <x:c r="AJ513" s="37" t="str">
        <x:v>passed</x:v>
      </x:c>
    </x:row>
    <x:row r="514" ht="21" customHeight="1">
      <x:c r="A514" s="2"/>
      <x:c r="B514" s="2"/>
      <x:c r="C514" s="2" t="str">
        <x:v>2022</x:v>
      </x:c>
      <x:c r="D514" s="5" t="n">
        <x:v>44748</x:v>
      </x:c>
      <x:c r="E514" s="2" t="str">
        <x:v>constrained</x:v>
      </x:c>
      <x:c r="F514" s="37" t="n">
        <x:v>13138827.980489584</x:v>
      </x:c>
      <x:c r="G514" s="37" t="n">
        <x:v>-59463.28755202112</x:v>
      </x:c>
      <x:c r="H514" s="37" t="n">
        <x:v>21580.95051117359</x:v>
      </x:c>
      <x:c r="I514" s="37" t="n">
        <x:v>-81044.2380631947</x:v>
      </x:c>
      <x:c r="J514" s="37" t="n">
        <x:v>10831592.64098262</x:v>
      </x:c>
      <x:c r="K514" s="37" t="n">
        <x:v>10891055.928534642</x:v>
      </x:c>
      <x:c r="L514" s="37" t="n">
        <x:v>13079364.692937562</x:v>
      </x:c>
      <x:c r="M514" s="37" t="n">
        <x:v>0</x:v>
      </x:c>
      <x:c r="N514" s="37" t="n">
        <x:v>0</x:v>
      </x:c>
      <x:c r="O514" s="37" t="n">
        <x:v>719.896333379671</x:v>
      </x:c>
      <x:c r="P514" s="37" t="n">
        <x:v>0</x:v>
      </x:c>
      <x:c r="Q514" s="37" t="n">
        <x:v>0</x:v>
      </x:c>
      <x:c r="R514" s="37" t="n">
        <x:v>0</x:v>
      </x:c>
      <x:c r="S514" s="37" t="n">
        <x:v>0</x:v>
      </x:c>
      <x:c r="T514" s="37" t="n">
        <x:v>0</x:v>
      </x:c>
      <x:c r="U514" s="37" t="n">
        <x:v>-6729.4488397945315</x:v>
      </x:c>
      <x:c r="V514" s="37" t="n">
        <x:v>0</x:v>
      </x:c>
      <x:c r="W514" s="37" t="n">
        <x:v>131904.35157947429</x:v>
      </x:c>
      <x:c r="X514" s="37" t="n">
        <x:v>0</x:v>
      </x:c>
      <x:c r="Y514" s="37" t="n">
        <x:v>2376.025817664196</x:v>
      </x:c>
      <x:c r="Z514" s="37" t="n">
        <x:v>11108877.047105335</x:v>
      </x:c>
      <x:c r="AA514" s="37" t="n">
        <x:v>0</x:v>
      </x:c>
      <x:c r="AB514" s="37" t="n">
        <x:v>11108877.047105335</x:v>
      </x:c>
      <x:c r="AC514" s="37" t="n">
        <x:v>2029950.933384249</x:v>
      </x:c>
      <x:c r="AD514" s="37" t="n">
        <x:v>0</x:v>
      </x:c>
      <x:c r="AE514" s="37" t="n">
        <x:v>0</x:v>
      </x:c>
      <x:c r="AF514" s="47" t="b">
        <x:v>0</x:v>
      </x:c>
      <x:c r="AG514" s="47" t="b">
        <x:v>0</x:v>
      </x:c>
      <x:c r="AH514" s="48" t="n">
        <x:v>0</x:v>
      </x:c>
      <x:c r="AI514" s="48" t="n">
        <x:v>1.1920928955078125e-7</x:v>
      </x:c>
      <x:c r="AJ514" s="37" t="str">
        <x:v>passed</x:v>
      </x:c>
    </x:row>
    <x:row r="515" ht="21" customHeight="1">
      <x:c r="A515" s="2"/>
      <x:c r="B515" s="2"/>
      <x:c r="C515" s="2" t="str">
        <x:v>2022</x:v>
      </x:c>
      <x:c r="D515" s="5" t="n">
        <x:v>44749</x:v>
      </x:c>
      <x:c r="E515" s="2" t="str">
        <x:v>unhedged</x:v>
      </x:c>
      <x:c r="F515" s="37" t="n">
        <x:v>1275177.2348260174</x:v>
      </x:c>
      <x:c r="G515" s="37" t="n">
        <x:v>10778759.590016605</x:v>
      </x:c>
      <x:c r="H515" s="37" t="n">
        <x:v>39120.97645928417</x:v>
      </x:c>
      <x:c r="I515" s="37" t="n">
        <x:v>10739638.613557322</x:v>
      </x:c>
      <x:c r="J515" s="37" t="n">
        <x:v>10778759.590016605</x:v>
      </x:c>
      <x:c r="K515" s="37" t="n">
        <x:v>0</x:v>
      </x:c>
      <x:c r="L515" s="37" t="n">
        <x:v>12053936.824842623</x:v>
      </x:c>
      <x:c r="M515" s="37" t="n">
        <x:v>0</x:v>
      </x:c>
      <x:c r="N515" s="37" t="n">
        <x:v>0</x:v>
      </x:c>
      <x:c r="O515" s="37" t="n">
        <x:v>69.86889676307328</x:v>
      </x:c>
      <x:c r="P515" s="37" t="n">
        <x:v>0</x:v>
      </x:c>
      <x:c r="Q515" s="37" t="n">
        <x:v>0</x:v>
      </x:c>
      <x:c r="R515" s="37" t="n">
        <x:v>0</x:v>
      </x:c>
      <x:c r="S515" s="37" t="n">
        <x:v>0</x:v>
      </x:c>
      <x:c r="T515" s="37" t="n">
        <x:v>0</x:v>
      </x:c>
      <x:c r="U515" s="37" t="n">
        <x:v>63750</x:v>
      </x:c>
      <x:c r="V515" s="37" t="n">
        <x:v>0</x:v>
      </x:c>
      <x:c r="W515" s="37" t="n">
        <x:v>12601.954142743023</x:v>
      </x:c>
      <x:c r="X515" s="37" t="n">
        <x:v>0</x:v>
      </x:c>
      <x:c r="Y515" s="37" t="n">
        <x:v>1174.7193167256753</x:v>
      </x:c>
      <x:c r="Z515" s="37" t="n">
        <x:v>0</x:v>
      </x:c>
      <x:c r="AA515" s="37" t="n">
        <x:v>0</x:v>
      </x:c>
      <x:c r="AB515" s="37" t="n">
        <x:v>0</x:v>
      </x:c>
      <x:c r="AC515" s="37" t="n">
        <x:v>1275177.2348260174</x:v>
      </x:c>
      <x:c r="AD515" s="37" t="n">
        <x:v>0</x:v>
      </x:c>
      <x:c r="AE515" s="37" t="n">
        <x:v>0</x:v>
      </x:c>
      <x:c r="AF515" s="47" t="b">
        <x:v>0</x:v>
      </x:c>
      <x:c r="AG515" s="47" t="b">
        <x:v>0</x:v>
      </x:c>
      <x:c r="AH515" s="48" t="n">
        <x:v>0</x:v>
      </x:c>
      <x:c r="AI515" s="48" t="n">
        <x:v>1.1920928955078125e-7</x:v>
      </x:c>
      <x:c r="AJ515" s="37" t="str">
        <x:v>passed</x:v>
      </x:c>
    </x:row>
    <x:row r="516" ht="21" customHeight="1">
      <x:c r="A516" s="2"/>
      <x:c r="B516" s="2"/>
      <x:c r="C516" s="2" t="str">
        <x:v>2022</x:v>
      </x:c>
      <x:c r="D516" s="5" t="n">
        <x:v>44749</x:v>
      </x:c>
      <x:c r="E516" s="2" t="str">
        <x:v>duration</x:v>
      </x:c>
      <x:c r="F516" s="37" t="n">
        <x:v>9324816.593416583</x:v>
      </x:c>
      <x:c r="G516" s="37" t="n">
        <x:v>3666290.758611031</x:v>
      </x:c>
      <x:c r="H516" s="37" t="n">
        <x:v>22772.17162936589</x:v>
      </x:c>
      <x:c r="I516" s="37" t="n">
        <x:v>3643518.586981665</x:v>
      </x:c>
      <x:c r="J516" s="37" t="n">
        <x:v>10778759.590016605</x:v>
      </x:c>
      <x:c r="K516" s="37" t="n">
        <x:v>7112468.831405575</x:v>
      </x:c>
      <x:c r="L516" s="37" t="n">
        <x:v>12991107.352027614</x:v>
      </x:c>
      <x:c r="M516" s="37" t="n">
        <x:v>0</x:v>
      </x:c>
      <x:c r="N516" s="37" t="n">
        <x:v>0</x:v>
      </x:c>
      <x:c r="O516" s="37" t="n">
        <x:v>510.9208587706089</x:v>
      </x:c>
      <x:c r="P516" s="37" t="n">
        <x:v>0</x:v>
      </x:c>
      <x:c r="Q516" s="37" t="n">
        <x:v>0</x:v>
      </x:c>
      <x:c r="R516" s="37" t="n">
        <x:v>0</x:v>
      </x:c>
      <x:c r="S516" s="37" t="n">
        <x:v>0</x:v>
      </x:c>
      <x:c r="T516" s="37" t="n">
        <x:v>0</x:v>
      </x:c>
      <x:c r="U516" s="37" t="n">
        <x:v>6645.098252371114</x:v>
      </x:c>
      <x:c r="V516" s="37" t="n">
        <x:v>0</x:v>
      </x:c>
      <x:c r="W516" s="37" t="n">
        <x:v>94378.17180298641</x:v>
      </x:c>
      <x:c r="X516" s="37" t="n">
        <x:v>0</x:v>
      </x:c>
      <x:c r="Y516" s="37" t="n">
        <x:v>1994.1254232916465</x:v>
      </x:c>
      <x:c r="Z516" s="37" t="n">
        <x:v>7254718.208033687</x:v>
      </x:c>
      <x:c r="AA516" s="37" t="n">
        <x:v>0</x:v>
      </x:c>
      <x:c r="AB516" s="37" t="n">
        <x:v>7254718.208033687</x:v>
      </x:c>
      <x:c r="AC516" s="37" t="n">
        <x:v>2070098.3853828954</x:v>
      </x:c>
      <x:c r="AD516" s="37" t="n">
        <x:v>0</x:v>
      </x:c>
      <x:c r="AE516" s="37" t="n">
        <x:v>0</x:v>
      </x:c>
      <x:c r="AF516" s="47" t="b">
        <x:v>0</x:v>
      </x:c>
      <x:c r="AG516" s="47" t="b">
        <x:v>0</x:v>
      </x:c>
      <x:c r="AH516" s="48" t="n">
        <x:v>0</x:v>
      </x:c>
      <x:c r="AI516" s="48" t="n">
        <x:v>1.1920928955078125e-7</x:v>
      </x:c>
      <x:c r="AJ516" s="37" t="str">
        <x:v>passed</x:v>
      </x:c>
    </x:row>
    <x:row r="517" ht="21" customHeight="1">
      <x:c r="A517" s="2"/>
      <x:c r="B517" s="2"/>
      <x:c r="C517" s="2" t="str">
        <x:v>2022</x:v>
      </x:c>
      <x:c r="D517" s="5" t="n">
        <x:v>44749</x:v>
      </x:c>
      <x:c r="E517" s="2" t="str">
        <x:v>unweighted</x:v>
      </x:c>
      <x:c r="F517" s="37" t="n">
        <x:v>12331799.339237478</x:v>
      </x:c>
      <x:c r="G517" s="37" t="n">
        <x:v>677453.9994398062</x:v>
      </x:c>
      <x:c r="H517" s="37" t="n">
        <x:v>22539.851353417438</x:v>
      </x:c>
      <x:c r="I517" s="37" t="n">
        <x:v>654914.1480863888</x:v>
      </x:c>
      <x:c r="J517" s="37" t="n">
        <x:v>10784895.63066315</x:v>
      </x:c>
      <x:c r="K517" s="37" t="n">
        <x:v>10107441.631223343</x:v>
      </x:c>
      <x:c r="L517" s="37" t="n">
        <x:v>13009253.338677283</x:v>
      </x:c>
      <x:c r="M517" s="37" t="n">
        <x:v>0</x:v>
      </x:c>
      <x:c r="N517" s="37" t="n">
        <x:v>0</x:v>
      </x:c>
      <x:c r="O517" s="37" t="n">
        <x:v>675.6780088339001</x:v>
      </x:c>
      <x:c r="P517" s="37" t="n">
        <x:v>0</x:v>
      </x:c>
      <x:c r="Q517" s="37" t="n">
        <x:v>0</x:v>
      </x:c>
      <x:c r="R517" s="37" t="n">
        <x:v>0</x:v>
      </x:c>
      <x:c r="S517" s="37" t="n">
        <x:v>0</x:v>
      </x:c>
      <x:c r="T517" s="37" t="n">
        <x:v>0</x:v>
      </x:c>
      <x:c r="U517" s="37" t="n">
        <x:v>-1868.6910087944125</x:v>
      </x:c>
      <x:c r="V517" s="37" t="n">
        <x:v>0</x:v>
      </x:c>
      <x:c r="W517" s="37" t="n">
        <x:v>122790.90791824088</x:v>
      </x:c>
      <x:c r="X517" s="37" t="n">
        <x:v>0</x:v>
      </x:c>
      <x:c r="Y517" s="37" t="n">
        <x:v>2278.3794391011447</x:v>
      </x:c>
      <x:c r="Z517" s="37" t="n">
        <x:v>10309590.46384781</x:v>
      </x:c>
      <x:c r="AA517" s="37" t="n">
        <x:v>0</x:v>
      </x:c>
      <x:c r="AB517" s="37" t="n">
        <x:v>10309590.46384781</x:v>
      </x:c>
      <x:c r="AC517" s="37" t="n">
        <x:v>2022208.8753896672</x:v>
      </x:c>
      <x:c r="AD517" s="37" t="n">
        <x:v>0</x:v>
      </x:c>
      <x:c r="AE517" s="37" t="n">
        <x:v>0</x:v>
      </x:c>
      <x:c r="AF517" s="47" t="b">
        <x:v>0</x:v>
      </x:c>
      <x:c r="AG517" s="47" t="b">
        <x:v>0</x:v>
      </x:c>
      <x:c r="AH517" s="48" t="n">
        <x:v>0</x:v>
      </x:c>
      <x:c r="AI517" s="48" t="n">
        <x:v>1.1920928955078125e-7</x:v>
      </x:c>
      <x:c r="AJ517" s="37" t="str">
        <x:v>passed</x:v>
      </x:c>
    </x:row>
    <x:row r="518" ht="21" customHeight="1">
      <x:c r="A518" s="2"/>
      <x:c r="B518" s="2"/>
      <x:c r="C518" s="2" t="str">
        <x:v>2022</x:v>
      </x:c>
      <x:c r="D518" s="5" t="n">
        <x:v>44749</x:v>
      </x:c>
      <x:c r="E518" s="2" t="str">
        <x:v>constrained</x:v>
      </x:c>
      <x:c r="F518" s="37" t="n">
        <x:v>13139547.916269336</x:v>
      </x:c>
      <x:c r="G518" s="37" t="n">
        <x:v>-59790.14614012514</x:v>
      </x:c>
      <x:c r="H518" s="37" t="n">
        <x:v>21546.652328676166</x:v>
      </x:c>
      <x:c r="I518" s="37" t="n">
        <x:v>-81336.79846880131</x:v>
      </x:c>
      <x:c r="J518" s="37" t="n">
        <x:v>10785601.266284505</x:v>
      </x:c>
      <x:c r="K518" s="37" t="n">
        <x:v>10845391.41242463</x:v>
      </x:c>
      <x:c r="L518" s="37" t="n">
        <x:v>13079757.770129211</x:v>
      </x:c>
      <x:c r="M518" s="37" t="n">
        <x:v>0</x:v>
      </x:c>
      <x:c r="N518" s="37" t="n">
        <x:v>0</x:v>
      </x:c>
      <x:c r="O518" s="37" t="n">
        <x:v>719.9357797522098</x:v>
      </x:c>
      <x:c r="P518" s="37" t="n">
        <x:v>0</x:v>
      </x:c>
      <x:c r="Q518" s="37" t="n">
        <x:v>0</x:v>
      </x:c>
      <x:c r="R518" s="37" t="n">
        <x:v>0</x:v>
      </x:c>
      <x:c r="S518" s="37" t="n">
        <x:v>0</x:v>
      </x:c>
      <x:c r="T518" s="37" t="n">
        <x:v>0</x:v>
      </x:c>
      <x:c r="U518" s="37" t="n">
        <x:v>-6729.4488397945315</x:v>
      </x:c>
      <x:c r="V518" s="37" t="n">
        <x:v>0</x:v>
      </x:c>
      <x:c r="W518" s="37" t="n">
        <x:v>132624.2873592265</x:v>
      </x:c>
      <x:c r="X518" s="37" t="n">
        <x:v>0</x:v>
      </x:c>
      <x:c r="Y518" s="37" t="n">
        <x:v>2376.025817664196</x:v>
      </x:c>
      <x:c r="Z518" s="37" t="n">
        <x:v>11062299.240673123</x:v>
      </x:c>
      <x:c r="AA518" s="37" t="n">
        <x:v>0</x:v>
      </x:c>
      <x:c r="AB518" s="37" t="n">
        <x:v>11062299.240673123</x:v>
      </x:c>
      <x:c r="AC518" s="37" t="n">
        <x:v>2077248.675596213</x:v>
      </x:c>
      <x:c r="AD518" s="37" t="n">
        <x:v>0</x:v>
      </x:c>
      <x:c r="AE518" s="37" t="n">
        <x:v>0</x:v>
      </x:c>
      <x:c r="AF518" s="47" t="b">
        <x:v>0</x:v>
      </x:c>
      <x:c r="AG518" s="47" t="b">
        <x:v>0</x:v>
      </x:c>
      <x:c r="AH518" s="48" t="n">
        <x:v>0</x:v>
      </x:c>
      <x:c r="AI518" s="48" t="n">
        <x:v>1.1920928955078125e-7</x:v>
      </x:c>
      <x:c r="AJ518" s="37" t="str">
        <x:v>passed</x:v>
      </x:c>
    </x:row>
    <x:row r="519" ht="21" customHeight="1">
      <x:c r="A519" s="2"/>
      <x:c r="B519" s="2"/>
      <x:c r="C519" s="2" t="str">
        <x:v>2022</x:v>
      </x:c>
      <x:c r="D519" s="5" t="n">
        <x:v>44750</x:v>
      </x:c>
      <x:c r="E519" s="2" t="str">
        <x:v>unhedged</x:v>
      </x:c>
      <x:c r="F519" s="37" t="n">
        <x:v>1275247.1075512134</x:v>
      </x:c>
      <x:c r="G519" s="37" t="n">
        <x:v>10727739.137494737</x:v>
      </x:c>
      <x:c r="H519" s="37" t="n">
        <x:v>39470.82182320442</x:v>
      </x:c>
      <x:c r="I519" s="37" t="n">
        <x:v>10688268.315671533</x:v>
      </x:c>
      <x:c r="J519" s="37" t="n">
        <x:v>10727739.137494737</x:v>
      </x:c>
      <x:c r="K519" s="37" t="n">
        <x:v>0</x:v>
      </x:c>
      <x:c r="L519" s="37" t="n">
        <x:v>12002986.24504595</x:v>
      </x:c>
      <x:c r="M519" s="37" t="n">
        <x:v>0</x:v>
      </x:c>
      <x:c r="N519" s="37" t="n">
        <x:v>0</x:v>
      </x:c>
      <x:c r="O519" s="37" t="n">
        <x:v>69.8727251959499</x:v>
      </x:c>
      <x:c r="P519" s="37" t="n">
        <x:v>0</x:v>
      </x:c>
      <x:c r="Q519" s="37" t="n">
        <x:v>0</x:v>
      </x:c>
      <x:c r="R519" s="37" t="n">
        <x:v>0</x:v>
      </x:c>
      <x:c r="S519" s="37" t="n">
        <x:v>0</x:v>
      </x:c>
      <x:c r="T519" s="37" t="n">
        <x:v>0</x:v>
      </x:c>
      <x:c r="U519" s="37" t="n">
        <x:v>63750</x:v>
      </x:c>
      <x:c r="V519" s="37" t="n">
        <x:v>0</x:v>
      </x:c>
      <x:c r="W519" s="37" t="n">
        <x:v>12671.826867938973</x:v>
      </x:c>
      <x:c r="X519" s="37" t="n">
        <x:v>0</x:v>
      </x:c>
      <x:c r="Y519" s="37" t="n">
        <x:v>1174.7193167256753</x:v>
      </x:c>
      <x:c r="Z519" s="37" t="n">
        <x:v>0</x:v>
      </x:c>
      <x:c r="AA519" s="37" t="n">
        <x:v>0</x:v>
      </x:c>
      <x:c r="AB519" s="37" t="n">
        <x:v>0</x:v>
      </x:c>
      <x:c r="AC519" s="37" t="n">
        <x:v>1275247.1075512134</x:v>
      </x:c>
      <x:c r="AD519" s="37" t="n">
        <x:v>0</x:v>
      </x:c>
      <x:c r="AE519" s="37" t="n">
        <x:v>0</x:v>
      </x:c>
      <x:c r="AF519" s="47" t="b">
        <x:v>0</x:v>
      </x:c>
      <x:c r="AG519" s="47" t="b">
        <x:v>0</x:v>
      </x:c>
      <x:c r="AH519" s="48" t="n">
        <x:v>0</x:v>
      </x:c>
      <x:c r="AI519" s="48" t="n">
        <x:v>1.1920928955078125e-7</x:v>
      </x:c>
      <x:c r="AJ519" s="37" t="str">
        <x:v>passed</x:v>
      </x:c>
    </x:row>
    <x:row r="520" ht="21" customHeight="1">
      <x:c r="A520" s="2"/>
      <x:c r="B520" s="2"/>
      <x:c r="C520" s="2" t="str">
        <x:v>2022</x:v>
      </x:c>
      <x:c r="D520" s="5" t="n">
        <x:v>44750</x:v>
      </x:c>
      <x:c r="E520" s="2" t="str">
        <x:v>duration</x:v>
      </x:c>
      <x:c r="F520" s="37" t="n">
        <x:v>9325327.542271018</x:v>
      </x:c>
      <x:c r="G520" s="37" t="n">
        <x:v>3665969.5567300064</x:v>
      </x:c>
      <x:c r="H520" s="37" t="n">
        <x:v>22813.548977627306</x:v>
      </x:c>
      <x:c r="I520" s="37" t="n">
        <x:v>3643156.007752379</x:v>
      </x:c>
      <x:c r="J520" s="37" t="n">
        <x:v>10727739.137494737</x:v>
      </x:c>
      <x:c r="K520" s="37" t="n">
        <x:v>7061769.580764731</x:v>
      </x:c>
      <x:c r="L520" s="37" t="n">
        <x:v>12991297.099001024</x:v>
      </x:c>
      <x:c r="M520" s="37" t="n">
        <x:v>0</x:v>
      </x:c>
      <x:c r="N520" s="37" t="n">
        <x:v>0</x:v>
      </x:c>
      <x:c r="O520" s="37" t="n">
        <x:v>510.94885443523526</x:v>
      </x:c>
      <x:c r="P520" s="37" t="n">
        <x:v>0</x:v>
      </x:c>
      <x:c r="Q520" s="37" t="n">
        <x:v>0</x:v>
      </x:c>
      <x:c r="R520" s="37" t="n">
        <x:v>0</x:v>
      </x:c>
      <x:c r="S520" s="37" t="n">
        <x:v>0</x:v>
      </x:c>
      <x:c r="T520" s="37" t="n">
        <x:v>0</x:v>
      </x:c>
      <x:c r="U520" s="37" t="n">
        <x:v>6645.098252371114</x:v>
      </x:c>
      <x:c r="V520" s="37" t="n">
        <x:v>0</x:v>
      </x:c>
      <x:c r="W520" s="37" t="n">
        <x:v>94889.12065742165</x:v>
      </x:c>
      <x:c r="X520" s="37" t="n">
        <x:v>0</x:v>
      </x:c>
      <x:c r="Y520" s="37" t="n">
        <x:v>1994.1254232916465</x:v>
      </x:c>
      <x:c r="Z520" s="37" t="n">
        <x:v>7203004.972380026</x:v>
      </x:c>
      <x:c r="AA520" s="37" t="n">
        <x:v>0</x:v>
      </x:c>
      <x:c r="AB520" s="37" t="n">
        <x:v>7203004.972380026</x:v>
      </x:c>
      <x:c r="AC520" s="37" t="n">
        <x:v>2122322.569890992</x:v>
      </x:c>
      <x:c r="AD520" s="37" t="n">
        <x:v>0</x:v>
      </x:c>
      <x:c r="AE520" s="37" t="n">
        <x:v>0</x:v>
      </x:c>
      <x:c r="AF520" s="47" t="b">
        <x:v>0</x:v>
      </x:c>
      <x:c r="AG520" s="47" t="b">
        <x:v>0</x:v>
      </x:c>
      <x:c r="AH520" s="48" t="n">
        <x:v>0</x:v>
      </x:c>
      <x:c r="AI520" s="48" t="n">
        <x:v>1.1920928955078125e-7</x:v>
      </x:c>
      <x:c r="AJ520" s="37" t="str">
        <x:v>passed</x:v>
      </x:c>
    </x:row>
    <x:row r="521" ht="21" customHeight="1">
      <x:c r="A521" s="2"/>
      <x:c r="B521" s="2"/>
      <x:c r="C521" s="2" t="str">
        <x:v>2022</x:v>
      </x:c>
      <x:c r="D521" s="5" t="n">
        <x:v>44750</x:v>
      </x:c>
      <x:c r="E521" s="2" t="str">
        <x:v>unweighted</x:v>
      </x:c>
      <x:c r="F521" s="37" t="n">
        <x:v>12332475.054269768</x:v>
      </x:c>
      <x:c r="G521" s="37" t="n">
        <x:v>674683.3445312869</x:v>
      </x:c>
      <x:c r="H521" s="37" t="n">
        <x:v>22529.41038289367</x:v>
      </x:c>
      <x:c r="I521" s="37" t="n">
        <x:v>652153.9341483932</x:v>
      </x:c>
      <x:c r="J521" s="37" t="n">
        <x:v>10733800.98551939</x:v>
      </x:c>
      <x:c r="K521" s="37" t="n">
        <x:v>10059117.640988104</x:v>
      </x:c>
      <x:c r="L521" s="37" t="n">
        <x:v>13007158.398801055</x:v>
      </x:c>
      <x:c r="M521" s="37" t="n">
        <x:v>0</x:v>
      </x:c>
      <x:c r="N521" s="37" t="n">
        <x:v>0</x:v>
      </x:c>
      <x:c r="O521" s="37" t="n">
        <x:v>675.7150322906673</x:v>
      </x:c>
      <x:c r="P521" s="37" t="n">
        <x:v>0</x:v>
      </x:c>
      <x:c r="Q521" s="37" t="n">
        <x:v>0</x:v>
      </x:c>
      <x:c r="R521" s="37" t="n">
        <x:v>0</x:v>
      </x:c>
      <x:c r="S521" s="37" t="n">
        <x:v>0</x:v>
      </x:c>
      <x:c r="T521" s="37" t="n">
        <x:v>0</x:v>
      </x:c>
      <x:c r="U521" s="37" t="n">
        <x:v>-1868.6910087944125</x:v>
      </x:c>
      <x:c r="V521" s="37" t="n">
        <x:v>0</x:v>
      </x:c>
      <x:c r="W521" s="37" t="n">
        <x:v>123466.62295053154</x:v>
      </x:c>
      <x:c r="X521" s="37" t="n">
        <x:v>0</x:v>
      </x:c>
      <x:c r="Y521" s="37" t="n">
        <x:v>2278.3794391011447</x:v>
      </x:c>
      <x:c r="Z521" s="37" t="n">
        <x:v>10260299.993807867</x:v>
      </x:c>
      <x:c r="AA521" s="37" t="n">
        <x:v>0</x:v>
      </x:c>
      <x:c r="AB521" s="37" t="n">
        <x:v>10260299.993807867</x:v>
      </x:c>
      <x:c r="AC521" s="37" t="n">
        <x:v>2072175.0604619011</x:v>
      </x:c>
      <x:c r="AD521" s="37" t="n">
        <x:v>0</x:v>
      </x:c>
      <x:c r="AE521" s="37" t="n">
        <x:v>0</x:v>
      </x:c>
      <x:c r="AF521" s="47" t="b">
        <x:v>0</x:v>
      </x:c>
      <x:c r="AG521" s="47" t="b">
        <x:v>0</x:v>
      </x:c>
      <x:c r="AH521" s="48" t="n">
        <x:v>0</x:v>
      </x:c>
      <x:c r="AI521" s="48" t="n">
        <x:v>1.1920928955078125e-7</x:v>
      </x:c>
      <x:c r="AJ521" s="37" t="str">
        <x:v>passed</x:v>
      </x:c>
    </x:row>
    <x:row r="522" ht="21" customHeight="1">
      <x:c r="A522" s="2"/>
      <x:c r="B522" s="2"/>
      <x:c r="C522" s="2" t="str">
        <x:v>2022</x:v>
      </x:c>
      <x:c r="D522" s="5" t="n">
        <x:v>44750</x:v>
      </x:c>
      <x:c r="E522" s="2" t="str">
        <x:v>constrained</x:v>
      </x:c>
      <x:c r="F522" s="37" t="n">
        <x:v>13140267.891497627</x:v>
      </x:c>
      <x:c r="G522" s="37" t="n">
        <x:v>-59804.317068999</x:v>
      </x:c>
      <x:c r="H522" s="37" t="n">
        <x:v>21512.354146178743</x:v>
      </x:c>
      <x:c r="I522" s="37" t="n">
        <x:v>-81316.67121517775</x:v>
      </x:c>
      <x:c r="J522" s="37" t="n">
        <x:v>10734498.08909869</x:v>
      </x:c>
      <x:c r="K522" s="37" t="n">
        <x:v>10794302.40616769</x:v>
      </x:c>
      <x:c r="L522" s="37" t="n">
        <x:v>13080463.574428627</x:v>
      </x:c>
      <x:c r="M522" s="37" t="n">
        <x:v>0</x:v>
      </x:c>
      <x:c r="N522" s="37" t="n">
        <x:v>0</x:v>
      </x:c>
      <x:c r="O522" s="37" t="n">
        <x:v>719.9752282910049</x:v>
      </x:c>
      <x:c r="P522" s="37" t="n">
        <x:v>0</x:v>
      </x:c>
      <x:c r="Q522" s="37" t="n">
        <x:v>0</x:v>
      </x:c>
      <x:c r="R522" s="37" t="n">
        <x:v>0</x:v>
      </x:c>
      <x:c r="S522" s="37" t="n">
        <x:v>0</x:v>
      </x:c>
      <x:c r="T522" s="37" t="n">
        <x:v>0</x:v>
      </x:c>
      <x:c r="U522" s="37" t="n">
        <x:v>-6729.4488397945315</x:v>
      </x:c>
      <x:c r="V522" s="37" t="n">
        <x:v>0</x:v>
      </x:c>
      <x:c r="W522" s="37" t="n">
        <x:v>133344.2625875175</x:v>
      </x:c>
      <x:c r="X522" s="37" t="n">
        <x:v>0</x:v>
      </x:c>
      <x:c r="Y522" s="37" t="n">
        <x:v>2376.025817664196</x:v>
      </x:c>
      <x:c r="Z522" s="37" t="n">
        <x:v>11010188.454291044</x:v>
      </x:c>
      <x:c r="AA522" s="37" t="n">
        <x:v>0</x:v>
      </x:c>
      <x:c r="AB522" s="37" t="n">
        <x:v>11010188.454291044</x:v>
      </x:c>
      <x:c r="AC522" s="37" t="n">
        <x:v>2130079.437206583</x:v>
      </x:c>
      <x:c r="AD522" s="37" t="n">
        <x:v>0</x:v>
      </x:c>
      <x:c r="AE522" s="37" t="n">
        <x:v>0</x:v>
      </x:c>
      <x:c r="AF522" s="47" t="b">
        <x:v>0</x:v>
      </x:c>
      <x:c r="AG522" s="47" t="b">
        <x:v>0</x:v>
      </x:c>
      <x:c r="AH522" s="48" t="n">
        <x:v>0</x:v>
      </x:c>
      <x:c r="AI522" s="48" t="n">
        <x:v>1.1920928955078125e-7</x:v>
      </x:c>
      <x:c r="AJ522" s="37" t="str">
        <x:v>passed</x:v>
      </x:c>
    </x:row>
    <x:row r="523" ht="21" customHeight="1">
      <x:c r="A523" s="2"/>
      <x:c r="B523" s="2"/>
      <x:c r="C523" s="2" t="str">
        <x:v>2022</x:v>
      </x:c>
      <x:c r="D523" s="5" t="n">
        <x:v>44753</x:v>
      </x:c>
      <x:c r="E523" s="2" t="str">
        <x:v>unhedged</x:v>
      </x:c>
      <x:c r="F523" s="37" t="n">
        <x:v>1275456.7486994958</x:v>
      </x:c>
      <x:c r="G523" s="37" t="n">
        <x:v>10787424.37351267</x:v>
      </x:c>
      <x:c r="H523" s="37" t="n">
        <x:v>40520.35791496517</x:v>
      </x:c>
      <x:c r="I523" s="37" t="n">
        <x:v>10746904.015597705</x:v>
      </x:c>
      <x:c r="J523" s="37" t="n">
        <x:v>10787424.37351267</x:v>
      </x:c>
      <x:c r="K523" s="37" t="n">
        <x:v>0</x:v>
      </x:c>
      <x:c r="L523" s="37" t="n">
        <x:v>12062881.122212166</x:v>
      </x:c>
      <x:c r="M523" s="37" t="n">
        <x:v>0</x:v>
      </x:c>
      <x:c r="N523" s="37" t="n">
        <x:v>0</x:v>
      </x:c>
      <x:c r="O523" s="37" t="n">
        <x:v>209.64114828244783</x:v>
      </x:c>
      <x:c r="P523" s="37" t="n">
        <x:v>0</x:v>
      </x:c>
      <x:c r="Q523" s="37" t="n">
        <x:v>0</x:v>
      </x:c>
      <x:c r="R523" s="37" t="n">
        <x:v>0</x:v>
      </x:c>
      <x:c r="S523" s="37" t="n">
        <x:v>0</x:v>
      </x:c>
      <x:c r="T523" s="37" t="n">
        <x:v>0</x:v>
      </x:c>
      <x:c r="U523" s="37" t="n">
        <x:v>63750</x:v>
      </x:c>
      <x:c r="V523" s="37" t="n">
        <x:v>0</x:v>
      </x:c>
      <x:c r="W523" s="37" t="n">
        <x:v>12881.46801622142</x:v>
      </x:c>
      <x:c r="X523" s="37" t="n">
        <x:v>0</x:v>
      </x:c>
      <x:c r="Y523" s="37" t="n">
        <x:v>1174.7193167256753</x:v>
      </x:c>
      <x:c r="Z523" s="37" t="n">
        <x:v>0</x:v>
      </x:c>
      <x:c r="AA523" s="37" t="n">
        <x:v>0</x:v>
      </x:c>
      <x:c r="AB523" s="37" t="n">
        <x:v>0</x:v>
      </x:c>
      <x:c r="AC523" s="37" t="n">
        <x:v>1275456.7486994958</x:v>
      </x:c>
      <x:c r="AD523" s="37" t="n">
        <x:v>0</x:v>
      </x:c>
      <x:c r="AE523" s="37" t="n">
        <x:v>0</x:v>
      </x:c>
      <x:c r="AF523" s="47" t="b">
        <x:v>0</x:v>
      </x:c>
      <x:c r="AG523" s="47" t="b">
        <x:v>0</x:v>
      </x:c>
      <x:c r="AH523" s="48" t="n">
        <x:v>0</x:v>
      </x:c>
      <x:c r="AI523" s="48" t="n">
        <x:v>1.1920928955078125e-7</x:v>
      </x:c>
      <x:c r="AJ523" s="37" t="str">
        <x:v>passed</x:v>
      </x:c>
    </x:row>
    <x:row r="524" ht="21" customHeight="1">
      <x:c r="A524" s="2"/>
      <x:c r="B524" s="2"/>
      <x:c r="C524" s="2" t="str">
        <x:v>2022</x:v>
      </x:c>
      <x:c r="D524" s="5" t="n">
        <x:v>44753</x:v>
      </x:c>
      <x:c r="E524" s="2" t="str">
        <x:v>duration</x:v>
      </x:c>
      <x:c r="F524" s="37" t="n">
        <x:v>9326860.556823643</x:v>
      </x:c>
      <x:c r="G524" s="37" t="n">
        <x:v>3660749.1891047223</x:v>
      </x:c>
      <x:c r="H524" s="37" t="n">
        <x:v>22937.68102241155</x:v>
      </x:c>
      <x:c r="I524" s="37" t="n">
        <x:v>3637811.5080823107</x:v>
      </x:c>
      <x:c r="J524" s="37" t="n">
        <x:v>10787424.37351267</x:v>
      </x:c>
      <x:c r="K524" s="37" t="n">
        <x:v>7126675.1844079485</x:v>
      </x:c>
      <x:c r="L524" s="37" t="n">
        <x:v>12987609.745928366</x:v>
      </x:c>
      <x:c r="M524" s="37" t="n">
        <x:v>0</x:v>
      </x:c>
      <x:c r="N524" s="37" t="n">
        <x:v>0</x:v>
      </x:c>
      <x:c r="O524" s="37" t="n">
        <x:v>1533.0145526248962</x:v>
      </x:c>
      <x:c r="P524" s="37" t="n">
        <x:v>0</x:v>
      </x:c>
      <x:c r="Q524" s="37" t="n">
        <x:v>0</x:v>
      </x:c>
      <x:c r="R524" s="37" t="n">
        <x:v>0</x:v>
      </x:c>
      <x:c r="S524" s="37" t="n">
        <x:v>0</x:v>
      </x:c>
      <x:c r="T524" s="37" t="n">
        <x:v>0</x:v>
      </x:c>
      <x:c r="U524" s="37" t="n">
        <x:v>6645.098252371114</x:v>
      </x:c>
      <x:c r="V524" s="37" t="n">
        <x:v>0</x:v>
      </x:c>
      <x:c r="W524" s="37" t="n">
        <x:v>96422.13521004654</x:v>
      </x:c>
      <x:c r="X524" s="37" t="n">
        <x:v>0</x:v>
      </x:c>
      <x:c r="Y524" s="37" t="n">
        <x:v>1994.1254232916465</x:v>
      </x:c>
      <x:c r="Z524" s="37" t="n">
        <x:v>7269208.688096108</x:v>
      </x:c>
      <x:c r="AA524" s="37" t="n">
        <x:v>0</x:v>
      </x:c>
      <x:c r="AB524" s="37" t="n">
        <x:v>7269208.688096108</x:v>
      </x:c>
      <x:c r="AC524" s="37" t="n">
        <x:v>2057651.868727535</x:v>
      </x:c>
      <x:c r="AD524" s="37" t="n">
        <x:v>0</x:v>
      </x:c>
      <x:c r="AE524" s="37" t="n">
        <x:v>0</x:v>
      </x:c>
      <x:c r="AF524" s="47" t="b">
        <x:v>0</x:v>
      </x:c>
      <x:c r="AG524" s="47" t="b">
        <x:v>0</x:v>
      </x:c>
      <x:c r="AH524" s="48" t="n">
        <x:v>0</x:v>
      </x:c>
      <x:c r="AI524" s="48" t="n">
        <x:v>1.1920928955078125e-7</x:v>
      </x:c>
      <x:c r="AJ524" s="37" t="str">
        <x:v>passed</x:v>
      </x:c>
    </x:row>
    <x:row r="525" ht="21" customHeight="1">
      <x:c r="A525" s="2"/>
      <x:c r="B525" s="2"/>
      <x:c r="C525" s="2" t="str">
        <x:v>2022</x:v>
      </x:c>
      <x:c r="D525" s="5" t="n">
        <x:v>44753</x:v>
      </x:c>
      <x:c r="E525" s="2" t="str">
        <x:v>unweighted</x:v>
      </x:c>
      <x:c r="F525" s="37" t="n">
        <x:v>12334502.421527633</x:v>
      </x:c>
      <x:c r="G525" s="37" t="n">
        <x:v>677728.5768179048</x:v>
      </x:c>
      <x:c r="H525" s="37" t="n">
        <x:v>22498.087471322367</x:v>
      </x:c>
      <x:c r="I525" s="37" t="n">
        <x:v>655230.4893465824</x:v>
      </x:c>
      <x:c r="J525" s="37" t="n">
        <x:v>10793585.461338338</x:v>
      </x:c>
      <x:c r="K525" s="37" t="n">
        <x:v>10115856.884520434</x:v>
      </x:c>
      <x:c r="L525" s="37" t="n">
        <x:v>13012230.998345539</x:v>
      </x:c>
      <x:c r="M525" s="37" t="n">
        <x:v>0</x:v>
      </x:c>
      <x:c r="N525" s="37" t="n">
        <x:v>0</x:v>
      </x:c>
      <x:c r="O525" s="37" t="n">
        <x:v>2027.3672578651458</x:v>
      </x:c>
      <x:c r="P525" s="37" t="n">
        <x:v>0</x:v>
      </x:c>
      <x:c r="Q525" s="37" t="n">
        <x:v>0</x:v>
      </x:c>
      <x:c r="R525" s="37" t="n">
        <x:v>0</x:v>
      </x:c>
      <x:c r="S525" s="37" t="n">
        <x:v>0</x:v>
      </x:c>
      <x:c r="T525" s="37" t="n">
        <x:v>0</x:v>
      </x:c>
      <x:c r="U525" s="37" t="n">
        <x:v>-1868.6910087944125</x:v>
      </x:c>
      <x:c r="V525" s="37" t="n">
        <x:v>0</x:v>
      </x:c>
      <x:c r="W525" s="37" t="n">
        <x:v>125493.99020839669</x:v>
      </x:c>
      <x:c r="X525" s="37" t="n">
        <x:v>0</x:v>
      </x:c>
      <x:c r="Y525" s="37" t="n">
        <x:v>2278.3794391011447</x:v>
      </x:c>
      <x:c r="Z525" s="37" t="n">
        <x:v>10318174.022210842</x:v>
      </x:c>
      <x:c r="AA525" s="37" t="n">
        <x:v>0</x:v>
      </x:c>
      <x:c r="AB525" s="37" t="n">
        <x:v>10318174.022210842</x:v>
      </x:c>
      <x:c r="AC525" s="37" t="n">
        <x:v>2016328.3993167914</x:v>
      </x:c>
      <x:c r="AD525" s="37" t="n">
        <x:v>0</x:v>
      </x:c>
      <x:c r="AE525" s="37" t="n">
        <x:v>0</x:v>
      </x:c>
      <x:c r="AF525" s="47" t="b">
        <x:v>0</x:v>
      </x:c>
      <x:c r="AG525" s="47" t="b">
        <x:v>0</x:v>
      </x:c>
      <x:c r="AH525" s="48" t="n">
        <x:v>0</x:v>
      </x:c>
      <x:c r="AI525" s="48" t="n">
        <x:v>1.1920928955078125e-7</x:v>
      </x:c>
      <x:c r="AJ525" s="37" t="str">
        <x:v>passed</x:v>
      </x:c>
    </x:row>
    <x:row r="526" ht="21" customHeight="1">
      <x:c r="A526" s="2"/>
      <x:c r="B526" s="2"/>
      <x:c r="C526" s="2" t="str">
        <x:v>2022</x:v>
      </x:c>
      <x:c r="D526" s="5" t="n">
        <x:v>44753</x:v>
      </x:c>
      <x:c r="E526" s="2" t="str">
        <x:v>constrained</x:v>
      </x:c>
      <x:c r="F526" s="37" t="n">
        <x:v>13142428.053895326</x:v>
      </x:c>
      <x:c r="G526" s="37" t="n">
        <x:v>-59731.22327241339</x:v>
      </x:c>
      <x:c r="H526" s="37" t="n">
        <x:v>21409.45959868647</x:v>
      </x:c>
      <x:c r="I526" s="37" t="n">
        <x:v>-81140.68287109985</x:v>
      </x:c>
      <x:c r="J526" s="37" t="n">
        <x:v>10794293.977348337</x:v>
      </x:c>
      <x:c r="K526" s="37" t="n">
        <x:v>10854025.20062075</x:v>
      </x:c>
      <x:c r="L526" s="37" t="n">
        <x:v>13082696.830622913</x:v>
      </x:c>
      <x:c r="M526" s="37" t="n">
        <x:v>0</x:v>
      </x:c>
      <x:c r="N526" s="37" t="n">
        <x:v>0</x:v>
      </x:c>
      <x:c r="O526" s="37" t="n">
        <x:v>2160.1623976994306</x:v>
      </x:c>
      <x:c r="P526" s="37" t="n">
        <x:v>0</x:v>
      </x:c>
      <x:c r="Q526" s="37" t="n">
        <x:v>0</x:v>
      </x:c>
      <x:c r="R526" s="37" t="n">
        <x:v>0</x:v>
      </x:c>
      <x:c r="S526" s="37" t="n">
        <x:v>0</x:v>
      </x:c>
      <x:c r="T526" s="37" t="n">
        <x:v>0</x:v>
      </x:c>
      <x:c r="U526" s="37" t="n">
        <x:v>-6729.4488397945315</x:v>
      </x:c>
      <x:c r="V526" s="37" t="n">
        <x:v>0</x:v>
      </x:c>
      <x:c r="W526" s="37" t="n">
        <x:v>135504.42498521693</x:v>
      </x:c>
      <x:c r="X526" s="37" t="n">
        <x:v>0</x:v>
      </x:c>
      <x:c r="Y526" s="37" t="n">
        <x:v>2376.025817664196</x:v>
      </x:c>
      <x:c r="Z526" s="37" t="n">
        <x:v>11071105.704633165</x:v>
      </x:c>
      <x:c r="AA526" s="37" t="n">
        <x:v>0</x:v>
      </x:c>
      <x:c r="AB526" s="37" t="n">
        <x:v>11071105.704633165</x:v>
      </x:c>
      <x:c r="AC526" s="37" t="n">
        <x:v>2071322.3492621612</x:v>
      </x:c>
      <x:c r="AD526" s="37" t="n">
        <x:v>0</x:v>
      </x:c>
      <x:c r="AE526" s="37" t="n">
        <x:v>0</x:v>
      </x:c>
      <x:c r="AF526" s="47" t="b">
        <x:v>0</x:v>
      </x:c>
      <x:c r="AG526" s="47" t="b">
        <x:v>0</x:v>
      </x:c>
      <x:c r="AH526" s="48" t="n">
        <x:v>0</x:v>
      </x:c>
      <x:c r="AI526" s="48" t="n">
        <x:v>1.1920928955078125e-7</x:v>
      </x:c>
      <x:c r="AJ526" s="37" t="str">
        <x:v>passed</x:v>
      </x:c>
    </x:row>
    <x:row r="527" ht="21" customHeight="1">
      <x:c r="A527" s="2"/>
      <x:c r="B527" s="2"/>
      <x:c r="C527" s="2" t="str">
        <x:v>2022</x:v>
      </x:c>
      <x:c r="D527" s="5" t="n">
        <x:v>44754</x:v>
      </x:c>
      <x:c r="E527" s="2" t="str">
        <x:v>unhedged</x:v>
      </x:c>
      <x:c r="F527" s="37" t="n">
        <x:v>1275526.6367405206</x:v>
      </x:c>
      <x:c r="G527" s="37" t="n">
        <x:v>10814963.346172852</x:v>
      </x:c>
      <x:c r="H527" s="37" t="n">
        <x:v>40870.20327888542</x:v>
      </x:c>
      <x:c r="I527" s="37" t="n">
        <x:v>10774093.142893966</x:v>
      </x:c>
      <x:c r="J527" s="37" t="n">
        <x:v>10814963.346172852</x:v>
      </x:c>
      <x:c r="K527" s="37" t="n">
        <x:v>0</x:v>
      </x:c>
      <x:c r="L527" s="37" t="n">
        <x:v>12090489.982913373</x:v>
      </x:c>
      <x:c r="M527" s="37" t="n">
        <x:v>0</x:v>
      </x:c>
      <x:c r="N527" s="37" t="n">
        <x:v>0</x:v>
      </x:c>
      <x:c r="O527" s="37" t="n">
        <x:v>69.8880410247948</x:v>
      </x:c>
      <x:c r="P527" s="37" t="n">
        <x:v>0</x:v>
      </x:c>
      <x:c r="Q527" s="37" t="n">
        <x:v>0</x:v>
      </x:c>
      <x:c r="R527" s="37" t="n">
        <x:v>0</x:v>
      </x:c>
      <x:c r="S527" s="37" t="n">
        <x:v>0</x:v>
      </x:c>
      <x:c r="T527" s="37" t="n">
        <x:v>0</x:v>
      </x:c>
      <x:c r="U527" s="37" t="n">
        <x:v>63750</x:v>
      </x:c>
      <x:c r="V527" s="37" t="n">
        <x:v>0</x:v>
      </x:c>
      <x:c r="W527" s="37" t="n">
        <x:v>12951.356057246216</x:v>
      </x:c>
      <x:c r="X527" s="37" t="n">
        <x:v>0</x:v>
      </x:c>
      <x:c r="Y527" s="37" t="n">
        <x:v>1174.7193167256753</x:v>
      </x:c>
      <x:c r="Z527" s="37" t="n">
        <x:v>0</x:v>
      </x:c>
      <x:c r="AA527" s="37" t="n">
        <x:v>0</x:v>
      </x:c>
      <x:c r="AB527" s="37" t="n">
        <x:v>0</x:v>
      </x:c>
      <x:c r="AC527" s="37" t="n">
        <x:v>1275526.6367405206</x:v>
      </x:c>
      <x:c r="AD527" s="37" t="n">
        <x:v>0</x:v>
      </x:c>
      <x:c r="AE527" s="37" t="n">
        <x:v>0</x:v>
      </x:c>
      <x:c r="AF527" s="47" t="b">
        <x:v>0</x:v>
      </x:c>
      <x:c r="AG527" s="47" t="b">
        <x:v>0</x:v>
      </x:c>
      <x:c r="AH527" s="48" t="n">
        <x:v>0</x:v>
      </x:c>
      <x:c r="AI527" s="48" t="n">
        <x:v>1.1920928955078125e-7</x:v>
      </x:c>
      <x:c r="AJ527" s="37" t="str">
        <x:v>passed</x:v>
      </x:c>
    </x:row>
    <x:row r="528" ht="21" customHeight="1">
      <x:c r="A528" s="2"/>
      <x:c r="B528" s="2"/>
      <x:c r="C528" s="2" t="str">
        <x:v>2022</x:v>
      </x:c>
      <x:c r="D528" s="5" t="n">
        <x:v>44754</x:v>
      </x:c>
      <x:c r="E528" s="2" t="str">
        <x:v>duration</x:v>
      </x:c>
      <x:c r="F528" s="37" t="n">
        <x:v>9327371.61767607</x:v>
      </x:c>
      <x:c r="G528" s="37" t="n">
        <x:v>3658114.272835108</x:v>
      </x:c>
      <x:c r="H528" s="37" t="n">
        <x:v>22979.058370672963</x:v>
      </x:c>
      <x:c r="I528" s="37" t="n">
        <x:v>3635135.214464435</x:v>
      </x:c>
      <x:c r="J528" s="37" t="n">
        <x:v>10814963.346172852</x:v>
      </x:c>
      <x:c r="K528" s="37" t="n">
        <x:v>7156849.073337745</x:v>
      </x:c>
      <x:c r="L528" s="37" t="n">
        <x:v>12985485.890511177</x:v>
      </x:c>
      <x:c r="M528" s="37" t="n">
        <x:v>0</x:v>
      </x:c>
      <x:c r="N528" s="37" t="n">
        <x:v>0</x:v>
      </x:c>
      <x:c r="O528" s="37" t="n">
        <x:v>511.06085242703557</x:v>
      </x:c>
      <x:c r="P528" s="37" t="n">
        <x:v>0</x:v>
      </x:c>
      <x:c r="Q528" s="37" t="n">
        <x:v>0</x:v>
      </x:c>
      <x:c r="R528" s="37" t="n">
        <x:v>0</x:v>
      </x:c>
      <x:c r="S528" s="37" t="n">
        <x:v>0</x:v>
      </x:c>
      <x:c r="T528" s="37" t="n">
        <x:v>0</x:v>
      </x:c>
      <x:c r="U528" s="37" t="n">
        <x:v>6645.098252371114</x:v>
      </x:c>
      <x:c r="V528" s="37" t="n">
        <x:v>0</x:v>
      </x:c>
      <x:c r="W528" s="37" t="n">
        <x:v>96933.19606247358</x:v>
      </x:c>
      <x:c r="X528" s="37" t="n">
        <x:v>0</x:v>
      </x:c>
      <x:c r="Y528" s="37" t="n">
        <x:v>1994.1254232916465</x:v>
      </x:c>
      <x:c r="Z528" s="37" t="n">
        <x:v>7299986.0548045</x:v>
      </x:c>
      <x:c r="AA528" s="37" t="n">
        <x:v>0</x:v>
      </x:c>
      <x:c r="AB528" s="37" t="n">
        <x:v>7299986.0548045</x:v>
      </x:c>
      <x:c r="AC528" s="37" t="n">
        <x:v>2027385.5628715698</x:v>
      </x:c>
      <x:c r="AD528" s="37" t="n">
        <x:v>0</x:v>
      </x:c>
      <x:c r="AE528" s="37" t="n">
        <x:v>0</x:v>
      </x:c>
      <x:c r="AF528" s="47" t="b">
        <x:v>0</x:v>
      </x:c>
      <x:c r="AG528" s="47" t="b">
        <x:v>0</x:v>
      </x:c>
      <x:c r="AH528" s="48" t="n">
        <x:v>0</x:v>
      </x:c>
      <x:c r="AI528" s="48" t="n">
        <x:v>1.1920928955078125e-7</x:v>
      </x:c>
      <x:c r="AJ528" s="37" t="str">
        <x:v>passed</x:v>
      </x:c>
    </x:row>
    <x:row r="529" ht="21" customHeight="1">
      <x:c r="A529" s="2"/>
      <x:c r="B529" s="2"/>
      <x:c r="C529" s="2" t="str">
        <x:v>2022</x:v>
      </x:c>
      <x:c r="D529" s="5" t="n">
        <x:v>44754</x:v>
      </x:c>
      <x:c r="E529" s="2" t="str">
        <x:v>unweighted</x:v>
      </x:c>
      <x:c r="F529" s="37" t="n">
        <x:v>12335178.284674017</x:v>
      </x:c>
      <x:c r="G529" s="37" t="n">
        <x:v>679167.5881379127</x:v>
      </x:c>
      <x:c r="H529" s="37" t="n">
        <x:v>22487.646500798597</x:v>
      </x:c>
      <x:c r="I529" s="37" t="n">
        <x:v>656679.941637114</x:v>
      </x:c>
      <x:c r="J529" s="37" t="n">
        <x:v>10821173.419210782</x:v>
      </x:c>
      <x:c r="K529" s="37" t="n">
        <x:v>10142005.83107287</x:v>
      </x:c>
      <x:c r="L529" s="37" t="n">
        <x:v>13014345.87281193</x:v>
      </x:c>
      <x:c r="M529" s="37" t="n">
        <x:v>0</x:v>
      </x:c>
      <x:c r="N529" s="37" t="n">
        <x:v>0</x:v>
      </x:c>
      <x:c r="O529" s="37" t="n">
        <x:v>675.8631463833153</x:v>
      </x:c>
      <x:c r="P529" s="37" t="n">
        <x:v>0</x:v>
      </x:c>
      <x:c r="Q529" s="37" t="n">
        <x:v>0</x:v>
      </x:c>
      <x:c r="R529" s="37" t="n">
        <x:v>0</x:v>
      </x:c>
      <x:c r="S529" s="37" t="n">
        <x:v>0</x:v>
      </x:c>
      <x:c r="T529" s="37" t="n">
        <x:v>0</x:v>
      </x:c>
      <x:c r="U529" s="37" t="n">
        <x:v>-1868.6910087944125</x:v>
      </x:c>
      <x:c r="V529" s="37" t="n">
        <x:v>0</x:v>
      </x:c>
      <x:c r="W529" s="37" t="n">
        <x:v>126169.85335478</x:v>
      </x:c>
      <x:c r="X529" s="37" t="n">
        <x:v>0</x:v>
      </x:c>
      <x:c r="Y529" s="37" t="n">
        <x:v>2278.3794391011447</x:v>
      </x:c>
      <x:c r="Z529" s="37" t="n">
        <x:v>10344845.947694328</x:v>
      </x:c>
      <x:c r="AA529" s="37" t="n">
        <x:v>0</x:v>
      </x:c>
      <x:c r="AB529" s="37" t="n">
        <x:v>10344845.947694328</x:v>
      </x:c>
      <x:c r="AC529" s="37" t="n">
        <x:v>1990332.336979689</x:v>
      </x:c>
      <x:c r="AD529" s="37" t="n">
        <x:v>0</x:v>
      </x:c>
      <x:c r="AE529" s="37" t="n">
        <x:v>0</x:v>
      </x:c>
      <x:c r="AF529" s="47" t="b">
        <x:v>0</x:v>
      </x:c>
      <x:c r="AG529" s="47" t="b">
        <x:v>0</x:v>
      </x:c>
      <x:c r="AH529" s="48" t="n">
        <x:v>0</x:v>
      </x:c>
      <x:c r="AI529" s="48" t="n">
        <x:v>1.1920928955078125e-7</x:v>
      </x:c>
      <x:c r="AJ529" s="37" t="str">
        <x:v>passed</x:v>
      </x:c>
    </x:row>
    <x:row r="530" ht="21" customHeight="1">
      <x:c r="A530" s="2"/>
      <x:c r="B530" s="2"/>
      <x:c r="C530" s="2" t="str">
        <x:v>2022</x:v>
      </x:c>
      <x:c r="D530" s="5" t="n">
        <x:v>44754</x:v>
      </x:c>
      <x:c r="E530" s="2" t="str">
        <x:v>constrained</x:v>
      </x:c>
      <x:c r="F530" s="37" t="n">
        <x:v>13143148.186939375</x:v>
      </x:c>
      <x:c r="G530" s="37" t="n">
        <x:v>-59656.197677849035</x:v>
      </x:c>
      <x:c r="H530" s="37" t="n">
        <x:v>21375.161416189043</x:v>
      </x:c>
      <x:c r="I530" s="37" t="n">
        <x:v>-81031.35909403808</x:v>
      </x:c>
      <x:c r="J530" s="37" t="n">
        <x:v>10821887.56844792</x:v>
      </x:c>
      <x:c r="K530" s="37" t="n">
        <x:v>10881543.766125768</x:v>
      </x:c>
      <x:c r="L530" s="37" t="n">
        <x:v>13083491.989261527</x:v>
      </x:c>
      <x:c r="M530" s="37" t="n">
        <x:v>0</x:v>
      </x:c>
      <x:c r="N530" s="37" t="n">
        <x:v>0</x:v>
      </x:c>
      <x:c r="O530" s="37" t="n">
        <x:v>720.1330440491438</x:v>
      </x:c>
      <x:c r="P530" s="37" t="n">
        <x:v>0</x:v>
      </x:c>
      <x:c r="Q530" s="37" t="n">
        <x:v>0</x:v>
      </x:c>
      <x:c r="R530" s="37" t="n">
        <x:v>0</x:v>
      </x:c>
      <x:c r="S530" s="37" t="n">
        <x:v>0</x:v>
      </x:c>
      <x:c r="T530" s="37" t="n">
        <x:v>0</x:v>
      </x:c>
      <x:c r="U530" s="37" t="n">
        <x:v>-6729.4488397945315</x:v>
      </x:c>
      <x:c r="V530" s="37" t="n">
        <x:v>0</x:v>
      </x:c>
      <x:c r="W530" s="37" t="n">
        <x:v>136224.55802926607</x:v>
      </x:c>
      <x:c r="X530" s="37" t="n">
        <x:v>0</x:v>
      </x:c>
      <x:c r="Y530" s="37" t="n">
        <x:v>2376.025817664196</x:v>
      </x:c>
      <x:c r="Z530" s="37" t="n">
        <x:v>11099174.641448284</x:v>
      </x:c>
      <x:c r="AA530" s="37" t="n">
        <x:v>0</x:v>
      </x:c>
      <x:c r="AB530" s="37" t="n">
        <x:v>11099174.641448284</x:v>
      </x:c>
      <x:c r="AC530" s="37" t="n">
        <x:v>2043973.545491092</x:v>
      </x:c>
      <x:c r="AD530" s="37" t="n">
        <x:v>0</x:v>
      </x:c>
      <x:c r="AE530" s="37" t="n">
        <x:v>0</x:v>
      </x:c>
      <x:c r="AF530" s="47" t="b">
        <x:v>0</x:v>
      </x:c>
      <x:c r="AG530" s="47" t="b">
        <x:v>0</x:v>
      </x:c>
      <x:c r="AH530" s="48" t="n">
        <x:v>0</x:v>
      </x:c>
      <x:c r="AI530" s="48" t="n">
        <x:v>1.1920928955078125e-7</x:v>
      </x:c>
      <x:c r="AJ530" s="37" t="str">
        <x:v>passed</x:v>
      </x:c>
    </x:row>
    <x:row r="531" ht="21" customHeight="1">
      <x:c r="A531" s="2"/>
      <x:c r="B531" s="2"/>
      <x:c r="C531" s="2" t="str">
        <x:v>2022</x:v>
      </x:c>
      <x:c r="D531" s="5" t="n">
        <x:v>44755</x:v>
      </x:c>
      <x:c r="E531" s="2" t="str">
        <x:v>unhedged</x:v>
      </x:c>
      <x:c r="F531" s="37" t="n">
        <x:v>1275596.5286110267</x:v>
      </x:c>
      <x:c r="G531" s="37" t="n">
        <x:v>10825030.95715827</x:v>
      </x:c>
      <x:c r="H531" s="37" t="n">
        <x:v>41220.04864280567</x:v>
      </x:c>
      <x:c r="I531" s="37" t="n">
        <x:v>10783810.908515465</x:v>
      </x:c>
      <x:c r="J531" s="37" t="n">
        <x:v>10825030.95715827</x:v>
      </x:c>
      <x:c r="K531" s="37" t="n">
        <x:v>0</x:v>
      </x:c>
      <x:c r="L531" s="37" t="n">
        <x:v>12100627.485769296</x:v>
      </x:c>
      <x:c r="M531" s="37" t="n">
        <x:v>0</x:v>
      </x:c>
      <x:c r="N531" s="37" t="n">
        <x:v>0</x:v>
      </x:c>
      <x:c r="O531" s="37" t="n">
        <x:v>69.89187050610781</x:v>
      </x:c>
      <x:c r="P531" s="37" t="n">
        <x:v>0</x:v>
      </x:c>
      <x:c r="Q531" s="37" t="n">
        <x:v>0</x:v>
      </x:c>
      <x:c r="R531" s="37" t="n">
        <x:v>0</x:v>
      </x:c>
      <x:c r="S531" s="37" t="n">
        <x:v>0</x:v>
      </x:c>
      <x:c r="T531" s="37" t="n">
        <x:v>0</x:v>
      </x:c>
      <x:c r="U531" s="37" t="n">
        <x:v>63750</x:v>
      </x:c>
      <x:c r="V531" s="37" t="n">
        <x:v>0</x:v>
      </x:c>
      <x:c r="W531" s="37" t="n">
        <x:v>13021.247927752323</x:v>
      </x:c>
      <x:c r="X531" s="37" t="n">
        <x:v>0</x:v>
      </x:c>
      <x:c r="Y531" s="37" t="n">
        <x:v>1174.7193167256753</x:v>
      </x:c>
      <x:c r="Z531" s="37" t="n">
        <x:v>0</x:v>
      </x:c>
      <x:c r="AA531" s="37" t="n">
        <x:v>0</x:v>
      </x:c>
      <x:c r="AB531" s="37" t="n">
        <x:v>0</x:v>
      </x:c>
      <x:c r="AC531" s="37" t="n">
        <x:v>1275596.5286110267</x:v>
      </x:c>
      <x:c r="AD531" s="37" t="n">
        <x:v>0</x:v>
      </x:c>
      <x:c r="AE531" s="37" t="n">
        <x:v>0</x:v>
      </x:c>
      <x:c r="AF531" s="47" t="b">
        <x:v>0</x:v>
      </x:c>
      <x:c r="AG531" s="47" t="b">
        <x:v>0</x:v>
      </x:c>
      <x:c r="AH531" s="48" t="n">
        <x:v>0</x:v>
      </x:c>
      <x:c r="AI531" s="48" t="n">
        <x:v>1.1920928955078125e-7</x:v>
      </x:c>
      <x:c r="AJ531" s="37" t="str">
        <x:v>passed</x:v>
      </x:c>
    </x:row>
    <x:row r="532" ht="21" customHeight="1">
      <x:c r="A532" s="2"/>
      <x:c r="B532" s="2"/>
      <x:c r="C532" s="2" t="str">
        <x:v>2022</x:v>
      </x:c>
      <x:c r="D532" s="5" t="n">
        <x:v>44755</x:v>
      </x:c>
      <x:c r="E532" s="2" t="str">
        <x:v>duration</x:v>
      </x:c>
      <x:c r="F532" s="37" t="n">
        <x:v>9327882.706531834</x:v>
      </x:c>
      <x:c r="G532" s="37" t="n">
        <x:v>3643713.9660295313</x:v>
      </x:c>
      <x:c r="H532" s="37" t="n">
        <x:v>23020.435718934375</x:v>
      </x:c>
      <x:c r="I532" s="37" t="n">
        <x:v>3620693.530310597</x:v>
      </x:c>
      <x:c r="J532" s="37" t="n">
        <x:v>10825030.95715827</x:v>
      </x:c>
      <x:c r="K532" s="37" t="n">
        <x:v>7181316.991128739</x:v>
      </x:c>
      <x:c r="L532" s="37" t="n">
        <x:v>12971596.672561366</x:v>
      </x:c>
      <x:c r="M532" s="37" t="n">
        <x:v>0</x:v>
      </x:c>
      <x:c r="N532" s="37" t="n">
        <x:v>0</x:v>
      </x:c>
      <x:c r="O532" s="37" t="n">
        <x:v>511.0888557638973</x:v>
      </x:c>
      <x:c r="P532" s="37" t="n">
        <x:v>0</x:v>
      </x:c>
      <x:c r="Q532" s="37" t="n">
        <x:v>0</x:v>
      </x:c>
      <x:c r="R532" s="37" t="n">
        <x:v>0</x:v>
      </x:c>
      <x:c r="S532" s="37" t="n">
        <x:v>0</x:v>
      </x:c>
      <x:c r="T532" s="37" t="n">
        <x:v>0</x:v>
      </x:c>
      <x:c r="U532" s="37" t="n">
        <x:v>6645.098252371114</x:v>
      </x:c>
      <x:c r="V532" s="37" t="n">
        <x:v>0</x:v>
      </x:c>
      <x:c r="W532" s="37" t="n">
        <x:v>97444.28491823748</x:v>
      </x:c>
      <x:c r="X532" s="37" t="n">
        <x:v>0</x:v>
      </x:c>
      <x:c r="Y532" s="37" t="n">
        <x:v>1994.1254232916465</x:v>
      </x:c>
      <x:c r="Z532" s="37" t="n">
        <x:v>7324943.3309513135</x:v>
      </x:c>
      <x:c r="AA532" s="37" t="n">
        <x:v>0</x:v>
      </x:c>
      <x:c r="AB532" s="37" t="n">
        <x:v>7324943.3309513135</x:v>
      </x:c>
      <x:c r="AC532" s="37" t="n">
        <x:v>2002939.3755805204</x:v>
      </x:c>
      <x:c r="AD532" s="37" t="n">
        <x:v>0</x:v>
      </x:c>
      <x:c r="AE532" s="37" t="n">
        <x:v>0</x:v>
      </x:c>
      <x:c r="AF532" s="47" t="b">
        <x:v>0</x:v>
      </x:c>
      <x:c r="AG532" s="47" t="b">
        <x:v>0</x:v>
      </x:c>
      <x:c r="AH532" s="48" t="n">
        <x:v>0</x:v>
      </x:c>
      <x:c r="AI532" s="48" t="n">
        <x:v>1.1920928955078125e-7</x:v>
      </x:c>
      <x:c r="AJ532" s="37" t="str">
        <x:v>passed</x:v>
      </x:c>
    </x:row>
    <x:row r="533" ht="21" customHeight="1">
      <x:c r="A533" s="2"/>
      <x:c r="B533" s="2"/>
      <x:c r="C533" s="2" t="str">
        <x:v>2022</x:v>
      </x:c>
      <x:c r="D533" s="5" t="n">
        <x:v>44755</x:v>
      </x:c>
      <x:c r="E533" s="2" t="str">
        <x:v>unweighted</x:v>
      </x:c>
      <x:c r="F533" s="37" t="n">
        <x:v>12335854.184854</x:v>
      </x:c>
      <x:c r="G533" s="37" t="n">
        <x:v>679322.9079694753</x:v>
      </x:c>
      <x:c r="H533" s="37" t="n">
        <x:v>22477.20553027483</x:v>
      </x:c>
      <x:c r="I533" s="37" t="n">
        <x:v>656845.7024392005</x:v>
      </x:c>
      <x:c r="J533" s="37" t="n">
        <x:v>10831286.30484316</x:v>
      </x:c>
      <x:c r="K533" s="37" t="n">
        <x:v>10151963.396873685</x:v>
      </x:c>
      <x:c r="L533" s="37" t="n">
        <x:v>13015177.092823476</x:v>
      </x:c>
      <x:c r="M533" s="37" t="n">
        <x:v>0</x:v>
      </x:c>
      <x:c r="N533" s="37" t="n">
        <x:v>0</x:v>
      </x:c>
      <x:c r="O533" s="37" t="n">
        <x:v>675.900179984048</x:v>
      </x:c>
      <x:c r="P533" s="37" t="n">
        <x:v>0</x:v>
      </x:c>
      <x:c r="Q533" s="37" t="n">
        <x:v>0</x:v>
      </x:c>
      <x:c r="R533" s="37" t="n">
        <x:v>0</x:v>
      </x:c>
      <x:c r="S533" s="37" t="n">
        <x:v>0</x:v>
      </x:c>
      <x:c r="T533" s="37" t="n">
        <x:v>0</x:v>
      </x:c>
      <x:c r="U533" s="37" t="n">
        <x:v>-1868.6910087944125</x:v>
      </x:c>
      <x:c r="V533" s="37" t="n">
        <x:v>0</x:v>
      </x:c>
      <x:c r="W533" s="37" t="n">
        <x:v>126845.75353476405</x:v>
      </x:c>
      <x:c r="X533" s="37" t="n">
        <x:v>0</x:v>
      </x:c>
      <x:c r="Y533" s="37" t="n">
        <x:v>2278.3794391011447</x:v>
      </x:c>
      <x:c r="Z533" s="37" t="n">
        <x:v>10355002.664811159</x:v>
      </x:c>
      <x:c r="AA533" s="37" t="n">
        <x:v>0</x:v>
      </x:c>
      <x:c r="AB533" s="37" t="n">
        <x:v>10355002.664811159</x:v>
      </x:c>
      <x:c r="AC533" s="37" t="n">
        <x:v>1980851.5200428423</x:v>
      </x:c>
      <x:c r="AD533" s="37" t="n">
        <x:v>0</x:v>
      </x:c>
      <x:c r="AE533" s="37" t="n">
        <x:v>0</x:v>
      </x:c>
      <x:c r="AF533" s="47" t="b">
        <x:v>0</x:v>
      </x:c>
      <x:c r="AG533" s="47" t="b">
        <x:v>0</x:v>
      </x:c>
      <x:c r="AH533" s="48" t="n">
        <x:v>0</x:v>
      </x:c>
      <x:c r="AI533" s="48" t="n">
        <x:v>1.1920928955078125e-7</x:v>
      </x:c>
      <x:c r="AJ533" s="37" t="str">
        <x:v>passed</x:v>
      </x:c>
    </x:row>
    <x:row r="534" ht="21" customHeight="1">
      <x:c r="A534" s="2"/>
      <x:c r="B534" s="2"/>
      <x:c r="C534" s="2" t="str">
        <x:v>2022</x:v>
      </x:c>
      <x:c r="D534" s="5" t="n">
        <x:v>44755</x:v>
      </x:c>
      <x:c r="E534" s="2" t="str">
        <x:v>constrained</x:v>
      </x:c>
      <x:c r="F534" s="37" t="n">
        <x:v>13143868.35944277</x:v>
      </x:c>
      <x:c r="G534" s="37" t="n">
        <x:v>-59381.52169303833</x:v>
      </x:c>
      <x:c r="H534" s="37" t="n">
        <x:v>21340.863233691623</x:v>
      </x:c>
      <x:c r="I534" s="37" t="n">
        <x:v>-80722.38492672995</x:v>
      </x:c>
      <x:c r="J534" s="37" t="n">
        <x:v>10832005.6605979</x:v>
      </x:c>
      <x:c r="K534" s="37" t="n">
        <x:v>10891387.182290938</x:v>
      </x:c>
      <x:c r="L534" s="37" t="n">
        <x:v>13084486.837749733</x:v>
      </x:c>
      <x:c r="M534" s="37" t="n">
        <x:v>0</x:v>
      </x:c>
      <x:c r="N534" s="37" t="n">
        <x:v>0</x:v>
      </x:c>
      <x:c r="O534" s="37" t="n">
        <x:v>720.1725033950061</x:v>
      </x:c>
      <x:c r="P534" s="37" t="n">
        <x:v>0</x:v>
      </x:c>
      <x:c r="Q534" s="37" t="n">
        <x:v>0</x:v>
      </x:c>
      <x:c r="R534" s="37" t="n">
        <x:v>0</x:v>
      </x:c>
      <x:c r="S534" s="37" t="n">
        <x:v>0</x:v>
      </x:c>
      <x:c r="T534" s="37" t="n">
        <x:v>0</x:v>
      </x:c>
      <x:c r="U534" s="37" t="n">
        <x:v>-6729.4488397945315</x:v>
      </x:c>
      <x:c r="V534" s="37" t="n">
        <x:v>0</x:v>
      </x:c>
      <x:c r="W534" s="37" t="n">
        <x:v>136944.73053266108</x:v>
      </x:c>
      <x:c r="X534" s="37" t="n">
        <x:v>0</x:v>
      </x:c>
      <x:c r="Y534" s="37" t="n">
        <x:v>2376.025817664196</x:v>
      </x:c>
      <x:c r="Z534" s="37" t="n">
        <x:v>11109214.925936757</x:v>
      </x:c>
      <x:c r="AA534" s="37" t="n">
        <x:v>0</x:v>
      </x:c>
      <x:c r="AB534" s="37" t="n">
        <x:v>11109214.925936757</x:v>
      </x:c>
      <x:c r="AC534" s="37" t="n">
        <x:v>2034653.4335060138</x:v>
      </x:c>
      <x:c r="AD534" s="37" t="n">
        <x:v>0</x:v>
      </x:c>
      <x:c r="AE534" s="37" t="n">
        <x:v>0</x:v>
      </x:c>
      <x:c r="AF534" s="47" t="b">
        <x:v>0</x:v>
      </x:c>
      <x:c r="AG534" s="47" t="b">
        <x:v>0</x:v>
      </x:c>
      <x:c r="AH534" s="48" t="n">
        <x:v>0</x:v>
      </x:c>
      <x:c r="AI534" s="48" t="n">
        <x:v>1.1920928955078125e-7</x:v>
      </x:c>
      <x:c r="AJ534" s="37" t="str">
        <x:v>passed</x:v>
      </x:c>
    </x:row>
    <x:row r="535" ht="21" customHeight="1">
      <x:c r="A535" s="2"/>
      <x:c r="B535" s="2"/>
      <x:c r="C535" s="2" t="str">
        <x:v>2022</x:v>
      </x:c>
      <x:c r="D535" s="5" t="n">
        <x:v>44756</x:v>
      </x:c>
      <x:c r="E535" s="2" t="str">
        <x:v>unhedged</x:v>
      </x:c>
      <x:c r="F535" s="37" t="n">
        <x:v>1275666.4243112248</x:v>
      </x:c>
      <x:c r="G535" s="37" t="n">
        <x:v>10798735.725603744</x:v>
      </x:c>
      <x:c r="H535" s="37" t="n">
        <x:v>41569.89400672592</x:v>
      </x:c>
      <x:c r="I535" s="37" t="n">
        <x:v>10757165.831597019</x:v>
      </x:c>
      <x:c r="J535" s="37" t="n">
        <x:v>10798735.725603744</x:v>
      </x:c>
      <x:c r="K535" s="37" t="n">
        <x:v>0</x:v>
      </x:c>
      <x:c r="L535" s="37" t="n">
        <x:v>12074402.149914969</x:v>
      </x:c>
      <x:c r="M535" s="37" t="n">
        <x:v>0</x:v>
      </x:c>
      <x:c r="N535" s="37" t="n">
        <x:v>0</x:v>
      </x:c>
      <x:c r="O535" s="37" t="n">
        <x:v>69.89570019813254</x:v>
      </x:c>
      <x:c r="P535" s="37" t="n">
        <x:v>0</x:v>
      </x:c>
      <x:c r="Q535" s="37" t="n">
        <x:v>0</x:v>
      </x:c>
      <x:c r="R535" s="37" t="n">
        <x:v>0</x:v>
      </x:c>
      <x:c r="S535" s="37" t="n">
        <x:v>0</x:v>
      </x:c>
      <x:c r="T535" s="37" t="n">
        <x:v>0</x:v>
      </x:c>
      <x:c r="U535" s="37" t="n">
        <x:v>63750</x:v>
      </x:c>
      <x:c r="V535" s="37" t="n">
        <x:v>0</x:v>
      </x:c>
      <x:c r="W535" s="37" t="n">
        <x:v>13091.143627950456</x:v>
      </x:c>
      <x:c r="X535" s="37" t="n">
        <x:v>0</x:v>
      </x:c>
      <x:c r="Y535" s="37" t="n">
        <x:v>1174.7193167256753</x:v>
      </x:c>
      <x:c r="Z535" s="37" t="n">
        <x:v>0</x:v>
      </x:c>
      <x:c r="AA535" s="37" t="n">
        <x:v>0</x:v>
      </x:c>
      <x:c r="AB535" s="37" t="n">
        <x:v>0</x:v>
      </x:c>
      <x:c r="AC535" s="37" t="n">
        <x:v>1275666.4243112248</x:v>
      </x:c>
      <x:c r="AD535" s="37" t="n">
        <x:v>0</x:v>
      </x:c>
      <x:c r="AE535" s="37" t="n">
        <x:v>0</x:v>
      </x:c>
      <x:c r="AF535" s="47" t="b">
        <x:v>0</x:v>
      </x:c>
      <x:c r="AG535" s="47" t="b">
        <x:v>0</x:v>
      </x:c>
      <x:c r="AH535" s="48" t="n">
        <x:v>0</x:v>
      </x:c>
      <x:c r="AI535" s="48" t="n">
        <x:v>1.1920928955078125e-7</x:v>
      </x:c>
      <x:c r="AJ535" s="37" t="str">
        <x:v>passed</x:v>
      </x:c>
    </x:row>
    <x:row r="536" ht="21" customHeight="1">
      <x:c r="A536" s="2"/>
      <x:c r="B536" s="2"/>
      <x:c r="C536" s="2" t="str">
        <x:v>2022</x:v>
      </x:c>
      <x:c r="D536" s="5" t="n">
        <x:v>44756</x:v>
      </x:c>
      <x:c r="E536" s="2" t="str">
        <x:v>duration</x:v>
      </x:c>
      <x:c r="F536" s="37" t="n">
        <x:v>9328393.823392468</x:v>
      </x:c>
      <x:c r="G536" s="37" t="n">
        <x:v>3646686.228727453</x:v>
      </x:c>
      <x:c r="H536" s="37" t="n">
        <x:v>23061.81306719579</x:v>
      </x:c>
      <x:c r="I536" s="37" t="n">
        <x:v>3623624.415660257</x:v>
      </x:c>
      <x:c r="J536" s="37" t="n">
        <x:v>10798735.725603744</x:v>
      </x:c>
      <x:c r="K536" s="37" t="n">
        <x:v>7152049.496876292</x:v>
      </x:c>
      <x:c r="L536" s="37" t="n">
        <x:v>12975080.05211992</x:v>
      </x:c>
      <x:c r="M536" s="37" t="n">
        <x:v>0</x:v>
      </x:c>
      <x:c r="N536" s="37" t="n">
        <x:v>0</x:v>
      </x:c>
      <x:c r="O536" s="37" t="n">
        <x:v>511.116860633716</x:v>
      </x:c>
      <x:c r="P536" s="37" t="n">
        <x:v>0</x:v>
      </x:c>
      <x:c r="Q536" s="37" t="n">
        <x:v>0</x:v>
      </x:c>
      <x:c r="R536" s="37" t="n">
        <x:v>0</x:v>
      </x:c>
      <x:c r="S536" s="37" t="n">
        <x:v>0</x:v>
      </x:c>
      <x:c r="T536" s="37" t="n">
        <x:v>0</x:v>
      </x:c>
      <x:c r="U536" s="37" t="n">
        <x:v>6645.098252371114</x:v>
      </x:c>
      <x:c r="V536" s="37" t="n">
        <x:v>0</x:v>
      </x:c>
      <x:c r="W536" s="37" t="n">
        <x:v>97955.4017788712</x:v>
      </x:c>
      <x:c r="X536" s="37" t="n">
        <x:v>0</x:v>
      </x:c>
      <x:c r="Y536" s="37" t="n">
        <x:v>1994.1254232916465</x:v>
      </x:c>
      <x:c r="Z536" s="37" t="n">
        <x:v>7295090.486813818</x:v>
      </x:c>
      <x:c r="AA536" s="37" t="n">
        <x:v>0</x:v>
      </x:c>
      <x:c r="AB536" s="37" t="n">
        <x:v>7295090.486813818</x:v>
      </x:c>
      <x:c r="AC536" s="37" t="n">
        <x:v>2033303.3365786495</x:v>
      </x:c>
      <x:c r="AD536" s="37" t="n">
        <x:v>0</x:v>
      </x:c>
      <x:c r="AE536" s="37" t="n">
        <x:v>0</x:v>
      </x:c>
      <x:c r="AF536" s="47" t="b">
        <x:v>0</x:v>
      </x:c>
      <x:c r="AG536" s="47" t="b">
        <x:v>0</x:v>
      </x:c>
      <x:c r="AH536" s="48" t="n">
        <x:v>0</x:v>
      </x:c>
      <x:c r="AI536" s="48" t="n">
        <x:v>1.1920928955078125e-7</x:v>
      </x:c>
      <x:c r="AJ536" s="37" t="str">
        <x:v>passed</x:v>
      </x:c>
    </x:row>
    <x:row r="537" ht="21" customHeight="1">
      <x:c r="A537" s="2"/>
      <x:c r="B537" s="2"/>
      <x:c r="C537" s="2" t="str">
        <x:v>2022</x:v>
      </x:c>
      <x:c r="D537" s="5" t="n">
        <x:v>44756</x:v>
      </x:c>
      <x:c r="E537" s="2" t="str">
        <x:v>unweighted</x:v>
      </x:c>
      <x:c r="F537" s="37" t="n">
        <x:v>12336530.12206961</x:v>
      </x:c>
      <x:c r="G537" s="37" t="n">
        <x:v>677759.4108920168</x:v>
      </x:c>
      <x:c r="H537" s="37" t="n">
        <x:v>22466.76455975106</x:v>
      </x:c>
      <x:c r="I537" s="37" t="n">
        <x:v>655292.6463322658</x:v>
      </x:c>
      <x:c r="J537" s="37" t="n">
        <x:v>10804965.956984749</x:v>
      </x:c>
      <x:c r="K537" s="37" t="n">
        <x:v>10127206.546092732</x:v>
      </x:c>
      <x:c r="L537" s="37" t="n">
        <x:v>13014289.532961627</x:v>
      </x:c>
      <x:c r="M537" s="37" t="n">
        <x:v>0</x:v>
      </x:c>
      <x:c r="N537" s="37" t="n">
        <x:v>0</x:v>
      </x:c>
      <x:c r="O537" s="37" t="n">
        <x:v>675.937215609476</x:v>
      </x:c>
      <x:c r="P537" s="37" t="n">
        <x:v>0</x:v>
      </x:c>
      <x:c r="Q537" s="37" t="n">
        <x:v>0</x:v>
      </x:c>
      <x:c r="R537" s="37" t="n">
        <x:v>0</x:v>
      </x:c>
      <x:c r="S537" s="37" t="n">
        <x:v>0</x:v>
      </x:c>
      <x:c r="T537" s="37" t="n">
        <x:v>0</x:v>
      </x:c>
      <x:c r="U537" s="37" t="n">
        <x:v>-1868.6910087944125</x:v>
      </x:c>
      <x:c r="V537" s="37" t="n">
        <x:v>0</x:v>
      </x:c>
      <x:c r="W537" s="37" t="n">
        <x:v>127521.69075037353</x:v>
      </x:c>
      <x:c r="X537" s="37" t="n">
        <x:v>0</x:v>
      </x:c>
      <x:c r="Y537" s="37" t="n">
        <x:v>2278.3794391011447</x:v>
      </x:c>
      <x:c r="Z537" s="37" t="n">
        <x:v>10329750.677014587</x:v>
      </x:c>
      <x:c r="AA537" s="37" t="n">
        <x:v>0</x:v>
      </x:c>
      <x:c r="AB537" s="37" t="n">
        <x:v>10329750.677014587</x:v>
      </x:c>
      <x:c r="AC537" s="37" t="n">
        <x:v>2006779.4450550228</x:v>
      </x:c>
      <x:c r="AD537" s="37" t="n">
        <x:v>0</x:v>
      </x:c>
      <x:c r="AE537" s="37" t="n">
        <x:v>0</x:v>
      </x:c>
      <x:c r="AF537" s="47" t="b">
        <x:v>0</x:v>
      </x:c>
      <x:c r="AG537" s="47" t="b">
        <x:v>0</x:v>
      </x:c>
      <x:c r="AH537" s="48" t="n">
        <x:v>0</x:v>
      </x:c>
      <x:c r="AI537" s="48" t="n">
        <x:v>1.1920928955078125e-7</x:v>
      </x:c>
      <x:c r="AJ537" s="37" t="str">
        <x:v>passed</x:v>
      </x:c>
    </x:row>
    <x:row r="538" ht="21" customHeight="1">
      <x:c r="A538" s="2"/>
      <x:c r="B538" s="2"/>
      <x:c r="C538" s="2" t="str">
        <x:v>2022</x:v>
      </x:c>
      <x:c r="D538" s="5" t="n">
        <x:v>44756</x:v>
      </x:c>
      <x:c r="E538" s="2" t="str">
        <x:v>constrained</x:v>
      </x:c>
      <x:c r="F538" s="37" t="n">
        <x:v>13144588.571407674</x:v>
      </x:c>
      <x:c r="G538" s="37" t="n">
        <x:v>-59713.75768827158</x:v>
      </x:c>
      <x:c r="H538" s="37" t="n">
        <x:v>21306.565051194197</x:v>
      </x:c>
      <x:c r="I538" s="37" t="n">
        <x:v>-81020.32273946577</x:v>
      </x:c>
      <x:c r="J538" s="37" t="n">
        <x:v>10805682.424401598</x:v>
      </x:c>
      <x:c r="K538" s="37" t="n">
        <x:v>10865396.182089869</x:v>
      </x:c>
      <x:c r="L538" s="37" t="n">
        <x:v>13084874.813719403</x:v>
      </x:c>
      <x:c r="M538" s="37" t="n">
        <x:v>0</x:v>
      </x:c>
      <x:c r="N538" s="37" t="n">
        <x:v>0</x:v>
      </x:c>
      <x:c r="O538" s="37" t="n">
        <x:v>720.2119649033993</x:v>
      </x:c>
      <x:c r="P538" s="37" t="n">
        <x:v>0</x:v>
      </x:c>
      <x:c r="Q538" s="37" t="n">
        <x:v>0</x:v>
      </x:c>
      <x:c r="R538" s="37" t="n">
        <x:v>0</x:v>
      </x:c>
      <x:c r="S538" s="37" t="n">
        <x:v>0</x:v>
      </x:c>
      <x:c r="T538" s="37" t="n">
        <x:v>0</x:v>
      </x:c>
      <x:c r="U538" s="37" t="n">
        <x:v>-6729.4488397945315</x:v>
      </x:c>
      <x:c r="V538" s="37" t="n">
        <x:v>0</x:v>
      </x:c>
      <x:c r="W538" s="37" t="n">
        <x:v>137664.94249756448</x:v>
      </x:c>
      <x:c r="X538" s="37" t="n">
        <x:v>0</x:v>
      </x:c>
      <x:c r="Y538" s="37" t="n">
        <x:v>2376.025817664196</x:v>
      </x:c>
      <x:c r="Z538" s="37" t="n">
        <x:v>11082704.105731666</x:v>
      </x:c>
      <x:c r="AA538" s="37" t="n">
        <x:v>0</x:v>
      </x:c>
      <x:c r="AB538" s="37" t="n">
        <x:v>11082704.105731666</x:v>
      </x:c>
      <x:c r="AC538" s="37" t="n">
        <x:v>2061884.4656760078</x:v>
      </x:c>
      <x:c r="AD538" s="37" t="n">
        <x:v>0</x:v>
      </x:c>
      <x:c r="AE538" s="37" t="n">
        <x:v>0</x:v>
      </x:c>
      <x:c r="AF538" s="47" t="b">
        <x:v>0</x:v>
      </x:c>
      <x:c r="AG538" s="47" t="b">
        <x:v>0</x:v>
      </x:c>
      <x:c r="AH538" s="48" t="n">
        <x:v>0</x:v>
      </x:c>
      <x:c r="AI538" s="48" t="n">
        <x:v>1.1920928955078125e-7</x:v>
      </x:c>
      <x:c r="AJ538" s="37" t="str">
        <x:v>passed</x:v>
      </x:c>
    </x:row>
    <x:row r="539" ht="21" customHeight="1">
      <x:c r="A539" s="2"/>
      <x:c r="B539" s="2"/>
      <x:c r="C539" s="2" t="str">
        <x:v>2022</x:v>
      </x:c>
      <x:c r="D539" s="5" t="n">
        <x:v>44757</x:v>
      </x:c>
      <x:c r="E539" s="2" t="str">
        <x:v>unhedged</x:v>
      </x:c>
      <x:c r="F539" s="37" t="n">
        <x:v>1275736.3238413243</x:v>
      </x:c>
      <x:c r="G539" s="37" t="n">
        <x:v>10812272.069668315</x:v>
      </x:c>
      <x:c r="H539" s="37" t="n">
        <x:v>41919.73937064617</x:v>
      </x:c>
      <x:c r="I539" s="37" t="n">
        <x:v>10770352.33029767</x:v>
      </x:c>
      <x:c r="J539" s="37" t="n">
        <x:v>10812272.069668315</x:v>
      </x:c>
      <x:c r="K539" s="37" t="n">
        <x:v>0</x:v>
      </x:c>
      <x:c r="L539" s="37" t="n">
        <x:v>12088008.39350964</x:v>
      </x:c>
      <x:c r="M539" s="37" t="n">
        <x:v>0</x:v>
      </x:c>
      <x:c r="N539" s="37" t="n">
        <x:v>0</x:v>
      </x:c>
      <x:c r="O539" s="37" t="n">
        <x:v>69.89953009947203</x:v>
      </x:c>
      <x:c r="P539" s="37" t="n">
        <x:v>0</x:v>
      </x:c>
      <x:c r="Q539" s="37" t="n">
        <x:v>0</x:v>
      </x:c>
      <x:c r="R539" s="37" t="n">
        <x:v>0</x:v>
      </x:c>
      <x:c r="S539" s="37" t="n">
        <x:v>0</x:v>
      </x:c>
      <x:c r="T539" s="37" t="n">
        <x:v>0</x:v>
      </x:c>
      <x:c r="U539" s="37" t="n">
        <x:v>63750</x:v>
      </x:c>
      <x:c r="V539" s="37" t="n">
        <x:v>0</x:v>
      </x:c>
      <x:c r="W539" s="37" t="n">
        <x:v>13161.043158049928</x:v>
      </x:c>
      <x:c r="X539" s="37" t="n">
        <x:v>0</x:v>
      </x:c>
      <x:c r="Y539" s="37" t="n">
        <x:v>1174.7193167256753</x:v>
      </x:c>
      <x:c r="Z539" s="37" t="n">
        <x:v>0</x:v>
      </x:c>
      <x:c r="AA539" s="37" t="n">
        <x:v>0</x:v>
      </x:c>
      <x:c r="AB539" s="37" t="n">
        <x:v>0</x:v>
      </x:c>
      <x:c r="AC539" s="37" t="n">
        <x:v>1275736.3238413243</x:v>
      </x:c>
      <x:c r="AD539" s="37" t="n">
        <x:v>0</x:v>
      </x:c>
      <x:c r="AE539" s="37" t="n">
        <x:v>0</x:v>
      </x:c>
      <x:c r="AF539" s="47" t="b">
        <x:v>0</x:v>
      </x:c>
      <x:c r="AG539" s="47" t="b">
        <x:v>0</x:v>
      </x:c>
      <x:c r="AH539" s="48" t="n">
        <x:v>0</x:v>
      </x:c>
      <x:c r="AI539" s="48" t="n">
        <x:v>1.1920928955078125e-7</x:v>
      </x:c>
      <x:c r="AJ539" s="37" t="str">
        <x:v>passed</x:v>
      </x:c>
    </x:row>
    <x:row r="540" ht="21" customHeight="1">
      <x:c r="A540" s="2"/>
      <x:c r="B540" s="2"/>
      <x:c r="C540" s="2" t="str">
        <x:v>2022</x:v>
      </x:c>
      <x:c r="D540" s="5" t="n">
        <x:v>44757</x:v>
      </x:c>
      <x:c r="E540" s="2" t="str">
        <x:v>duration</x:v>
      </x:c>
      <x:c r="F540" s="37" t="n">
        <x:v>9328904.968259504</x:v>
      </x:c>
      <x:c r="G540" s="37" t="n">
        <x:v>3644966.568154987</x:v>
      </x:c>
      <x:c r="H540" s="37" t="n">
        <x:v>23103.19041545721</x:v>
      </x:c>
      <x:c r="I540" s="37" t="n">
        <x:v>3621863.3777395296</x:v>
      </x:c>
      <x:c r="J540" s="37" t="n">
        <x:v>10812272.069668315</x:v>
      </x:c>
      <x:c r="K540" s="37" t="n">
        <x:v>7167305.5015133275</x:v>
      </x:c>
      <x:c r="L540" s="37" t="n">
        <x:v>12973871.536414491</x:v>
      </x:c>
      <x:c r="M540" s="37" t="n">
        <x:v>0</x:v>
      </x:c>
      <x:c r="N540" s="37" t="n">
        <x:v>0</x:v>
      </x:c>
      <x:c r="O540" s="37" t="n">
        <x:v>511.14486703649163</x:v>
      </x:c>
      <x:c r="P540" s="37" t="n">
        <x:v>0</x:v>
      </x:c>
      <x:c r="Q540" s="37" t="n">
        <x:v>0</x:v>
      </x:c>
      <x:c r="R540" s="37" t="n">
        <x:v>0</x:v>
      </x:c>
      <x:c r="S540" s="37" t="n">
        <x:v>0</x:v>
      </x:c>
      <x:c r="T540" s="37" t="n">
        <x:v>0</x:v>
      </x:c>
      <x:c r="U540" s="37" t="n">
        <x:v>6645.098252371114</x:v>
      </x:c>
      <x:c r="V540" s="37" t="n">
        <x:v>0</x:v>
      </x:c>
      <x:c r="W540" s="37" t="n">
        <x:v>98466.54664590769</x:v>
      </x:c>
      <x:c r="X540" s="37" t="n">
        <x:v>0</x:v>
      </x:c>
      <x:c r="Y540" s="37" t="n">
        <x:v>1994.1254232916465</x:v>
      </x:c>
      <x:c r="Z540" s="37" t="n">
        <x:v>7310651.611543594</x:v>
      </x:c>
      <x:c r="AA540" s="37" t="n">
        <x:v>0</x:v>
      </x:c>
      <x:c r="AB540" s="37" t="n">
        <x:v>7310651.611543594</x:v>
      </x:c>
      <x:c r="AC540" s="37" t="n">
        <x:v>2018253.3567159101</x:v>
      </x:c>
      <x:c r="AD540" s="37" t="n">
        <x:v>0</x:v>
      </x:c>
      <x:c r="AE540" s="37" t="n">
        <x:v>0</x:v>
      </x:c>
      <x:c r="AF540" s="47" t="b">
        <x:v>0</x:v>
      </x:c>
      <x:c r="AG540" s="47" t="b">
        <x:v>0</x:v>
      </x:c>
      <x:c r="AH540" s="48" t="n">
        <x:v>0</x:v>
      </x:c>
      <x:c r="AI540" s="48" t="n">
        <x:v>1.1920928955078125e-7</x:v>
      </x:c>
      <x:c r="AJ540" s="37" t="str">
        <x:v>passed</x:v>
      </x:c>
    </x:row>
    <x:row r="541" ht="21" customHeight="1">
      <x:c r="A541" s="2"/>
      <x:c r="B541" s="2"/>
      <x:c r="C541" s="2" t="str">
        <x:v>2022</x:v>
      </x:c>
      <x:c r="D541" s="5" t="n">
        <x:v>44757</x:v>
      </x:c>
      <x:c r="E541" s="2" t="str">
        <x:v>unweighted</x:v>
      </x:c>
      <x:c r="F541" s="37" t="n">
        <x:v>12337206.096322877</x:v>
      </x:c>
      <x:c r="G541" s="37" t="n">
        <x:v>678449.0236096432</x:v>
      </x:c>
      <x:c r="H541" s="37" t="n">
        <x:v>22456.323589227297</x:v>
      </x:c>
      <x:c r="I541" s="37" t="n">
        <x:v>655992.7000204159</x:v>
      </x:c>
      <x:c r="J541" s="37" t="n">
        <x:v>10818520.43096451</x:v>
      </x:c>
      <x:c r="K541" s="37" t="n">
        <x:v>10140071.407354869</x:v>
      </x:c>
      <x:c r="L541" s="37" t="n">
        <x:v>13015655.119932521</x:v>
      </x:c>
      <x:c r="M541" s="37" t="n">
        <x:v>0</x:v>
      </x:c>
      <x:c r="N541" s="37" t="n">
        <x:v>0</x:v>
      </x:c>
      <x:c r="O541" s="37" t="n">
        <x:v>675.9742532670498</x:v>
      </x:c>
      <x:c r="P541" s="37" t="n">
        <x:v>0</x:v>
      </x:c>
      <x:c r="Q541" s="37" t="n">
        <x:v>0</x:v>
      </x:c>
      <x:c r="R541" s="37" t="n">
        <x:v>0</x:v>
      </x:c>
      <x:c r="S541" s="37" t="n">
        <x:v>0</x:v>
      </x:c>
      <x:c r="T541" s="37" t="n">
        <x:v>0</x:v>
      </x:c>
      <x:c r="U541" s="37" t="n">
        <x:v>-1868.6910087944125</x:v>
      </x:c>
      <x:c r="V541" s="37" t="n">
        <x:v>0</x:v>
      </x:c>
      <x:c r="W541" s="37" t="n">
        <x:v>128197.66500364058</x:v>
      </x:c>
      <x:c r="X541" s="37" t="n">
        <x:v>0</x:v>
      </x:c>
      <x:c r="Y541" s="37" t="n">
        <x:v>2278.3794391011447</x:v>
      </x:c>
      <x:c r="Z541" s="37" t="n">
        <x:v>10342872.835501967</x:v>
      </x:c>
      <x:c r="AA541" s="37" t="n">
        <x:v>0</x:v>
      </x:c>
      <x:c r="AB541" s="37" t="n">
        <x:v>10342872.835501967</x:v>
      </x:c>
      <x:c r="AC541" s="37" t="n">
        <x:v>1994333.2608209103</x:v>
      </x:c>
      <x:c r="AD541" s="37" t="n">
        <x:v>0</x:v>
      </x:c>
      <x:c r="AE541" s="37" t="n">
        <x:v>0</x:v>
      </x:c>
      <x:c r="AF541" s="47" t="b">
        <x:v>0</x:v>
      </x:c>
      <x:c r="AG541" s="47" t="b">
        <x:v>0</x:v>
      </x:c>
      <x:c r="AH541" s="48" t="n">
        <x:v>0</x:v>
      </x:c>
      <x:c r="AI541" s="48" t="n">
        <x:v>1.1920928955078125e-7</x:v>
      </x:c>
      <x:c r="AJ541" s="37" t="str">
        <x:v>passed</x:v>
      </x:c>
    </x:row>
    <x:row r="542" ht="21" customHeight="1">
      <x:c r="A542" s="2"/>
      <x:c r="B542" s="2"/>
      <x:c r="C542" s="2" t="str">
        <x:v>2022</x:v>
      </x:c>
      <x:c r="D542" s="5" t="n">
        <x:v>44757</x:v>
      </x:c>
      <x:c r="E542" s="2" t="str">
        <x:v>constrained</x:v>
      </x:c>
      <x:c r="F542" s="37" t="n">
        <x:v>13145308.822836244</x:v>
      </x:c>
      <x:c r="G542" s="37" t="n">
        <x:v>-59660.51903104143</x:v>
      </x:c>
      <x:c r="H542" s="37" t="n">
        <x:v>21272.266868696777</x:v>
      </x:c>
      <x:c r="I542" s="37" t="n">
        <x:v>-80932.78589973821</x:v>
      </x:c>
      <x:c r="J542" s="37" t="n">
        <x:v>10819238.98329486</x:v>
      </x:c>
      <x:c r="K542" s="37" t="n">
        <x:v>10878899.502325902</x:v>
      </x:c>
      <x:c r="L542" s="37" t="n">
        <x:v>13085648.303805202</x:v>
      </x:c>
      <x:c r="M542" s="37" t="n">
        <x:v>0</x:v>
      </x:c>
      <x:c r="N542" s="37" t="n">
        <x:v>0</x:v>
      </x:c>
      <x:c r="O542" s="37" t="n">
        <x:v>720.2514285705984</x:v>
      </x:c>
      <x:c r="P542" s="37" t="n">
        <x:v>0</x:v>
      </x:c>
      <x:c r="Q542" s="37" t="n">
        <x:v>0</x:v>
      </x:c>
      <x:c r="R542" s="37" t="n">
        <x:v>0</x:v>
      </x:c>
      <x:c r="S542" s="37" t="n">
        <x:v>0</x:v>
      </x:c>
      <x:c r="T542" s="37" t="n">
        <x:v>0</x:v>
      </x:c>
      <x:c r="U542" s="37" t="n">
        <x:v>-6729.4488397945315</x:v>
      </x:c>
      <x:c r="V542" s="37" t="n">
        <x:v>0</x:v>
      </x:c>
      <x:c r="W542" s="37" t="n">
        <x:v>138385.19392613508</x:v>
      </x:c>
      <x:c r="X542" s="37" t="n">
        <x:v>0</x:v>
      </x:c>
      <x:c r="Y542" s="37" t="n">
        <x:v>2376.025817664196</x:v>
      </x:c>
      <x:c r="Z542" s="37" t="n">
        <x:v>11096477.49237242</x:v>
      </x:c>
      <x:c r="AA542" s="37" t="n">
        <x:v>0</x:v>
      </x:c>
      <x:c r="AB542" s="37" t="n">
        <x:v>11096477.49237242</x:v>
      </x:c>
      <x:c r="AC542" s="37" t="n">
        <x:v>2048831.3304638248</x:v>
      </x:c>
      <x:c r="AD542" s="37" t="n">
        <x:v>0</x:v>
      </x:c>
      <x:c r="AE542" s="37" t="n">
        <x:v>0</x:v>
      </x:c>
      <x:c r="AF542" s="47" t="b">
        <x:v>0</x:v>
      </x:c>
      <x:c r="AG542" s="47" t="b">
        <x:v>0</x:v>
      </x:c>
      <x:c r="AH542" s="48" t="n">
        <x:v>0</x:v>
      </x:c>
      <x:c r="AI542" s="48" t="n">
        <x:v>1.1920928955078125e-7</x:v>
      </x:c>
      <x:c r="AJ542" s="37" t="str">
        <x:v>passed</x:v>
      </x:c>
    </x:row>
    <x:row r="543" ht="21" customHeight="1">
      <x:c r="A543" s="2"/>
      <x:c r="B543" s="2"/>
      <x:c r="C543" s="2" t="str">
        <x:v>2022</x:v>
      </x:c>
      <x:c r="D543" s="5" t="n">
        <x:v>44760</x:v>
      </x:c>
      <x:c r="E543" s="2" t="str">
        <x:v>unhedged</x:v>
      </x:c>
      <x:c r="F543" s="37" t="n">
        <x:v>1275946.0454131293</x:v>
      </x:c>
      <x:c r="G543" s="37" t="n">
        <x:v>10803104.296856513</x:v>
      </x:c>
      <x:c r="H543" s="37" t="n">
        <x:v>42969.27546240692</x:v>
      </x:c>
      <x:c r="I543" s="37" t="n">
        <x:v>10760135.021394106</x:v>
      </x:c>
      <x:c r="J543" s="37" t="n">
        <x:v>10803104.296856513</x:v>
      </x:c>
      <x:c r="K543" s="37" t="n">
        <x:v>0</x:v>
      </x:c>
      <x:c r="L543" s="37" t="n">
        <x:v>12079050.342269642</x:v>
      </x:c>
      <x:c r="M543" s="37" t="n">
        <x:v>0</x:v>
      </x:c>
      <x:c r="N543" s="37" t="n">
        <x:v>0</x:v>
      </x:c>
      <x:c r="O543" s="37" t="n">
        <x:v>209.7215718049556</x:v>
      </x:c>
      <x:c r="P543" s="37" t="n">
        <x:v>0</x:v>
      </x:c>
      <x:c r="Q543" s="37" t="n">
        <x:v>0</x:v>
      </x:c>
      <x:c r="R543" s="37" t="n">
        <x:v>0</x:v>
      </x:c>
      <x:c r="S543" s="37" t="n">
        <x:v>0</x:v>
      </x:c>
      <x:c r="T543" s="37" t="n">
        <x:v>0</x:v>
      </x:c>
      <x:c r="U543" s="37" t="n">
        <x:v>63750</x:v>
      </x:c>
      <x:c r="V543" s="37" t="n">
        <x:v>0</x:v>
      </x:c>
      <x:c r="W543" s="37" t="n">
        <x:v>13370.764729854884</x:v>
      </x:c>
      <x:c r="X543" s="37" t="n">
        <x:v>0</x:v>
      </x:c>
      <x:c r="Y543" s="37" t="n">
        <x:v>1174.7193167256753</x:v>
      </x:c>
      <x:c r="Z543" s="37" t="n">
        <x:v>0</x:v>
      </x:c>
      <x:c r="AA543" s="37" t="n">
        <x:v>0</x:v>
      </x:c>
      <x:c r="AB543" s="37" t="n">
        <x:v>0</x:v>
      </x:c>
      <x:c r="AC543" s="37" t="n">
        <x:v>1275946.0454131293</x:v>
      </x:c>
      <x:c r="AD543" s="37" t="n">
        <x:v>0</x:v>
      </x:c>
      <x:c r="AE543" s="37" t="n">
        <x:v>0</x:v>
      </x:c>
      <x:c r="AF543" s="47" t="b">
        <x:v>0</x:v>
      </x:c>
      <x:c r="AG543" s="47" t="b">
        <x:v>0</x:v>
      </x:c>
      <x:c r="AH543" s="48" t="n">
        <x:v>0</x:v>
      </x:c>
      <x:c r="AI543" s="48" t="n">
        <x:v>1.1920928955078125e-7</x:v>
      </x:c>
      <x:c r="AJ543" s="37" t="str">
        <x:v>passed</x:v>
      </x:c>
    </x:row>
    <x:row r="544" ht="21" customHeight="1">
      <x:c r="A544" s="2"/>
      <x:c r="B544" s="2"/>
      <x:c r="C544" s="2" t="str">
        <x:v>2022</x:v>
      </x:c>
      <x:c r="D544" s="5" t="n">
        <x:v>44760</x:v>
      </x:c>
      <x:c r="E544" s="2" t="str">
        <x:v>duration</x:v>
      </x:c>
      <x:c r="F544" s="37" t="n">
        <x:v>9330438.570914377</x:v>
      </x:c>
      <x:c r="G544" s="37" t="n">
        <x:v>3648547.964897379</x:v>
      </x:c>
      <x:c r="H544" s="37" t="n">
        <x:v>23227.322460241445</x:v>
      </x:c>
      <x:c r="I544" s="37" t="n">
        <x:v>3625320.642437137</x:v>
      </x:c>
      <x:c r="J544" s="37" t="n">
        <x:v>10803104.296856513</x:v>
      </x:c>
      <x:c r="K544" s="37" t="n">
        <x:v>7154556.331959134</x:v>
      </x:c>
      <x:c r="L544" s="37" t="n">
        <x:v>12978986.535811756</x:v>
      </x:c>
      <x:c r="M544" s="37" t="n">
        <x:v>0</x:v>
      </x:c>
      <x:c r="N544" s="37" t="n">
        <x:v>0</x:v>
      </x:c>
      <x:c r="O544" s="37" t="n">
        <x:v>1533.6026548724622</x:v>
      </x:c>
      <x:c r="P544" s="37" t="n">
        <x:v>0</x:v>
      </x:c>
      <x:c r="Q544" s="37" t="n">
        <x:v>0</x:v>
      </x:c>
      <x:c r="R544" s="37" t="n">
        <x:v>0</x:v>
      </x:c>
      <x:c r="S544" s="37" t="n">
        <x:v>0</x:v>
      </x:c>
      <x:c r="T544" s="37" t="n">
        <x:v>0</x:v>
      </x:c>
      <x:c r="U544" s="37" t="n">
        <x:v>6645.098252371114</x:v>
      </x:c>
      <x:c r="V544" s="37" t="n">
        <x:v>0</x:v>
      </x:c>
      <x:c r="W544" s="37" t="n">
        <x:v>100000.14930078015</x:v>
      </x:c>
      <x:c r="X544" s="37" t="n">
        <x:v>0</x:v>
      </x:c>
      <x:c r="Y544" s="37" t="n">
        <x:v>1994.1254232916465</x:v>
      </x:c>
      <x:c r="Z544" s="37" t="n">
        <x:v>7297647.458598317</x:v>
      </x:c>
      <x:c r="AA544" s="37" t="n">
        <x:v>0</x:v>
      </x:c>
      <x:c r="AB544" s="37" t="n">
        <x:v>7297647.458598317</x:v>
      </x:c>
      <x:c r="AC544" s="37" t="n">
        <x:v>2032791.1123160599</x:v>
      </x:c>
      <x:c r="AD544" s="37" t="n">
        <x:v>0</x:v>
      </x:c>
      <x:c r="AE544" s="37" t="n">
        <x:v>0</x:v>
      </x:c>
      <x:c r="AF544" s="47" t="b">
        <x:v>0</x:v>
      </x:c>
      <x:c r="AG544" s="47" t="b">
        <x:v>0</x:v>
      </x:c>
      <x:c r="AH544" s="48" t="n">
        <x:v>0</x:v>
      </x:c>
      <x:c r="AI544" s="48" t="n">
        <x:v>1.1920928955078125e-7</x:v>
      </x:c>
      <x:c r="AJ544" s="37" t="str">
        <x:v>passed</x:v>
      </x:c>
    </x:row>
    <x:row r="545" ht="21" customHeight="1">
      <x:c r="A545" s="2"/>
      <x:c r="B545" s="2"/>
      <x:c r="C545" s="2" t="str">
        <x:v>2022</x:v>
      </x:c>
      <x:c r="D545" s="5" t="n">
        <x:v>44760</x:v>
      </x:c>
      <x:c r="E545" s="2" t="str">
        <x:v>unweighted</x:v>
      </x:c>
      <x:c r="F545" s="37" t="n">
        <x:v>12339234.241328899</x:v>
      </x:c>
      <x:c r="G545" s="37" t="n">
        <x:v>678238.0457122358</x:v>
      </x:c>
      <x:c r="H545" s="37" t="n">
        <x:v>22425.00067765599</x:v>
      </x:c>
      <x:c r="I545" s="37" t="n">
        <x:v>655813.0450345798</x:v>
      </x:c>
      <x:c r="J545" s="37" t="n">
        <x:v>10809306.903574077</x:v>
      </x:c>
      <x:c r="K545" s="37" t="n">
        <x:v>10131068.857861841</x:v>
      </x:c>
      <x:c r="L545" s="37" t="n">
        <x:v>13017472.287041135</x:v>
      </x:c>
      <x:c r="M545" s="37" t="n">
        <x:v>0</x:v>
      </x:c>
      <x:c r="N545" s="37" t="n">
        <x:v>0</x:v>
      </x:c>
      <x:c r="O545" s="37" t="n">
        <x:v>2028.1450060214847</x:v>
      </x:c>
      <x:c r="P545" s="37" t="n">
        <x:v>0</x:v>
      </x:c>
      <x:c r="Q545" s="37" t="n">
        <x:v>0</x:v>
      </x:c>
      <x:c r="R545" s="37" t="n">
        <x:v>0</x:v>
      </x:c>
      <x:c r="S545" s="37" t="n">
        <x:v>0</x:v>
      </x:c>
      <x:c r="T545" s="37" t="n">
        <x:v>0</x:v>
      </x:c>
      <x:c r="U545" s="37" t="n">
        <x:v>-1868.6910087944125</x:v>
      </x:c>
      <x:c r="V545" s="37" t="n">
        <x:v>0</x:v>
      </x:c>
      <x:c r="W545" s="37" t="n">
        <x:v>130225.81000966206</x:v>
      </x:c>
      <x:c r="X545" s="37" t="n">
        <x:v>0</x:v>
      </x:c>
      <x:c r="Y545" s="37" t="n">
        <x:v>2278.3794391011447</x:v>
      </x:c>
      <x:c r="Z545" s="37" t="n">
        <x:v>10333690.235019078</x:v>
      </x:c>
      <x:c r="AA545" s="37" t="n">
        <x:v>0</x:v>
      </x:c>
      <x:c r="AB545" s="37" t="n">
        <x:v>10333690.235019078</x:v>
      </x:c>
      <x:c r="AC545" s="37" t="n">
        <x:v>2005544.0063098203</x:v>
      </x:c>
      <x:c r="AD545" s="37" t="n">
        <x:v>0</x:v>
      </x:c>
      <x:c r="AE545" s="37" t="n">
        <x:v>0</x:v>
      </x:c>
      <x:c r="AF545" s="47" t="b">
        <x:v>0</x:v>
      </x:c>
      <x:c r="AG545" s="47" t="b">
        <x:v>0</x:v>
      </x:c>
      <x:c r="AH545" s="48" t="n">
        <x:v>0</x:v>
      </x:c>
      <x:c r="AI545" s="48" t="n">
        <x:v>1.1920928955078125e-7</x:v>
      </x:c>
      <x:c r="AJ545" s="37" t="str">
        <x:v>passed</x:v>
      </x:c>
    </x:row>
    <x:row r="546" ht="21" customHeight="1">
      <x:c r="A546" s="2"/>
      <x:c r="B546" s="2"/>
      <x:c r="C546" s="2" t="str">
        <x:v>2022</x:v>
      </x:c>
      <x:c r="D546" s="5" t="n">
        <x:v>44760</x:v>
      </x:c>
      <x:c r="E546" s="2" t="str">
        <x:v>constrained</x:v>
      </x:c>
      <x:c r="F546" s="37" t="n">
        <x:v>13147469.813925598</x:v>
      </x:c>
      <x:c r="G546" s="37" t="n">
        <x:v>-59486.210935536794</x:v>
      </x:c>
      <x:c r="H546" s="37" t="n">
        <x:v>21169.372321204504</x:v>
      </x:c>
      <x:c r="I546" s="37" t="n">
        <x:v>-80655.5832567413</x:v>
      </x:c>
      <x:c r="J546" s="37" t="n">
        <x:v>10810020.194195388</x:v>
      </x:c>
      <x:c r="K546" s="37" t="n">
        <x:v>10869506.405130925</x:v>
      </x:c>
      <x:c r="L546" s="37" t="n">
        <x:v>13087983.602990061</x:v>
      </x:c>
      <x:c r="M546" s="37" t="n">
        <x:v>0</x:v>
      </x:c>
      <x:c r="N546" s="37" t="n">
        <x:v>0</x:v>
      </x:c>
      <x:c r="O546" s="37" t="n">
        <x:v>2160.991089353338</x:v>
      </x:c>
      <x:c r="P546" s="37" t="n">
        <x:v>0</x:v>
      </x:c>
      <x:c r="Q546" s="37" t="n">
        <x:v>0</x:v>
      </x:c>
      <x:c r="R546" s="37" t="n">
        <x:v>0</x:v>
      </x:c>
      <x:c r="S546" s="37" t="n">
        <x:v>0</x:v>
      </x:c>
      <x:c r="T546" s="37" t="n">
        <x:v>0</x:v>
      </x:c>
      <x:c r="U546" s="37" t="n">
        <x:v>-6729.4488397945315</x:v>
      </x:c>
      <x:c r="V546" s="37" t="n">
        <x:v>0</x:v>
      </x:c>
      <x:c r="W546" s="37" t="n">
        <x:v>140546.18501548842</x:v>
      </x:c>
      <x:c r="X546" s="37" t="n">
        <x:v>0</x:v>
      </x:c>
      <x:c r="Y546" s="37" t="n">
        <x:v>2376.025817664196</x:v>
      </x:c>
      <x:c r="Z546" s="37" t="n">
        <x:v>11086896.533233544</x:v>
      </x:c>
      <x:c r="AA546" s="37" t="n">
        <x:v>0</x:v>
      </x:c>
      <x:c r="AB546" s="37" t="n">
        <x:v>11086896.533233544</x:v>
      </x:c>
      <x:c r="AC546" s="37" t="n">
        <x:v>2060573.280692054</x:v>
      </x:c>
      <x:c r="AD546" s="37" t="n">
        <x:v>0</x:v>
      </x:c>
      <x:c r="AE546" s="37" t="n">
        <x:v>0</x:v>
      </x:c>
      <x:c r="AF546" s="47" t="b">
        <x:v>0</x:v>
      </x:c>
      <x:c r="AG546" s="47" t="b">
        <x:v>0</x:v>
      </x:c>
      <x:c r="AH546" s="48" t="n">
        <x:v>0</x:v>
      </x:c>
      <x:c r="AI546" s="48" t="n">
        <x:v>1.1920928955078125e-7</x:v>
      </x:c>
      <x:c r="AJ546" s="37" t="str">
        <x:v>passed</x:v>
      </x:c>
    </x:row>
    <x:row r="547" ht="21" customHeight="1">
      <x:c r="A547" s="2"/>
      <x:c r="B547" s="2"/>
      <x:c r="C547" s="2" t="str">
        <x:v>2022</x:v>
      </x:c>
      <x:c r="D547" s="5" t="n">
        <x:v>44761</x:v>
      </x:c>
      <x:c r="E547" s="2" t="str">
        <x:v>unhedged</x:v>
      </x:c>
      <x:c r="F547" s="37" t="n">
        <x:v>1276015.9602649326</x:v>
      </x:c>
      <x:c r="G547" s="37" t="n">
        <x:v>10769574.968143456</x:v>
      </x:c>
      <x:c r="H547" s="37" t="n">
        <x:v>43319.12082632716</x:v>
      </x:c>
      <x:c r="I547" s="37" t="n">
        <x:v>10726255.84731713</x:v>
      </x:c>
      <x:c r="J547" s="37" t="n">
        <x:v>10769574.968143456</x:v>
      </x:c>
      <x:c r="K547" s="37" t="n">
        <x:v>0</x:v>
      </x:c>
      <x:c r="L547" s="37" t="n">
        <x:v>12045590.928408388</x:v>
      </x:c>
      <x:c r="M547" s="37" t="n">
        <x:v>0</x:v>
      </x:c>
      <x:c r="N547" s="37" t="n">
        <x:v>0</x:v>
      </x:c>
      <x:c r="O547" s="37" t="n">
        <x:v>69.91485180333257</x:v>
      </x:c>
      <x:c r="P547" s="37" t="n">
        <x:v>0</x:v>
      </x:c>
      <x:c r="Q547" s="37" t="n">
        <x:v>0</x:v>
      </x:c>
      <x:c r="R547" s="37" t="n">
        <x:v>0</x:v>
      </x:c>
      <x:c r="S547" s="37" t="n">
        <x:v>0</x:v>
      </x:c>
      <x:c r="T547" s="37" t="n">
        <x:v>0</x:v>
      </x:c>
      <x:c r="U547" s="37" t="n">
        <x:v>63750</x:v>
      </x:c>
      <x:c r="V547" s="37" t="n">
        <x:v>0</x:v>
      </x:c>
      <x:c r="W547" s="37" t="n">
        <x:v>13440.679581658216</x:v>
      </x:c>
      <x:c r="X547" s="37" t="n">
        <x:v>0</x:v>
      </x:c>
      <x:c r="Y547" s="37" t="n">
        <x:v>1174.7193167256753</x:v>
      </x:c>
      <x:c r="Z547" s="37" t="n">
        <x:v>0</x:v>
      </x:c>
      <x:c r="AA547" s="37" t="n">
        <x:v>0</x:v>
      </x:c>
      <x:c r="AB547" s="37" t="n">
        <x:v>0</x:v>
      </x:c>
      <x:c r="AC547" s="37" t="n">
        <x:v>1276015.9602649326</x:v>
      </x:c>
      <x:c r="AD547" s="37" t="n">
        <x:v>0</x:v>
      </x:c>
      <x:c r="AE547" s="37" t="n">
        <x:v>0</x:v>
      </x:c>
      <x:c r="AF547" s="47" t="b">
        <x:v>0</x:v>
      </x:c>
      <x:c r="AG547" s="47" t="b">
        <x:v>0</x:v>
      </x:c>
      <x:c r="AH547" s="48" t="n">
        <x:v>0</x:v>
      </x:c>
      <x:c r="AI547" s="48" t="n">
        <x:v>1.1920928955078125e-7</x:v>
      </x:c>
      <x:c r="AJ547" s="37" t="str">
        <x:v>passed</x:v>
      </x:c>
    </x:row>
    <x:row r="548" ht="21" customHeight="1">
      <x:c r="A548" s="2"/>
      <x:c r="B548" s="2"/>
      <x:c r="C548" s="2" t="str">
        <x:v>2022</x:v>
      </x:c>
      <x:c r="D548" s="5" t="n">
        <x:v>44761</x:v>
      </x:c>
      <x:c r="E548" s="2" t="str">
        <x:v>duration</x:v>
      </x:c>
      <x:c r="F548" s="37" t="n">
        <x:v>9330949.827822374</x:v>
      </x:c>
      <x:c r="G548" s="37" t="n">
        <x:v>3644813.1388902115</x:v>
      </x:c>
      <x:c r="H548" s="37" t="n">
        <x:v>23268.699808502857</x:v>
      </x:c>
      <x:c r="I548" s="37" t="n">
        <x:v>3621544.4390817084</x:v>
      </x:c>
      <x:c r="J548" s="37" t="n">
        <x:v>10769574.968143456</x:v>
      </x:c>
      <x:c r="K548" s="37" t="n">
        <x:v>7124761.829253244</x:v>
      </x:c>
      <x:c r="L548" s="37" t="n">
        <x:v>12975762.966712587</x:v>
      </x:c>
      <x:c r="M548" s="37" t="n">
        <x:v>0</x:v>
      </x:c>
      <x:c r="N548" s="37" t="n">
        <x:v>0</x:v>
      </x:c>
      <x:c r="O548" s="37" t="n">
        <x:v>511.2569079976529</x:v>
      </x:c>
      <x:c r="P548" s="37" t="n">
        <x:v>0</x:v>
      </x:c>
      <x:c r="Q548" s="37" t="n">
        <x:v>0</x:v>
      </x:c>
      <x:c r="R548" s="37" t="n">
        <x:v>0</x:v>
      </x:c>
      <x:c r="S548" s="37" t="n">
        <x:v>0</x:v>
      </x:c>
      <x:c r="T548" s="37" t="n">
        <x:v>0</x:v>
      </x:c>
      <x:c r="U548" s="37" t="n">
        <x:v>6645.098252371114</x:v>
      </x:c>
      <x:c r="V548" s="37" t="n">
        <x:v>0</x:v>
      </x:c>
      <x:c r="W548" s="37" t="n">
        <x:v>100511.4062087778</x:v>
      </x:c>
      <x:c r="X548" s="37" t="n">
        <x:v>0</x:v>
      </x:c>
      <x:c r="Y548" s="37" t="n">
        <x:v>1994.1254232916465</x:v>
      </x:c>
      <x:c r="Z548" s="37" t="n">
        <x:v>7267257.065838309</x:v>
      </x:c>
      <x:c r="AA548" s="37" t="n">
        <x:v>0</x:v>
      </x:c>
      <x:c r="AB548" s="37" t="n">
        <x:v>7267257.065838309</x:v>
      </x:c>
      <x:c r="AC548" s="37" t="n">
        <x:v>2063692.7619840652</x:v>
      </x:c>
      <x:c r="AD548" s="37" t="n">
        <x:v>0</x:v>
      </x:c>
      <x:c r="AE548" s="37" t="n">
        <x:v>0</x:v>
      </x:c>
      <x:c r="AF548" s="47" t="b">
        <x:v>0</x:v>
      </x:c>
      <x:c r="AG548" s="47" t="b">
        <x:v>0</x:v>
      </x:c>
      <x:c r="AH548" s="48" t="n">
        <x:v>0</x:v>
      </x:c>
      <x:c r="AI548" s="48" t="n">
        <x:v>1.1920928955078125e-7</x:v>
      </x:c>
      <x:c r="AJ548" s="37" t="str">
        <x:v>passed</x:v>
      </x:c>
    </x:row>
    <x:row r="549" ht="21" customHeight="1">
      <x:c r="A549" s="2"/>
      <x:c r="B549" s="2"/>
      <x:c r="C549" s="2" t="str">
        <x:v>2022</x:v>
      </x:c>
      <x:c r="D549" s="5" t="n">
        <x:v>44761</x:v>
      </x:c>
      <x:c r="E549" s="2" t="str">
        <x:v>unweighted</x:v>
      </x:c>
      <x:c r="F549" s="37" t="n">
        <x:v>12339910.363753084</x:v>
      </x:c>
      <x:c r="G549" s="37" t="n">
        <x:v>676105.4740061444</x:v>
      </x:c>
      <x:c r="H549" s="37" t="n">
        <x:v>22414.55970713222</x:v>
      </x:c>
      <x:c r="I549" s="37" t="n">
        <x:v>653690.9142990123</x:v>
      </x:c>
      <x:c r="J549" s="37" t="n">
        <x:v>10775751.499681355</x:v>
      </x:c>
      <x:c r="K549" s="37" t="n">
        <x:v>10099646.025675211</x:v>
      </x:c>
      <x:c r="L549" s="37" t="n">
        <x:v>13016015.837759228</x:v>
      </x:c>
      <x:c r="M549" s="37" t="n">
        <x:v>0</x:v>
      </x:c>
      <x:c r="N549" s="37" t="n">
        <x:v>0</x:v>
      </x:c>
      <x:c r="O549" s="37" t="n">
        <x:v>676.122424185276</x:v>
      </x:c>
      <x:c r="P549" s="37" t="n">
        <x:v>0</x:v>
      </x:c>
      <x:c r="Q549" s="37" t="n">
        <x:v>0</x:v>
      </x:c>
      <x:c r="R549" s="37" t="n">
        <x:v>0</x:v>
      </x:c>
      <x:c r="S549" s="37" t="n">
        <x:v>0</x:v>
      </x:c>
      <x:c r="T549" s="37" t="n">
        <x:v>0</x:v>
      </x:c>
      <x:c r="U549" s="37" t="n">
        <x:v>-1868.6910087944125</x:v>
      </x:c>
      <x:c r="V549" s="37" t="n">
        <x:v>0</x:v>
      </x:c>
      <x:c r="W549" s="37" t="n">
        <x:v>130901.93243384734</x:v>
      </x:c>
      <x:c r="X549" s="37" t="n">
        <x:v>0</x:v>
      </x:c>
      <x:c r="Y549" s="37" t="n">
        <x:v>2278.3794391011447</x:v>
      </x:c>
      <x:c r="Z549" s="37" t="n">
        <x:v>10301638.946188716</x:v>
      </x:c>
      <x:c r="AA549" s="37" t="n">
        <x:v>0</x:v>
      </x:c>
      <x:c r="AB549" s="37" t="n">
        <x:v>10301638.946188716</x:v>
      </x:c>
      <x:c r="AC549" s="37" t="n">
        <x:v>2038271.4175643679</x:v>
      </x:c>
      <x:c r="AD549" s="37" t="n">
        <x:v>0</x:v>
      </x:c>
      <x:c r="AE549" s="37" t="n">
        <x:v>0</x:v>
      </x:c>
      <x:c r="AF549" s="47" t="b">
        <x:v>0</x:v>
      </x:c>
      <x:c r="AG549" s="47" t="b">
        <x:v>0</x:v>
      </x:c>
      <x:c r="AH549" s="48" t="n">
        <x:v>0</x:v>
      </x:c>
      <x:c r="AI549" s="48" t="n">
        <x:v>1.1920928955078125e-7</x:v>
      </x:c>
      <x:c r="AJ549" s="37" t="str">
        <x:v>passed</x:v>
      </x:c>
    </x:row>
    <x:row r="550" ht="21" customHeight="1">
      <x:c r="A550" s="2"/>
      <x:c r="B550" s="2"/>
      <x:c r="C550" s="2" t="str">
        <x:v>2022</x:v>
      </x:c>
      <x:c r="D550" s="5" t="n">
        <x:v>44761</x:v>
      </x:c>
      <x:c r="E550" s="2" t="str">
        <x:v>constrained</x:v>
      </x:c>
      <x:c r="F550" s="37" t="n">
        <x:v>13148190.223230474</x:v>
      </x:c>
      <x:c r="G550" s="37" t="n">
        <x:v>-59679.362159878074</x:v>
      </x:c>
      <x:c r="H550" s="37" t="n">
        <x:v>21135.074138707078</x:v>
      </x:c>
      <x:c r="I550" s="37" t="n">
        <x:v>-80814.43629858515</x:v>
      </x:c>
      <x:c r="J550" s="37" t="n">
        <x:v>10776461.791695476</x:v>
      </x:c>
      <x:c r="K550" s="37" t="n">
        <x:v>10836141.153855354</x:v>
      </x:c>
      <x:c r="L550" s="37" t="n">
        <x:v>13088510.861070596</x:v>
      </x:c>
      <x:c r="M550" s="37" t="n">
        <x:v>0</x:v>
      </x:c>
      <x:c r="N550" s="37" t="n">
        <x:v>0</x:v>
      </x:c>
      <x:c r="O550" s="37" t="n">
        <x:v>720.4093048758805</x:v>
      </x:c>
      <x:c r="P550" s="37" t="n">
        <x:v>0</x:v>
      </x:c>
      <x:c r="Q550" s="37" t="n">
        <x:v>0</x:v>
      </x:c>
      <x:c r="R550" s="37" t="n">
        <x:v>0</x:v>
      </x:c>
      <x:c r="S550" s="37" t="n">
        <x:v>0</x:v>
      </x:c>
      <x:c r="T550" s="37" t="n">
        <x:v>0</x:v>
      </x:c>
      <x:c r="U550" s="37" t="n">
        <x:v>-6729.4488397945315</x:v>
      </x:c>
      <x:c r="V550" s="37" t="n">
        <x:v>0</x:v>
      </x:c>
      <x:c r="W550" s="37" t="n">
        <x:v>141266.5943203643</x:v>
      </x:c>
      <x:c r="X550" s="37" t="n">
        <x:v>0</x:v>
      </x:c>
      <x:c r="Y550" s="37" t="n">
        <x:v>2376.025817664196</x:v>
      </x:c>
      <x:c r="Z550" s="37" t="n">
        <x:v>11052863.97693246</x:v>
      </x:c>
      <x:c r="AA550" s="37" t="n">
        <x:v>0</x:v>
      </x:c>
      <x:c r="AB550" s="37" t="n">
        <x:v>11052863.97693246</x:v>
      </x:c>
      <x:c r="AC550" s="37" t="n">
        <x:v>2095326.2462980133</x:v>
      </x:c>
      <x:c r="AD550" s="37" t="n">
        <x:v>0</x:v>
      </x:c>
      <x:c r="AE550" s="37" t="n">
        <x:v>0</x:v>
      </x:c>
      <x:c r="AF550" s="47" t="b">
        <x:v>0</x:v>
      </x:c>
      <x:c r="AG550" s="47" t="b">
        <x:v>0</x:v>
      </x:c>
      <x:c r="AH550" s="48" t="n">
        <x:v>0</x:v>
      </x:c>
      <x:c r="AI550" s="48" t="n">
        <x:v>1.1920928955078125e-7</x:v>
      </x:c>
      <x:c r="AJ550" s="37" t="str">
        <x:v>passed</x:v>
      </x:c>
    </x:row>
    <x:row r="551" ht="21" customHeight="1">
      <x:c r="A551" s="2"/>
      <x:c r="B551" s="2"/>
      <x:c r="C551" s="2" t="str">
        <x:v>2022</x:v>
      </x:c>
      <x:c r="D551" s="5" t="n">
        <x:v>44762</x:v>
      </x:c>
      <x:c r="E551" s="2" t="str">
        <x:v>unhedged</x:v>
      </x:c>
      <x:c r="F551" s="37" t="n">
        <x:v>1276085.878947687</x:v>
      </x:c>
      <x:c r="G551" s="37" t="n">
        <x:v>10751803.86200347</x:v>
      </x:c>
      <x:c r="H551" s="37" t="n">
        <x:v>43668.96619024742</x:v>
      </x:c>
      <x:c r="I551" s="37" t="n">
        <x:v>10708134.895813223</x:v>
      </x:c>
      <x:c r="J551" s="37" t="n">
        <x:v>10751803.86200347</x:v>
      </x:c>
      <x:c r="K551" s="37" t="n">
        <x:v>0</x:v>
      </x:c>
      <x:c r="L551" s="37" t="n">
        <x:v>12027889.740951156</x:v>
      </x:c>
      <x:c r="M551" s="37" t="n">
        <x:v>0</x:v>
      </x:c>
      <x:c r="N551" s="37" t="n">
        <x:v>0</x:v>
      </x:c>
      <x:c r="O551" s="37" t="n">
        <x:v>69.91868275450543</x:v>
      </x:c>
      <x:c r="P551" s="37" t="n">
        <x:v>0</x:v>
      </x:c>
      <x:c r="Q551" s="37" t="n">
        <x:v>0</x:v>
      </x:c>
      <x:c r="R551" s="37" t="n">
        <x:v>0</x:v>
      </x:c>
      <x:c r="S551" s="37" t="n">
        <x:v>0</x:v>
      </x:c>
      <x:c r="T551" s="37" t="n">
        <x:v>0</x:v>
      </x:c>
      <x:c r="U551" s="37" t="n">
        <x:v>63750</x:v>
      </x:c>
      <x:c r="V551" s="37" t="n">
        <x:v>0</x:v>
      </x:c>
      <x:c r="W551" s="37" t="n">
        <x:v>13510.598264412722</x:v>
      </x:c>
      <x:c r="X551" s="37" t="n">
        <x:v>0</x:v>
      </x:c>
      <x:c r="Y551" s="37" t="n">
        <x:v>1174.7193167256753</x:v>
      </x:c>
      <x:c r="Z551" s="37" t="n">
        <x:v>0</x:v>
      </x:c>
      <x:c r="AA551" s="37" t="n">
        <x:v>0</x:v>
      </x:c>
      <x:c r="AB551" s="37" t="n">
        <x:v>0</x:v>
      </x:c>
      <x:c r="AC551" s="37" t="n">
        <x:v>1276085.878947687</x:v>
      </x:c>
      <x:c r="AD551" s="37" t="n">
        <x:v>0</x:v>
      </x:c>
      <x:c r="AE551" s="37" t="n">
        <x:v>0</x:v>
      </x:c>
      <x:c r="AF551" s="47" t="b">
        <x:v>0</x:v>
      </x:c>
      <x:c r="AG551" s="47" t="b">
        <x:v>0</x:v>
      </x:c>
      <x:c r="AH551" s="48" t="n">
        <x:v>0</x:v>
      </x:c>
      <x:c r="AI551" s="48" t="n">
        <x:v>1.1920928955078125e-7</x:v>
      </x:c>
      <x:c r="AJ551" s="37" t="str">
        <x:v>passed</x:v>
      </x:c>
    </x:row>
    <x:row r="552" ht="21" customHeight="1">
      <x:c r="A552" s="2"/>
      <x:c r="B552" s="2"/>
      <x:c r="C552" s="2" t="str">
        <x:v>2022</x:v>
      </x:c>
      <x:c r="D552" s="5" t="n">
        <x:v>44762</x:v>
      </x:c>
      <x:c r="E552" s="2" t="str">
        <x:v>duration</x:v>
      </x:c>
      <x:c r="F552" s="37" t="n">
        <x:v>9331461.112744447</x:v>
      </x:c>
      <x:c r="G552" s="37" t="n">
        <x:v>3643533.4800651856</x:v>
      </x:c>
      <x:c r="H552" s="37" t="n">
        <x:v>23310.07715676428</x:v>
      </x:c>
      <x:c r="I552" s="37" t="n">
        <x:v>3620223.402908421</x:v>
      </x:c>
      <x:c r="J552" s="37" t="n">
        <x:v>10751803.86200347</x:v>
      </x:c>
      <x:c r="K552" s="37" t="n">
        <x:v>7108270.381938284</x:v>
      </x:c>
      <x:c r="L552" s="37" t="n">
        <x:v>12974994.592809632</x:v>
      </x:c>
      <x:c r="M552" s="37" t="n">
        <x:v>0</x:v>
      </x:c>
      <x:c r="N552" s="37" t="n">
        <x:v>0</x:v>
      </x:c>
      <x:c r="O552" s="37" t="n">
        <x:v>511.2849220726639</x:v>
      </x:c>
      <x:c r="P552" s="37" t="n">
        <x:v>0</x:v>
      </x:c>
      <x:c r="Q552" s="37" t="n">
        <x:v>0</x:v>
      </x:c>
      <x:c r="R552" s="37" t="n">
        <x:v>0</x:v>
      </x:c>
      <x:c r="S552" s="37" t="n">
        <x:v>0</x:v>
      </x:c>
      <x:c r="T552" s="37" t="n">
        <x:v>0</x:v>
      </x:c>
      <x:c r="U552" s="37" t="n">
        <x:v>6645.098252371114</x:v>
      </x:c>
      <x:c r="V552" s="37" t="n">
        <x:v>0</x:v>
      </x:c>
      <x:c r="W552" s="37" t="n">
        <x:v>101022.69113085046</x:v>
      </x:c>
      <x:c r="X552" s="37" t="n">
        <x:v>0</x:v>
      </x:c>
      <x:c r="Y552" s="37" t="n">
        <x:v>1994.1254232916465</x:v>
      </x:c>
      <x:c r="Z552" s="37" t="n">
        <x:v>7250435.78957705</x:v>
      </x:c>
      <x:c r="AA552" s="37" t="n">
        <x:v>0</x:v>
      </x:c>
      <x:c r="AB552" s="37" t="n">
        <x:v>7250435.78957705</x:v>
      </x:c>
      <x:c r="AC552" s="37" t="n">
        <x:v>2081025.3231673967</x:v>
      </x:c>
      <x:c r="AD552" s="37" t="n">
        <x:v>0</x:v>
      </x:c>
      <x:c r="AE552" s="37" t="n">
        <x:v>0</x:v>
      </x:c>
      <x:c r="AF552" s="47" t="b">
        <x:v>0</x:v>
      </x:c>
      <x:c r="AG552" s="47" t="b">
        <x:v>0</x:v>
      </x:c>
      <x:c r="AH552" s="48" t="n">
        <x:v>0</x:v>
      </x:c>
      <x:c r="AI552" s="48" t="n">
        <x:v>1.1920928955078125e-7</x:v>
      </x:c>
      <x:c r="AJ552" s="37" t="str">
        <x:v>passed</x:v>
      </x:c>
    </x:row>
    <x:row r="553" ht="21" customHeight="1">
      <x:c r="A553" s="2"/>
      <x:c r="B553" s="2"/>
      <x:c r="C553" s="2" t="str">
        <x:v>2022</x:v>
      </x:c>
      <x:c r="D553" s="5" t="n">
        <x:v>44762</x:v>
      </x:c>
      <x:c r="E553" s="2" t="str">
        <x:v>unweighted</x:v>
      </x:c>
      <x:c r="F553" s="37" t="n">
        <x:v>12340586.523225073</x:v>
      </x:c>
      <x:c r="G553" s="37" t="n">
        <x:v>674884.0429616156</x:v>
      </x:c>
      <x:c r="H553" s="37" t="n">
        <x:v>22404.118736608456</x:v>
      </x:c>
      <x:c r="I553" s="37" t="n">
        <x:v>652479.9242250072</x:v>
      </x:c>
      <x:c r="J553" s="37" t="n">
        <x:v>10757974.62793356</x:v>
      </x:c>
      <x:c r="K553" s="37" t="n">
        <x:v>10083090.584971944</x:v>
      </x:c>
      <x:c r="L553" s="37" t="n">
        <x:v>13015470.566186689</x:v>
      </x:c>
      <x:c r="M553" s="37" t="n">
        <x:v>0</x:v>
      </x:c>
      <x:c r="N553" s="37" t="n">
        <x:v>0</x:v>
      </x:c>
      <x:c r="O553" s="37" t="n">
        <x:v>676.159471988678</x:v>
      </x:c>
      <x:c r="P553" s="37" t="n">
        <x:v>0</x:v>
      </x:c>
      <x:c r="Q553" s="37" t="n">
        <x:v>0</x:v>
      </x:c>
      <x:c r="R553" s="37" t="n">
        <x:v>0</x:v>
      </x:c>
      <x:c r="S553" s="37" t="n">
        <x:v>0</x:v>
      </x:c>
      <x:c r="T553" s="37" t="n">
        <x:v>0</x:v>
      </x:c>
      <x:c r="U553" s="37" t="n">
        <x:v>-1868.6910087944125</x:v>
      </x:c>
      <x:c r="V553" s="37" t="n">
        <x:v>0</x:v>
      </x:c>
      <x:c r="W553" s="37" t="n">
        <x:v>131578.09190583602</x:v>
      </x:c>
      <x:c r="X553" s="37" t="n">
        <x:v>0</x:v>
      </x:c>
      <x:c r="Y553" s="37" t="n">
        <x:v>2278.3794391011447</x:v>
      </x:c>
      <x:c r="Z553" s="37" t="n">
        <x:v>10284752.396671383</x:v>
      </x:c>
      <x:c r="AA553" s="37" t="n">
        <x:v>0</x:v>
      </x:c>
      <x:c r="AB553" s="37" t="n">
        <x:v>10284752.396671383</x:v>
      </x:c>
      <x:c r="AC553" s="37" t="n">
        <x:v>2055834.12655369</x:v>
      </x:c>
      <x:c r="AD553" s="37" t="n">
        <x:v>0</x:v>
      </x:c>
      <x:c r="AE553" s="37" t="n">
        <x:v>0</x:v>
      </x:c>
      <x:c r="AF553" s="47" t="b">
        <x:v>0</x:v>
      </x:c>
      <x:c r="AG553" s="47" t="b">
        <x:v>0</x:v>
      </x:c>
      <x:c r="AH553" s="48" t="n">
        <x:v>0</x:v>
      </x:c>
      <x:c r="AI553" s="48" t="n">
        <x:v>1.1920928955078125e-7</x:v>
      </x:c>
      <x:c r="AJ553" s="37" t="str">
        <x:v>passed</x:v>
      </x:c>
    </x:row>
    <x:row r="554" ht="21" customHeight="1">
      <x:c r="A554" s="2"/>
      <x:c r="B554" s="2"/>
      <x:c r="C554" s="2" t="str">
        <x:v>2022</x:v>
      </x:c>
      <x:c r="D554" s="5" t="n">
        <x:v>44762</x:v>
      </x:c>
      <x:c r="E554" s="2" t="str">
        <x:v>constrained</x:v>
      </x:c>
      <x:c r="F554" s="37" t="n">
        <x:v>13148910.67200983</x:v>
      </x:c>
      <x:c r="G554" s="37" t="n">
        <x:v>-59927.152887131575</x:v>
      </x:c>
      <x:c r="H554" s="37" t="n">
        <x:v>21100.77595620966</x:v>
      </x:c>
      <x:c r="I554" s="37" t="n">
        <x:v>-81027.92884334124</x:v>
      </x:c>
      <x:c r="J554" s="37" t="n">
        <x:v>10758684.256911287</x:v>
      </x:c>
      <x:c r="K554" s="37" t="n">
        <x:v>10818611.40979842</x:v>
      </x:c>
      <x:c r="L554" s="37" t="n">
        <x:v>13088983.519122697</x:v>
      </x:c>
      <x:c r="M554" s="37" t="n">
        <x:v>0</x:v>
      </x:c>
      <x:c r="N554" s="37" t="n">
        <x:v>0</x:v>
      </x:c>
      <x:c r="O554" s="37" t="n">
        <x:v>720.4487793557346</x:v>
      </x:c>
      <x:c r="P554" s="37" t="n">
        <x:v>0</x:v>
      </x:c>
      <x:c r="Q554" s="37" t="n">
        <x:v>0</x:v>
      </x:c>
      <x:c r="R554" s="37" t="n">
        <x:v>0</x:v>
      </x:c>
      <x:c r="S554" s="37" t="n">
        <x:v>0</x:v>
      </x:c>
      <x:c r="T554" s="37" t="n">
        <x:v>0</x:v>
      </x:c>
      <x:c r="U554" s="37" t="n">
        <x:v>-6729.4488397945315</x:v>
      </x:c>
      <x:c r="V554" s="37" t="n">
        <x:v>0</x:v>
      </x:c>
      <x:c r="W554" s="37" t="n">
        <x:v>141987.04309972003</x:v>
      </x:c>
      <x:c r="X554" s="37" t="n">
        <x:v>0</x:v>
      </x:c>
      <x:c r="Y554" s="37" t="n">
        <x:v>2376.025817664196</x:v>
      </x:c>
      <x:c r="Z554" s="37" t="n">
        <x:v>11034983.637994388</x:v>
      </x:c>
      <x:c r="AA554" s="37" t="n">
        <x:v>0</x:v>
      </x:c>
      <x:c r="AB554" s="37" t="n">
        <x:v>11034983.637994388</x:v>
      </x:c>
      <x:c r="AC554" s="37" t="n">
        <x:v>2113927.0340154413</x:v>
      </x:c>
      <x:c r="AD554" s="37" t="n">
        <x:v>0</x:v>
      </x:c>
      <x:c r="AE554" s="37" t="n">
        <x:v>0</x:v>
      </x:c>
      <x:c r="AF554" s="47" t="b">
        <x:v>0</x:v>
      </x:c>
      <x:c r="AG554" s="47" t="b">
        <x:v>0</x:v>
      </x:c>
      <x:c r="AH554" s="48" t="n">
        <x:v>0</x:v>
      </x:c>
      <x:c r="AI554" s="48" t="n">
        <x:v>1.1920928955078125e-7</x:v>
      </x:c>
      <x:c r="AJ554" s="37" t="str">
        <x:v>passed</x:v>
      </x:c>
    </x:row>
    <x:row r="555" ht="21" customHeight="1">
      <x:c r="A555" s="2"/>
      <x:c r="B555" s="2"/>
      <x:c r="C555" s="2" t="str">
        <x:v>2022</x:v>
      </x:c>
      <x:c r="D555" s="5" t="n">
        <x:v>44763</x:v>
      </x:c>
      <x:c r="E555" s="2" t="str">
        <x:v>unhedged</x:v>
      </x:c>
      <x:c r="F555" s="37" t="n">
        <x:v>1276155.801461602</x:v>
      </x:c>
      <x:c r="G555" s="37" t="n">
        <x:v>10854128.04218039</x:v>
      </x:c>
      <x:c r="H555" s="37" t="n">
        <x:v>44018.811554167674</x:v>
      </x:c>
      <x:c r="I555" s="37" t="n">
        <x:v>10810109.230626222</x:v>
      </x:c>
      <x:c r="J555" s="37" t="n">
        <x:v>10854128.04218039</x:v>
      </x:c>
      <x:c r="K555" s="37" t="n">
        <x:v>0</x:v>
      </x:c>
      <x:c r="L555" s="37" t="n">
        <x:v>12130283.84364199</x:v>
      </x:c>
      <x:c r="M555" s="37" t="n">
        <x:v>0</x:v>
      </x:c>
      <x:c r="N555" s="37" t="n">
        <x:v>0</x:v>
      </x:c>
      <x:c r="O555" s="37" t="n">
        <x:v>69.92251391499303</x:v>
      </x:c>
      <x:c r="P555" s="37" t="n">
        <x:v>0</x:v>
      </x:c>
      <x:c r="Q555" s="37" t="n">
        <x:v>0</x:v>
      </x:c>
      <x:c r="R555" s="37" t="n">
        <x:v>0</x:v>
      </x:c>
      <x:c r="S555" s="37" t="n">
        <x:v>0</x:v>
      </x:c>
      <x:c r="T555" s="37" t="n">
        <x:v>0</x:v>
      </x:c>
      <x:c r="U555" s="37" t="n">
        <x:v>63750</x:v>
      </x:c>
      <x:c r="V555" s="37" t="n">
        <x:v>0</x:v>
      </x:c>
      <x:c r="W555" s="37" t="n">
        <x:v>13580.520778327715</x:v>
      </x:c>
      <x:c r="X555" s="37" t="n">
        <x:v>0</x:v>
      </x:c>
      <x:c r="Y555" s="37" t="n">
        <x:v>1174.7193167256753</x:v>
      </x:c>
      <x:c r="Z555" s="37" t="n">
        <x:v>0</x:v>
      </x:c>
      <x:c r="AA555" s="37" t="n">
        <x:v>0</x:v>
      </x:c>
      <x:c r="AB555" s="37" t="n">
        <x:v>0</x:v>
      </x:c>
      <x:c r="AC555" s="37" t="n">
        <x:v>1276155.801461602</x:v>
      </x:c>
      <x:c r="AD555" s="37" t="n">
        <x:v>0</x:v>
      </x:c>
      <x:c r="AE555" s="37" t="n">
        <x:v>0</x:v>
      </x:c>
      <x:c r="AF555" s="47" t="b">
        <x:v>0</x:v>
      </x:c>
      <x:c r="AG555" s="47" t="b">
        <x:v>0</x:v>
      </x:c>
      <x:c r="AH555" s="48" t="n">
        <x:v>0</x:v>
      </x:c>
      <x:c r="AI555" s="48" t="n">
        <x:v>1.1920928955078125e-7</x:v>
      </x:c>
      <x:c r="AJ555" s="37" t="str">
        <x:v>passed</x:v>
      </x:c>
    </x:row>
    <x:row r="556" ht="21" customHeight="1">
      <x:c r="A556" s="2"/>
      <x:c r="B556" s="2"/>
      <x:c r="C556" s="2" t="str">
        <x:v>2022</x:v>
      </x:c>
      <x:c r="D556" s="5" t="n">
        <x:v>44763</x:v>
      </x:c>
      <x:c r="E556" s="2" t="str">
        <x:v>duration</x:v>
      </x:c>
      <x:c r="F556" s="37" t="n">
        <x:v>9331972.425682131</x:v>
      </x:c>
      <x:c r="G556" s="37" t="n">
        <x:v>3643612.641943308</x:v>
      </x:c>
      <x:c r="H556" s="37" t="n">
        <x:v>23351.454505025697</x:v>
      </x:c>
      <x:c r="I556" s="37" t="n">
        <x:v>3620261.187438282</x:v>
      </x:c>
      <x:c r="J556" s="37" t="n">
        <x:v>10854128.04218039</x:v>
      </x:c>
      <x:c r="K556" s="37" t="n">
        <x:v>7210515.400237081</x:v>
      </x:c>
      <x:c r="L556" s="37" t="n">
        <x:v>12975585.067625439</x:v>
      </x:c>
      <x:c r="M556" s="37" t="n">
        <x:v>0</x:v>
      </x:c>
      <x:c r="N556" s="37" t="n">
        <x:v>0</x:v>
      </x:c>
      <x:c r="O556" s="37" t="n">
        <x:v>511.31293768435717</x:v>
      </x:c>
      <x:c r="P556" s="37" t="n">
        <x:v>0</x:v>
      </x:c>
      <x:c r="Q556" s="37" t="n">
        <x:v>0</x:v>
      </x:c>
      <x:c r="R556" s="37" t="n">
        <x:v>0</x:v>
      </x:c>
      <x:c r="S556" s="37" t="n">
        <x:v>0</x:v>
      </x:c>
      <x:c r="T556" s="37" t="n">
        <x:v>0</x:v>
      </x:c>
      <x:c r="U556" s="37" t="n">
        <x:v>6645.098252371114</x:v>
      </x:c>
      <x:c r="V556" s="37" t="n">
        <x:v>0</x:v>
      </x:c>
      <x:c r="W556" s="37" t="n">
        <x:v>101534.00406853482</x:v>
      </x:c>
      <x:c r="X556" s="37" t="n">
        <x:v>0</x:v>
      </x:c>
      <x:c r="Y556" s="37" t="n">
        <x:v>1994.1254232916465</x:v>
      </x:c>
      <x:c r="Z556" s="37" t="n">
        <x:v>7354725.708241822</x:v>
      </x:c>
      <x:c r="AA556" s="37" t="n">
        <x:v>0</x:v>
      </x:c>
      <x:c r="AB556" s="37" t="n">
        <x:v>7354725.708241822</x:v>
      </x:c>
      <x:c r="AC556" s="37" t="n">
        <x:v>1977246.717440309</x:v>
      </x:c>
      <x:c r="AD556" s="37" t="n">
        <x:v>0</x:v>
      </x:c>
      <x:c r="AE556" s="37" t="n">
        <x:v>0</x:v>
      </x:c>
      <x:c r="AF556" s="47" t="b">
        <x:v>0</x:v>
      </x:c>
      <x:c r="AG556" s="47" t="b">
        <x:v>0</x:v>
      </x:c>
      <x:c r="AH556" s="48" t="n">
        <x:v>0</x:v>
      </x:c>
      <x:c r="AI556" s="48" t="n">
        <x:v>1.1920928955078125e-7</x:v>
      </x:c>
      <x:c r="AJ556" s="37" t="str">
        <x:v>passed</x:v>
      </x:c>
    </x:row>
    <x:row r="557" ht="21" customHeight="1">
      <x:c r="A557" s="2"/>
      <x:c r="B557" s="2"/>
      <x:c r="C557" s="2" t="str">
        <x:v>2022</x:v>
      </x:c>
      <x:c r="D557" s="5" t="n">
        <x:v>44763</x:v>
      </x:c>
      <x:c r="E557" s="2" t="str">
        <x:v>unweighted</x:v>
      </x:c>
      <x:c r="F557" s="37" t="n">
        <x:v>12341262.719746891</x:v>
      </x:c>
      <x:c r="G557" s="37" t="n">
        <x:v>680985.7795356783</x:v>
      </x:c>
      <x:c r="H557" s="37" t="n">
        <x:v>22393.67776608469</x:v>
      </x:c>
      <x:c r="I557" s="37" t="n">
        <x:v>658592.1017695937</x:v>
      </x:c>
      <x:c r="J557" s="37" t="n">
        <x:v>10860386.880573528</x:v>
      </x:c>
      <x:c r="K557" s="37" t="n">
        <x:v>10179401.10103785</x:v>
      </x:c>
      <x:c r="L557" s="37" t="n">
        <x:v>13022248.49928257</x:v>
      </x:c>
      <x:c r="M557" s="37" t="n">
        <x:v>0</x:v>
      </x:c>
      <x:c r="N557" s="37" t="n">
        <x:v>0</x:v>
      </x:c>
      <x:c r="O557" s="37" t="n">
        <x:v>676.1965218186378</x:v>
      </x:c>
      <x:c r="P557" s="37" t="n">
        <x:v>0</x:v>
      </x:c>
      <x:c r="Q557" s="37" t="n">
        <x:v>0</x:v>
      </x:c>
      <x:c r="R557" s="37" t="n">
        <x:v>0</x:v>
      </x:c>
      <x:c r="S557" s="37" t="n">
        <x:v>0</x:v>
      </x:c>
      <x:c r="T557" s="37" t="n">
        <x:v>0</x:v>
      </x:c>
      <x:c r="U557" s="37" t="n">
        <x:v>-1868.6910087944125</x:v>
      </x:c>
      <x:c r="V557" s="37" t="n">
        <x:v>0</x:v>
      </x:c>
      <x:c r="W557" s="37" t="n">
        <x:v>132254.28842765465</x:v>
      </x:c>
      <x:c r="X557" s="37" t="n">
        <x:v>0</x:v>
      </x:c>
      <x:c r="Y557" s="37" t="n">
        <x:v>2278.3794391011447</x:v>
      </x:c>
      <x:c r="Z557" s="37" t="n">
        <x:v>10382989.123058608</x:v>
      </x:c>
      <x:c r="AA557" s="37" t="n">
        <x:v>0</x:v>
      </x:c>
      <x:c r="AB557" s="37" t="n">
        <x:v>10382989.123058608</x:v>
      </x:c>
      <x:c r="AC557" s="37" t="n">
        <x:v>1958273.5966882836</x:v>
      </x:c>
      <x:c r="AD557" s="37" t="n">
        <x:v>0</x:v>
      </x:c>
      <x:c r="AE557" s="37" t="n">
        <x:v>0</x:v>
      </x:c>
      <x:c r="AF557" s="47" t="b">
        <x:v>0</x:v>
      </x:c>
      <x:c r="AG557" s="47" t="b">
        <x:v>0</x:v>
      </x:c>
      <x:c r="AH557" s="48" t="n">
        <x:v>0</x:v>
      </x:c>
      <x:c r="AI557" s="48" t="n">
        <x:v>1.1920928955078125e-7</x:v>
      </x:c>
      <x:c r="AJ557" s="37" t="str">
        <x:v>passed</x:v>
      </x:c>
    </x:row>
    <x:row r="558" ht="21" customHeight="1">
      <x:c r="A558" s="2"/>
      <x:c r="B558" s="2"/>
      <x:c r="C558" s="2" t="str">
        <x:v>2022</x:v>
      </x:c>
      <x:c r="D558" s="5" t="n">
        <x:v>44763</x:v>
      </x:c>
      <x:c r="E558" s="2" t="str">
        <x:v>constrained</x:v>
      </x:c>
      <x:c r="F558" s="37" t="n">
        <x:v>13149631.160265828</x:v>
      </x:c>
      <x:c r="G558" s="37" t="n">
        <x:v>-59220.09685405448</x:v>
      </x:c>
      <x:c r="H558" s="37" t="n">
        <x:v>21066.47777371224</x:v>
      </x:c>
      <x:c r="I558" s="37" t="n">
        <x:v>-80286.57462776672</x:v>
      </x:c>
      <x:c r="J558" s="37" t="n">
        <x:v>10861106.637754567</x:v>
      </x:c>
      <x:c r="K558" s="37" t="n">
        <x:v>10920326.734608622</x:v>
      </x:c>
      <x:c r="L558" s="37" t="n">
        <x:v>13090411.063411772</x:v>
      </x:c>
      <x:c r="M558" s="37" t="n">
        <x:v>0</x:v>
      </x:c>
      <x:c r="N558" s="37" t="n">
        <x:v>0</x:v>
      </x:c>
      <x:c r="O558" s="37" t="n">
        <x:v>720.4882559981197</x:v>
      </x:c>
      <x:c r="P558" s="37" t="n">
        <x:v>0</x:v>
      </x:c>
      <x:c r="Q558" s="37" t="n">
        <x:v>0</x:v>
      </x:c>
      <x:c r="R558" s="37" t="n">
        <x:v>0</x:v>
      </x:c>
      <x:c r="S558" s="37" t="n">
        <x:v>0</x:v>
      </x:c>
      <x:c r="T558" s="37" t="n">
        <x:v>0</x:v>
      </x:c>
      <x:c r="U558" s="37" t="n">
        <x:v>-6729.4488397945315</x:v>
      </x:c>
      <x:c r="V558" s="37" t="n">
        <x:v>0</x:v>
      </x:c>
      <x:c r="W558" s="37" t="n">
        <x:v>142707.53135571815</x:v>
      </x:c>
      <x:c r="X558" s="37" t="n">
        <x:v>0</x:v>
      </x:c>
      <x:c r="Y558" s="37" t="n">
        <x:v>2376.025817664196</x:v>
      </x:c>
      <x:c r="Z558" s="37" t="n">
        <x:v>11138733.269300794</x:v>
      </x:c>
      <x:c r="AA558" s="37" t="n">
        <x:v>0</x:v>
      </x:c>
      <x:c r="AB558" s="37" t="n">
        <x:v>11138733.269300794</x:v>
      </x:c>
      <x:c r="AC558" s="37" t="n">
        <x:v>2010897.8909650333</x:v>
      </x:c>
      <x:c r="AD558" s="37" t="n">
        <x:v>0</x:v>
      </x:c>
      <x:c r="AE558" s="37" t="n">
        <x:v>0</x:v>
      </x:c>
      <x:c r="AF558" s="47" t="b">
        <x:v>0</x:v>
      </x:c>
      <x:c r="AG558" s="47" t="b">
        <x:v>0</x:v>
      </x:c>
      <x:c r="AH558" s="48" t="n">
        <x:v>0</x:v>
      </x:c>
      <x:c r="AI558" s="48" t="n">
        <x:v>1.1920928955078125e-7</x:v>
      </x:c>
      <x:c r="AJ558" s="37" t="str">
        <x:v>passed</x:v>
      </x:c>
    </x:row>
    <x:row r="559" ht="21" customHeight="1">
      <x:c r="A559" s="2"/>
      <x:c r="B559" s="2"/>
      <x:c r="C559" s="2" t="str">
        <x:v>2022</x:v>
      </x:c>
      <x:c r="D559" s="5" t="n">
        <x:v>44764</x:v>
      </x:c>
      <x:c r="E559" s="2" t="str">
        <x:v>unhedged</x:v>
      </x:c>
      <x:c r="F559" s="37" t="n">
        <x:v>1276225.7278068878</x:v>
      </x:c>
      <x:c r="G559" s="37" t="n">
        <x:v>10935006.066085393</x:v>
      </x:c>
      <x:c r="H559" s="37" t="n">
        <x:v>44368.656918087916</x:v>
      </x:c>
      <x:c r="I559" s="37" t="n">
        <x:v>10890637.409167305</x:v>
      </x:c>
      <x:c r="J559" s="37" t="n">
        <x:v>10935006.066085393</x:v>
      </x:c>
      <x:c r="K559" s="37" t="n">
        <x:v>0</x:v>
      </x:c>
      <x:c r="L559" s="37" t="n">
        <x:v>12211231.793892281</x:v>
      </x:c>
      <x:c r="M559" s="37" t="n">
        <x:v>0</x:v>
      </x:c>
      <x:c r="N559" s="37" t="n">
        <x:v>0</x:v>
      </x:c>
      <x:c r="O559" s="37" t="n">
        <x:v>69.92634528572671</x:v>
      </x:c>
      <x:c r="P559" s="37" t="n">
        <x:v>0</x:v>
      </x:c>
      <x:c r="Q559" s="37" t="n">
        <x:v>0</x:v>
      </x:c>
      <x:c r="R559" s="37" t="n">
        <x:v>0</x:v>
      </x:c>
      <x:c r="S559" s="37" t="n">
        <x:v>0</x:v>
      </x:c>
      <x:c r="T559" s="37" t="n">
        <x:v>0</x:v>
      </x:c>
      <x:c r="U559" s="37" t="n">
        <x:v>63750</x:v>
      </x:c>
      <x:c r="V559" s="37" t="n">
        <x:v>0</x:v>
      </x:c>
      <x:c r="W559" s="37" t="n">
        <x:v>13650.447123613441</x:v>
      </x:c>
      <x:c r="X559" s="37" t="n">
        <x:v>0</x:v>
      </x:c>
      <x:c r="Y559" s="37" t="n">
        <x:v>1174.7193167256753</x:v>
      </x:c>
      <x:c r="Z559" s="37" t="n">
        <x:v>0</x:v>
      </x:c>
      <x:c r="AA559" s="37" t="n">
        <x:v>0</x:v>
      </x:c>
      <x:c r="AB559" s="37" t="n">
        <x:v>0</x:v>
      </x:c>
      <x:c r="AC559" s="37" t="n">
        <x:v>1276225.7278068878</x:v>
      </x:c>
      <x:c r="AD559" s="37" t="n">
        <x:v>0</x:v>
      </x:c>
      <x:c r="AE559" s="37" t="n">
        <x:v>0</x:v>
      </x:c>
      <x:c r="AF559" s="47" t="b">
        <x:v>0</x:v>
      </x:c>
      <x:c r="AG559" s="47" t="b">
        <x:v>0</x:v>
      </x:c>
      <x:c r="AH559" s="48" t="n">
        <x:v>0</x:v>
      </x:c>
      <x:c r="AI559" s="48" t="n">
        <x:v>1.1920928955078125e-7</x:v>
      </x:c>
      <x:c r="AJ559" s="37" t="str">
        <x:v>passed</x:v>
      </x:c>
    </x:row>
    <x:row r="560" ht="21" customHeight="1">
      <x:c r="A560" s="2"/>
      <x:c r="B560" s="2"/>
      <x:c r="C560" s="2" t="str">
        <x:v>2022</x:v>
      </x:c>
      <x:c r="D560" s="5" t="n">
        <x:v>44764</x:v>
      </x:c>
      <x:c r="E560" s="2" t="str">
        <x:v>duration</x:v>
      </x:c>
      <x:c r="F560" s="37" t="n">
        <x:v>9332483.766636964</x:v>
      </x:c>
      <x:c r="G560" s="37" t="n">
        <x:v>3644698.779787265</x:v>
      </x:c>
      <x:c r="H560" s="37" t="n">
        <x:v>23392.831853287105</x:v>
      </x:c>
      <x:c r="I560" s="37" t="n">
        <x:v>3621305.947933978</x:v>
      </x:c>
      <x:c r="J560" s="37" t="n">
        <x:v>10935006.066085393</x:v>
      </x:c>
      <x:c r="K560" s="37" t="n">
        <x:v>7290307.286298128</x:v>
      </x:c>
      <x:c r="L560" s="37" t="n">
        <x:v>12977182.546424229</x:v>
      </x:c>
      <x:c r="M560" s="37" t="n">
        <x:v>0</x:v>
      </x:c>
      <x:c r="N560" s="37" t="n">
        <x:v>0</x:v>
      </x:c>
      <x:c r="O560" s="37" t="n">
        <x:v>511.3409548327327</x:v>
      </x:c>
      <x:c r="P560" s="37" t="n">
        <x:v>0</x:v>
      </x:c>
      <x:c r="Q560" s="37" t="n">
        <x:v>0</x:v>
      </x:c>
      <x:c r="R560" s="37" t="n">
        <x:v>0</x:v>
      </x:c>
      <x:c r="S560" s="37" t="n">
        <x:v>0</x:v>
      </x:c>
      <x:c r="T560" s="37" t="n">
        <x:v>0</x:v>
      </x:c>
      <x:c r="U560" s="37" t="n">
        <x:v>6645.098252371114</x:v>
      </x:c>
      <x:c r="V560" s="37" t="n">
        <x:v>0</x:v>
      </x:c>
      <x:c r="W560" s="37" t="n">
        <x:v>102045.34502336755</x:v>
      </x:c>
      <x:c r="X560" s="37" t="n">
        <x:v>0</x:v>
      </x:c>
      <x:c r="Y560" s="37" t="n">
        <x:v>1994.1254232916465</x:v>
      </x:c>
      <x:c r="Z560" s="37" t="n">
        <x:v>7436113.432024091</x:v>
      </x:c>
      <x:c r="AA560" s="37" t="n">
        <x:v>0</x:v>
      </x:c>
      <x:c r="AB560" s="37" t="n">
        <x:v>7436113.432024091</x:v>
      </x:c>
      <x:c r="AC560" s="37" t="n">
        <x:v>1896370.3346128734</x:v>
      </x:c>
      <x:c r="AD560" s="37" t="n">
        <x:v>0</x:v>
      </x:c>
      <x:c r="AE560" s="37" t="n">
        <x:v>0</x:v>
      </x:c>
      <x:c r="AF560" s="47" t="b">
        <x:v>0</x:v>
      </x:c>
      <x:c r="AG560" s="47" t="b">
        <x:v>0</x:v>
      </x:c>
      <x:c r="AH560" s="48" t="n">
        <x:v>0</x:v>
      </x:c>
      <x:c r="AI560" s="48" t="n">
        <x:v>1.1920928955078125e-7</x:v>
      </x:c>
      <x:c r="AJ560" s="37" t="str">
        <x:v>passed</x:v>
      </x:c>
    </x:row>
    <x:row r="561" ht="21" customHeight="1">
      <x:c r="A561" s="2"/>
      <x:c r="B561" s="2"/>
      <x:c r="C561" s="2" t="str">
        <x:v>2022</x:v>
      </x:c>
      <x:c r="D561" s="5" t="n">
        <x:v>44764</x:v>
      </x:c>
      <x:c r="E561" s="2" t="str">
        <x:v>unweighted</x:v>
      </x:c>
      <x:c r="F561" s="37" t="n">
        <x:v>12341938.953320578</x:v>
      </x:c>
      <x:c r="G561" s="37" t="n">
        <x:v>685523.0507798202</x:v>
      </x:c>
      <x:c r="H561" s="37" t="n">
        <x:v>22383.236795560915</x:v>
      </x:c>
      <x:c r="I561" s="37" t="n">
        <x:v>663139.8139842593</x:v>
      </x:c>
      <x:c r="J561" s="37" t="n">
        <x:v>10941361.51116998</x:v>
      </x:c>
      <x:c r="K561" s="37" t="n">
        <x:v>10255838.46039016</x:v>
      </x:c>
      <x:c r="L561" s="37" t="n">
        <x:v>13027462.004100397</x:v>
      </x:c>
      <x:c r="M561" s="37" t="n">
        <x:v>0</x:v>
      </x:c>
      <x:c r="N561" s="37" t="n">
        <x:v>0</x:v>
      </x:c>
      <x:c r="O561" s="37" t="n">
        <x:v>676.2335736863315</x:v>
      </x:c>
      <x:c r="P561" s="37" t="n">
        <x:v>0</x:v>
      </x:c>
      <x:c r="Q561" s="37" t="n">
        <x:v>0</x:v>
      </x:c>
      <x:c r="R561" s="37" t="n">
        <x:v>0</x:v>
      </x:c>
      <x:c r="S561" s="37" t="n">
        <x:v>0</x:v>
      </x:c>
      <x:c r="T561" s="37" t="n">
        <x:v>0</x:v>
      </x:c>
      <x:c r="U561" s="37" t="n">
        <x:v>-1868.6910087944125</x:v>
      </x:c>
      <x:c r="V561" s="37" t="n">
        <x:v>0</x:v>
      </x:c>
      <x:c r="W561" s="37" t="n">
        <x:v>132930.52200134099</x:v>
      </x:c>
      <x:c r="X561" s="37" t="n">
        <x:v>0</x:v>
      </x:c>
      <x:c r="Y561" s="37" t="n">
        <x:v>2278.3794391011447</x:v>
      </x:c>
      <x:c r="Z561" s="37" t="n">
        <x:v>10460955.229597963</x:v>
      </x:c>
      <x:c r="AA561" s="37" t="n">
        <x:v>0</x:v>
      </x:c>
      <x:c r="AB561" s="37" t="n">
        <x:v>10460955.229597963</x:v>
      </x:c>
      <x:c r="AC561" s="37" t="n">
        <x:v>1880983.7237226143</x:v>
      </x:c>
      <x:c r="AD561" s="37" t="n">
        <x:v>0</x:v>
      </x:c>
      <x:c r="AE561" s="37" t="n">
        <x:v>0</x:v>
      </x:c>
      <x:c r="AF561" s="47" t="b">
        <x:v>0</x:v>
      </x:c>
      <x:c r="AG561" s="47" t="b">
        <x:v>0</x:v>
      </x:c>
      <x:c r="AH561" s="48" t="n">
        <x:v>0</x:v>
      </x:c>
      <x:c r="AI561" s="48" t="n">
        <x:v>1.1920928955078125e-7</x:v>
      </x:c>
      <x:c r="AJ561" s="37" t="str">
        <x:v>passed</x:v>
      </x:c>
    </x:row>
    <x:row r="562" ht="21" customHeight="1">
      <x:c r="A562" s="2"/>
      <x:c r="B562" s="2"/>
      <x:c r="C562" s="2" t="str">
        <x:v>2022</x:v>
      </x:c>
      <x:c r="D562" s="5" t="n">
        <x:v>44764</x:v>
      </x:c>
      <x:c r="E562" s="2" t="str">
        <x:v>constrained</x:v>
      </x:c>
      <x:c r="F562" s="37" t="n">
        <x:v>13150351.68800064</x:v>
      </x:c>
      <x:c r="G562" s="37" t="n">
        <x:v>-59033.80912002611</x:v>
      </x:c>
      <x:c r="H562" s="37" t="n">
        <x:v>21032.179591214808</x:v>
      </x:c>
      <x:c r="I562" s="37" t="n">
        <x:v>-80065.98871124092</x:v>
      </x:c>
      <x:c r="J562" s="37" t="n">
        <x:v>10942092.377978003</x:v>
      </x:c>
      <x:c r="K562" s="37" t="n">
        <x:v>11001126.187098028</x:v>
      </x:c>
      <x:c r="L562" s="37" t="n">
        <x:v>13091317.878880614</x:v>
      </x:c>
      <x:c r="M562" s="37" t="n">
        <x:v>0</x:v>
      </x:c>
      <x:c r="N562" s="37" t="n">
        <x:v>0</x:v>
      </x:c>
      <x:c r="O562" s="37" t="n">
        <x:v>720.5277348123491</x:v>
      </x:c>
      <x:c r="P562" s="37" t="n">
        <x:v>0</x:v>
      </x:c>
      <x:c r="Q562" s="37" t="n">
        <x:v>0</x:v>
      </x:c>
      <x:c r="R562" s="37" t="n">
        <x:v>0</x:v>
      </x:c>
      <x:c r="S562" s="37" t="n">
        <x:v>0</x:v>
      </x:c>
      <x:c r="T562" s="37" t="n">
        <x:v>0</x:v>
      </x:c>
      <x:c r="U562" s="37" t="n">
        <x:v>-6729.4488397945315</x:v>
      </x:c>
      <x:c r="V562" s="37" t="n">
        <x:v>0</x:v>
      </x:c>
      <x:c r="W562" s="37" t="n">
        <x:v>143428.0590905305</x:v>
      </x:c>
      <x:c r="X562" s="37" t="n">
        <x:v>0</x:v>
      </x:c>
      <x:c r="Y562" s="37" t="n">
        <x:v>2376.025817664196</x:v>
      </x:c>
      <x:c r="Z562" s="37" t="n">
        <x:v>11221148.710839989</x:v>
      </x:c>
      <x:c r="AA562" s="37" t="n">
        <x:v>0</x:v>
      </x:c>
      <x:c r="AB562" s="37" t="n">
        <x:v>11221148.710839989</x:v>
      </x:c>
      <x:c r="AC562" s="37" t="n">
        <x:v>1929202.9771606512</x:v>
      </x:c>
      <x:c r="AD562" s="37" t="n">
        <x:v>0</x:v>
      </x:c>
      <x:c r="AE562" s="37" t="n">
        <x:v>0</x:v>
      </x:c>
      <x:c r="AF562" s="47" t="b">
        <x:v>0</x:v>
      </x:c>
      <x:c r="AG562" s="47" t="b">
        <x:v>0</x:v>
      </x:c>
      <x:c r="AH562" s="48" t="n">
        <x:v>0</x:v>
      </x:c>
      <x:c r="AI562" s="48" t="n">
        <x:v>1.1920928955078125e-7</x:v>
      </x:c>
      <x:c r="AJ562" s="37" t="str">
        <x:v>passed</x:v>
      </x:c>
    </x:row>
    <x:row r="563" ht="21" customHeight="1">
      <x:c r="A563" s="2"/>
      <x:c r="B563" s="2"/>
      <x:c r="C563" s="2" t="str">
        <x:v>2022</x:v>
      </x:c>
      <x:c r="D563" s="5" t="n">
        <x:v>44767</x:v>
      </x:c>
      <x:c r="E563" s="2" t="str">
        <x:v>unhedged</x:v>
      </x:c>
      <x:c r="F563" s="37" t="n">
        <x:v>1276435.529833068</x:v>
      </x:c>
      <x:c r="G563" s="37" t="n">
        <x:v>10917145.372751512</x:v>
      </x:c>
      <x:c r="H563" s="37" t="n">
        <x:v>45418.19300984866</x:v>
      </x:c>
      <x:c r="I563" s="37" t="n">
        <x:v>10871727.179741664</x:v>
      </x:c>
      <x:c r="J563" s="37" t="n">
        <x:v>10917145.372751512</x:v>
      </x:c>
      <x:c r="K563" s="37" t="n">
        <x:v>0</x:v>
      </x:c>
      <x:c r="L563" s="37" t="n">
        <x:v>12193580.902584579</x:v>
      </x:c>
      <x:c r="M563" s="37" t="n">
        <x:v>0</x:v>
      </x:c>
      <x:c r="N563" s="37" t="n">
        <x:v>0</x:v>
      </x:c>
      <x:c r="O563" s="37" t="n">
        <x:v>209.8020261800848</x:v>
      </x:c>
      <x:c r="P563" s="37" t="n">
        <x:v>0</x:v>
      </x:c>
      <x:c r="Q563" s="37" t="n">
        <x:v>0</x:v>
      </x:c>
      <x:c r="R563" s="37" t="n">
        <x:v>0</x:v>
      </x:c>
      <x:c r="S563" s="37" t="n">
        <x:v>0</x:v>
      </x:c>
      <x:c r="T563" s="37" t="n">
        <x:v>0</x:v>
      </x:c>
      <x:c r="U563" s="37" t="n">
        <x:v>63750</x:v>
      </x:c>
      <x:c r="V563" s="37" t="n">
        <x:v>0</x:v>
      </x:c>
      <x:c r="W563" s="37" t="n">
        <x:v>13860.249149793526</x:v>
      </x:c>
      <x:c r="X563" s="37" t="n">
        <x:v>0</x:v>
      </x:c>
      <x:c r="Y563" s="37" t="n">
        <x:v>1174.7193167256753</x:v>
      </x:c>
      <x:c r="Z563" s="37" t="n">
        <x:v>0</x:v>
      </x:c>
      <x:c r="AA563" s="37" t="n">
        <x:v>0</x:v>
      </x:c>
      <x:c r="AB563" s="37" t="n">
        <x:v>0</x:v>
      </x:c>
      <x:c r="AC563" s="37" t="n">
        <x:v>1276435.529833068</x:v>
      </x:c>
      <x:c r="AD563" s="37" t="n">
        <x:v>0</x:v>
      </x:c>
      <x:c r="AE563" s="37" t="n">
        <x:v>0</x:v>
      </x:c>
      <x:c r="AF563" s="47" t="b">
        <x:v>0</x:v>
      </x:c>
      <x:c r="AG563" s="47" t="b">
        <x:v>0</x:v>
      </x:c>
      <x:c r="AH563" s="48" t="n">
        <x:v>0</x:v>
      </x:c>
      <x:c r="AI563" s="48" t="n">
        <x:v>1.1920928955078125e-7</x:v>
      </x:c>
      <x:c r="AJ563" s="37" t="str">
        <x:v>passed</x:v>
      </x:c>
    </x:row>
    <x:row r="564" ht="21" customHeight="1">
      <x:c r="A564" s="2"/>
      <x:c r="B564" s="2"/>
      <x:c r="C564" s="2" t="str">
        <x:v>2022</x:v>
      </x:c>
      <x:c r="D564" s="5" t="n">
        <x:v>44767</x:v>
      </x:c>
      <x:c r="E564" s="2" t="str">
        <x:v>duration</x:v>
      </x:c>
      <x:c r="F564" s="37" t="n">
        <x:v>9334017.957619699</x:v>
      </x:c>
      <x:c r="G564" s="37" t="n">
        <x:v>3646228.353544662</x:v>
      </x:c>
      <x:c r="H564" s="37" t="n">
        <x:v>23516.963898071343</x:v>
      </x:c>
      <x:c r="I564" s="37" t="n">
        <x:v>3622711.38964659</x:v>
      </x:c>
      <x:c r="J564" s="37" t="n">
        <x:v>10917145.372751512</x:v>
      </x:c>
      <x:c r="K564" s="37" t="n">
        <x:v>7270917.019206851</x:v>
      </x:c>
      <x:c r="L564" s="37" t="n">
        <x:v>12980246.31116436</x:v>
      </x:c>
      <x:c r="M564" s="37" t="n">
        <x:v>0</x:v>
      </x:c>
      <x:c r="N564" s="37" t="n">
        <x:v>0</x:v>
      </x:c>
      <x:c r="O564" s="37" t="n">
        <x:v>1534.1909827347845</x:v>
      </x:c>
      <x:c r="P564" s="37" t="n">
        <x:v>0</x:v>
      </x:c>
      <x:c r="Q564" s="37" t="n">
        <x:v>0</x:v>
      </x:c>
      <x:c r="R564" s="37" t="n">
        <x:v>0</x:v>
      </x:c>
      <x:c r="S564" s="37" t="n">
        <x:v>0</x:v>
      </x:c>
      <x:c r="T564" s="37" t="n">
        <x:v>0</x:v>
      </x:c>
      <x:c r="U564" s="37" t="n">
        <x:v>6645.098252371114</x:v>
      </x:c>
      <x:c r="V564" s="37" t="n">
        <x:v>0</x:v>
      </x:c>
      <x:c r="W564" s="37" t="n">
        <x:v>103579.53600610234</x:v>
      </x:c>
      <x:c r="X564" s="37" t="n">
        <x:v>0</x:v>
      </x:c>
      <x:c r="Y564" s="37" t="n">
        <x:v>1994.1254232916465</x:v>
      </x:c>
      <x:c r="Z564" s="37" t="n">
        <x:v>7416335.359590988</x:v>
      </x:c>
      <x:c r="AA564" s="37" t="n">
        <x:v>0</x:v>
      </x:c>
      <x:c r="AB564" s="37" t="n">
        <x:v>7416335.359590988</x:v>
      </x:c>
      <x:c r="AC564" s="37" t="n">
        <x:v>1917682.598028711</x:v>
      </x:c>
      <x:c r="AD564" s="37" t="n">
        <x:v>0</x:v>
      </x:c>
      <x:c r="AE564" s="37" t="n">
        <x:v>0</x:v>
      </x:c>
      <x:c r="AF564" s="47" t="b">
        <x:v>0</x:v>
      </x:c>
      <x:c r="AG564" s="47" t="b">
        <x:v>0</x:v>
      </x:c>
      <x:c r="AH564" s="48" t="n">
        <x:v>0</x:v>
      </x:c>
      <x:c r="AI564" s="48" t="n">
        <x:v>1.1920928955078125e-7</x:v>
      </x:c>
      <x:c r="AJ564" s="37" t="str">
        <x:v>passed</x:v>
      </x:c>
    </x:row>
    <x:row r="565" ht="21" customHeight="1">
      <x:c r="A565" s="2"/>
      <x:c r="B565" s="2"/>
      <x:c r="C565" s="2" t="str">
        <x:v>2022</x:v>
      </x:c>
      <x:c r="D565" s="5" t="n">
        <x:v>44767</x:v>
      </x:c>
      <x:c r="E565" s="2" t="str">
        <x:v>unweighted</x:v>
      </x:c>
      <x:c r="F565" s="37" t="n">
        <x:v>12343967.876373123</x:v>
      </x:c>
      <x:c r="G565" s="37" t="n">
        <x:v>684824.5362378448</x:v>
      </x:c>
      <x:c r="H565" s="37" t="n">
        <x:v>22351.91388398961</x:v>
      </x:c>
      <x:c r="I565" s="37" t="n">
        <x:v>662472.6223538553</x:v>
      </x:c>
      <x:c r="J565" s="37" t="n">
        <x:v>10923455.440427419</x:v>
      </x:c>
      <x:c r="K565" s="37" t="n">
        <x:v>10238630.904189574</x:v>
      </x:c>
      <x:c r="L565" s="37" t="n">
        <x:v>13028792.412610969</x:v>
      </x:c>
      <x:c r="M565" s="37" t="n">
        <x:v>0</x:v>
      </x:c>
      <x:c r="N565" s="37" t="n">
        <x:v>0</x:v>
      </x:c>
      <x:c r="O565" s="37" t="n">
        <x:v>2028.923052545637</x:v>
      </x:c>
      <x:c r="P565" s="37" t="n">
        <x:v>0</x:v>
      </x:c>
      <x:c r="Q565" s="37" t="n">
        <x:v>0</x:v>
      </x:c>
      <x:c r="R565" s="37" t="n">
        <x:v>0</x:v>
      </x:c>
      <x:c r="S565" s="37" t="n">
        <x:v>0</x:v>
      </x:c>
      <x:c r="T565" s="37" t="n">
        <x:v>0</x:v>
      </x:c>
      <x:c r="U565" s="37" t="n">
        <x:v>-1868.6910087944125</x:v>
      </x:c>
      <x:c r="V565" s="37" t="n">
        <x:v>0</x:v>
      </x:c>
      <x:c r="W565" s="37" t="n">
        <x:v>134959.44505388662</x:v>
      </x:c>
      <x:c r="X565" s="37" t="n">
        <x:v>0</x:v>
      </x:c>
      <x:c r="Y565" s="37" t="n">
        <x:v>2278.3794391011447</x:v>
      </x:c>
      <x:c r="Z565" s="37" t="n">
        <x:v>10443403.522273365</x:v>
      </x:c>
      <x:c r="AA565" s="37" t="n">
        <x:v>0</x:v>
      </x:c>
      <x:c r="AB565" s="37" t="n">
        <x:v>10443403.522273365</x:v>
      </x:c>
      <x:c r="AC565" s="37" t="n">
        <x:v>1900564.354099758</x:v>
      </x:c>
      <x:c r="AD565" s="37" t="n">
        <x:v>0</x:v>
      </x:c>
      <x:c r="AE565" s="37" t="n">
        <x:v>0</x:v>
      </x:c>
      <x:c r="AF565" s="47" t="b">
        <x:v>0</x:v>
      </x:c>
      <x:c r="AG565" s="47" t="b">
        <x:v>0</x:v>
      </x:c>
      <x:c r="AH565" s="48" t="n">
        <x:v>0</x:v>
      </x:c>
      <x:c r="AI565" s="48" t="n">
        <x:v>1.1920928955078125e-7</x:v>
      </x:c>
      <x:c r="AJ565" s="37" t="str">
        <x:v>passed</x:v>
      </x:c>
    </x:row>
    <x:row r="566" ht="21" customHeight="1">
      <x:c r="A566" s="2"/>
      <x:c r="B566" s="2"/>
      <x:c r="C566" s="2" t="str">
        <x:v>2022</x:v>
      </x:c>
      <x:c r="D566" s="5" t="n">
        <x:v>44767</x:v>
      </x:c>
      <x:c r="E566" s="2" t="str">
        <x:v>constrained</x:v>
      </x:c>
      <x:c r="F566" s="37" t="n">
        <x:v>13152513.508099554</x:v>
      </x:c>
      <x:c r="G566" s="37" t="n">
        <x:v>-58801.55836902567</x:v>
      </x:c>
      <x:c r="H566" s="37" t="n">
        <x:v>20929.28504372254</x:v>
      </x:c>
      <x:c r="I566" s="37" t="n">
        <x:v>-79730.8434127482</x:v>
      </x:c>
      <x:c r="J566" s="37" t="n">
        <x:v>10924181.088900393</x:v>
      </x:c>
      <x:c r="K566" s="37" t="n">
        <x:v>10982982.647269418</x:v>
      </x:c>
      <x:c r="L566" s="37" t="n">
        <x:v>13093711.949730529</x:v>
      </x:c>
      <x:c r="M566" s="37" t="n">
        <x:v>0</x:v>
      </x:c>
      <x:c r="N566" s="37" t="n">
        <x:v>0</x:v>
      </x:c>
      <x:c r="O566" s="37" t="n">
        <x:v>2161.820098914206</x:v>
      </x:c>
      <x:c r="P566" s="37" t="n">
        <x:v>0</x:v>
      </x:c>
      <x:c r="Q566" s="37" t="n">
        <x:v>0</x:v>
      </x:c>
      <x:c r="R566" s="37" t="n">
        <x:v>0</x:v>
      </x:c>
      <x:c r="S566" s="37" t="n">
        <x:v>0</x:v>
      </x:c>
      <x:c r="T566" s="37" t="n">
        <x:v>0</x:v>
      </x:c>
      <x:c r="U566" s="37" t="n">
        <x:v>-6729.4488397945315</x:v>
      </x:c>
      <x:c r="V566" s="37" t="n">
        <x:v>0</x:v>
      </x:c>
      <x:c r="W566" s="37" t="n">
        <x:v>145589.8791894447</x:v>
      </x:c>
      <x:c r="X566" s="37" t="n">
        <x:v>0</x:v>
      </x:c>
      <x:c r="Y566" s="37" t="n">
        <x:v>2376.025817664196</x:v>
      </x:c>
      <x:c r="Z566" s="37" t="n">
        <x:v>11202642.300214807</x:v>
      </x:c>
      <x:c r="AA566" s="37" t="n">
        <x:v>0</x:v>
      </x:c>
      <x:c r="AB566" s="37" t="n">
        <x:v>11202642.300214807</x:v>
      </x:c>
      <x:c r="AC566" s="37" t="n">
        <x:v>1949871.2078847475</x:v>
      </x:c>
      <x:c r="AD566" s="37" t="n">
        <x:v>0</x:v>
      </x:c>
      <x:c r="AE566" s="37" t="n">
        <x:v>0</x:v>
      </x:c>
      <x:c r="AF566" s="47" t="b">
        <x:v>0</x:v>
      </x:c>
      <x:c r="AG566" s="47" t="b">
        <x:v>0</x:v>
      </x:c>
      <x:c r="AH566" s="48" t="n">
        <x:v>0</x:v>
      </x:c>
      <x:c r="AI566" s="48" t="n">
        <x:v>1.1920928955078125e-7</x:v>
      </x:c>
      <x:c r="AJ566" s="37" t="str">
        <x:v>passed</x:v>
      </x:c>
    </x:row>
    <x:row r="567" ht="21" customHeight="1">
      <x:c r="A567" s="2"/>
      <x:c r="B567" s="2"/>
      <x:c r="C567" s="2" t="str">
        <x:v>2022</x:v>
      </x:c>
      <x:c r="D567" s="5" t="n">
        <x:v>44768</x:v>
      </x:c>
      <x:c r="E567" s="2" t="str">
        <x:v>unhedged</x:v>
      </x:c>
      <x:c r="F567" s="37" t="n">
        <x:v>1276505.4715059355</x:v>
      </x:c>
      <x:c r="G567" s="37" t="n">
        <x:v>10920223.588241031</x:v>
      </x:c>
      <x:c r="H567" s="37" t="n">
        <x:v>45768.03837376892</x:v>
      </x:c>
      <x:c r="I567" s="37" t="n">
        <x:v>10874455.549867263</x:v>
      </x:c>
      <x:c r="J567" s="37" t="n">
        <x:v>10920223.588241031</x:v>
      </x:c>
      <x:c r="K567" s="37" t="n">
        <x:v>0</x:v>
      </x:c>
      <x:c r="L567" s="37" t="n">
        <x:v>12196729.059746968</x:v>
      </x:c>
      <x:c r="M567" s="37" t="n">
        <x:v>0</x:v>
      </x:c>
      <x:c r="N567" s="37" t="n">
        <x:v>0</x:v>
      </x:c>
      <x:c r="O567" s="37" t="n">
        <x:v>69.94167286762968</x:v>
      </x:c>
      <x:c r="P567" s="37" t="n">
        <x:v>0</x:v>
      </x:c>
      <x:c r="Q567" s="37" t="n">
        <x:v>0</x:v>
      </x:c>
      <x:c r="R567" s="37" t="n">
        <x:v>0</x:v>
      </x:c>
      <x:c r="S567" s="37" t="n">
        <x:v>0</x:v>
      </x:c>
      <x:c r="T567" s="37" t="n">
        <x:v>0</x:v>
      </x:c>
      <x:c r="U567" s="37" t="n">
        <x:v>63750</x:v>
      </x:c>
      <x:c r="V567" s="37" t="n">
        <x:v>0</x:v>
      </x:c>
      <x:c r="W567" s="37" t="n">
        <x:v>13930.190822661156</x:v>
      </x:c>
      <x:c r="X567" s="37" t="n">
        <x:v>0</x:v>
      </x:c>
      <x:c r="Y567" s="37" t="n">
        <x:v>1174.7193167256753</x:v>
      </x:c>
      <x:c r="Z567" s="37" t="n">
        <x:v>0</x:v>
      </x:c>
      <x:c r="AA567" s="37" t="n">
        <x:v>0</x:v>
      </x:c>
      <x:c r="AB567" s="37" t="n">
        <x:v>0</x:v>
      </x:c>
      <x:c r="AC567" s="37" t="n">
        <x:v>1276505.4715059355</x:v>
      </x:c>
      <x:c r="AD567" s="37" t="n">
        <x:v>0</x:v>
      </x:c>
      <x:c r="AE567" s="37" t="n">
        <x:v>0</x:v>
      </x:c>
      <x:c r="AF567" s="47" t="b">
        <x:v>0</x:v>
      </x:c>
      <x:c r="AG567" s="47" t="b">
        <x:v>0</x:v>
      </x:c>
      <x:c r="AH567" s="48" t="n">
        <x:v>0</x:v>
      </x:c>
      <x:c r="AI567" s="48" t="n">
        <x:v>1.1920928955078125e-7</x:v>
      </x:c>
      <x:c r="AJ567" s="37" t="str">
        <x:v>passed</x:v>
      </x:c>
    </x:row>
    <x:row r="568" ht="21" customHeight="1">
      <x:c r="A568" s="2"/>
      <x:c r="B568" s="2"/>
      <x:c r="C568" s="2" t="str">
        <x:v>2022</x:v>
      </x:c>
      <x:c r="D568" s="5" t="n">
        <x:v>44768</x:v>
      </x:c>
      <x:c r="E568" s="2" t="str">
        <x:v>duration</x:v>
      </x:c>
      <x:c r="F568" s="37" t="n">
        <x:v>9334529.410658473</x:v>
      </x:c>
      <x:c r="G568" s="37" t="n">
        <x:v>3640967.3707253924</x:v>
      </x:c>
      <x:c r="H568" s="37" t="n">
        <x:v>23558.34124633277</x:v>
      </x:c>
      <x:c r="I568" s="37" t="n">
        <x:v>3617409.0294790594</x:v>
      </x:c>
      <x:c r="J568" s="37" t="n">
        <x:v>10920223.588241031</x:v>
      </x:c>
      <x:c r="K568" s="37" t="n">
        <x:v>7279256.217515639</x:v>
      </x:c>
      <x:c r="L568" s="37" t="n">
        <x:v>12975496.781383865</x:v>
      </x:c>
      <x:c r="M568" s="37" t="n">
        <x:v>0</x:v>
      </x:c>
      <x:c r="N568" s="37" t="n">
        <x:v>0</x:v>
      </x:c>
      <x:c r="O568" s="37" t="n">
        <x:v>511.45303877443075</x:v>
      </x:c>
      <x:c r="P568" s="37" t="n">
        <x:v>0</x:v>
      </x:c>
      <x:c r="Q568" s="37" t="n">
        <x:v>0</x:v>
      </x:c>
      <x:c r="R568" s="37" t="n">
        <x:v>0</x:v>
      </x:c>
      <x:c r="S568" s="37" t="n">
        <x:v>0</x:v>
      </x:c>
      <x:c r="T568" s="37" t="n">
        <x:v>0</x:v>
      </x:c>
      <x:c r="U568" s="37" t="n">
        <x:v>6645.098252371114</x:v>
      </x:c>
      <x:c r="V568" s="37" t="n">
        <x:v>0</x:v>
      </x:c>
      <x:c r="W568" s="37" t="n">
        <x:v>104090.98904487677</x:v>
      </x:c>
      <x:c r="X568" s="37" t="n">
        <x:v>0</x:v>
      </x:c>
      <x:c r="Y568" s="37" t="n">
        <x:v>1994.1254232916465</x:v>
      </x:c>
      <x:c r="Z568" s="37" t="n">
        <x:v>7424841.341865952</x:v>
      </x:c>
      <x:c r="AA568" s="37" t="n">
        <x:v>0</x:v>
      </x:c>
      <x:c r="AB568" s="37" t="n">
        <x:v>7424841.341865952</x:v>
      </x:c>
      <x:c r="AC568" s="37" t="n">
        <x:v>1909688.068792521</x:v>
      </x:c>
      <x:c r="AD568" s="37" t="n">
        <x:v>0</x:v>
      </x:c>
      <x:c r="AE568" s="37" t="n">
        <x:v>0</x:v>
      </x:c>
      <x:c r="AF568" s="47" t="b">
        <x:v>0</x:v>
      </x:c>
      <x:c r="AG568" s="47" t="b">
        <x:v>0</x:v>
      </x:c>
      <x:c r="AH568" s="48" t="n">
        <x:v>0</x:v>
      </x:c>
      <x:c r="AI568" s="48" t="n">
        <x:v>1.1920928955078125e-7</x:v>
      </x:c>
      <x:c r="AJ568" s="37" t="str">
        <x:v>passed</x:v>
      </x:c>
    </x:row>
    <x:row r="569" ht="21" customHeight="1">
      <x:c r="A569" s="2"/>
      <x:c r="B569" s="2"/>
      <x:c r="C569" s="2" t="str">
        <x:v>2022</x:v>
      </x:c>
      <x:c r="D569" s="5" t="n">
        <x:v>44768</x:v>
      </x:c>
      <x:c r="E569" s="2" t="str">
        <x:v>unweighted</x:v>
      </x:c>
      <x:c r="F569" s="37" t="n">
        <x:v>12344644.258174568</x:v>
      </x:c>
      <x:c r="G569" s="37" t="n">
        <x:v>684935.7338317299</x:v>
      </x:c>
      <x:c r="H569" s="37" t="n">
        <x:v>22341.47291346585</x:v>
      </x:c>
      <x:c r="I569" s="37" t="n">
        <x:v>662594.260918264</x:v>
      </x:c>
      <x:c r="J569" s="37" t="n">
        <x:v>10926543.47444561</x:v>
      </x:c>
      <x:c r="K569" s="37" t="n">
        <x:v>10241607.74061388</x:v>
      </x:c>
      <x:c r="L569" s="37" t="n">
        <x:v>13029579.992006298</x:v>
      </x:c>
      <x:c r="M569" s="37" t="n">
        <x:v>0</x:v>
      </x:c>
      <x:c r="N569" s="37" t="n">
        <x:v>0</x:v>
      </x:c>
      <x:c r="O569" s="37" t="n">
        <x:v>676.3818014450371</x:v>
      </x:c>
      <x:c r="P569" s="37" t="n">
        <x:v>0</x:v>
      </x:c>
      <x:c r="Q569" s="37" t="n">
        <x:v>0</x:v>
      </x:c>
      <x:c r="R569" s="37" t="n">
        <x:v>0</x:v>
      </x:c>
      <x:c r="S569" s="37" t="n">
        <x:v>0</x:v>
      </x:c>
      <x:c r="T569" s="37" t="n">
        <x:v>0</x:v>
      </x:c>
      <x:c r="U569" s="37" t="n">
        <x:v>-1868.6910087944125</x:v>
      </x:c>
      <x:c r="V569" s="37" t="n">
        <x:v>0</x:v>
      </x:c>
      <x:c r="W569" s="37" t="n">
        <x:v>135635.82685533166</x:v>
      </x:c>
      <x:c r="X569" s="37" t="n">
        <x:v>0</x:v>
      </x:c>
      <x:c r="Y569" s="37" t="n">
        <x:v>2278.3794391011447</x:v>
      </x:c>
      <x:c r="Z569" s="37" t="n">
        <x:v>10446439.895426158</x:v>
      </x:c>
      <x:c r="AA569" s="37" t="n">
        <x:v>0</x:v>
      </x:c>
      <x:c r="AB569" s="37" t="n">
        <x:v>10446439.895426158</x:v>
      </x:c>
      <x:c r="AC569" s="37" t="n">
        <x:v>1898204.3627484106</x:v>
      </x:c>
      <x:c r="AD569" s="37" t="n">
        <x:v>0</x:v>
      </x:c>
      <x:c r="AE569" s="37" t="n">
        <x:v>0</x:v>
      </x:c>
      <x:c r="AF569" s="47" t="b">
        <x:v>0</x:v>
      </x:c>
      <x:c r="AG569" s="47" t="b">
        <x:v>0</x:v>
      </x:c>
      <x:c r="AH569" s="48" t="n">
        <x:v>0</x:v>
      </x:c>
      <x:c r="AI569" s="48" t="n">
        <x:v>1.1920928955078125e-7</x:v>
      </x:c>
      <x:c r="AJ569" s="37" t="str">
        <x:v>passed</x:v>
      </x:c>
    </x:row>
    <x:row r="570" ht="21" customHeight="1">
      <x:c r="A570" s="2"/>
      <x:c r="B570" s="2"/>
      <x:c r="C570" s="2" t="str">
        <x:v>2022</x:v>
      </x:c>
      <x:c r="D570" s="5" t="n">
        <x:v>44768</x:v>
      </x:c>
      <x:c r="E570" s="2" t="str">
        <x:v>constrained</x:v>
      </x:c>
      <x:c r="F570" s="37" t="n">
        <x:v>13153234.193771232</x:v>
      </x:c>
      <x:c r="G570" s="37" t="n">
        <x:v>-58601.20639524722</x:v>
      </x:c>
      <x:c r="H570" s="37" t="n">
        <x:v>20894.98686122512</x:v>
      </x:c>
      <x:c r="I570" s="37" t="n">
        <x:v>-79496.19325647234</x:v>
      </x:c>
      <x:c r="J570" s="37" t="n">
        <x:v>10927270.252034895</x:v>
      </x:c>
      <x:c r="K570" s="37" t="n">
        <x:v>10985871.458430141</x:v>
      </x:c>
      <x:c r="L570" s="37" t="n">
        <x:v>13094632.987375984</x:v>
      </x:c>
      <x:c r="M570" s="37" t="n">
        <x:v>0</x:v>
      </x:c>
      <x:c r="N570" s="37" t="n">
        <x:v>0</x:v>
      </x:c>
      <x:c r="O570" s="37" t="n">
        <x:v>720.6856716778129</x:v>
      </x:c>
      <x:c r="P570" s="37" t="n">
        <x:v>0</x:v>
      </x:c>
      <x:c r="Q570" s="37" t="n">
        <x:v>0</x:v>
      </x:c>
      <x:c r="R570" s="37" t="n">
        <x:v>0</x:v>
      </x:c>
      <x:c r="S570" s="37" t="n">
        <x:v>0</x:v>
      </x:c>
      <x:c r="T570" s="37" t="n">
        <x:v>0</x:v>
      </x:c>
      <x:c r="U570" s="37" t="n">
        <x:v>-6729.4488397945315</x:v>
      </x:c>
      <x:c r="V570" s="37" t="n">
        <x:v>0</x:v>
      </x:c>
      <x:c r="W570" s="37" t="n">
        <x:v>146310.56486112252</x:v>
      </x:c>
      <x:c r="X570" s="37" t="n">
        <x:v>0</x:v>
      </x:c>
      <x:c r="Y570" s="37" t="n">
        <x:v>2376.025817664196</x:v>
      </x:c>
      <x:c r="Z570" s="37" t="n">
        <x:v>11205588.887598744</x:v>
      </x:c>
      <x:c r="AA570" s="37" t="n">
        <x:v>0</x:v>
      </x:c>
      <x:c r="AB570" s="37" t="n">
        <x:v>11205588.887598744</x:v>
      </x:c>
      <x:c r="AC570" s="37" t="n">
        <x:v>1947645.3061724883</x:v>
      </x:c>
      <x:c r="AD570" s="37" t="n">
        <x:v>0</x:v>
      </x:c>
      <x:c r="AE570" s="37" t="n">
        <x:v>0</x:v>
      </x:c>
      <x:c r="AF570" s="47" t="b">
        <x:v>0</x:v>
      </x:c>
      <x:c r="AG570" s="47" t="b">
        <x:v>0</x:v>
      </x:c>
      <x:c r="AH570" s="48" t="n">
        <x:v>0</x:v>
      </x:c>
      <x:c r="AI570" s="48" t="n">
        <x:v>1.1920928955078125e-7</x:v>
      </x:c>
      <x:c r="AJ570" s="37" t="str">
        <x:v>passed</x:v>
      </x:c>
    </x:row>
    <x:row r="571" ht="21" customHeight="1">
      <x:c r="A571" s="2"/>
      <x:c r="B571" s="2"/>
      <x:c r="C571" s="2" t="str">
        <x:v>2022</x:v>
      </x:c>
      <x:c r="D571" s="5" t="n">
        <x:v>44769</x:v>
      </x:c>
      <x:c r="E571" s="2" t="str">
        <x:v>unhedged</x:v>
      </x:c>
      <x:c r="F571" s="37" t="n">
        <x:v>1276575.4170112235</x:v>
      </x:c>
      <x:c r="G571" s="37" t="n">
        <x:v>10950715.750423696</x:v>
      </x:c>
      <x:c r="H571" s="37" t="n">
        <x:v>46117.88373768916</x:v>
      </x:c>
      <x:c r="I571" s="37" t="n">
        <x:v>10904597.866686007</x:v>
      </x:c>
      <x:c r="J571" s="37" t="n">
        <x:v>10950715.750423696</x:v>
      </x:c>
      <x:c r="K571" s="37" t="n">
        <x:v>0</x:v>
      </x:c>
      <x:c r="L571" s="37" t="n">
        <x:v>12227291.16743492</x:v>
      </x:c>
      <x:c r="M571" s="37" t="n">
        <x:v>0</x:v>
      </x:c>
      <x:c r="N571" s="37" t="n">
        <x:v>0</x:v>
      </x:c>
      <x:c r="O571" s="37" t="n">
        <x:v>69.9455052879639</x:v>
      </x:c>
      <x:c r="P571" s="37" t="n">
        <x:v>0</x:v>
      </x:c>
      <x:c r="Q571" s="37" t="n">
        <x:v>0</x:v>
      </x:c>
      <x:c r="R571" s="37" t="n">
        <x:v>0</x:v>
      </x:c>
      <x:c r="S571" s="37" t="n">
        <x:v>0</x:v>
      </x:c>
      <x:c r="T571" s="37" t="n">
        <x:v>0</x:v>
      </x:c>
      <x:c r="U571" s="37" t="n">
        <x:v>63750</x:v>
      </x:c>
      <x:c r="V571" s="37" t="n">
        <x:v>0</x:v>
      </x:c>
      <x:c r="W571" s="37" t="n">
        <x:v>14000.13632794912</x:v>
      </x:c>
      <x:c r="X571" s="37" t="n">
        <x:v>0</x:v>
      </x:c>
      <x:c r="Y571" s="37" t="n">
        <x:v>1174.7193167256753</x:v>
      </x:c>
      <x:c r="Z571" s="37" t="n">
        <x:v>0</x:v>
      </x:c>
      <x:c r="AA571" s="37" t="n">
        <x:v>0</x:v>
      </x:c>
      <x:c r="AB571" s="37" t="n">
        <x:v>0</x:v>
      </x:c>
      <x:c r="AC571" s="37" t="n">
        <x:v>1276575.4170112235</x:v>
      </x:c>
      <x:c r="AD571" s="37" t="n">
        <x:v>0</x:v>
      </x:c>
      <x:c r="AE571" s="37" t="n">
        <x:v>0</x:v>
      </x:c>
      <x:c r="AF571" s="47" t="b">
        <x:v>0</x:v>
      </x:c>
      <x:c r="AG571" s="47" t="b">
        <x:v>0</x:v>
      </x:c>
      <x:c r="AH571" s="48" t="n">
        <x:v>0</x:v>
      </x:c>
      <x:c r="AI571" s="48" t="n">
        <x:v>1.1920928955078125e-7</x:v>
      </x:c>
      <x:c r="AJ571" s="37" t="str">
        <x:v>passed</x:v>
      </x:c>
    </x:row>
    <x:row r="572" ht="21" customHeight="1">
      <x:c r="A572" s="2"/>
      <x:c r="B572" s="2"/>
      <x:c r="C572" s="2" t="str">
        <x:v>2022</x:v>
      </x:c>
      <x:c r="D572" s="5" t="n">
        <x:v>44769</x:v>
      </x:c>
      <x:c r="E572" s="2" t="str">
        <x:v>duration</x:v>
      </x:c>
      <x:c r="F572" s="37" t="n">
        <x:v>9335040.891722072</x:v>
      </x:c>
      <x:c r="G572" s="37" t="n">
        <x:v>3646829.5270540817</x:v>
      </x:c>
      <x:c r="H572" s="37" t="n">
        <x:v>23599.71859459418</x:v>
      </x:c>
      <x:c r="I572" s="37" t="n">
        <x:v>3623229.8084594873</x:v>
      </x:c>
      <x:c r="J572" s="37" t="n">
        <x:v>10950715.750423696</x:v>
      </x:c>
      <x:c r="K572" s="37" t="n">
        <x:v>7303886.223369615</x:v>
      </x:c>
      <x:c r="L572" s="37" t="n">
        <x:v>12981870.418776155</x:v>
      </x:c>
      <x:c r="M572" s="37" t="n">
        <x:v>0</x:v>
      </x:c>
      <x:c r="N572" s="37" t="n">
        <x:v>0</x:v>
      </x:c>
      <x:c r="O572" s="37" t="n">
        <x:v>511.4810635987669</x:v>
      </x:c>
      <x:c r="P572" s="37" t="n">
        <x:v>0</x:v>
      </x:c>
      <x:c r="Q572" s="37" t="n">
        <x:v>0</x:v>
      </x:c>
      <x:c r="R572" s="37" t="n">
        <x:v>0</x:v>
      </x:c>
      <x:c r="S572" s="37" t="n">
        <x:v>0</x:v>
      </x:c>
      <x:c r="T572" s="37" t="n">
        <x:v>0</x:v>
      </x:c>
      <x:c r="U572" s="37" t="n">
        <x:v>6645.098252371114</x:v>
      </x:c>
      <x:c r="V572" s="37" t="n">
        <x:v>0</x:v>
      </x:c>
      <x:c r="W572" s="37" t="n">
        <x:v>104602.47010847554</x:v>
      </x:c>
      <x:c r="X572" s="37" t="n">
        <x:v>0</x:v>
      </x:c>
      <x:c r="Y572" s="37" t="n">
        <x:v>1994.1254232916465</x:v>
      </x:c>
      <x:c r="Z572" s="37" t="n">
        <x:v>7449963.947837007</x:v>
      </x:c>
      <x:c r="AA572" s="37" t="n">
        <x:v>0</x:v>
      </x:c>
      <x:c r="AB572" s="37" t="n">
        <x:v>7449963.947837007</x:v>
      </x:c>
      <x:c r="AC572" s="37" t="n">
        <x:v>1885076.9438850647</x:v>
      </x:c>
      <x:c r="AD572" s="37" t="n">
        <x:v>0</x:v>
      </x:c>
      <x:c r="AE572" s="37" t="n">
        <x:v>0</x:v>
      </x:c>
      <x:c r="AF572" s="47" t="b">
        <x:v>0</x:v>
      </x:c>
      <x:c r="AG572" s="47" t="b">
        <x:v>0</x:v>
      </x:c>
      <x:c r="AH572" s="48" t="n">
        <x:v>0</x:v>
      </x:c>
      <x:c r="AI572" s="48" t="n">
        <x:v>1.1920928955078125e-7</x:v>
      </x:c>
      <x:c r="AJ572" s="37" t="str">
        <x:v>passed</x:v>
      </x:c>
    </x:row>
    <x:row r="573" ht="21" customHeight="1">
      <x:c r="A573" s="2"/>
      <x:c r="B573" s="2"/>
      <x:c r="C573" s="2" t="str">
        <x:v>2022</x:v>
      </x:c>
      <x:c r="D573" s="5" t="n">
        <x:v>44769</x:v>
      </x:c>
      <x:c r="E573" s="2" t="str">
        <x:v>unweighted</x:v>
      </x:c>
      <x:c r="F573" s="37" t="n">
        <x:v>12345320.677038033</x:v>
      </x:c>
      <x:c r="G573" s="37" t="n">
        <x:v>686869.58653</x:v>
      </x:c>
      <x:c r="H573" s="37" t="n">
        <x:v>22331.031942942074</x:v>
      </x:c>
      <x:c r="I573" s="37" t="n">
        <x:v>664538.5545870579</x:v>
      </x:c>
      <x:c r="J573" s="37" t="n">
        <x:v>10957044.06629704</x:v>
      </x:c>
      <x:c r="K573" s="37" t="n">
        <x:v>10270174.47976704</x:v>
      </x:c>
      <x:c r="L573" s="37" t="n">
        <x:v>13032190.263568033</x:v>
      </x:c>
      <x:c r="M573" s="37" t="n">
        <x:v>0</x:v>
      </x:c>
      <x:c r="N573" s="37" t="n">
        <x:v>0</x:v>
      </x:c>
      <x:c r="O573" s="37" t="n">
        <x:v>676.4188634641469</x:v>
      </x:c>
      <x:c r="P573" s="37" t="n">
        <x:v>0</x:v>
      </x:c>
      <x:c r="Q573" s="37" t="n">
        <x:v>0</x:v>
      </x:c>
      <x:c r="R573" s="37" t="n">
        <x:v>0</x:v>
      </x:c>
      <x:c r="S573" s="37" t="n">
        <x:v>0</x:v>
      </x:c>
      <x:c r="T573" s="37" t="n">
        <x:v>0</x:v>
      </x:c>
      <x:c r="U573" s="37" t="n">
        <x:v>-1868.6910087944125</x:v>
      </x:c>
      <x:c r="V573" s="37" t="n">
        <x:v>0</x:v>
      </x:c>
      <x:c r="W573" s="37" t="n">
        <x:v>136312.2457187958</x:v>
      </x:c>
      <x:c r="X573" s="37" t="n">
        <x:v>0</x:v>
      </x:c>
      <x:c r="Y573" s="37" t="n">
        <x:v>2278.3794391011447</x:v>
      </x:c>
      <x:c r="Z573" s="37" t="n">
        <x:v>10475577.96936238</x:v>
      </x:c>
      <x:c r="AA573" s="37" t="n">
        <x:v>0</x:v>
      </x:c>
      <x:c r="AB573" s="37" t="n">
        <x:v>10475577.96936238</x:v>
      </x:c>
      <x:c r="AC573" s="37" t="n">
        <x:v>1869742.7076756526</x:v>
      </x:c>
      <x:c r="AD573" s="37" t="n">
        <x:v>0</x:v>
      </x:c>
      <x:c r="AE573" s="37" t="n">
        <x:v>0</x:v>
      </x:c>
      <x:c r="AF573" s="47" t="b">
        <x:v>0</x:v>
      </x:c>
      <x:c r="AG573" s="47" t="b">
        <x:v>0</x:v>
      </x:c>
      <x:c r="AH573" s="48" t="n">
        <x:v>0</x:v>
      </x:c>
      <x:c r="AI573" s="48" t="n">
        <x:v>1.1920928955078125e-7</x:v>
      </x:c>
      <x:c r="AJ573" s="37" t="str">
        <x:v>passed</x:v>
      </x:c>
    </x:row>
    <x:row r="574" ht="21" customHeight="1">
      <x:c r="A574" s="2"/>
      <x:c r="B574" s="2"/>
      <x:c r="C574" s="2" t="str">
        <x:v>2022</x:v>
      </x:c>
      <x:c r="D574" s="5" t="n">
        <x:v>44769</x:v>
      </x:c>
      <x:c r="E574" s="2" t="str">
        <x:v>constrained</x:v>
      </x:c>
      <x:c r="F574" s="37" t="n">
        <x:v>13153954.918932537</x:v>
      </x:c>
      <x:c r="G574" s="37" t="n">
        <x:v>-58521.098590000685</x:v>
      </x:c>
      <x:c r="H574" s="37" t="n">
        <x:v>20860.688678727693</x:v>
      </x:c>
      <x:c r="I574" s="37" t="n">
        <x:v>-79381.78726872838</x:v>
      </x:c>
      <x:c r="J574" s="37" t="n">
        <x:v>10957771.813285796</x:v>
      </x:c>
      <x:c r="K574" s="37" t="n">
        <x:v>11016292.911875797</x:v>
      </x:c>
      <x:c r="L574" s="37" t="n">
        <x:v>13095433.820342535</x:v>
      </x:c>
      <x:c r="M574" s="37" t="n">
        <x:v>0</x:v>
      </x:c>
      <x:c r="N574" s="37" t="n">
        <x:v>0</x:v>
      </x:c>
      <x:c r="O574" s="37" t="n">
        <x:v>720.7251613046974</x:v>
      </x:c>
      <x:c r="P574" s="37" t="n">
        <x:v>0</x:v>
      </x:c>
      <x:c r="Q574" s="37" t="n">
        <x:v>0</x:v>
      </x:c>
      <x:c r="R574" s="37" t="n">
        <x:v>0</x:v>
      </x:c>
      <x:c r="S574" s="37" t="n">
        <x:v>0</x:v>
      </x:c>
      <x:c r="T574" s="37" t="n">
        <x:v>0</x:v>
      </x:c>
      <x:c r="U574" s="37" t="n">
        <x:v>-6729.4488397945315</x:v>
      </x:c>
      <x:c r="V574" s="37" t="n">
        <x:v>0</x:v>
      </x:c>
      <x:c r="W574" s="37" t="n">
        <x:v>147031.29002242722</x:v>
      </x:c>
      <x:c r="X574" s="37" t="n">
        <x:v>0</x:v>
      </x:c>
      <x:c r="Y574" s="37" t="n">
        <x:v>2376.025817664196</x:v>
      </x:c>
      <x:c r="Z574" s="37" t="n">
        <x:v>11236618.770113314</x:v>
      </x:c>
      <x:c r="AA574" s="37" t="n">
        <x:v>0</x:v>
      </x:c>
      <x:c r="AB574" s="37" t="n">
        <x:v>11236618.770113314</x:v>
      </x:c>
      <x:c r="AC574" s="37" t="n">
        <x:v>1917336.148819223</x:v>
      </x:c>
      <x:c r="AD574" s="37" t="n">
        <x:v>0</x:v>
      </x:c>
      <x:c r="AE574" s="37" t="n">
        <x:v>0</x:v>
      </x:c>
      <x:c r="AF574" s="47" t="b">
        <x:v>0</x:v>
      </x:c>
      <x:c r="AG574" s="47" t="b">
        <x:v>0</x:v>
      </x:c>
      <x:c r="AH574" s="48" t="n">
        <x:v>0</x:v>
      </x:c>
      <x:c r="AI574" s="48" t="n">
        <x:v>1.1920928955078125e-7</x:v>
      </x:c>
      <x:c r="AJ574" s="37" t="str">
        <x:v>passed</x:v>
      </x:c>
    </x:row>
    <x:row r="575" ht="21" customHeight="1">
      <x:c r="A575" s="2"/>
      <x:c r="B575" s="2"/>
      <x:c r="C575" s="2" t="str">
        <x:v>2022</x:v>
      </x:c>
      <x:c r="D575" s="5" t="n">
        <x:v>44770</x:v>
      </x:c>
      <x:c r="E575" s="2" t="str">
        <x:v>unhedged</x:v>
      </x:c>
      <x:c r="F575" s="37" t="n">
        <x:v>1276645.366349142</x:v>
      </x:c>
      <x:c r="G575" s="37" t="n">
        <x:v>11022974.432286201</x:v>
      </x:c>
      <x:c r="H575" s="37" t="n">
        <x:v>46467.72910160941</x:v>
      </x:c>
      <x:c r="I575" s="37" t="n">
        <x:v>10976506.703184592</x:v>
      </x:c>
      <x:c r="J575" s="37" t="n">
        <x:v>11022974.432286201</x:v>
      </x:c>
      <x:c r="K575" s="37" t="n">
        <x:v>0</x:v>
      </x:c>
      <x:c r="L575" s="37" t="n">
        <x:v>12299619.798635343</x:v>
      </x:c>
      <x:c r="M575" s="37" t="n">
        <x:v>0</x:v>
      </x:c>
      <x:c r="N575" s="37" t="n">
        <x:v>0</x:v>
      </x:c>
      <x:c r="O575" s="37" t="n">
        <x:v>69.94933791854419</x:v>
      </x:c>
      <x:c r="P575" s="37" t="n">
        <x:v>0</x:v>
      </x:c>
      <x:c r="Q575" s="37" t="n">
        <x:v>0</x:v>
      </x:c>
      <x:c r="R575" s="37" t="n">
        <x:v>0</x:v>
      </x:c>
      <x:c r="S575" s="37" t="n">
        <x:v>0</x:v>
      </x:c>
      <x:c r="T575" s="37" t="n">
        <x:v>0</x:v>
      </x:c>
      <x:c r="U575" s="37" t="n">
        <x:v>63750</x:v>
      </x:c>
      <x:c r="V575" s="37" t="n">
        <x:v>0</x:v>
      </x:c>
      <x:c r="W575" s="37" t="n">
        <x:v>14070.085665867664</x:v>
      </x:c>
      <x:c r="X575" s="37" t="n">
        <x:v>0</x:v>
      </x:c>
      <x:c r="Y575" s="37" t="n">
        <x:v>1174.7193167256753</x:v>
      </x:c>
      <x:c r="Z575" s="37" t="n">
        <x:v>0</x:v>
      </x:c>
      <x:c r="AA575" s="37" t="n">
        <x:v>0</x:v>
      </x:c>
      <x:c r="AB575" s="37" t="n">
        <x:v>0</x:v>
      </x:c>
      <x:c r="AC575" s="37" t="n">
        <x:v>1276645.366349142</x:v>
      </x:c>
      <x:c r="AD575" s="37" t="n">
        <x:v>0</x:v>
      </x:c>
      <x:c r="AE575" s="37" t="n">
        <x:v>0</x:v>
      </x:c>
      <x:c r="AF575" s="47" t="b">
        <x:v>0</x:v>
      </x:c>
      <x:c r="AG575" s="47" t="b">
        <x:v>0</x:v>
      </x:c>
      <x:c r="AH575" s="48" t="n">
        <x:v>0</x:v>
      </x:c>
      <x:c r="AI575" s="48" t="n">
        <x:v>1.1920928955078125e-7</x:v>
      </x:c>
      <x:c r="AJ575" s="37" t="str">
        <x:v>passed</x:v>
      </x:c>
    </x:row>
    <x:row r="576" ht="21" customHeight="1">
      <x:c r="A576" s="2"/>
      <x:c r="B576" s="2"/>
      <x:c r="C576" s="2" t="str">
        <x:v>2022</x:v>
      </x:c>
      <x:c r="D576" s="5" t="n">
        <x:v>44770</x:v>
      </x:c>
      <x:c r="E576" s="2" t="str">
        <x:v>duration</x:v>
      </x:c>
      <x:c r="F576" s="37" t="n">
        <x:v>9335552.40081203</x:v>
      </x:c>
      <x:c r="G576" s="37" t="n">
        <x:v>3650651.8139950233</x:v>
      </x:c>
      <x:c r="H576" s="37" t="n">
        <x:v>23641.095942855587</x:v>
      </x:c>
      <x:c r="I576" s="37" t="n">
        <x:v>3627010.7180521674</x:v>
      </x:c>
      <x:c r="J576" s="37" t="n">
        <x:v>11022974.432286201</x:v>
      </x:c>
      <x:c r="K576" s="37" t="n">
        <x:v>7372322.618291178</x:v>
      </x:c>
      <x:c r="L576" s="37" t="n">
        <x:v>12986204.214807052</x:v>
      </x:c>
      <x:c r="M576" s="37" t="n">
        <x:v>0</x:v>
      </x:c>
      <x:c r="N576" s="37" t="n">
        <x:v>0</x:v>
      </x:c>
      <x:c r="O576" s="37" t="n">
        <x:v>511.5090899579227</x:v>
      </x:c>
      <x:c r="P576" s="37" t="n">
        <x:v>0</x:v>
      </x:c>
      <x:c r="Q576" s="37" t="n">
        <x:v>0</x:v>
      </x:c>
      <x:c r="R576" s="37" t="n">
        <x:v>0</x:v>
      </x:c>
      <x:c r="S576" s="37" t="n">
        <x:v>0</x:v>
      </x:c>
      <x:c r="T576" s="37" t="n">
        <x:v>0</x:v>
      </x:c>
      <x:c r="U576" s="37" t="n">
        <x:v>6645.098252371114</x:v>
      </x:c>
      <x:c r="V576" s="37" t="n">
        <x:v>0</x:v>
      </x:c>
      <x:c r="W576" s="37" t="n">
        <x:v>105113.97919843346</x:v>
      </x:c>
      <x:c r="X576" s="37" t="n">
        <x:v>0</x:v>
      </x:c>
      <x:c r="Y576" s="37" t="n">
        <x:v>1994.1254232916465</x:v>
      </x:c>
      <x:c r="Z576" s="37" t="n">
        <x:v>7519769.070657002</x:v>
      </x:c>
      <x:c r="AA576" s="37" t="n">
        <x:v>0</x:v>
      </x:c>
      <x:c r="AB576" s="37" t="n">
        <x:v>7519769.070657002</x:v>
      </x:c>
      <x:c r="AC576" s="37" t="n">
        <x:v>1815783.330155028</x:v>
      </x:c>
      <x:c r="AD576" s="37" t="n">
        <x:v>0</x:v>
      </x:c>
      <x:c r="AE576" s="37" t="n">
        <x:v>0</x:v>
      </x:c>
      <x:c r="AF576" s="47" t="b">
        <x:v>0</x:v>
      </x:c>
      <x:c r="AG576" s="47" t="b">
        <x:v>0</x:v>
      </x:c>
      <x:c r="AH576" s="48" t="n">
        <x:v>0</x:v>
      </x:c>
      <x:c r="AI576" s="48" t="n">
        <x:v>1.1920928955078125e-7</x:v>
      </x:c>
      <x:c r="AJ576" s="37" t="str">
        <x:v>passed</x:v>
      </x:c>
    </x:row>
    <x:row r="577" ht="21" customHeight="1">
      <x:c r="A577" s="2"/>
      <x:c r="B577" s="2"/>
      <x:c r="C577" s="2" t="str">
        <x:v>2022</x:v>
      </x:c>
      <x:c r="D577" s="5" t="n">
        <x:v>44770</x:v>
      </x:c>
      <x:c r="E577" s="2" t="str">
        <x:v>unweighted</x:v>
      </x:c>
      <x:c r="F577" s="37" t="n">
        <x:v>12345997.132965542</x:v>
      </x:c>
      <x:c r="G577" s="37" t="n">
        <x:v>691273.0634318792</x:v>
      </x:c>
      <x:c r="H577" s="37" t="n">
        <x:v>22320.590972418304</x:v>
      </x:c>
      <x:c r="I577" s="37" t="n">
        <x:v>668952.4724594608</x:v>
      </x:c>
      <x:c r="J577" s="37" t="n">
        <x:v>11029344.96731479</x:v>
      </x:c>
      <x:c r="K577" s="37" t="n">
        <x:v>10338071.90388291</x:v>
      </x:c>
      <x:c r="L577" s="37" t="n">
        <x:v>13037270.196397422</x:v>
      </x:c>
      <x:c r="M577" s="37" t="n">
        <x:v>0</x:v>
      </x:c>
      <x:c r="N577" s="37" t="n">
        <x:v>0</x:v>
      </x:c>
      <x:c r="O577" s="37" t="n">
        <x:v>676.4559275098145</x:v>
      </x:c>
      <x:c r="P577" s="37" t="n">
        <x:v>0</x:v>
      </x:c>
      <x:c r="Q577" s="37" t="n">
        <x:v>0</x:v>
      </x:c>
      <x:c r="R577" s="37" t="n">
        <x:v>0</x:v>
      </x:c>
      <x:c r="S577" s="37" t="n">
        <x:v>0</x:v>
      </x:c>
      <x:c r="T577" s="37" t="n">
        <x:v>0</x:v>
      </x:c>
      <x:c r="U577" s="37" t="n">
        <x:v>-1868.6910087944125</x:v>
      </x:c>
      <x:c r="V577" s="37" t="n">
        <x:v>0</x:v>
      </x:c>
      <x:c r="W577" s="37" t="n">
        <x:v>136988.70164630562</x:v>
      </x:c>
      <x:c r="X577" s="37" t="n">
        <x:v>0</x:v>
      </x:c>
      <x:c r="Y577" s="37" t="n">
        <x:v>2278.3794391011447</x:v>
      </x:c>
      <x:c r="Z577" s="37" t="n">
        <x:v>10544833.341960568</x:v>
      </x:c>
      <x:c r="AA577" s="37" t="n">
        <x:v>0</x:v>
      </x:c>
      <x:c r="AB577" s="37" t="n">
        <x:v>10544833.341960568</x:v>
      </x:c>
      <x:c r="AC577" s="37" t="n">
        <x:v>1801163.7910049744</x:v>
      </x:c>
      <x:c r="AD577" s="37" t="n">
        <x:v>0</x:v>
      </x:c>
      <x:c r="AE577" s="37" t="n">
        <x:v>0</x:v>
      </x:c>
      <x:c r="AF577" s="47" t="b">
        <x:v>0</x:v>
      </x:c>
      <x:c r="AG577" s="47" t="b">
        <x:v>0</x:v>
      </x:c>
      <x:c r="AH577" s="48" t="n">
        <x:v>0</x:v>
      </x:c>
      <x:c r="AI577" s="48" t="n">
        <x:v>1.1920928955078125e-7</x:v>
      </x:c>
      <x:c r="AJ577" s="37" t="str">
        <x:v>passed</x:v>
      </x:c>
    </x:row>
    <x:row r="578" ht="21" customHeight="1">
      <x:c r="A578" s="2"/>
      <x:c r="B578" s="2"/>
      <x:c r="C578" s="2" t="str">
        <x:v>2022</x:v>
      </x:c>
      <x:c r="D578" s="5" t="n">
        <x:v>44770</x:v>
      </x:c>
      <x:c r="E578" s="2" t="str">
        <x:v>constrained</x:v>
      </x:c>
      <x:c r="F578" s="37" t="n">
        <x:v>13154675.683585629</x:v>
      </x:c>
      <x:c r="G578" s="37" t="n">
        <x:v>-58050.31742176477</x:v>
      </x:c>
      <x:c r="H578" s="37" t="n">
        <x:v>20826.390496230266</x:v>
      </x:c>
      <x:c r="I578" s="37" t="n">
        <x:v>-78876.70791799504</x:v>
      </x:c>
      <x:c r="J578" s="37" t="n">
        <x:v>11030077.569444109</x:v>
      </x:c>
      <x:c r="K578" s="37" t="n">
        <x:v>11088127.886865875</x:v>
      </x:c>
      <x:c r="L578" s="37" t="n">
        <x:v>13096625.366163865</x:v>
      </x:c>
      <x:c r="M578" s="37" t="n">
        <x:v>0</x:v>
      </x:c>
      <x:c r="N578" s="37" t="n">
        <x:v>0</x:v>
      </x:c>
      <x:c r="O578" s="37" t="n">
        <x:v>720.7646530922502</x:v>
      </x:c>
      <x:c r="P578" s="37" t="n">
        <x:v>0</x:v>
      </x:c>
      <x:c r="Q578" s="37" t="n">
        <x:v>0</x:v>
      </x:c>
      <x:c r="R578" s="37" t="n">
        <x:v>0</x:v>
      </x:c>
      <x:c r="S578" s="37" t="n">
        <x:v>0</x:v>
      </x:c>
      <x:c r="T578" s="37" t="n">
        <x:v>0</x:v>
      </x:c>
      <x:c r="U578" s="37" t="n">
        <x:v>-6729.4488397945315</x:v>
      </x:c>
      <x:c r="V578" s="37" t="n">
        <x:v>0</x:v>
      </x:c>
      <x:c r="W578" s="37" t="n">
        <x:v>147752.05467551947</x:v>
      </x:c>
      <x:c r="X578" s="37" t="n">
        <x:v>0</x:v>
      </x:c>
      <x:c r="Y578" s="37" t="n">
        <x:v>2376.025817664196</x:v>
      </x:c>
      <x:c r="Z578" s="37" t="n">
        <x:v>11309890.444603192</x:v>
      </x:c>
      <x:c r="AA578" s="37" t="n">
        <x:v>0</x:v>
      </x:c>
      <x:c r="AB578" s="37" t="n">
        <x:v>11309890.444603192</x:v>
      </x:c>
      <x:c r="AC578" s="37" t="n">
        <x:v>1844785.2389824372</x:v>
      </x:c>
      <x:c r="AD578" s="37" t="n">
        <x:v>0</x:v>
      </x:c>
      <x:c r="AE578" s="37" t="n">
        <x:v>0</x:v>
      </x:c>
      <x:c r="AF578" s="47" t="b">
        <x:v>0</x:v>
      </x:c>
      <x:c r="AG578" s="47" t="b">
        <x:v>0</x:v>
      </x:c>
      <x:c r="AH578" s="48" t="n">
        <x:v>0</x:v>
      </x:c>
      <x:c r="AI578" s="48" t="n">
        <x:v>1.1920928955078125e-7</x:v>
      </x:c>
      <x:c r="AJ578" s="37" t="str">
        <x:v>passed</x:v>
      </x:c>
    </x:row>
    <x:row r="579" ht="21" customHeight="1">
      <x:c r="A579" s="2"/>
      <x:c r="B579" s="2"/>
      <x:c r="C579" s="2" t="str">
        <x:v>2022</x:v>
      </x:c>
      <x:c r="D579" s="5" t="n">
        <x:v>44771</x:v>
      </x:c>
      <x:c r="E579" s="2" t="str">
        <x:v>unhedged</x:v>
      </x:c>
      <x:c r="F579" s="37" t="n">
        <x:v>1276715.3195199012</x:v>
      </x:c>
      <x:c r="G579" s="37" t="n">
        <x:v>11023802.750810402</x:v>
      </x:c>
      <x:c r="H579" s="37" t="n">
        <x:v>46817.57446552967</x:v>
      </x:c>
      <x:c r="I579" s="37" t="n">
        <x:v>10976985.176344872</x:v>
      </x:c>
      <x:c r="J579" s="37" t="n">
        <x:v>11023802.750810402</x:v>
      </x:c>
      <x:c r="K579" s="37" t="n">
        <x:v>0</x:v>
      </x:c>
      <x:c r="L579" s="37" t="n">
        <x:v>12300518.070330303</x:v>
      </x:c>
      <x:c r="M579" s="37" t="n">
        <x:v>0</x:v>
      </x:c>
      <x:c r="N579" s="37" t="n">
        <x:v>0</x:v>
      </x:c>
      <x:c r="O579" s="37" t="n">
        <x:v>69.95317075913772</x:v>
      </x:c>
      <x:c r="P579" s="37" t="n">
        <x:v>0</x:v>
      </x:c>
      <x:c r="Q579" s="37" t="n">
        <x:v>0</x:v>
      </x:c>
      <x:c r="R579" s="37" t="n">
        <x:v>0</x:v>
      </x:c>
      <x:c r="S579" s="37" t="n">
        <x:v>0</x:v>
      </x:c>
      <x:c r="T579" s="37" t="n">
        <x:v>0</x:v>
      </x:c>
      <x:c r="U579" s="37" t="n">
        <x:v>63750</x:v>
      </x:c>
      <x:c r="V579" s="37" t="n">
        <x:v>0</x:v>
      </x:c>
      <x:c r="W579" s="37" t="n">
        <x:v>14140.038836626802</x:v>
      </x:c>
      <x:c r="X579" s="37" t="n">
        <x:v>0</x:v>
      </x:c>
      <x:c r="Y579" s="37" t="n">
        <x:v>1174.7193167256753</x:v>
      </x:c>
      <x:c r="Z579" s="37" t="n">
        <x:v>0</x:v>
      </x:c>
      <x:c r="AA579" s="37" t="n">
        <x:v>0</x:v>
      </x:c>
      <x:c r="AB579" s="37" t="n">
        <x:v>0</x:v>
      </x:c>
      <x:c r="AC579" s="37" t="n">
        <x:v>1276715.3195199012</x:v>
      </x:c>
      <x:c r="AD579" s="37" t="n">
        <x:v>0</x:v>
      </x:c>
      <x:c r="AE579" s="37" t="n">
        <x:v>0</x:v>
      </x:c>
      <x:c r="AF579" s="47" t="b">
        <x:v>0</x:v>
      </x:c>
      <x:c r="AG579" s="47" t="b">
        <x:v>0</x:v>
      </x:c>
      <x:c r="AH579" s="48" t="n">
        <x:v>0</x:v>
      </x:c>
      <x:c r="AI579" s="48" t="n">
        <x:v>1.1920928955078125e-7</x:v>
      </x:c>
      <x:c r="AJ579" s="37" t="str">
        <x:v>passed</x:v>
      </x:c>
    </x:row>
    <x:row r="580" ht="21" customHeight="1">
      <x:c r="A580" s="2"/>
      <x:c r="B580" s="2"/>
      <x:c r="C580" s="2" t="str">
        <x:v>2022</x:v>
      </x:c>
      <x:c r="D580" s="5" t="n">
        <x:v>44771</x:v>
      </x:c>
      <x:c r="E580" s="2" t="str">
        <x:v>duration</x:v>
      </x:c>
      <x:c r="F580" s="37" t="n">
        <x:v>9336063.937929882</x:v>
      </x:c>
      <x:c r="G580" s="37" t="n">
        <x:v>3646296.1222816696</x:v>
      </x:c>
      <x:c r="H580" s="37" t="n">
        <x:v>23682.473291117014</x:v>
      </x:c>
      <x:c r="I580" s="37" t="n">
        <x:v>3622613.6489905524</x:v>
      </x:c>
      <x:c r="J580" s="37" t="n">
        <x:v>11023802.750810402</x:v>
      </x:c>
      <x:c r="K580" s="37" t="n">
        <x:v>7377506.628528732</x:v>
      </x:c>
      <x:c r="L580" s="37" t="n">
        <x:v>12982360.06021155</x:v>
      </x:c>
      <x:c r="M580" s="37" t="n">
        <x:v>0</x:v>
      </x:c>
      <x:c r="N580" s="37" t="n">
        <x:v>0</x:v>
      </x:c>
      <x:c r="O580" s="37" t="n">
        <x:v>511.5371178518981</x:v>
      </x:c>
      <x:c r="P580" s="37" t="n">
        <x:v>0</x:v>
      </x:c>
      <x:c r="Q580" s="37" t="n">
        <x:v>0</x:v>
      </x:c>
      <x:c r="R580" s="37" t="n">
        <x:v>0</x:v>
      </x:c>
      <x:c r="S580" s="37" t="n">
        <x:v>0</x:v>
      </x:c>
      <x:c r="T580" s="37" t="n">
        <x:v>0</x:v>
      </x:c>
      <x:c r="U580" s="37" t="n">
        <x:v>6645.098252371114</x:v>
      </x:c>
      <x:c r="V580" s="37" t="n">
        <x:v>0</x:v>
      </x:c>
      <x:c r="W580" s="37" t="n">
        <x:v>105625.51631628536</x:v>
      </x:c>
      <x:c r="X580" s="37" t="n">
        <x:v>0</x:v>
      </x:c>
      <x:c r="Y580" s="37" t="n">
        <x:v>1994.1254232916465</x:v>
      </x:c>
      <x:c r="Z580" s="37" t="n">
        <x:v>7525056.761099307</x:v>
      </x:c>
      <x:c r="AA580" s="37" t="n">
        <x:v>0</x:v>
      </x:c>
      <x:c r="AB580" s="37" t="n">
        <x:v>7525056.761099307</x:v>
      </x:c>
      <x:c r="AC580" s="37" t="n">
        <x:v>1811007.1768305749</x:v>
      </x:c>
      <x:c r="AD580" s="37" t="n">
        <x:v>0</x:v>
      </x:c>
      <x:c r="AE580" s="37" t="n">
        <x:v>0</x:v>
      </x:c>
      <x:c r="AF580" s="47" t="b">
        <x:v>0</x:v>
      </x:c>
      <x:c r="AG580" s="47" t="b">
        <x:v>0</x:v>
      </x:c>
      <x:c r="AH580" s="48" t="n">
        <x:v>0</x:v>
      </x:c>
      <x:c r="AI580" s="48" t="n">
        <x:v>1.1920928955078125e-7</x:v>
      </x:c>
      <x:c r="AJ580" s="37" t="str">
        <x:v>passed</x:v>
      </x:c>
    </x:row>
    <x:row r="581" ht="21" customHeight="1">
      <x:c r="A581" s="2"/>
      <x:c r="B581" s="2"/>
      <x:c r="C581" s="2" t="str">
        <x:v>2022</x:v>
      </x:c>
      <x:c r="D581" s="5" t="n">
        <x:v>44771</x:v>
      </x:c>
      <x:c r="E581" s="2" t="str">
        <x:v>unweighted</x:v>
      </x:c>
      <x:c r="F581" s="37" t="n">
        <x:v>12346673.625959128</x:v>
      </x:c>
      <x:c r="G581" s="37" t="n">
        <x:v>691066.7345570767</x:v>
      </x:c>
      <x:c r="H581" s="37" t="n">
        <x:v>22310.150001894548</x:v>
      </x:c>
      <x:c r="I581" s="37" t="n">
        <x:v>668756.5845551821</x:v>
      </x:c>
      <x:c r="J581" s="37" t="n">
        <x:v>11030193.58627977</x:v>
      </x:c>
      <x:c r="K581" s="37" t="n">
        <x:v>10339126.851722693</x:v>
      </x:c>
      <x:c r="L581" s="37" t="n">
        <x:v>13037740.360516205</x:v>
      </x:c>
      <x:c r="M581" s="37" t="n">
        <x:v>0</x:v>
      </x:c>
      <x:c r="N581" s="37" t="n">
        <x:v>0</x:v>
      </x:c>
      <x:c r="O581" s="37" t="n">
        <x:v>676.4929935857654</x:v>
      </x:c>
      <x:c r="P581" s="37" t="n">
        <x:v>0</x:v>
      </x:c>
      <x:c r="Q581" s="37" t="n">
        <x:v>0</x:v>
      </x:c>
      <x:c r="R581" s="37" t="n">
        <x:v>0</x:v>
      </x:c>
      <x:c r="S581" s="37" t="n">
        <x:v>0</x:v>
      </x:c>
      <x:c r="T581" s="37" t="n">
        <x:v>0</x:v>
      </x:c>
      <x:c r="U581" s="37" t="n">
        <x:v>-1868.6910087944125</x:v>
      </x:c>
      <x:c r="V581" s="37" t="n">
        <x:v>0</x:v>
      </x:c>
      <x:c r="W581" s="37" t="n">
        <x:v>137665.1946398914</x:v>
      </x:c>
      <x:c r="X581" s="37" t="n">
        <x:v>0</x:v>
      </x:c>
      <x:c r="Y581" s="37" t="n">
        <x:v>2278.3794391011447</x:v>
      </x:c>
      <x:c r="Z581" s="37" t="n">
        <x:v>10545909.388757147</x:v>
      </x:c>
      <x:c r="AA581" s="37" t="n">
        <x:v>0</x:v>
      </x:c>
      <x:c r="AB581" s="37" t="n">
        <x:v>10545909.388757147</x:v>
      </x:c>
      <x:c r="AC581" s="37" t="n">
        <x:v>1800764.2372019812</x:v>
      </x:c>
      <x:c r="AD581" s="37" t="n">
        <x:v>0</x:v>
      </x:c>
      <x:c r="AE581" s="37" t="n">
        <x:v>0</x:v>
      </x:c>
      <x:c r="AF581" s="47" t="b">
        <x:v>0</x:v>
      </x:c>
      <x:c r="AG581" s="47" t="b">
        <x:v>0</x:v>
      </x:c>
      <x:c r="AH581" s="48" t="n">
        <x:v>0</x:v>
      </x:c>
      <x:c r="AI581" s="48" t="n">
        <x:v>1.1920928955078125e-7</x:v>
      </x:c>
      <x:c r="AJ581" s="37" t="str">
        <x:v>passed</x:v>
      </x:c>
    </x:row>
    <x:row r="582" ht="21" customHeight="1">
      <x:c r="A582" s="2"/>
      <x:c r="B582" s="2"/>
      <x:c r="C582" s="2" t="str">
        <x:v>2022</x:v>
      </x:c>
      <x:c r="D582" s="5" t="n">
        <x:v>44771</x:v>
      </x:c>
      <x:c r="E582" s="2" t="str">
        <x:v>constrained</x:v>
      </x:c>
      <x:c r="F582" s="37" t="n">
        <x:v>13155396.487732673</x:v>
      </x:c>
      <x:c r="G582" s="37" t="n">
        <x:v>-58126.1859113398</x:v>
      </x:c>
      <x:c r="H582" s="37" t="n">
        <x:v>20792.09231373285</x:v>
      </x:c>
      <x:c r="I582" s="37" t="n">
        <x:v>-78918.27822507266</x:v>
      </x:c>
      <x:c r="J582" s="37" t="n">
        <x:v>11030928.522929829</x:v>
      </x:c>
      <x:c r="K582" s="37" t="n">
        <x:v>11089054.70884117</x:v>
      </x:c>
      <x:c r="L582" s="37" t="n">
        <x:v>13097270.301821332</x:v>
      </x:c>
      <x:c r="M582" s="37" t="n">
        <x:v>0</x:v>
      </x:c>
      <x:c r="N582" s="37" t="n">
        <x:v>0</x:v>
      </x:c>
      <x:c r="O582" s="37" t="n">
        <x:v>720.8041470441967</x:v>
      </x:c>
      <x:c r="P582" s="37" t="n">
        <x:v>0</x:v>
      </x:c>
      <x:c r="Q582" s="37" t="n">
        <x:v>0</x:v>
      </x:c>
      <x:c r="R582" s="37" t="n">
        <x:v>0</x:v>
      </x:c>
      <x:c r="S582" s="37" t="n">
        <x:v>0</x:v>
      </x:c>
      <x:c r="T582" s="37" t="n">
        <x:v>0</x:v>
      </x:c>
      <x:c r="U582" s="37" t="n">
        <x:v>-6729.4488397945315</x:v>
      </x:c>
      <x:c r="V582" s="37" t="n">
        <x:v>0</x:v>
      </x:c>
      <x:c r="W582" s="37" t="n">
        <x:v>148472.85882256366</x:v>
      </x:c>
      <x:c r="X582" s="37" t="n">
        <x:v>0</x:v>
      </x:c>
      <x:c r="Y582" s="37" t="n">
        <x:v>2376.025817664196</x:v>
      </x:c>
      <x:c r="Z582" s="37" t="n">
        <x:v>11310835.803017993</x:v>
      </x:c>
      <x:c r="AA582" s="37" t="n">
        <x:v>0</x:v>
      </x:c>
      <x:c r="AB582" s="37" t="n">
        <x:v>11310835.803017993</x:v>
      </x:c>
      <x:c r="AC582" s="37" t="n">
        <x:v>1844560.6847146805</x:v>
      </x:c>
      <x:c r="AD582" s="37" t="n">
        <x:v>0</x:v>
      </x:c>
      <x:c r="AE582" s="37" t="n">
        <x:v>0</x:v>
      </x:c>
      <x:c r="AF582" s="47" t="b">
        <x:v>0</x:v>
      </x:c>
      <x:c r="AG582" s="47" t="b">
        <x:v>0</x:v>
      </x:c>
      <x:c r="AH582" s="48" t="n">
        <x:v>0</x:v>
      </x:c>
      <x:c r="AI582" s="48" t="n">
        <x:v>1.1920928955078125e-7</x:v>
      </x:c>
      <x:c r="AJ582" s="37" t="str">
        <x:v>passed</x:v>
      </x:c>
    </x:row>
    <x:row r="583" ht="21" customHeight="1">
      <x:c r="A583" s="2"/>
      <x:c r="B583" s="2"/>
      <x:c r="C583" s="2" t="str">
        <x:v>2022</x:v>
      </x:c>
      <x:c r="D583" s="5" t="n">
        <x:v>44774</x:v>
      </x:c>
      <x:c r="E583" s="2" t="str">
        <x:v>unhedged</x:v>
      </x:c>
      <x:c r="F583" s="37" t="n">
        <x:v>1276925.2020313207</x:v>
      </x:c>
      <x:c r="G583" s="37" t="n">
        <x:v>11062524.103812642</x:v>
      </x:c>
      <x:c r="H583" s="37" t="n">
        <x:v>47867.11055729042</x:v>
      </x:c>
      <x:c r="I583" s="37" t="n">
        <x:v>11014656.993255353</x:v>
      </x:c>
      <x:c r="J583" s="37" t="n">
        <x:v>11062524.103812642</x:v>
      </x:c>
      <x:c r="K583" s="37" t="n">
        <x:v>0</x:v>
      </x:c>
      <x:c r="L583" s="37" t="n">
        <x:v>12339449.305843962</x:v>
      </x:c>
      <x:c r="M583" s="37" t="n">
        <x:v>0</x:v>
      </x:c>
      <x:c r="N583" s="37" t="n">
        <x:v>0</x:v>
      </x:c>
      <x:c r="O583" s="37" t="n">
        <x:v>209.88251141947694</x:v>
      </x:c>
      <x:c r="P583" s="37" t="n">
        <x:v>0</x:v>
      </x:c>
      <x:c r="Q583" s="37" t="n">
        <x:v>0</x:v>
      </x:c>
      <x:c r="R583" s="37" t="n">
        <x:v>0</x:v>
      </x:c>
      <x:c r="S583" s="37" t="n">
        <x:v>0</x:v>
      </x:c>
      <x:c r="T583" s="37" t="n">
        <x:v>0</x:v>
      </x:c>
      <x:c r="U583" s="37" t="n">
        <x:v>63750</x:v>
      </x:c>
      <x:c r="V583" s="37" t="n">
        <x:v>0</x:v>
      </x:c>
      <x:c r="W583" s="37" t="n">
        <x:v>14349.921348046279</x:v>
      </x:c>
      <x:c r="X583" s="37" t="n">
        <x:v>0</x:v>
      </x:c>
      <x:c r="Y583" s="37" t="n">
        <x:v>1174.7193167256753</x:v>
      </x:c>
      <x:c r="Z583" s="37" t="n">
        <x:v>0</x:v>
      </x:c>
      <x:c r="AA583" s="37" t="n">
        <x:v>0</x:v>
      </x:c>
      <x:c r="AB583" s="37" t="n">
        <x:v>0</x:v>
      </x:c>
      <x:c r="AC583" s="37" t="n">
        <x:v>1276925.2020313207</x:v>
      </x:c>
      <x:c r="AD583" s="37" t="n">
        <x:v>0</x:v>
      </x:c>
      <x:c r="AE583" s="37" t="n">
        <x:v>0</x:v>
      </x:c>
      <x:c r="AF583" s="47" t="b">
        <x:v>0</x:v>
      </x:c>
      <x:c r="AG583" s="47" t="b">
        <x:v>0</x:v>
      </x:c>
      <x:c r="AH583" s="48" t="n">
        <x:v>0</x:v>
      </x:c>
      <x:c r="AI583" s="48" t="n">
        <x:v>1.1920928955078125e-7</x:v>
      </x:c>
      <x:c r="AJ583" s="37" t="str">
        <x:v>passed</x:v>
      </x:c>
    </x:row>
    <x:row r="584" ht="21" customHeight="1">
      <x:c r="A584" s="2"/>
      <x:c r="B584" s="2"/>
      <x:c r="C584" s="2" t="str">
        <x:v>2022</x:v>
      </x:c>
      <x:c r="D584" s="5" t="n">
        <x:v>44774</x:v>
      </x:c>
      <x:c r="E584" s="2" t="str">
        <x:v>duration</x:v>
      </x:c>
      <x:c r="F584" s="37" t="n">
        <x:v>9237825.47561502</x:v>
      </x:c>
      <x:c r="G584" s="37" t="n">
        <x:v>3739083.437201461</x:v>
      </x:c>
      <x:c r="H584" s="37" t="n">
        <x:v>24129.963631456907</x:v>
      </x:c>
      <x:c r="I584" s="37" t="n">
        <x:v>3714953.473570004</x:v>
      </x:c>
      <x:c r="J584" s="37" t="n">
        <x:v>11062524.103812642</x:v>
      </x:c>
      <x:c r="K584" s="37" t="n">
        <x:v>7323440.666611181</x:v>
      </x:c>
      <x:c r="L584" s="37" t="n">
        <x:v>12976908.912816482</x:v>
      </x:c>
      <x:c r="M584" s="37" t="n">
        <x:v>0</x:v>
      </x:c>
      <x:c r="N584" s="37" t="n">
        <x:v>0</x:v>
      </x:c>
      <x:c r="O584" s="37" t="n">
        <x:v>1534.779536291957</x:v>
      </x:c>
      <x:c r="P584" s="37" t="n">
        <x:v>0</x:v>
      </x:c>
      <x:c r="Q584" s="37" t="n">
        <x:v>9.976326552459948</x:v>
      </x:c>
      <x:c r="R584" s="37" t="n">
        <x:v>-99763.26552459948</x:v>
      </x:c>
      <x:c r="S584" s="37" t="n">
        <x:v>99763.26552459948</x:v>
      </x:c>
      <x:c r="T584" s="37" t="n">
        <x:v>0</x:v>
      </x:c>
      <x:c r="U584" s="37" t="n">
        <x:v>6645.098252371114</x:v>
      </x:c>
      <x:c r="V584" s="37" t="n">
        <x:v>0</x:v>
      </x:c>
      <x:c r="W584" s="37" t="n">
        <x:v>107160.29585257731</x:v>
      </x:c>
      <x:c r="X584" s="37" t="n">
        <x:v>0</x:v>
      </x:c>
      <x:c r="Y584" s="37" t="n">
        <x:v>2004.1017498441065</x:v>
      </x:c>
      <x:c r="Z584" s="37" t="n">
        <x:v>7469909.479943404</x:v>
      </x:c>
      <x:c r="AA584" s="37" t="n">
        <x:v>0</x:v>
      </x:c>
      <x:c r="AB584" s="37" t="n">
        <x:v>7469909.479943404</x:v>
      </x:c>
      <x:c r="AC584" s="37" t="n">
        <x:v>1767915.9956716169</x:v>
      </x:c>
      <x:c r="AD584" s="37" t="n">
        <x:v>0</x:v>
      </x:c>
      <x:c r="AE584" s="37" t="n">
        <x:v>0</x:v>
      </x:c>
      <x:c r="AF584" s="47" t="b">
        <x:v>0</x:v>
      </x:c>
      <x:c r="AG584" s="47" t="b">
        <x:v>0</x:v>
      </x:c>
      <x:c r="AH584" s="48" t="n">
        <x:v>-9.093419350847398e-10</x:v>
      </x:c>
      <x:c r="AI584" s="48" t="n">
        <x:v>1.1920928955078125e-7</x:v>
      </x:c>
      <x:c r="AJ584" s="37" t="str">
        <x:v>passed</x:v>
      </x:c>
    </x:row>
    <x:row r="585" ht="21" customHeight="1">
      <x:c r="A585" s="2"/>
      <x:c r="B585" s="2"/>
      <x:c r="C585" s="2" t="str">
        <x:v>2022</x:v>
      </x:c>
      <x:c r="D585" s="5" t="n">
        <x:v>44774</x:v>
      </x:c>
      <x:c r="E585" s="2" t="str">
        <x:v>unweighted</x:v>
      </x:c>
      <x:c r="F585" s="37" t="n">
        <x:v>12406255.412060535</x:v>
      </x:c>
      <x:c r="G585" s="37" t="n">
        <x:v>635549.1584956147</x:v>
      </x:c>
      <x:c r="H585" s="37" t="n">
        <x:v>22193.164186052425</x:v>
      </x:c>
      <x:c r="I585" s="37" t="n">
        <x:v>613355.9943095623</x:v>
      </x:c>
      <x:c r="J585" s="37" t="n">
        <x:v>11072807.598724775</x:v>
      </x:c>
      <x:c r="K585" s="37" t="n">
        <x:v>10437258.44022916</x:v>
      </x:c>
      <x:c r="L585" s="37" t="n">
        <x:v>13041804.570556149</x:v>
      </x:c>
      <x:c r="M585" s="37" t="n">
        <x:v>0</x:v>
      </x:c>
      <x:c r="N585" s="37" t="n">
        <x:v>0</x:v>
      </x:c>
      <x:c r="O585" s="37" t="n">
        <x:v>2029.7013975456357</x:v>
      </x:c>
      <x:c r="P585" s="37" t="n">
        <x:v>0</x:v>
      </x:c>
      <x:c r="Q585" s="37" t="n">
        <x:v>6.624005002336503</x:v>
      </x:c>
      <x:c r="R585" s="37" t="n">
        <x:v>57558.70870886462</x:v>
      </x:c>
      <x:c r="S585" s="37" t="n">
        <x:v>66240.05002336502</x:v>
      </x:c>
      <x:c r="T585" s="37" t="n">
        <x:v>0</x:v>
      </x:c>
      <x:c r="U585" s="37" t="n">
        <x:v>-1868.6910087944125</x:v>
      </x:c>
      <x:c r="V585" s="37" t="n">
        <x:v>0</x:v>
      </x:c>
      <x:c r="W585" s="37" t="n">
        <x:v>139694.89603743702</x:v>
      </x:c>
      <x:c r="X585" s="37" t="n">
        <x:v>0</x:v>
      </x:c>
      <x:c r="Y585" s="37" t="n">
        <x:v>2285.0034441034813</x:v>
      </x:c>
      <x:c r="Z585" s="37" t="n">
        <x:v>10646003.609033745</x:v>
      </x:c>
      <x:c r="AA585" s="37" t="n">
        <x:v>0</x:v>
      </x:c>
      <x:c r="AB585" s="37" t="n">
        <x:v>10646003.609033745</x:v>
      </x:c>
      <x:c r="AC585" s="37" t="n">
        <x:v>1760251.8030267898</x:v>
      </x:c>
      <x:c r="AD585" s="37" t="n">
        <x:v>0</x:v>
      </x:c>
      <x:c r="AE585" s="37" t="n">
        <x:v>0</x:v>
      </x:c>
      <x:c r="AF585" s="47" t="b">
        <x:v>0</x:v>
      </x:c>
      <x:c r="AG585" s="47" t="b">
        <x:v>0</x:v>
      </x:c>
      <x:c r="AH585" s="48" t="n">
        <x:v>-1.4812258086749353e-9</x:v>
      </x:c>
      <x:c r="AI585" s="48" t="n">
        <x:v>1.1920928955078125e-7</x:v>
      </x:c>
      <x:c r="AJ585" s="37" t="str">
        <x:v>passed</x:v>
      </x:c>
    </x:row>
    <x:row r="586" ht="21" customHeight="1">
      <x:c r="A586" s="2"/>
      <x:c r="B586" s="2"/>
      <x:c r="C586" s="2" t="str">
        <x:v>2022</x:v>
      </x:c>
      <x:c r="D586" s="5" t="n">
        <x:v>44774</x:v>
      </x:c>
      <x:c r="E586" s="2" t="str">
        <x:v>constrained</x:v>
      </x:c>
      <x:c r="F586" s="37" t="n">
        <x:v>13148619.385369182</x:v>
      </x:c>
      <x:c r="G586" s="37" t="n">
        <x:v>-48933.24944726022</x:v>
      </x:c>
      <x:c r="H586" s="37" t="n">
        <x:v>20677.92042470664</x:v>
      </x:c>
      <x:c r="I586" s="37" t="n">
        <x:v>-69611.16987196686</x:v>
      </x:c>
      <x:c r="J586" s="37" t="n">
        <x:v>11075120.81961782</x:v>
      </x:c>
      <x:c r="K586" s="37" t="n">
        <x:v>11124054.069065081</x:v>
      </x:c>
      <x:c r="L586" s="37" t="n">
        <x:v>13099686.135921922</x:v>
      </x:c>
      <x:c r="M586" s="37" t="n">
        <x:v>0</x:v>
      </x:c>
      <x:c r="N586" s="37" t="n">
        <x:v>0</x:v>
      </x:c>
      <x:c r="O586" s="37" t="n">
        <x:v>2162.6494265049696</x:v>
      </x:c>
      <x:c r="P586" s="37" t="n">
        <x:v>0</x:v>
      </x:c>
      <x:c r="Q586" s="37" t="n">
        <x:v>6.404846426761707</x:v>
      </x:c>
      <x:c r="R586" s="37" t="n">
        <x:v>-8933.346943570348</x:v>
      </x:c>
      <x:c r="S586" s="37" t="n">
        <x:v>64048.46426761706</x:v>
      </x:c>
      <x:c r="T586" s="37" t="n">
        <x:v>0</x:v>
      </x:c>
      <x:c r="U586" s="37" t="n">
        <x:v>-6729.4488397945315</x:v>
      </x:c>
      <x:c r="V586" s="37" t="n">
        <x:v>0</x:v>
      </x:c>
      <x:c r="W586" s="37" t="n">
        <x:v>150635.50824906863</x:v>
      </x:c>
      <x:c r="X586" s="37" t="n">
        <x:v>0</x:v>
      </x:c>
      <x:c r="Y586" s="37" t="n">
        <x:v>2382.4306640909576</x:v>
      </x:c>
      <x:c r="Z586" s="37" t="n">
        <x:v>11346535.150446383</x:v>
      </x:c>
      <x:c r="AA586" s="37" t="n">
        <x:v>0</x:v>
      </x:c>
      <x:c r="AB586" s="37" t="n">
        <x:v>11346535.150446383</x:v>
      </x:c>
      <x:c r="AC586" s="37" t="n">
        <x:v>1802084.2349227984</x:v>
      </x:c>
      <x:c r="AD586" s="37" t="n">
        <x:v>0</x:v>
      </x:c>
      <x:c r="AE586" s="37" t="n">
        <x:v>0</x:v>
      </x:c>
      <x:c r="AF586" s="47" t="b">
        <x:v>0</x:v>
      </x:c>
      <x:c r="AG586" s="47" t="b">
        <x:v>0</x:v>
      </x:c>
      <x:c r="AH586" s="48" t="n">
        <x:v>7.094618226233251e-10</x:v>
      </x:c>
      <x:c r="AI586" s="48" t="n">
        <x:v>1.1920928955078125e-7</x:v>
      </x:c>
      <x:c r="AJ586" s="37" t="str">
        <x:v>passed</x:v>
      </x:c>
    </x:row>
    <x:row r="587" ht="21" customHeight="1">
      <x:c r="A587" s="2"/>
      <x:c r="B587" s="2"/>
      <x:c r="C587" s="2" t="str">
        <x:v>2022</x:v>
      </x:c>
      <x:c r="D587" s="5" t="n">
        <x:v>44775</x:v>
      </x:c>
      <x:c r="E587" s="2" t="str">
        <x:v>unhedged</x:v>
      </x:c>
      <x:c r="F587" s="37" t="n">
        <x:v>1276995.1705355418</x:v>
      </x:c>
      <x:c r="G587" s="37" t="n">
        <x:v>10962195.710021237</x:v>
      </x:c>
      <x:c r="H587" s="37" t="n">
        <x:v>48216.95592121066</x:v>
      </x:c>
      <x:c r="I587" s="37" t="n">
        <x:v>10913978.754100027</x:v>
      </x:c>
      <x:c r="J587" s="37" t="n">
        <x:v>10962195.710021237</x:v>
      </x:c>
      <x:c r="K587" s="37" t="n">
        <x:v>0</x:v>
      </x:c>
      <x:c r="L587" s="37" t="n">
        <x:v>12239190.880556779</x:v>
      </x:c>
      <x:c r="M587" s="37" t="n">
        <x:v>0</x:v>
      </x:c>
      <x:c r="N587" s="37" t="n">
        <x:v>0</x:v>
      </x:c>
      <x:c r="O587" s="37" t="n">
        <x:v>69.96850422117859</x:v>
      </x:c>
      <x:c r="P587" s="37" t="n">
        <x:v>0</x:v>
      </x:c>
      <x:c r="Q587" s="37" t="n">
        <x:v>0</x:v>
      </x:c>
      <x:c r="R587" s="37" t="n">
        <x:v>0</x:v>
      </x:c>
      <x:c r="S587" s="37" t="n">
        <x:v>0</x:v>
      </x:c>
      <x:c r="T587" s="37" t="n">
        <x:v>0</x:v>
      </x:c>
      <x:c r="U587" s="37" t="n">
        <x:v>63750</x:v>
      </x:c>
      <x:c r="V587" s="37" t="n">
        <x:v>0</x:v>
      </x:c>
      <x:c r="W587" s="37" t="n">
        <x:v>14419.889852267457</x:v>
      </x:c>
      <x:c r="X587" s="37" t="n">
        <x:v>0</x:v>
      </x:c>
      <x:c r="Y587" s="37" t="n">
        <x:v>1174.7193167256753</x:v>
      </x:c>
      <x:c r="Z587" s="37" t="n">
        <x:v>0</x:v>
      </x:c>
      <x:c r="AA587" s="37" t="n">
        <x:v>0</x:v>
      </x:c>
      <x:c r="AB587" s="37" t="n">
        <x:v>0</x:v>
      </x:c>
      <x:c r="AC587" s="37" t="n">
        <x:v>1276995.1705355418</x:v>
      </x:c>
      <x:c r="AD587" s="37" t="n">
        <x:v>0</x:v>
      </x:c>
      <x:c r="AE587" s="37" t="n">
        <x:v>0</x:v>
      </x:c>
      <x:c r="AF587" s="47" t="b">
        <x:v>0</x:v>
      </x:c>
      <x:c r="AG587" s="47" t="b">
        <x:v>0</x:v>
      </x:c>
      <x:c r="AH587" s="48" t="n">
        <x:v>0</x:v>
      </x:c>
      <x:c r="AI587" s="48" t="n">
        <x:v>1.1920928955078125e-7</x:v>
      </x:c>
      <x:c r="AJ587" s="37" t="str">
        <x:v>passed</x:v>
      </x:c>
    </x:row>
    <x:row r="588" ht="21" customHeight="1">
      <x:c r="A588" s="2"/>
      <x:c r="B588" s="2"/>
      <x:c r="C588" s="2" t="str">
        <x:v>2022</x:v>
      </x:c>
      <x:c r="D588" s="5" t="n">
        <x:v>44775</x:v>
      </x:c>
      <x:c r="E588" s="2" t="str">
        <x:v>duration</x:v>
      </x:c>
      <x:c r="F588" s="37" t="n">
        <x:v>9238331.657832863</x:v>
      </x:c>
      <x:c r="G588" s="37" t="n">
        <x:v>3731134.461031327</x:v>
      </x:c>
      <x:c r="H588" s="37" t="n">
        <x:v>24175.486598892105</x:v>
      </x:c>
      <x:c r="I588" s="37" t="n">
        <x:v>3706958.974432435</x:v>
      </x:c>
      <x:c r="J588" s="37" t="n">
        <x:v>10962195.710021237</x:v>
      </x:c>
      <x:c r="K588" s="37" t="n">
        <x:v>7231061.24898991</x:v>
      </x:c>
      <x:c r="L588" s="37" t="n">
        <x:v>12969466.11886419</x:v>
      </x:c>
      <x:c r="M588" s="37" t="n">
        <x:v>0</x:v>
      </x:c>
      <x:c r="N588" s="37" t="n">
        <x:v>0</x:v>
      </x:c>
      <x:c r="O588" s="37" t="n">
        <x:v>506.18221784196794</x:v>
      </x:c>
      <x:c r="P588" s="37" t="n">
        <x:v>0</x:v>
      </x:c>
      <x:c r="Q588" s="37" t="n">
        <x:v>0</x:v>
      </x:c>
      <x:c r="R588" s="37" t="n">
        <x:v>0</x:v>
      </x:c>
      <x:c r="S588" s="37" t="n">
        <x:v>0</x:v>
      </x:c>
      <x:c r="T588" s="37" t="n">
        <x:v>0</x:v>
      </x:c>
      <x:c r="U588" s="37" t="n">
        <x:v>6645.098252371114</x:v>
      </x:c>
      <x:c r="V588" s="37" t="n">
        <x:v>0</x:v>
      </x:c>
      <x:c r="W588" s="37" t="n">
        <x:v>107666.47807041928</x:v>
      </x:c>
      <x:c r="X588" s="37" t="n">
        <x:v>0</x:v>
      </x:c>
      <x:c r="Y588" s="37" t="n">
        <x:v>2004.1017498441065</x:v>
      </x:c>
      <x:c r="Z588" s="37" t="n">
        <x:v>7375682.473969708</x:v>
      </x:c>
      <x:c r="AA588" s="37" t="n">
        <x:v>0</x:v>
      </x:c>
      <x:c r="AB588" s="37" t="n">
        <x:v>7375682.473969708</x:v>
      </x:c>
      <x:c r="AC588" s="37" t="n">
        <x:v>1862649.1838631546</x:v>
      </x:c>
      <x:c r="AD588" s="37" t="n">
        <x:v>0</x:v>
      </x:c>
      <x:c r="AE588" s="37" t="n">
        <x:v>0</x:v>
      </x:c>
      <x:c r="AF588" s="47" t="b">
        <x:v>0</x:v>
      </x:c>
      <x:c r="AG588" s="47" t="b">
        <x:v>0</x:v>
      </x:c>
      <x:c r="AH588" s="48" t="n">
        <x:v>0</x:v>
      </x:c>
      <x:c r="AI588" s="48" t="n">
        <x:v>1.1920928955078125e-7</x:v>
      </x:c>
      <x:c r="AJ588" s="37" t="str">
        <x:v>passed</x:v>
      </x:c>
    </x:row>
    <x:row r="589" ht="21" customHeight="1">
      <x:c r="A589" s="2"/>
      <x:c r="B589" s="2"/>
      <x:c r="C589" s="2" t="str">
        <x:v>2022</x:v>
      </x:c>
      <x:c r="D589" s="5" t="n">
        <x:v>44775</x:v>
      </x:c>
      <x:c r="E589" s="2" t="str">
        <x:v>unweighted</x:v>
      </x:c>
      <x:c r="F589" s="37" t="n">
        <x:v>12406935.206877634</x:v>
      </x:c>
      <x:c r="G589" s="37" t="n">
        <x:v>629969.189804579</x:v>
      </x:c>
      <x:c r="H589" s="37" t="n">
        <x:v>22181.4332505362</x:v>
      </x:c>
      <x:c r="I589" s="37" t="n">
        <x:v>607787.7565540428</x:v>
      </x:c>
      <x:c r="J589" s="37" t="n">
        <x:v>10972318.609192539</x:v>
      </x:c>
      <x:c r="K589" s="37" t="n">
        <x:v>10342349.419387959</x:v>
      </x:c>
      <x:c r="L589" s="37" t="n">
        <x:v>13036904.396682212</x:v>
      </x:c>
      <x:c r="M589" s="37" t="n">
        <x:v>0</x:v>
      </x:c>
      <x:c r="N589" s="37" t="n">
        <x:v>0</x:v>
      </x:c>
      <x:c r="O589" s="37" t="n">
        <x:v>679.7948170993477</x:v>
      </x:c>
      <x:c r="P589" s="37" t="n">
        <x:v>0</x:v>
      </x:c>
      <x:c r="Q589" s="37" t="n">
        <x:v>0</x:v>
      </x:c>
      <x:c r="R589" s="37" t="n">
        <x:v>0</x:v>
      </x:c>
      <x:c r="S589" s="37" t="n">
        <x:v>0</x:v>
      </x:c>
      <x:c r="T589" s="37" t="n">
        <x:v>0</x:v>
      </x:c>
      <x:c r="U589" s="37" t="n">
        <x:v>-1868.6910087944125</x:v>
      </x:c>
      <x:c r="V589" s="37" t="n">
        <x:v>0</x:v>
      </x:c>
      <x:c r="W589" s="37" t="n">
        <x:v>140374.69085453637</x:v>
      </x:c>
      <x:c r="X589" s="37" t="n">
        <x:v>0</x:v>
      </x:c>
      <x:c r="Y589" s="37" t="n">
        <x:v>2285.0034441034813</x:v>
      </x:c>
      <x:c r="Z589" s="37" t="n">
        <x:v>10549196.407775719</x:v>
      </x:c>
      <x:c r="AA589" s="37" t="n">
        <x:v>0</x:v>
      </x:c>
      <x:c r="AB589" s="37" t="n">
        <x:v>10549196.407775719</x:v>
      </x:c>
      <x:c r="AC589" s="37" t="n">
        <x:v>1857738.7991019152</x:v>
      </x:c>
      <x:c r="AD589" s="37" t="n">
        <x:v>0</x:v>
      </x:c>
      <x:c r="AE589" s="37" t="n">
        <x:v>0</x:v>
      </x:c>
      <x:c r="AF589" s="47" t="b">
        <x:v>0</x:v>
      </x:c>
      <x:c r="AG589" s="47" t="b">
        <x:v>0</x:v>
      </x:c>
      <x:c r="AH589" s="48" t="n">
        <x:v>0</x:v>
      </x:c>
      <x:c r="AI589" s="48" t="n">
        <x:v>1.1920928955078125e-7</x:v>
      </x:c>
      <x:c r="AJ589" s="37" t="str">
        <x:v>passed</x:v>
      </x:c>
    </x:row>
    <x:row r="590" ht="21" customHeight="1">
      <x:c r="A590" s="2"/>
      <x:c r="B590" s="2"/>
      <x:c r="C590" s="2" t="str">
        <x:v>2022</x:v>
      </x:c>
      <x:c r="D590" s="5" t="n">
        <x:v>44775</x:v>
      </x:c>
      <x:c r="E590" s="2" t="str">
        <x:v>constrained</x:v>
      </x:c>
      <x:c r="F590" s="37" t="n">
        <x:v>13149339.857664272</x:v>
      </x:c>
      <x:c r="G590" s="37" t="n">
        <x:v>-49058.49088982374</x:v>
      </x:c>
      <x:c r="H590" s="37" t="n">
        <x:v>20643.453360649743</x:v>
      </x:c>
      <x:c r="I590" s="37" t="n">
        <x:v>-69701.94425047349</x:v>
      </x:c>
      <x:c r="J590" s="37" t="n">
        <x:v>10974595.704874633</x:v>
      </x:c>
      <x:c r="K590" s="37" t="n">
        <x:v>11023654.195764456</x:v>
      </x:c>
      <x:c r="L590" s="37" t="n">
        <x:v>13100281.36677445</x:v>
      </x:c>
      <x:c r="M590" s="37" t="n">
        <x:v>0</x:v>
      </x:c>
      <x:c r="N590" s="37" t="n">
        <x:v>0</x:v>
      </x:c>
      <x:c r="O590" s="37" t="n">
        <x:v>720.4722950905561</x:v>
      </x:c>
      <x:c r="P590" s="37" t="n">
        <x:v>0</x:v>
      </x:c>
      <x:c r="Q590" s="37" t="n">
        <x:v>0</x:v>
      </x:c>
      <x:c r="R590" s="37" t="n">
        <x:v>0</x:v>
      </x:c>
      <x:c r="S590" s="37" t="n">
        <x:v>0</x:v>
      </x:c>
      <x:c r="T590" s="37" t="n">
        <x:v>0</x:v>
      </x:c>
      <x:c r="U590" s="37" t="n">
        <x:v>-6729.4488397945315</x:v>
      </x:c>
      <x:c r="V590" s="37" t="n">
        <x:v>0</x:v>
      </x:c>
      <x:c r="W590" s="37" t="n">
        <x:v>151355.9805441592</x:v>
      </x:c>
      <x:c r="X590" s="37" t="n">
        <x:v>0</x:v>
      </x:c>
      <x:c r="Y590" s="37" t="n">
        <x:v>2382.4306640909576</x:v>
      </x:c>
      <x:c r="Z590" s="37" t="n">
        <x:v>11244127.279679745</x:v>
      </x:c>
      <x:c r="AA590" s="37" t="n">
        <x:v>0</x:v>
      </x:c>
      <x:c r="AB590" s="37" t="n">
        <x:v>11244127.279679745</x:v>
      </x:c>
      <x:c r="AC590" s="37" t="n">
        <x:v>1905212.5779845268</x:v>
      </x:c>
      <x:c r="AD590" s="37" t="n">
        <x:v>0</x:v>
      </x:c>
      <x:c r="AE590" s="37" t="n">
        <x:v>0</x:v>
      </x:c>
      <x:c r="AF590" s="47" t="b">
        <x:v>0</x:v>
      </x:c>
      <x:c r="AG590" s="47" t="b">
        <x:v>0</x:v>
      </x:c>
      <x:c r="AH590" s="48" t="n">
        <x:v>0</x:v>
      </x:c>
      <x:c r="AI590" s="48" t="n">
        <x:v>1.1920928955078125e-7</x:v>
      </x:c>
      <x:c r="AJ590" s="37" t="str">
        <x:v>passed</x:v>
      </x:c>
    </x:row>
    <x:row r="591" ht="21" customHeight="1">
      <x:c r="A591" s="2"/>
      <x:c r="B591" s="2"/>
      <x:c r="C591" s="2" t="str">
        <x:v>2022</x:v>
      </x:c>
      <x:c r="D591" s="5" t="n">
        <x:v>44776</x:v>
      </x:c>
      <x:c r="E591" s="2" t="str">
        <x:v>unhedged</x:v>
      </x:c>
      <x:c r="F591" s="37" t="n">
        <x:v>1277065.1428736534</x:v>
      </x:c>
      <x:c r="G591" s="37" t="n">
        <x:v>10968867.847113345</x:v>
      </x:c>
      <x:c r="H591" s="37" t="n">
        <x:v>48566.80128513092</x:v>
      </x:c>
      <x:c r="I591" s="37" t="n">
        <x:v>10920301.045828214</x:v>
      </x:c>
      <x:c r="J591" s="37" t="n">
        <x:v>10968867.847113345</x:v>
      </x:c>
      <x:c r="K591" s="37" t="n">
        <x:v>0</x:v>
      </x:c>
      <x:c r="L591" s="37" t="n">
        <x:v>12245932.989986999</x:v>
      </x:c>
      <x:c r="M591" s="37" t="n">
        <x:v>0</x:v>
      </x:c>
      <x:c r="N591" s="37" t="n">
        <x:v>0</x:v>
      </x:c>
      <x:c r="O591" s="37" t="n">
        <x:v>69.9723381116055</x:v>
      </x:c>
      <x:c r="P591" s="37" t="n">
        <x:v>0</x:v>
      </x:c>
      <x:c r="Q591" s="37" t="n">
        <x:v>0</x:v>
      </x:c>
      <x:c r="R591" s="37" t="n">
        <x:v>0</x:v>
      </x:c>
      <x:c r="S591" s="37" t="n">
        <x:v>0</x:v>
      </x:c>
      <x:c r="T591" s="37" t="n">
        <x:v>0</x:v>
      </x:c>
      <x:c r="U591" s="37" t="n">
        <x:v>63750</x:v>
      </x:c>
      <x:c r="V591" s="37" t="n">
        <x:v>0</x:v>
      </x:c>
      <x:c r="W591" s="37" t="n">
        <x:v>14489.862190379063</x:v>
      </x:c>
      <x:c r="X591" s="37" t="n">
        <x:v>0</x:v>
      </x:c>
      <x:c r="Y591" s="37" t="n">
        <x:v>1174.7193167256753</x:v>
      </x:c>
      <x:c r="Z591" s="37" t="n">
        <x:v>0</x:v>
      </x:c>
      <x:c r="AA591" s="37" t="n">
        <x:v>0</x:v>
      </x:c>
      <x:c r="AB591" s="37" t="n">
        <x:v>0</x:v>
      </x:c>
      <x:c r="AC591" s="37" t="n">
        <x:v>1277065.1428736534</x:v>
      </x:c>
      <x:c r="AD591" s="37" t="n">
        <x:v>0</x:v>
      </x:c>
      <x:c r="AE591" s="37" t="n">
        <x:v>0</x:v>
      </x:c>
      <x:c r="AF591" s="47" t="b">
        <x:v>0</x:v>
      </x:c>
      <x:c r="AG591" s="47" t="b">
        <x:v>0</x:v>
      </x:c>
      <x:c r="AH591" s="48" t="n">
        <x:v>0</x:v>
      </x:c>
      <x:c r="AI591" s="48" t="n">
        <x:v>1.1920928955078125e-7</x:v>
      </x:c>
      <x:c r="AJ591" s="37" t="str">
        <x:v>passed</x:v>
      </x:c>
    </x:row>
    <x:row r="592" ht="21" customHeight="1">
      <x:c r="A592" s="2"/>
      <x:c r="B592" s="2"/>
      <x:c r="C592" s="2" t="str">
        <x:v>2022</x:v>
      </x:c>
      <x:c r="D592" s="5" t="n">
        <x:v>44776</x:v>
      </x:c>
      <x:c r="E592" s="2" t="str">
        <x:v>duration</x:v>
      </x:c>
      <x:c r="F592" s="37" t="n">
        <x:v>9238837.867786717</x:v>
      </x:c>
      <x:c r="G592" s="37" t="n">
        <x:v>3726005.1506277993</x:v>
      </x:c>
      <x:c r="H592" s="37" t="n">
        <x:v>24221.009566327317</x:v>
      </x:c>
      <x:c r="I592" s="37" t="n">
        <x:v>3701784.1410614722</x:v>
      </x:c>
      <x:c r="J592" s="37" t="n">
        <x:v>10968867.847113345</x:v>
      </x:c>
      <x:c r="K592" s="37" t="n">
        <x:v>7242862.696485545</x:v>
      </x:c>
      <x:c r="L592" s="37" t="n">
        <x:v>12964843.018414516</x:v>
      </x:c>
      <x:c r="M592" s="37" t="n">
        <x:v>0</x:v>
      </x:c>
      <x:c r="N592" s="37" t="n">
        <x:v>0</x:v>
      </x:c>
      <x:c r="O592" s="37" t="n">
        <x:v>506.2099538538605</x:v>
      </x:c>
      <x:c r="P592" s="37" t="n">
        <x:v>0</x:v>
      </x:c>
      <x:c r="Q592" s="37" t="n">
        <x:v>0</x:v>
      </x:c>
      <x:c r="R592" s="37" t="n">
        <x:v>0</x:v>
      </x:c>
      <x:c r="S592" s="37" t="n">
        <x:v>0</x:v>
      </x:c>
      <x:c r="T592" s="37" t="n">
        <x:v>0</x:v>
      </x:c>
      <x:c r="U592" s="37" t="n">
        <x:v>6645.098252371114</x:v>
      </x:c>
      <x:c r="V592" s="37" t="n">
        <x:v>0</x:v>
      </x:c>
      <x:c r="W592" s="37" t="n">
        <x:v>108172.68802427314</x:v>
      </x:c>
      <x:c r="X592" s="37" t="n">
        <x:v>0</x:v>
      </x:c>
      <x:c r="Y592" s="37" t="n">
        <x:v>2004.1017498441065</x:v>
      </x:c>
      <x:c r="Z592" s="37" t="n">
        <x:v>7387719.9504152555</x:v>
      </x:c>
      <x:c r="AA592" s="37" t="n">
        <x:v>0</x:v>
      </x:c>
      <x:c r="AB592" s="37" t="n">
        <x:v>7387719.9504152555</x:v>
      </x:c>
      <x:c r="AC592" s="37" t="n">
        <x:v>1851117.9173714612</x:v>
      </x:c>
      <x:c r="AD592" s="37" t="n">
        <x:v>0</x:v>
      </x:c>
      <x:c r="AE592" s="37" t="n">
        <x:v>0</x:v>
      </x:c>
      <x:c r="AF592" s="47" t="b">
        <x:v>0</x:v>
      </x:c>
      <x:c r="AG592" s="47" t="b">
        <x:v>0</x:v>
      </x:c>
      <x:c r="AH592" s="48" t="n">
        <x:v>0</x:v>
      </x:c>
      <x:c r="AI592" s="48" t="n">
        <x:v>1.1920928955078125e-7</x:v>
      </x:c>
      <x:c r="AJ592" s="37" t="str">
        <x:v>passed</x:v>
      </x:c>
    </x:row>
    <x:row r="593" ht="21" customHeight="1">
      <x:c r="A593" s="2"/>
      <x:c r="B593" s="2"/>
      <x:c r="C593" s="2" t="str">
        <x:v>2022</x:v>
      </x:c>
      <x:c r="D593" s="5" t="n">
        <x:v>44776</x:v>
      </x:c>
      <x:c r="E593" s="2" t="str">
        <x:v>unweighted</x:v>
      </x:c>
      <x:c r="F593" s="37" t="n">
        <x:v>12407615.038943766</x:v>
      </x:c>
      <x:c r="G593" s="37" t="n">
        <x:v>630109.6715805767</x:v>
      </x:c>
      <x:c r="H593" s="37" t="n">
        <x:v>22169.702315019982</x:v>
      </x:c>
      <x:c r="I593" s="37" t="n">
        <x:v>607939.9692655567</x:v>
      </x:c>
      <x:c r="J593" s="37" t="n">
        <x:v>10979054.604026215</x:v>
      </x:c>
      <x:c r="K593" s="37" t="n">
        <x:v>10348944.932445638</x:v>
      </x:c>
      <x:c r="L593" s="37" t="n">
        <x:v>13037724.710524343</x:v>
      </x:c>
      <x:c r="M593" s="37" t="n">
        <x:v>0</x:v>
      </x:c>
      <x:c r="N593" s="37" t="n">
        <x:v>0</x:v>
      </x:c>
      <x:c r="O593" s="37" t="n">
        <x:v>679.8320661317557</x:v>
      </x:c>
      <x:c r="P593" s="37" t="n">
        <x:v>0</x:v>
      </x:c>
      <x:c r="Q593" s="37" t="n">
        <x:v>0</x:v>
      </x:c>
      <x:c r="R593" s="37" t="n">
        <x:v>0</x:v>
      </x:c>
      <x:c r="S593" s="37" t="n">
        <x:v>0</x:v>
      </x:c>
      <x:c r="T593" s="37" t="n">
        <x:v>0</x:v>
      </x:c>
      <x:c r="U593" s="37" t="n">
        <x:v>-1868.6910087944125</x:v>
      </x:c>
      <x:c r="V593" s="37" t="n">
        <x:v>0</x:v>
      </x:c>
      <x:c r="W593" s="37" t="n">
        <x:v>141054.52292066813</x:v>
      </x:c>
      <x:c r="X593" s="37" t="n">
        <x:v>0</x:v>
      </x:c>
      <x:c r="Y593" s="37" t="n">
        <x:v>2285.0034441034813</x:v>
      </x:c>
      <x:c r="Z593" s="37" t="n">
        <x:v>10555923.83109455</x:v>
      </x:c>
      <x:c r="AA593" s="37" t="n">
        <x:v>0</x:v>
      </x:c>
      <x:c r="AB593" s="37" t="n">
        <x:v>10555923.83109455</x:v>
      </x:c>
      <x:c r="AC593" s="37" t="n">
        <x:v>1851691.2078492157</x:v>
      </x:c>
      <x:c r="AD593" s="37" t="n">
        <x:v>0</x:v>
      </x:c>
      <x:c r="AE593" s="37" t="n">
        <x:v>0</x:v>
      </x:c>
      <x:c r="AF593" s="47" t="b">
        <x:v>0</x:v>
      </x:c>
      <x:c r="AG593" s="47" t="b">
        <x:v>0</x:v>
      </x:c>
      <x:c r="AH593" s="48" t="n">
        <x:v>0</x:v>
      </x:c>
      <x:c r="AI593" s="48" t="n">
        <x:v>1.1920928955078125e-7</x:v>
      </x:c>
      <x:c r="AJ593" s="37" t="str">
        <x:v>passed</x:v>
      </x:c>
    </x:row>
    <x:row r="594" ht="21" customHeight="1">
      <x:c r="A594" s="2"/>
      <x:c r="B594" s="2"/>
      <x:c r="C594" s="2" t="str">
        <x:v>2022</x:v>
      </x:c>
      <x:c r="D594" s="5" t="n">
        <x:v>44776</x:v>
      </x:c>
      <x:c r="E594" s="2" t="str">
        <x:v>constrained</x:v>
      </x:c>
      <x:c r="F594" s="37" t="n">
        <x:v>13150060.369437294</x:v>
      </x:c>
      <x:c r="G594" s="37" t="n">
        <x:v>-49063.52788753734</x:v>
      </x:c>
      <x:c r="H594" s="37" t="n">
        <x:v>20608.98629659285</x:v>
      </x:c>
      <x:c r="I594" s="37" t="n">
        <x:v>-69672.5141841302</x:v>
      </x:c>
      <x:c r="J594" s="37" t="n">
        <x:v>10981346.064188793</x:v>
      </x:c>
      <x:c r="K594" s="37" t="n">
        <x:v>11030409.592076331</x:v>
      </x:c>
      <x:c r="L594" s="37" t="n">
        <x:v>13100996.841549756</x:v>
      </x:c>
      <x:c r="M594" s="37" t="n">
        <x:v>0</x:v>
      </x:c>
      <x:c r="N594" s="37" t="n">
        <x:v>0</x:v>
      </x:c>
      <x:c r="O594" s="37" t="n">
        <x:v>720.5117730218917</x:v>
      </x:c>
      <x:c r="P594" s="37" t="n">
        <x:v>0</x:v>
      </x:c>
      <x:c r="Q594" s="37" t="n">
        <x:v>0</x:v>
      </x:c>
      <x:c r="R594" s="37" t="n">
        <x:v>0</x:v>
      </x:c>
      <x:c r="S594" s="37" t="n">
        <x:v>0</x:v>
      </x:c>
      <x:c r="T594" s="37" t="n">
        <x:v>0</x:v>
      </x:c>
      <x:c r="U594" s="37" t="n">
        <x:v>-6729.4488397945315</x:v>
      </x:c>
      <x:c r="V594" s="37" t="n">
        <x:v>0</x:v>
      </x:c>
      <x:c r="W594" s="37" t="n">
        <x:v>152076.49231718108</x:v>
      </x:c>
      <x:c r="X594" s="37" t="n">
        <x:v>0</x:v>
      </x:c>
      <x:c r="Y594" s="37" t="n">
        <x:v>2382.4306640909576</x:v>
      </x:c>
      <x:c r="Z594" s="37" t="n">
        <x:v>11251017.783917857</x:v>
      </x:c>
      <x:c r="AA594" s="37" t="n">
        <x:v>0</x:v>
      </x:c>
      <x:c r="AB594" s="37" t="n">
        <x:v>11251017.783917857</x:v>
      </x:c>
      <x:c r="AC594" s="37" t="n">
        <x:v>1899042.5855194367</x:v>
      </x:c>
      <x:c r="AD594" s="37" t="n">
        <x:v>0</x:v>
      </x:c>
      <x:c r="AE594" s="37" t="n">
        <x:v>0</x:v>
      </x:c>
      <x:c r="AF594" s="47" t="b">
        <x:v>0</x:v>
      </x:c>
      <x:c r="AG594" s="47" t="b">
        <x:v>0</x:v>
      </x:c>
      <x:c r="AH594" s="48" t="n">
        <x:v>0</x:v>
      </x:c>
      <x:c r="AI594" s="48" t="n">
        <x:v>1.1920928955078125e-7</x:v>
      </x:c>
      <x:c r="AJ594" s="37" t="str">
        <x:v>passed</x:v>
      </x:c>
    </x:row>
    <x:row r="595" ht="21" customHeight="1">
      <x:c r="A595" s="2"/>
      <x:c r="B595" s="2"/>
      <x:c r="C595" s="2" t="str">
        <x:v>2022</x:v>
      </x:c>
      <x:c r="D595" s="5" t="n">
        <x:v>44777</x:v>
      </x:c>
      <x:c r="E595" s="2" t="str">
        <x:v>unhedged</x:v>
      </x:c>
      <x:c r="F595" s="37" t="n">
        <x:v>1277135.1190458655</x:v>
      </x:c>
      <x:c r="G595" s="37" t="n">
        <x:v>11013206.980149135</x:v>
      </x:c>
      <x:c r="H595" s="37" t="n">
        <x:v>48916.646649051174</x:v>
      </x:c>
      <x:c r="I595" s="37" t="n">
        <x:v>10964290.333500084</x:v>
      </x:c>
      <x:c r="J595" s="37" t="n">
        <x:v>11013206.980149135</x:v>
      </x:c>
      <x:c r="K595" s="37" t="n">
        <x:v>0</x:v>
      </x:c>
      <x:c r="L595" s="37" t="n">
        <x:v>12290342.099195</x:v>
      </x:c>
      <x:c r="M595" s="37" t="n">
        <x:v>0</x:v>
      </x:c>
      <x:c r="N595" s="37" t="n">
        <x:v>0</x:v>
      </x:c>
      <x:c r="O595" s="37" t="n">
        <x:v>69.97617221204564</x:v>
      </x:c>
      <x:c r="P595" s="37" t="n">
        <x:v>0</x:v>
      </x:c>
      <x:c r="Q595" s="37" t="n">
        <x:v>0</x:v>
      </x:c>
      <x:c r="R595" s="37" t="n">
        <x:v>0</x:v>
      </x:c>
      <x:c r="S595" s="37" t="n">
        <x:v>0</x:v>
      </x:c>
      <x:c r="T595" s="37" t="n">
        <x:v>0</x:v>
      </x:c>
      <x:c r="U595" s="37" t="n">
        <x:v>63750</x:v>
      </x:c>
      <x:c r="V595" s="37" t="n">
        <x:v>0</x:v>
      </x:c>
      <x:c r="W595" s="37" t="n">
        <x:v>14559.838362591108</x:v>
      </x:c>
      <x:c r="X595" s="37" t="n">
        <x:v>0</x:v>
      </x:c>
      <x:c r="Y595" s="37" t="n">
        <x:v>1174.7193167256753</x:v>
      </x:c>
      <x:c r="Z595" s="37" t="n">
        <x:v>0</x:v>
      </x:c>
      <x:c r="AA595" s="37" t="n">
        <x:v>0</x:v>
      </x:c>
      <x:c r="AB595" s="37" t="n">
        <x:v>0</x:v>
      </x:c>
      <x:c r="AC595" s="37" t="n">
        <x:v>1277135.1190458655</x:v>
      </x:c>
      <x:c r="AD595" s="37" t="n">
        <x:v>0</x:v>
      </x:c>
      <x:c r="AE595" s="37" t="n">
        <x:v>0</x:v>
      </x:c>
      <x:c r="AF595" s="47" t="b">
        <x:v>0</x:v>
      </x:c>
      <x:c r="AG595" s="47" t="b">
        <x:v>0</x:v>
      </x:c>
      <x:c r="AH595" s="48" t="n">
        <x:v>0</x:v>
      </x:c>
      <x:c r="AI595" s="48" t="n">
        <x:v>1.1920928955078125e-7</x:v>
      </x:c>
      <x:c r="AJ595" s="37" t="str">
        <x:v>passed</x:v>
      </x:c>
    </x:row>
    <x:row r="596" ht="21" customHeight="1">
      <x:c r="A596" s="2"/>
      <x:c r="B596" s="2"/>
      <x:c r="C596" s="2" t="str">
        <x:v>2022</x:v>
      </x:c>
      <x:c r="D596" s="5" t="n">
        <x:v>44777</x:v>
      </x:c>
      <x:c r="E596" s="2" t="str">
        <x:v>duration</x:v>
      </x:c>
      <x:c r="F596" s="37" t="n">
        <x:v>9239344.105478104</x:v>
      </x:c>
      <x:c r="G596" s="37" t="n">
        <x:v>3730814.712369454</x:v>
      </x:c>
      <x:c r="H596" s="37" t="n">
        <x:v>24266.53253376252</x:v>
      </x:c>
      <x:c r="I596" s="37" t="n">
        <x:v>3706548.1798356916</x:v>
      </x:c>
      <x:c r="J596" s="37" t="n">
        <x:v>11013206.980149135</x:v>
      </x:c>
      <x:c r="K596" s="37" t="n">
        <x:v>7282392.26777968</x:v>
      </x:c>
      <x:c r="L596" s="37" t="n">
        <x:v>12970158.817847557</x:v>
      </x:c>
      <x:c r="M596" s="37" t="n">
        <x:v>0</x:v>
      </x:c>
      <x:c r="N596" s="37" t="n">
        <x:v>0</x:v>
      </x:c>
      <x:c r="O596" s="37" t="n">
        <x:v>506.23769138753414</x:v>
      </x:c>
      <x:c r="P596" s="37" t="n">
        <x:v>0</x:v>
      </x:c>
      <x:c r="Q596" s="37" t="n">
        <x:v>0</x:v>
      </x:c>
      <x:c r="R596" s="37" t="n">
        <x:v>0</x:v>
      </x:c>
      <x:c r="S596" s="37" t="n">
        <x:v>0</x:v>
      </x:c>
      <x:c r="T596" s="37" t="n">
        <x:v>0</x:v>
      </x:c>
      <x:c r="U596" s="37" t="n">
        <x:v>6645.098252371114</x:v>
      </x:c>
      <x:c r="V596" s="37" t="n">
        <x:v>0</x:v>
      </x:c>
      <x:c r="W596" s="37" t="n">
        <x:v>108678.92571566068</x:v>
      </x:c>
      <x:c r="X596" s="37" t="n">
        <x:v>0</x:v>
      </x:c>
      <x:c r="Y596" s="37" t="n">
        <x:v>2004.1017498441065</x:v>
      </x:c>
      <x:c r="Z596" s="37" t="n">
        <x:v>7428040.113135274</x:v>
      </x:c>
      <x:c r="AA596" s="37" t="n">
        <x:v>0</x:v>
      </x:c>
      <x:c r="AB596" s="37" t="n">
        <x:v>7428040.113135274</x:v>
      </x:c>
      <x:c r="AC596" s="37" t="n">
        <x:v>1811303.9923428306</x:v>
      </x:c>
      <x:c r="AD596" s="37" t="n">
        <x:v>0</x:v>
      </x:c>
      <x:c r="AE596" s="37" t="n">
        <x:v>0</x:v>
      </x:c>
      <x:c r="AF596" s="47" t="b">
        <x:v>0</x:v>
      </x:c>
      <x:c r="AG596" s="47" t="b">
        <x:v>0</x:v>
      </x:c>
      <x:c r="AH596" s="48" t="n">
        <x:v>0</x:v>
      </x:c>
      <x:c r="AI596" s="48" t="n">
        <x:v>1.1920928955078125e-7</x:v>
      </x:c>
      <x:c r="AJ596" s="37" t="str">
        <x:v>passed</x:v>
      </x:c>
    </x:row>
    <x:row r="597" ht="21" customHeight="1">
      <x:c r="A597" s="2"/>
      <x:c r="B597" s="2"/>
      <x:c r="C597" s="2" t="str">
        <x:v>2022</x:v>
      </x:c>
      <x:c r="D597" s="5" t="n">
        <x:v>44777</x:v>
      </x:c>
      <x:c r="E597" s="2" t="str">
        <x:v>unweighted</x:v>
      </x:c>
      <x:c r="F597" s="37" t="n">
        <x:v>12408294.90826097</x:v>
      </x:c>
      <x:c r="G597" s="37" t="n">
        <x:v>632793.259546122</x:v>
      </x:c>
      <x:c r="H597" s="37" t="n">
        <x:v>22157.97137950376</x:v>
      </x:c>
      <x:c r="I597" s="37" t="n">
        <x:v>610635.2881666183</x:v>
      </x:c>
      <x:c r="J597" s="37" t="n">
        <x:v>11023414.635451375</x:v>
      </x:c>
      <x:c r="K597" s="37" t="n">
        <x:v>10390621.375905253</x:v>
      </x:c>
      <x:c r="L597" s="37" t="n">
        <x:v>13041088.167807091</x:v>
      </x:c>
      <x:c r="M597" s="37" t="n">
        <x:v>0</x:v>
      </x:c>
      <x:c r="N597" s="37" t="n">
        <x:v>0</x:v>
      </x:c>
      <x:c r="O597" s="37" t="n">
        <x:v>679.8693172037601</x:v>
      </x:c>
      <x:c r="P597" s="37" t="n">
        <x:v>0</x:v>
      </x:c>
      <x:c r="Q597" s="37" t="n">
        <x:v>0</x:v>
      </x:c>
      <x:c r="R597" s="37" t="n">
        <x:v>0</x:v>
      </x:c>
      <x:c r="S597" s="37" t="n">
        <x:v>0</x:v>
      </x:c>
      <x:c r="T597" s="37" t="n">
        <x:v>0</x:v>
      </x:c>
      <x:c r="U597" s="37" t="n">
        <x:v>-1868.6910087944125</x:v>
      </x:c>
      <x:c r="V597" s="37" t="n">
        <x:v>0</x:v>
      </x:c>
      <x:c r="W597" s="37" t="n">
        <x:v>141734.39223787189</x:v>
      </x:c>
      <x:c r="X597" s="37" t="n">
        <x:v>0</x:v>
      </x:c>
      <x:c r="Y597" s="37" t="n">
        <x:v>2285.0034441034813</x:v>
      </x:c>
      <x:c r="Z597" s="37" t="n">
        <x:v>10598433.803423358</x:v>
      </x:c>
      <x:c r="AA597" s="37" t="n">
        <x:v>0</x:v>
      </x:c>
      <x:c r="AB597" s="37" t="n">
        <x:v>10598433.803423358</x:v>
      </x:c>
      <x:c r="AC597" s="37" t="n">
        <x:v>1809861.1048376113</x:v>
      </x:c>
      <x:c r="AD597" s="37" t="n">
        <x:v>0</x:v>
      </x:c>
      <x:c r="AE597" s="37" t="n">
        <x:v>0</x:v>
      </x:c>
      <x:c r="AF597" s="47" t="b">
        <x:v>0</x:v>
      </x:c>
      <x:c r="AG597" s="47" t="b">
        <x:v>0</x:v>
      </x:c>
      <x:c r="AH597" s="48" t="n">
        <x:v>0</x:v>
      </x:c>
      <x:c r="AI597" s="48" t="n">
        <x:v>1.1920928955078125e-7</x:v>
      </x:c>
      <x:c r="AJ597" s="37" t="str">
        <x:v>passed</x:v>
      </x:c>
    </x:row>
    <x:row r="598" ht="21" customHeight="1">
      <x:c r="A598" s="2"/>
      <x:c r="B598" s="2"/>
      <x:c r="C598" s="2" t="str">
        <x:v>2022</x:v>
      </x:c>
      <x:c r="D598" s="5" t="n">
        <x:v>44777</x:v>
      </x:c>
      <x:c r="E598" s="2" t="str">
        <x:v>constrained</x:v>
      </x:c>
      <x:c r="F598" s="37" t="n">
        <x:v>13150780.920690415</x:v>
      </x:c>
      <x:c r="G598" s="37" t="n">
        <x:v>-48811.67709424623</x:v>
      </x:c>
      <x:c r="H598" s="37" t="n">
        <x:v>20574.519232535957</x:v>
      </x:c>
      <x:c r="I598" s="37" t="n">
        <x:v>-69386.19632678218</x:v>
      </x:c>
      <x:c r="J598" s="37" t="n">
        <x:v>11025710.796602415</x:v>
      </x:c>
      <x:c r="K598" s="37" t="n">
        <x:v>11074522.47369666</x:v>
      </x:c>
      <x:c r="L598" s="37" t="n">
        <x:v>13101969.24359617</x:v>
      </x:c>
      <x:c r="M598" s="37" t="n">
        <x:v>0</x:v>
      </x:c>
      <x:c r="N598" s="37" t="n">
        <x:v>0</x:v>
      </x:c>
      <x:c r="O598" s="37" t="n">
        <x:v>720.5512531213462</x:v>
      </x:c>
      <x:c r="P598" s="37" t="n">
        <x:v>0</x:v>
      </x:c>
      <x:c r="Q598" s="37" t="n">
        <x:v>0</x:v>
      </x:c>
      <x:c r="R598" s="37" t="n">
        <x:v>0</x:v>
      </x:c>
      <x:c r="S598" s="37" t="n">
        <x:v>0</x:v>
      </x:c>
      <x:c r="T598" s="37" t="n">
        <x:v>0</x:v>
      </x:c>
      <x:c r="U598" s="37" t="n">
        <x:v>-6729.4488397945315</x:v>
      </x:c>
      <x:c r="V598" s="37" t="n">
        <x:v>0</x:v>
      </x:c>
      <x:c r="W598" s="37" t="n">
        <x:v>152797.04357030243</x:v>
      </x:c>
      <x:c r="X598" s="37" t="n">
        <x:v>0</x:v>
      </x:c>
      <x:c r="Y598" s="37" t="n">
        <x:v>2382.4306640909576</x:v>
      </x:c>
      <x:c r="Z598" s="37" t="n">
        <x:v>11296012.923170594</x:v>
      </x:c>
      <x:c r="AA598" s="37" t="n">
        <x:v>0</x:v>
      </x:c>
      <x:c r="AB598" s="37" t="n">
        <x:v>11296012.923170594</x:v>
      </x:c>
      <x:c r="AC598" s="37" t="n">
        <x:v>1854767.997519821</x:v>
      </x:c>
      <x:c r="AD598" s="37" t="n">
        <x:v>0</x:v>
      </x:c>
      <x:c r="AE598" s="37" t="n">
        <x:v>0</x:v>
      </x:c>
      <x:c r="AF598" s="47" t="b">
        <x:v>0</x:v>
      </x:c>
      <x:c r="AG598" s="47" t="b">
        <x:v>0</x:v>
      </x:c>
      <x:c r="AH598" s="48" t="n">
        <x:v>0</x:v>
      </x:c>
      <x:c r="AI598" s="48" t="n">
        <x:v>1.1920928955078125e-7</x:v>
      </x:c>
      <x:c r="AJ598" s="37" t="str">
        <x:v>passed</x:v>
      </x:c>
    </x:row>
    <x:row r="599" ht="21" customHeight="1">
      <x:c r="A599" s="2"/>
      <x:c r="B599" s="2"/>
      <x:c r="C599" s="2" t="str">
        <x:v>2022</x:v>
      </x:c>
      <x:c r="D599" s="5" t="n">
        <x:v>44778</x:v>
      </x:c>
      <x:c r="E599" s="2" t="str">
        <x:v>unhedged</x:v>
      </x:c>
      <x:c r="F599" s="37" t="n">
        <x:v>1277205.099052389</x:v>
      </x:c>
      <x:c r="G599" s="37" t="n">
        <x:v>10906526.223078743</x:v>
      </x:c>
      <x:c r="H599" s="37" t="n">
        <x:v>49266.492012971416</x:v>
      </x:c>
      <x:c r="I599" s="37" t="n">
        <x:v>10857259.73106577</x:v>
      </x:c>
      <x:c r="J599" s="37" t="n">
        <x:v>10906526.223078743</x:v>
      </x:c>
      <x:c r="K599" s="37" t="n">
        <x:v>0</x:v>
      </x:c>
      <x:c r="L599" s="37" t="n">
        <x:v>12183731.32213113</x:v>
      </x:c>
      <x:c r="M599" s="37" t="n">
        <x:v>0</x:v>
      </x:c>
      <x:c r="N599" s="37" t="n">
        <x:v>0</x:v>
      </x:c>
      <x:c r="O599" s="37" t="n">
        <x:v>69.98000652343035</x:v>
      </x:c>
      <x:c r="P599" s="37" t="n">
        <x:v>0</x:v>
      </x:c>
      <x:c r="Q599" s="37" t="n">
        <x:v>0</x:v>
      </x:c>
      <x:c r="R599" s="37" t="n">
        <x:v>0</x:v>
      </x:c>
      <x:c r="S599" s="37" t="n">
        <x:v>0</x:v>
      </x:c>
      <x:c r="T599" s="37" t="n">
        <x:v>0</x:v>
      </x:c>
      <x:c r="U599" s="37" t="n">
        <x:v>63750</x:v>
      </x:c>
      <x:c r="V599" s="37" t="n">
        <x:v>0</x:v>
      </x:c>
      <x:c r="W599" s="37" t="n">
        <x:v>14629.818369114539</x:v>
      </x:c>
      <x:c r="X599" s="37" t="n">
        <x:v>0</x:v>
      </x:c>
      <x:c r="Y599" s="37" t="n">
        <x:v>1174.7193167256753</x:v>
      </x:c>
      <x:c r="Z599" s="37" t="n">
        <x:v>0</x:v>
      </x:c>
      <x:c r="AA599" s="37" t="n">
        <x:v>0</x:v>
      </x:c>
      <x:c r="AB599" s="37" t="n">
        <x:v>0</x:v>
      </x:c>
      <x:c r="AC599" s="37" t="n">
        <x:v>1277205.099052389</x:v>
      </x:c>
      <x:c r="AD599" s="37" t="n">
        <x:v>0</x:v>
      </x:c>
      <x:c r="AE599" s="37" t="n">
        <x:v>0</x:v>
      </x:c>
      <x:c r="AF599" s="47" t="b">
        <x:v>0</x:v>
      </x:c>
      <x:c r="AG599" s="47" t="b">
        <x:v>0</x:v>
      </x:c>
      <x:c r="AH599" s="48" t="n">
        <x:v>0</x:v>
      </x:c>
      <x:c r="AI599" s="48" t="n">
        <x:v>1.1920928955078125e-7</x:v>
      </x:c>
      <x:c r="AJ599" s="37" t="str">
        <x:v>passed</x:v>
      </x:c>
    </x:row>
    <x:row r="600" ht="21" customHeight="1">
      <x:c r="A600" s="2"/>
      <x:c r="B600" s="2"/>
      <x:c r="C600" s="2" t="str">
        <x:v>2022</x:v>
      </x:c>
      <x:c r="D600" s="5" t="n">
        <x:v>44778</x:v>
      </x:c>
      <x:c r="E600" s="2" t="str">
        <x:v>duration</x:v>
      </x:c>
      <x:c r="F600" s="37" t="n">
        <x:v>9239850.370908543</x:v>
      </x:c>
      <x:c r="G600" s="37" t="n">
        <x:v>3721157.2185307546</x:v>
      </x:c>
      <x:c r="H600" s="37" t="n">
        <x:v>24312.055501197723</x:v>
      </x:c>
      <x:c r="I600" s="37" t="n">
        <x:v>3696845.1630295566</x:v>
      </x:c>
      <x:c r="J600" s="37" t="n">
        <x:v>10906526.223078743</x:v>
      </x:c>
      <x:c r="K600" s="37" t="n">
        <x:v>7185369.004547987</x:v>
      </x:c>
      <x:c r="L600" s="37" t="n">
        <x:v>12961007.589439299</x:v>
      </x:c>
      <x:c r="M600" s="37" t="n">
        <x:v>0</x:v>
      </x:c>
      <x:c r="N600" s="37" t="n">
        <x:v>0</x:v>
      </x:c>
      <x:c r="O600" s="37" t="n">
        <x:v>506.2654304392636</x:v>
      </x:c>
      <x:c r="P600" s="37" t="n">
        <x:v>0</x:v>
      </x:c>
      <x:c r="Q600" s="37" t="n">
        <x:v>0</x:v>
      </x:c>
      <x:c r="R600" s="37" t="n">
        <x:v>0</x:v>
      </x:c>
      <x:c r="S600" s="37" t="n">
        <x:v>0</x:v>
      </x:c>
      <x:c r="T600" s="37" t="n">
        <x:v>0</x:v>
      </x:c>
      <x:c r="U600" s="37" t="n">
        <x:v>6645.098252371114</x:v>
      </x:c>
      <x:c r="V600" s="37" t="n">
        <x:v>0</x:v>
      </x:c>
      <x:c r="W600" s="37" t="n">
        <x:v>109185.19114609994</x:v>
      </x:c>
      <x:c r="X600" s="37" t="n">
        <x:v>0</x:v>
      </x:c>
      <x:c r="Y600" s="37" t="n">
        <x:v>2004.1017498441065</x:v>
      </x:c>
      <x:c r="Z600" s="37" t="n">
        <x:v>7329076.384638947</x:v>
      </x:c>
      <x:c r="AA600" s="37" t="n">
        <x:v>0</x:v>
      </x:c>
      <x:c r="AB600" s="37" t="n">
        <x:v>7329076.384638947</x:v>
      </x:c>
      <x:c r="AC600" s="37" t="n">
        <x:v>1910773.986269596</x:v>
      </x:c>
      <x:c r="AD600" s="37" t="n">
        <x:v>0</x:v>
      </x:c>
      <x:c r="AE600" s="37" t="n">
        <x:v>0</x:v>
      </x:c>
      <x:c r="AF600" s="47" t="b">
        <x:v>0</x:v>
      </x:c>
      <x:c r="AG600" s="47" t="b">
        <x:v>0</x:v>
      </x:c>
      <x:c r="AH600" s="48" t="n">
        <x:v>0</x:v>
      </x:c>
      <x:c r="AI600" s="48" t="n">
        <x:v>1.1920928955078125e-7</x:v>
      </x:c>
      <x:c r="AJ600" s="37" t="str">
        <x:v>passed</x:v>
      </x:c>
    </x:row>
    <x:row r="601" ht="21" customHeight="1">
      <x:c r="A601" s="2"/>
      <x:c r="B601" s="2"/>
      <x:c r="C601" s="2" t="str">
        <x:v>2022</x:v>
      </x:c>
      <x:c r="D601" s="5" t="n">
        <x:v>44778</x:v>
      </x:c>
      <x:c r="E601" s="2" t="str">
        <x:v>unweighted</x:v>
      </x:c>
      <x:c r="F601" s="37" t="n">
        <x:v>12408974.814831287</x:v>
      </x:c>
      <x:c r="G601" s="37" t="n">
        <x:v>627165.0203279409</x:v>
      </x:c>
      <x:c r="H601" s="37" t="n">
        <x:v>22146.24044398754</x:v>
      </x:c>
      <x:c r="I601" s="37" t="n">
        <x:v>605018.7798839534</x:v>
      </x:c>
      <x:c r="J601" s="37" t="n">
        <x:v>10916548.08349374</x:v>
      </x:c>
      <x:c r="K601" s="37" t="n">
        <x:v>10289383.063165799</x:v>
      </x:c>
      <x:c r="L601" s="37" t="n">
        <x:v>13036139.835159227</x:v>
      </x:c>
      <x:c r="M601" s="37" t="n">
        <x:v>0</x:v>
      </x:c>
      <x:c r="N601" s="37" t="n">
        <x:v>0</x:v>
      </x:c>
      <x:c r="O601" s="37" t="n">
        <x:v>679.9065703172237</x:v>
      </x:c>
      <x:c r="P601" s="37" t="n">
        <x:v>0</x:v>
      </x:c>
      <x:c r="Q601" s="37" t="n">
        <x:v>0</x:v>
      </x:c>
      <x:c r="R601" s="37" t="n">
        <x:v>0</x:v>
      </x:c>
      <x:c r="S601" s="37" t="n">
        <x:v>0</x:v>
      </x:c>
      <x:c r="T601" s="37" t="n">
        <x:v>0</x:v>
      </x:c>
      <x:c r="U601" s="37" t="n">
        <x:v>-1868.6910087944125</x:v>
      </x:c>
      <x:c r="V601" s="37" t="n">
        <x:v>0</x:v>
      </x:c>
      <x:c r="W601" s="37" t="n">
        <x:v>142414.2988081891</x:v>
      </x:c>
      <x:c r="X601" s="37" t="n">
        <x:v>0</x:v>
      </x:c>
      <x:c r="Y601" s="37" t="n">
        <x:v>2285.0034441034813</x:v>
      </x:c>
      <x:c r="Z601" s="37" t="n">
        <x:v>10495170.724429116</x:v>
      </x:c>
      <x:c r="AA601" s="37" t="n">
        <x:v>0</x:v>
      </x:c>
      <x:c r="AB601" s="37" t="n">
        <x:v>10495170.724429116</x:v>
      </x:c>
      <x:c r="AC601" s="37" t="n">
        <x:v>1913804.090402171</x:v>
      </x:c>
      <x:c r="AD601" s="37" t="n">
        <x:v>0</x:v>
      </x:c>
      <x:c r="AE601" s="37" t="n">
        <x:v>0</x:v>
      </x:c>
      <x:c r="AF601" s="47" t="b">
        <x:v>0</x:v>
      </x:c>
      <x:c r="AG601" s="47" t="b">
        <x:v>0</x:v>
      </x:c>
      <x:c r="AH601" s="48" t="n">
        <x:v>0</x:v>
      </x:c>
      <x:c r="AI601" s="48" t="n">
        <x:v>1.1920928955078125e-7</x:v>
      </x:c>
      <x:c r="AJ601" s="37" t="str">
        <x:v>passed</x:v>
      </x:c>
    </x:row>
    <x:row r="602" ht="21" customHeight="1">
      <x:c r="A602" s="2"/>
      <x:c r="B602" s="2"/>
      <x:c r="C602" s="2" t="str">
        <x:v>2022</x:v>
      </x:c>
      <x:c r="D602" s="5" t="n">
        <x:v>44778</x:v>
      </x:c>
      <x:c r="E602" s="2" t="str">
        <x:v>constrained</x:v>
      </x:c>
      <x:c r="F602" s="37" t="n">
        <x:v>13151501.511425799</x:v>
      </x:c>
      <x:c r="G602" s="37" t="n">
        <x:v>-48586.371862471504</x:v>
      </x:c>
      <x:c r="H602" s="37" t="n">
        <x:v>20540.05216847906</x:v>
      </x:c>
      <x:c r="I602" s="37" t="n">
        <x:v>-69126.42403095055</x:v>
      </x:c>
      <x:c r="J602" s="37" t="n">
        <x:v>10918802.451011518</x:v>
      </x:c>
      <x:c r="K602" s="37" t="n">
        <x:v>10967388.822873991</x:v>
      </x:c>
      <x:c r="L602" s="37" t="n">
        <x:v>13102915.139563328</x:v>
      </x:c>
      <x:c r="M602" s="37" t="n">
        <x:v>0</x:v>
      </x:c>
      <x:c r="N602" s="37" t="n">
        <x:v>0</x:v>
      </x:c>
      <x:c r="O602" s="37" t="n">
        <x:v>720.5907353833318</x:v>
      </x:c>
      <x:c r="P602" s="37" t="n">
        <x:v>0</x:v>
      </x:c>
      <x:c r="Q602" s="37" t="n">
        <x:v>0</x:v>
      </x:c>
      <x:c r="R602" s="37" t="n">
        <x:v>0</x:v>
      </x:c>
      <x:c r="S602" s="37" t="n">
        <x:v>0</x:v>
      </x:c>
      <x:c r="T602" s="37" t="n">
        <x:v>0</x:v>
      </x:c>
      <x:c r="U602" s="37" t="n">
        <x:v>-6729.4488397945315</x:v>
      </x:c>
      <x:c r="V602" s="37" t="n">
        <x:v>0</x:v>
      </x:c>
      <x:c r="W602" s="37" t="n">
        <x:v>153517.63430568576</x:v>
      </x:c>
      <x:c r="X602" s="37" t="n">
        <x:v>0</x:v>
      </x:c>
      <x:c r="Y602" s="37" t="n">
        <x:v>2382.4306640909576</x:v>
      </x:c>
      <x:c r="Z602" s="37" t="n">
        <x:v>11186736.59933147</x:v>
      </x:c>
      <x:c r="AA602" s="37" t="n">
        <x:v>0</x:v>
      </x:c>
      <x:c r="AB602" s="37" t="n">
        <x:v>11186736.59933147</x:v>
      </x:c>
      <x:c r="AC602" s="37" t="n">
        <x:v>1964764.9120943286</x:v>
      </x:c>
      <x:c r="AD602" s="37" t="n">
        <x:v>0</x:v>
      </x:c>
      <x:c r="AE602" s="37" t="n">
        <x:v>0</x:v>
      </x:c>
      <x:c r="AF602" s="47" t="b">
        <x:v>0</x:v>
      </x:c>
      <x:c r="AG602" s="47" t="b">
        <x:v>0</x:v>
      </x:c>
      <x:c r="AH602" s="48" t="n">
        <x:v>0</x:v>
      </x:c>
      <x:c r="AI602" s="48" t="n">
        <x:v>1.1920928955078125e-7</x:v>
      </x:c>
      <x:c r="AJ602" s="37" t="str">
        <x:v>passed</x:v>
      </x:c>
    </x:row>
    <x:row r="603" ht="21" customHeight="1">
      <x:c r="A603" s="2"/>
      <x:c r="B603" s="2"/>
      <x:c r="C603" s="2" t="str">
        <x:v>2022</x:v>
      </x:c>
      <x:c r="D603" s="5" t="n">
        <x:v>44781</x:v>
      </x:c>
      <x:c r="E603" s="2" t="str">
        <x:v>unhedged</x:v>
      </x:c>
      <x:c r="F603" s="37" t="n">
        <x:v>1277415.0620799244</x:v>
      </x:c>
      <x:c r="G603" s="37" t="n">
        <x:v>10943927.338810401</x:v>
      </x:c>
      <x:c r="H603" s="37" t="n">
        <x:v>50316.02810473217</x:v>
      </x:c>
      <x:c r="I603" s="37" t="n">
        <x:v>10893611.31070567</x:v>
      </x:c>
      <x:c r="J603" s="37" t="n">
        <x:v>10943927.338810401</x:v>
      </x:c>
      <x:c r="K603" s="37" t="n">
        <x:v>0</x:v>
      </x:c>
      <x:c r="L603" s="37" t="n">
        <x:v>12221342.400890326</x:v>
      </x:c>
      <x:c r="M603" s="37" t="n">
        <x:v>0</x:v>
      </x:c>
      <x:c r="N603" s="37" t="n">
        <x:v>0</x:v>
      </x:c>
      <x:c r="O603" s="37" t="n">
        <x:v>209.96302753547207</x:v>
      </x:c>
      <x:c r="P603" s="37" t="n">
        <x:v>0</x:v>
      </x:c>
      <x:c r="Q603" s="37" t="n">
        <x:v>0</x:v>
      </x:c>
      <x:c r="R603" s="37" t="n">
        <x:v>0</x:v>
      </x:c>
      <x:c r="S603" s="37" t="n">
        <x:v>0</x:v>
      </x:c>
      <x:c r="T603" s="37" t="n">
        <x:v>0</x:v>
      </x:c>
      <x:c r="U603" s="37" t="n">
        <x:v>63750</x:v>
      </x:c>
      <x:c r="V603" s="37" t="n">
        <x:v>0</x:v>
      </x:c>
      <x:c r="W603" s="37" t="n">
        <x:v>14839.78139665001</x:v>
      </x:c>
      <x:c r="X603" s="37" t="n">
        <x:v>0</x:v>
      </x:c>
      <x:c r="Y603" s="37" t="n">
        <x:v>1174.7193167256753</x:v>
      </x:c>
      <x:c r="Z603" s="37" t="n">
        <x:v>0</x:v>
      </x:c>
      <x:c r="AA603" s="37" t="n">
        <x:v>0</x:v>
      </x:c>
      <x:c r="AB603" s="37" t="n">
        <x:v>0</x:v>
      </x:c>
      <x:c r="AC603" s="37" t="n">
        <x:v>1277415.0620799244</x:v>
      </x:c>
      <x:c r="AD603" s="37" t="n">
        <x:v>0</x:v>
      </x:c>
      <x:c r="AE603" s="37" t="n">
        <x:v>0</x:v>
      </x:c>
      <x:c r="AF603" s="47" t="b">
        <x:v>0</x:v>
      </x:c>
      <x:c r="AG603" s="47" t="b">
        <x:v>0</x:v>
      </x:c>
      <x:c r="AH603" s="48" t="n">
        <x:v>0</x:v>
      </x:c>
      <x:c r="AI603" s="48" t="n">
        <x:v>1.1920928955078125e-7</x:v>
      </x:c>
      <x:c r="AJ603" s="37" t="str">
        <x:v>passed</x:v>
      </x:c>
    </x:row>
    <x:row r="604" ht="21" customHeight="1">
      <x:c r="A604" s="2"/>
      <x:c r="B604" s="2"/>
      <x:c r="C604" s="2" t="str">
        <x:v>2022</x:v>
      </x:c>
      <x:c r="D604" s="5" t="n">
        <x:v>44781</x:v>
      </x:c>
      <x:c r="E604" s="2" t="str">
        <x:v>duration</x:v>
      </x:c>
      <x:c r="F604" s="37" t="n">
        <x:v>9241369.333649365</x:v>
      </x:c>
      <x:c r="G604" s="37" t="n">
        <x:v>3719605.6835928233</x:v>
      </x:c>
      <x:c r="H604" s="37" t="n">
        <x:v>24448.624403503345</x:v>
      </x:c>
      <x:c r="I604" s="37" t="n">
        <x:v>3695157.05918932</x:v>
      </x:c>
      <x:c r="J604" s="37" t="n">
        <x:v>10943927.338810401</x:v>
      </x:c>
      <x:c r="K604" s="37" t="n">
        <x:v>7224321.655217578</x:v>
      </x:c>
      <x:c r="L604" s="37" t="n">
        <x:v>12960975.01724219</x:v>
      </x:c>
      <x:c r="M604" s="37" t="n">
        <x:v>0</x:v>
      </x:c>
      <x:c r="N604" s="37" t="n">
        <x:v>0</x:v>
      </x:c>
      <x:c r="O604" s="37" t="n">
        <x:v>1518.9627408217639</x:v>
      </x:c>
      <x:c r="P604" s="37" t="n">
        <x:v>0</x:v>
      </x:c>
      <x:c r="Q604" s="37" t="n">
        <x:v>0</x:v>
      </x:c>
      <x:c r="R604" s="37" t="n">
        <x:v>0</x:v>
      </x:c>
      <x:c r="S604" s="37" t="n">
        <x:v>0</x:v>
      </x:c>
      <x:c r="T604" s="37" t="n">
        <x:v>0</x:v>
      </x:c>
      <x:c r="U604" s="37" t="n">
        <x:v>6645.098252371114</x:v>
      </x:c>
      <x:c r="V604" s="37" t="n">
        <x:v>0</x:v>
      </x:c>
      <x:c r="W604" s="37" t="n">
        <x:v>110704.1538869217</x:v>
      </x:c>
      <x:c r="X604" s="37" t="n">
        <x:v>0</x:v>
      </x:c>
      <x:c r="Y604" s="37" t="n">
        <x:v>2004.1017498441065</x:v>
      </x:c>
      <x:c r="Z604" s="37" t="n">
        <x:v>7368808.08832193</x:v>
      </x:c>
      <x:c r="AA604" s="37" t="n">
        <x:v>0</x:v>
      </x:c>
      <x:c r="AB604" s="37" t="n">
        <x:v>7368808.08832193</x:v>
      </x:c>
      <x:c r="AC604" s="37" t="n">
        <x:v>1872561.2453274354</x:v>
      </x:c>
      <x:c r="AD604" s="37" t="n">
        <x:v>0</x:v>
      </x:c>
      <x:c r="AE604" s="37" t="n">
        <x:v>0</x:v>
      </x:c>
      <x:c r="AF604" s="47" t="b">
        <x:v>0</x:v>
      </x:c>
      <x:c r="AG604" s="47" t="b">
        <x:v>0</x:v>
      </x:c>
      <x:c r="AH604" s="48" t="n">
        <x:v>0</x:v>
      </x:c>
      <x:c r="AI604" s="48" t="n">
        <x:v>1.1920928955078125e-7</x:v>
      </x:c>
      <x:c r="AJ604" s="37" t="str">
        <x:v>passed</x:v>
      </x:c>
    </x:row>
    <x:row r="605" ht="21" customHeight="1">
      <x:c r="A605" s="2"/>
      <x:c r="B605" s="2"/>
      <x:c r="C605" s="2" t="str">
        <x:v>2022</x:v>
      </x:c>
      <x:c r="D605" s="5" t="n">
        <x:v>44781</x:v>
      </x:c>
      <x:c r="E605" s="2" t="str">
        <x:v>unweighted</x:v>
      </x:c>
      <x:c r="F605" s="37" t="n">
        <x:v>12411014.75808133</x:v>
      </x:c>
      <x:c r="G605" s="37" t="n">
        <x:v>629092.2077004856</x:v>
      </x:c>
      <x:c r="H605" s="37" t="n">
        <x:v>22111.047637438875</x:v>
      </x:c>
      <x:c r="I605" s="37" t="n">
        <x:v>606981.1600630467</x:v>
      </x:c>
      <x:c r="J605" s="37" t="n">
        <x:v>10954053.252566276</x:v>
      </x:c>
      <x:c r="K605" s="37" t="n">
        <x:v>10324961.04486579</x:v>
      </x:c>
      <x:c r="L605" s="37" t="n">
        <x:v>13040106.965781815</x:v>
      </x:c>
      <x:c r="M605" s="37" t="n">
        <x:v>0</x:v>
      </x:c>
      <x:c r="N605" s="37" t="n">
        <x:v>0</x:v>
      </x:c>
      <x:c r="O605" s="37" t="n">
        <x:v>2039.9432500433177</x:v>
      </x:c>
      <x:c r="P605" s="37" t="n">
        <x:v>0</x:v>
      </x:c>
      <x:c r="Q605" s="37" t="n">
        <x:v>0</x:v>
      </x:c>
      <x:c r="R605" s="37" t="n">
        <x:v>0</x:v>
      </x:c>
      <x:c r="S605" s="37" t="n">
        <x:v>0</x:v>
      </x:c>
      <x:c r="T605" s="37" t="n">
        <x:v>0</x:v>
      </x:c>
      <x:c r="U605" s="37" t="n">
        <x:v>-1868.6910087944125</x:v>
      </x:c>
      <x:c r="V605" s="37" t="n">
        <x:v>0</x:v>
      </x:c>
      <x:c r="W605" s="37" t="n">
        <x:v>144454.24205823243</x:v>
      </x:c>
      <x:c r="X605" s="37" t="n">
        <x:v>0</x:v>
      </x:c>
      <x:c r="Y605" s="37" t="n">
        <x:v>2285.0034441034813</x:v>
      </x:c>
      <x:c r="Z605" s="37" t="n">
        <x:v>10531460.265763106</x:v>
      </x:c>
      <x:c r="AA605" s="37" t="n">
        <x:v>0</x:v>
      </x:c>
      <x:c r="AB605" s="37" t="n">
        <x:v>10531460.265763106</x:v>
      </x:c>
      <x:c r="AC605" s="37" t="n">
        <x:v>1879554.4923182242</x:v>
      </x:c>
      <x:c r="AD605" s="37" t="n">
        <x:v>0</x:v>
      </x:c>
      <x:c r="AE605" s="37" t="n">
        <x:v>0</x:v>
      </x:c>
      <x:c r="AF605" s="47" t="b">
        <x:v>0</x:v>
      </x:c>
      <x:c r="AG605" s="47" t="b">
        <x:v>0</x:v>
      </x:c>
      <x:c r="AH605" s="48" t="n">
        <x:v>0</x:v>
      </x:c>
      <x:c r="AI605" s="48" t="n">
        <x:v>1.1920928955078125e-7</x:v>
      </x:c>
      <x:c r="AJ605" s="37" t="str">
        <x:v>passed</x:v>
      </x:c>
    </x:row>
    <x:row r="606" ht="21" customHeight="1">
      <x:c r="A606" s="2"/>
      <x:c r="B606" s="2"/>
      <x:c r="C606" s="2" t="str">
        <x:v>2022</x:v>
      </x:c>
      <x:c r="D606" s="5" t="n">
        <x:v>44781</x:v>
      </x:c>
      <x:c r="E606" s="2" t="str">
        <x:v>constrained</x:v>
      </x:c>
      <x:c r="F606" s="37" t="n">
        <x:v>13153663.520547139</x:v>
      </x:c>
      <x:c r="G606" s="37" t="n">
        <x:v>-48503.823068324775</x:v>
      </x:c>
      <x:c r="H606" s="37" t="n">
        <x:v>20436.650976308378</x:v>
      </x:c>
      <x:c r="I606" s="37" t="n">
        <x:v>-68940.47404463316</x:v>
      </x:c>
      <x:c r="J606" s="37" t="n">
        <x:v>10956331.026364135</x:v>
      </x:c>
      <x:c r="K606" s="37" t="n">
        <x:v>11004834.84943246</x:v>
      </x:c>
      <x:c r="L606" s="37" t="n">
        <x:v>13105159.697478814</x:v>
      </x:c>
      <x:c r="M606" s="37" t="n">
        <x:v>0</x:v>
      </x:c>
      <x:c r="N606" s="37" t="n">
        <x:v>0</x:v>
      </x:c>
      <x:c r="O606" s="37" t="n">
        <x:v>2162.009121339768</x:v>
      </x:c>
      <x:c r="P606" s="37" t="n">
        <x:v>0</x:v>
      </x:c>
      <x:c r="Q606" s="37" t="n">
        <x:v>0</x:v>
      </x:c>
      <x:c r="R606" s="37" t="n">
        <x:v>0</x:v>
      </x:c>
      <x:c r="S606" s="37" t="n">
        <x:v>0</x:v>
      </x:c>
      <x:c r="T606" s="37" t="n">
        <x:v>0</x:v>
      </x:c>
      <x:c r="U606" s="37" t="n">
        <x:v>-6729.4488397945315</x:v>
      </x:c>
      <x:c r="V606" s="37" t="n">
        <x:v>0</x:v>
      </x:c>
      <x:c r="W606" s="37" t="n">
        <x:v>155679.64342702553</x:v>
      </x:c>
      <x:c r="X606" s="37" t="n">
        <x:v>0</x:v>
      </x:c>
      <x:c r="Y606" s="37" t="n">
        <x:v>2382.4306640909576</x:v>
      </x:c>
      <x:c r="Z606" s="37" t="n">
        <x:v>11224931.546421109</x:v>
      </x:c>
      <x:c r="AA606" s="37" t="n">
        <x:v>0</x:v>
      </x:c>
      <x:c r="AB606" s="37" t="n">
        <x:v>11224931.546421109</x:v>
      </x:c>
      <x:c r="AC606" s="37" t="n">
        <x:v>1928731.9741260298</x:v>
      </x:c>
      <x:c r="AD606" s="37" t="n">
        <x:v>0</x:v>
      </x:c>
      <x:c r="AE606" s="37" t="n">
        <x:v>0</x:v>
      </x:c>
      <x:c r="AF606" s="47" t="b">
        <x:v>0</x:v>
      </x:c>
      <x:c r="AG606" s="47" t="b">
        <x:v>0</x:v>
      </x:c>
      <x:c r="AH606" s="48" t="n">
        <x:v>0</x:v>
      </x:c>
      <x:c r="AI606" s="48" t="n">
        <x:v>1.1920928955078125e-7</x:v>
      </x:c>
      <x:c r="AJ606" s="37" t="str">
        <x:v>passed</x:v>
      </x:c>
    </x:row>
    <x:row r="607" ht="21" customHeight="1">
      <x:c r="A607" s="2"/>
      <x:c r="B607" s="2"/>
      <x:c r="C607" s="2" t="str">
        <x:v>2022</x:v>
      </x:c>
      <x:c r="D607" s="5" t="n">
        <x:v>44782</x:v>
      </x:c>
      <x:c r="E607" s="2" t="str">
        <x:v>unhedged</x:v>
      </x:c>
      <x:c r="F607" s="37" t="n">
        <x:v>1277485.0574257919</x:v>
      </x:c>
      <x:c r="G607" s="37" t="n">
        <x:v>10921407.165835576</x:v>
      </x:c>
      <x:c r="H607" s="37" t="n">
        <x:v>50665.87346865242</x:v>
      </x:c>
      <x:c r="I607" s="37" t="n">
        <x:v>10870741.292366924</x:v>
      </x:c>
      <x:c r="J607" s="37" t="n">
        <x:v>10921407.165835576</x:v>
      </x:c>
      <x:c r="K607" s="37" t="n">
        <x:v>0</x:v>
      </x:c>
      <x:c r="L607" s="37" t="n">
        <x:v>12198892.223261368</x:v>
      </x:c>
      <x:c r="M607" s="37" t="n">
        <x:v>0</x:v>
      </x:c>
      <x:c r="N607" s="37" t="n">
        <x:v>0</x:v>
      </x:c>
      <x:c r="O607" s="37" t="n">
        <x:v>69.99534586747177</x:v>
      </x:c>
      <x:c r="P607" s="37" t="n">
        <x:v>0</x:v>
      </x:c>
      <x:c r="Q607" s="37" t="n">
        <x:v>0</x:v>
      </x:c>
      <x:c r="R607" s="37" t="n">
        <x:v>0</x:v>
      </x:c>
      <x:c r="S607" s="37" t="n">
        <x:v>0</x:v>
      </x:c>
      <x:c r="T607" s="37" t="n">
        <x:v>0</x:v>
      </x:c>
      <x:c r="U607" s="37" t="n">
        <x:v>63750</x:v>
      </x:c>
      <x:c r="V607" s="37" t="n">
        <x:v>0</x:v>
      </x:c>
      <x:c r="W607" s="37" t="n">
        <x:v>14909.776742517482</x:v>
      </x:c>
      <x:c r="X607" s="37" t="n">
        <x:v>0</x:v>
      </x:c>
      <x:c r="Y607" s="37" t="n">
        <x:v>1174.7193167256753</x:v>
      </x:c>
      <x:c r="Z607" s="37" t="n">
        <x:v>0</x:v>
      </x:c>
      <x:c r="AA607" s="37" t="n">
        <x:v>0</x:v>
      </x:c>
      <x:c r="AB607" s="37" t="n">
        <x:v>0</x:v>
      </x:c>
      <x:c r="AC607" s="37" t="n">
        <x:v>1277485.0574257919</x:v>
      </x:c>
      <x:c r="AD607" s="37" t="n">
        <x:v>0</x:v>
      </x:c>
      <x:c r="AE607" s="37" t="n">
        <x:v>0</x:v>
      </x:c>
      <x:c r="AF607" s="47" t="b">
        <x:v>0</x:v>
      </x:c>
      <x:c r="AG607" s="47" t="b">
        <x:v>0</x:v>
      </x:c>
      <x:c r="AH607" s="48" t="n">
        <x:v>0</x:v>
      </x:c>
      <x:c r="AI607" s="48" t="n">
        <x:v>1.1920928955078125e-7</x:v>
      </x:c>
      <x:c r="AJ607" s="37" t="str">
        <x:v>passed</x:v>
      </x:c>
    </x:row>
    <x:row r="608" ht="21" customHeight="1">
      <x:c r="A608" s="2"/>
      <x:c r="B608" s="2"/>
      <x:c r="C608" s="2" t="str">
        <x:v>2022</x:v>
      </x:c>
      <x:c r="D608" s="5" t="n">
        <x:v>44782</x:v>
      </x:c>
      <x:c r="E608" s="2" t="str">
        <x:v>duration</x:v>
      </x:c>
      <x:c r="F608" s="37" t="n">
        <x:v>9241875.71005121</x:v>
      </x:c>
      <x:c r="G608" s="37" t="n">
        <x:v>3714414.6569758607</x:v>
      </x:c>
      <x:c r="H608" s="37" t="n">
        <x:v>24494.147370938543</x:v>
      </x:c>
      <x:c r="I608" s="37" t="n">
        <x:v>3689920.509604922</x:v>
      </x:c>
      <x:c r="J608" s="37" t="n">
        <x:v>10921407.165835576</x:v>
      </x:c>
      <x:c r="K608" s="37" t="n">
        <x:v>7206992.508859715</x:v>
      </x:c>
      <x:c r="L608" s="37" t="n">
        <x:v>12956290.36702707</x:v>
      </x:c>
      <x:c r="M608" s="37" t="n">
        <x:v>0</x:v>
      </x:c>
      <x:c r="N608" s="37" t="n">
        <x:v>0</x:v>
      </x:c>
      <x:c r="O608" s="37" t="n">
        <x:v>506.37640184536576</x:v>
      </x:c>
      <x:c r="P608" s="37" t="n">
        <x:v>0</x:v>
      </x:c>
      <x:c r="Q608" s="37" t="n">
        <x:v>0</x:v>
      </x:c>
      <x:c r="R608" s="37" t="n">
        <x:v>0</x:v>
      </x:c>
      <x:c r="S608" s="37" t="n">
        <x:v>0</x:v>
      </x:c>
      <x:c r="T608" s="37" t="n">
        <x:v>0</x:v>
      </x:c>
      <x:c r="U608" s="37" t="n">
        <x:v>6645.098252371114</x:v>
      </x:c>
      <x:c r="V608" s="37" t="n">
        <x:v>0</x:v>
      </x:c>
      <x:c r="W608" s="37" t="n">
        <x:v>111210.53028876707</x:v>
      </x:c>
      <x:c r="X608" s="37" t="n">
        <x:v>0</x:v>
      </x:c>
      <x:c r="Y608" s="37" t="n">
        <x:v>2004.1017498441065</x:v>
      </x:c>
      <x:c r="Z608" s="37" t="n">
        <x:v>7351132.359036909</x:v>
      </x:c>
      <x:c r="AA608" s="37" t="n">
        <x:v>0</x:v>
      </x:c>
      <x:c r="AB608" s="37" t="n">
        <x:v>7351132.359036909</x:v>
      </x:c>
      <x:c r="AC608" s="37" t="n">
        <x:v>1890743.3510143012</x:v>
      </x:c>
      <x:c r="AD608" s="37" t="n">
        <x:v>0</x:v>
      </x:c>
      <x:c r="AE608" s="37" t="n">
        <x:v>0</x:v>
      </x:c>
      <x:c r="AF608" s="47" t="b">
        <x:v>0</x:v>
      </x:c>
      <x:c r="AG608" s="47" t="b">
        <x:v>0</x:v>
      </x:c>
      <x:c r="AH608" s="48" t="n">
        <x:v>0</x:v>
      </x:c>
      <x:c r="AI608" s="48" t="n">
        <x:v>1.1920928955078125e-7</x:v>
      </x:c>
      <x:c r="AJ608" s="37" t="str">
        <x:v>passed</x:v>
      </x:c>
    </x:row>
    <x:row r="609" ht="21" customHeight="1">
      <x:c r="A609" s="2"/>
      <x:c r="B609" s="2"/>
      <x:c r="C609" s="2" t="str">
        <x:v>2022</x:v>
      </x:c>
      <x:c r="D609" s="5" t="n">
        <x:v>44782</x:v>
      </x:c>
      <x:c r="E609" s="2" t="str">
        <x:v>unweighted</x:v>
      </x:c>
      <x:c r="F609" s="37" t="n">
        <x:v>12411694.813684512</x:v>
      </x:c>
      <x:c r="G609" s="37" t="n">
        <x:v>627580.5554179316</x:v>
      </x:c>
      <x:c r="H609" s="37" t="n">
        <x:v>22099.31670192265</x:v>
      </x:c>
      <x:c r="I609" s="37" t="n">
        <x:v>605481.238716009</x:v>
      </x:c>
      <x:c r="J609" s="37" t="n">
        <x:v>10931512.181187592</x:v>
      </x:c>
      <x:c r="K609" s="37" t="n">
        <x:v>10303931.625769662</x:v>
      </x:c>
      <x:c r="L609" s="37" t="n">
        <x:v>13039275.369102444</x:v>
      </x:c>
      <x:c r="M609" s="37" t="n">
        <x:v>0</x:v>
      </x:c>
      <x:c r="N609" s="37" t="n">
        <x:v>0</x:v>
      </x:c>
      <x:c r="O609" s="37" t="n">
        <x:v>680.0556031819433</x:v>
      </x:c>
      <x:c r="P609" s="37" t="n">
        <x:v>0</x:v>
      </x:c>
      <x:c r="Q609" s="37" t="n">
        <x:v>0</x:v>
      </x:c>
      <x:c r="R609" s="37" t="n">
        <x:v>0</x:v>
      </x:c>
      <x:c r="S609" s="37" t="n">
        <x:v>0</x:v>
      </x:c>
      <x:c r="T609" s="37" t="n">
        <x:v>0</x:v>
      </x:c>
      <x:c r="U609" s="37" t="n">
        <x:v>-1868.6910087944125</x:v>
      </x:c>
      <x:c r="V609" s="37" t="n">
        <x:v>0</x:v>
      </x:c>
      <x:c r="W609" s="37" t="n">
        <x:v>145134.29766141437</x:v>
      </x:c>
      <x:c r="X609" s="37" t="n">
        <x:v>0</x:v>
      </x:c>
      <x:c r="Y609" s="37" t="n">
        <x:v>2285.0034441034813</x:v>
      </x:c>
      <x:c r="Z609" s="37" t="n">
        <x:v>10510010.258285055</x:v>
      </x:c>
      <x:c r="AA609" s="37" t="n">
        <x:v>0</x:v>
      </x:c>
      <x:c r="AB609" s="37" t="n">
        <x:v>10510010.258285055</x:v>
      </x:c>
      <x:c r="AC609" s="37" t="n">
        <x:v>1901684.555399457</x:v>
      </x:c>
      <x:c r="AD609" s="37" t="n">
        <x:v>0</x:v>
      </x:c>
      <x:c r="AE609" s="37" t="n">
        <x:v>0</x:v>
      </x:c>
      <x:c r="AF609" s="47" t="b">
        <x:v>0</x:v>
      </x:c>
      <x:c r="AG609" s="47" t="b">
        <x:v>0</x:v>
      </x:c>
      <x:c r="AH609" s="48" t="n">
        <x:v>0</x:v>
      </x:c>
      <x:c r="AI609" s="48" t="n">
        <x:v>1.1920928955078125e-7</x:v>
      </x:c>
      <x:c r="AJ609" s="37" t="str">
        <x:v>passed</x:v>
      </x:c>
    </x:row>
    <x:row r="610" ht="21" customHeight="1">
      <x:c r="A610" s="2"/>
      <x:c r="B610" s="2"/>
      <x:c r="C610" s="2" t="str">
        <x:v>2022</x:v>
      </x:c>
      <x:c r="D610" s="5" t="n">
        <x:v>44782</x:v>
      </x:c>
      <x:c r="E610" s="2" t="str">
        <x:v>constrained</x:v>
      </x:c>
      <x:c r="F610" s="37" t="n">
        <x:v>13154384.269233197</x:v>
      </x:c>
      <x:c r="G610" s="37" t="n">
        <x:v>-48647.31275881748</x:v>
      </x:c>
      <x:c r="H610" s="37" t="n">
        <x:v>20402.18391225148</x:v>
      </x:c>
      <x:c r="I610" s="37" t="n">
        <x:v>-69049.49667106896</x:v>
      </x:c>
      <x:c r="J610" s="37" t="n">
        <x:v>10933785.253993733</x:v>
      </x:c>
      <x:c r="K610" s="37" t="n">
        <x:v>10982432.56675255</x:v>
      </x:c>
      <x:c r="L610" s="37" t="n">
        <x:v>13105736.956474379</x:v>
      </x:c>
      <x:c r="M610" s="37" t="n">
        <x:v>0</x:v>
      </x:c>
      <x:c r="N610" s="37" t="n">
        <x:v>0</x:v>
      </x:c>
      <x:c r="O610" s="37" t="n">
        <x:v>720.7486860584468</x:v>
      </x:c>
      <x:c r="P610" s="37" t="n">
        <x:v>0</x:v>
      </x:c>
      <x:c r="Q610" s="37" t="n">
        <x:v>0</x:v>
      </x:c>
      <x:c r="R610" s="37" t="n">
        <x:v>0</x:v>
      </x:c>
      <x:c r="S610" s="37" t="n">
        <x:v>0</x:v>
      </x:c>
      <x:c r="T610" s="37" t="n">
        <x:v>0</x:v>
      </x:c>
      <x:c r="U610" s="37" t="n">
        <x:v>-6729.4488397945315</x:v>
      </x:c>
      <x:c r="V610" s="37" t="n">
        <x:v>0</x:v>
      </x:c>
      <x:c r="W610" s="37" t="n">
        <x:v>156400.39211308397</x:v>
      </x:c>
      <x:c r="X610" s="37" t="n">
        <x:v>0</x:v>
      </x:c>
      <x:c r="Y610" s="37" t="n">
        <x:v>2382.4306640909576</x:v>
      </x:c>
      <x:c r="Z610" s="37" t="n">
        <x:v>11202081.2180876</x:v>
      </x:c>
      <x:c r="AA610" s="37" t="n">
        <x:v>0</x:v>
      </x:c>
      <x:c r="AB610" s="37" t="n">
        <x:v>11202081.2180876</x:v>
      </x:c>
      <x:c r="AC610" s="37" t="n">
        <x:v>1952303.0511455964</x:v>
      </x:c>
      <x:c r="AD610" s="37" t="n">
        <x:v>0</x:v>
      </x:c>
      <x:c r="AE610" s="37" t="n">
        <x:v>0</x:v>
      </x:c>
      <x:c r="AF610" s="47" t="b">
        <x:v>0</x:v>
      </x:c>
      <x:c r="AG610" s="47" t="b">
        <x:v>0</x:v>
      </x:c>
      <x:c r="AH610" s="48" t="n">
        <x:v>0</x:v>
      </x:c>
      <x:c r="AI610" s="48" t="n">
        <x:v>1.1920928955078125e-7</x:v>
      </x:c>
      <x:c r="AJ610" s="37" t="str">
        <x:v>passed</x:v>
      </x:c>
    </x:row>
    <x:row r="611" ht="21" customHeight="1">
      <x:c r="A611" s="2"/>
      <x:c r="B611" s="2"/>
      <x:c r="C611" s="2" t="str">
        <x:v>2022</x:v>
      </x:c>
      <x:c r="D611" s="5" t="n">
        <x:v>44783</x:v>
      </x:c>
      <x:c r="E611" s="2" t="str">
        <x:v>unhedged</x:v>
      </x:c>
      <x:c r="F611" s="37" t="n">
        <x:v>1277555.0566070208</x:v>
      </x:c>
      <x:c r="G611" s="37" t="n">
        <x:v>10934717.703107968</x:v>
      </x:c>
      <x:c r="H611" s="37" t="n">
        <x:v>51015.71883257266</x:v>
      </x:c>
      <x:c r="I611" s="37" t="n">
        <x:v>10883701.984275395</x:v>
      </x:c>
      <x:c r="J611" s="37" t="n">
        <x:v>10934717.703107968</x:v>
      </x:c>
      <x:c r="K611" s="37" t="n">
        <x:v>0</x:v>
      </x:c>
      <x:c r="L611" s="37" t="n">
        <x:v>12212272.759714989</x:v>
      </x:c>
      <x:c r="M611" s="37" t="n">
        <x:v>0</x:v>
      </x:c>
      <x:c r="N611" s="37" t="n">
        <x:v>0</x:v>
      </x:c>
      <x:c r="O611" s="37" t="n">
        <x:v>69.99918122892268</x:v>
      </x:c>
      <x:c r="P611" s="37" t="n">
        <x:v>0</x:v>
      </x:c>
      <x:c r="Q611" s="37" t="n">
        <x:v>0</x:v>
      </x:c>
      <x:c r="R611" s="37" t="n">
        <x:v>0</x:v>
      </x:c>
      <x:c r="S611" s="37" t="n">
        <x:v>0</x:v>
      </x:c>
      <x:c r="T611" s="37" t="n">
        <x:v>0</x:v>
      </x:c>
      <x:c r="U611" s="37" t="n">
        <x:v>63750</x:v>
      </x:c>
      <x:c r="V611" s="37" t="n">
        <x:v>0</x:v>
      </x:c>
      <x:c r="W611" s="37" t="n">
        <x:v>14979.775923746405</x:v>
      </x:c>
      <x:c r="X611" s="37" t="n">
        <x:v>0</x:v>
      </x:c>
      <x:c r="Y611" s="37" t="n">
        <x:v>1174.7193167256753</x:v>
      </x:c>
      <x:c r="Z611" s="37" t="n">
        <x:v>0</x:v>
      </x:c>
      <x:c r="AA611" s="37" t="n">
        <x:v>0</x:v>
      </x:c>
      <x:c r="AB611" s="37" t="n">
        <x:v>0</x:v>
      </x:c>
      <x:c r="AC611" s="37" t="n">
        <x:v>1277555.0566070208</x:v>
      </x:c>
      <x:c r="AD611" s="37" t="n">
        <x:v>0</x:v>
      </x:c>
      <x:c r="AE611" s="37" t="n">
        <x:v>0</x:v>
      </x:c>
      <x:c r="AF611" s="47" t="b">
        <x:v>0</x:v>
      </x:c>
      <x:c r="AG611" s="47" t="b">
        <x:v>0</x:v>
      </x:c>
      <x:c r="AH611" s="48" t="n">
        <x:v>0</x:v>
      </x:c>
      <x:c r="AI611" s="48" t="n">
        <x:v>1.1920928955078125e-7</x:v>
      </x:c>
      <x:c r="AJ611" s="37" t="str">
        <x:v>passed</x:v>
      </x:c>
    </x:row>
    <x:row r="612" ht="21" customHeight="1">
      <x:c r="A612" s="2"/>
      <x:c r="B612" s="2"/>
      <x:c r="C612" s="2" t="str">
        <x:v>2022</x:v>
      </x:c>
      <x:c r="D612" s="5" t="n">
        <x:v>44783</x:v>
      </x:c>
      <x:c r="E612" s="2" t="str">
        <x:v>duration</x:v>
      </x:c>
      <x:c r="F612" s="37" t="n">
        <x:v>9242382.114199705</x:v>
      </x:c>
      <x:c r="G612" s="37" t="n">
        <x:v>3722624.436302472</x:v>
      </x:c>
      <x:c r="H612" s="37" t="n">
        <x:v>24539.670338373744</x:v>
      </x:c>
      <x:c r="I612" s="37" t="n">
        <x:v>3698084.7659640983</x:v>
      </x:c>
      <x:c r="J612" s="37" t="n">
        <x:v>10934717.703107968</x:v>
      </x:c>
      <x:c r="K612" s="37" t="n">
        <x:v>7212093.266805496</x:v>
      </x:c>
      <x:c r="L612" s="37" t="n">
        <x:v>12965006.550502177</x:v>
      </x:c>
      <x:c r="M612" s="37" t="n">
        <x:v>0</x:v>
      </x:c>
      <x:c r="N612" s="37" t="n">
        <x:v>0</x:v>
      </x:c>
      <x:c r="O612" s="37" t="n">
        <x:v>506.40414849482477</x:v>
      </x:c>
      <x:c r="P612" s="37" t="n">
        <x:v>0</x:v>
      </x:c>
      <x:c r="Q612" s="37" t="n">
        <x:v>0</x:v>
      </x:c>
      <x:c r="R612" s="37" t="n">
        <x:v>0</x:v>
      </x:c>
      <x:c r="S612" s="37" t="n">
        <x:v>0</x:v>
      </x:c>
      <x:c r="T612" s="37" t="n">
        <x:v>0</x:v>
      </x:c>
      <x:c r="U612" s="37" t="n">
        <x:v>6645.098252371114</x:v>
      </x:c>
      <x:c r="V612" s="37" t="n">
        <x:v>0</x:v>
      </x:c>
      <x:c r="W612" s="37" t="n">
        <x:v>111716.9344372619</x:v>
      </x:c>
      <x:c r="X612" s="37" t="n">
        <x:v>0</x:v>
      </x:c>
      <x:c r="Y612" s="37" t="n">
        <x:v>2004.1017498441065</x:v>
      </x:c>
      <x:c r="Z612" s="37" t="n">
        <x:v>7356335.132141606</x:v>
      </x:c>
      <x:c r="AA612" s="37" t="n">
        <x:v>0</x:v>
      </x:c>
      <x:c r="AB612" s="37" t="n">
        <x:v>7356335.132141606</x:v>
      </x:c>
      <x:c r="AC612" s="37" t="n">
        <x:v>1886046.9820580995</x:v>
      </x:c>
      <x:c r="AD612" s="37" t="n">
        <x:v>0</x:v>
      </x:c>
      <x:c r="AE612" s="37" t="n">
        <x:v>0</x:v>
      </x:c>
      <x:c r="AF612" s="47" t="b">
        <x:v>0</x:v>
      </x:c>
      <x:c r="AG612" s="47" t="b">
        <x:v>0</x:v>
      </x:c>
      <x:c r="AH612" s="48" t="n">
        <x:v>0</x:v>
      </x:c>
      <x:c r="AI612" s="48" t="n">
        <x:v>1.1920928955078125e-7</x:v>
      </x:c>
      <x:c r="AJ612" s="37" t="str">
        <x:v>passed</x:v>
      </x:c>
    </x:row>
    <x:row r="613" ht="21" customHeight="1">
      <x:c r="A613" s="2"/>
      <x:c r="B613" s="2"/>
      <x:c r="C613" s="2" t="str">
        <x:v>2022</x:v>
      </x:c>
      <x:c r="D613" s="5" t="n">
        <x:v>44783</x:v>
      </x:c>
      <x:c r="E613" s="2" t="str">
        <x:v>unweighted</x:v>
      </x:c>
      <x:c r="F613" s="37" t="n">
        <x:v>12412374.906551015</x:v>
      </x:c>
      <x:c r="G613" s="37" t="n">
        <x:v>628837.0539665722</x:v>
      </x:c>
      <x:c r="H613" s="37" t="n">
        <x:v>22087.58576640642</x:v>
      </x:c>
      <x:c r="I613" s="37" t="n">
        <x:v>606749.4682001658</x:v>
      </x:c>
      <x:c r="J613" s="37" t="n">
        <x:v>10944769.14077119</x:v>
      </x:c>
      <x:c r="K613" s="37" t="n">
        <x:v>10315932.086804617</x:v>
      </x:c>
      <x:c r="L613" s="37" t="n">
        <x:v>13041211.960517587</x:v>
      </x:c>
      <x:c r="M613" s="37" t="n">
        <x:v>0</x:v>
      </x:c>
      <x:c r="N613" s="37" t="n">
        <x:v>0</x:v>
      </x:c>
      <x:c r="O613" s="37" t="n">
        <x:v>680.0928665027022</x:v>
      </x:c>
      <x:c r="P613" s="37" t="n">
        <x:v>0</x:v>
      </x:c>
      <x:c r="Q613" s="37" t="n">
        <x:v>0</x:v>
      </x:c>
      <x:c r="R613" s="37" t="n">
        <x:v>0</x:v>
      </x:c>
      <x:c r="S613" s="37" t="n">
        <x:v>0</x:v>
      </x:c>
      <x:c r="T613" s="37" t="n">
        <x:v>0</x:v>
      </x:c>
      <x:c r="U613" s="37" t="n">
        <x:v>-1868.6910087944125</x:v>
      </x:c>
      <x:c r="V613" s="37" t="n">
        <x:v>0</x:v>
      </x:c>
      <x:c r="W613" s="37" t="n">
        <x:v>145814.39052791707</x:v>
      </x:c>
      <x:c r="X613" s="37" t="n">
        <x:v>0</x:v>
      </x:c>
      <x:c r="Y613" s="37" t="n">
        <x:v>2285.0034441034813</x:v>
      </x:c>
      <x:c r="Z613" s="37" t="n">
        <x:v>10522250.72854071</x:v>
      </x:c>
      <x:c r="AA613" s="37" t="n">
        <x:v>0</x:v>
      </x:c>
      <x:c r="AB613" s="37" t="n">
        <x:v>10522250.72854071</x:v>
      </x:c>
      <x:c r="AC613" s="37" t="n">
        <x:v>1890124.1780103054</x:v>
      </x:c>
      <x:c r="AD613" s="37" t="n">
        <x:v>0</x:v>
      </x:c>
      <x:c r="AE613" s="37" t="n">
        <x:v>0</x:v>
      </x:c>
      <x:c r="AF613" s="47" t="b">
        <x:v>0</x:v>
      </x:c>
      <x:c r="AG613" s="47" t="b">
        <x:v>0</x:v>
      </x:c>
      <x:c r="AH613" s="48" t="n">
        <x:v>0</x:v>
      </x:c>
      <x:c r="AI613" s="48" t="n">
        <x:v>1.1920928955078125e-7</x:v>
      </x:c>
      <x:c r="AJ613" s="37" t="str">
        <x:v>passed</x:v>
      </x:c>
    </x:row>
    <x:row r="614" ht="21" customHeight="1">
      <x:c r="A614" s="2"/>
      <x:c r="B614" s="2"/>
      <x:c r="C614" s="2" t="str">
        <x:v>2022</x:v>
      </x:c>
      <x:c r="D614" s="5" t="n">
        <x:v>44783</x:v>
      </x:c>
      <x:c r="E614" s="2" t="str">
        <x:v>constrained</x:v>
      </x:c>
      <x:c r="F614" s="37" t="n">
        <x:v>13155105.057412332</x:v>
      </x:c>
      <x:c r="G614" s="37" t="n">
        <x:v>-48371.93209773423</x:v>
      </x:c>
      <x:c r="H614" s="37" t="n">
        <x:v>20367.716848194577</x:v>
      </x:c>
      <x:c r="I614" s="37" t="n">
        <x:v>-68739.64894592881</x:v>
      </x:c>
      <x:c r="J614" s="37" t="n">
        <x:v>10947030.161543444</x:v>
      </x:c>
      <x:c r="K614" s="37" t="n">
        <x:v>10995402.093641179</x:v>
      </x:c>
      <x:c r="L614" s="37" t="n">
        <x:v>13106733.125314597</x:v>
      </x:c>
      <x:c r="M614" s="37" t="n">
        <x:v>0</x:v>
      </x:c>
      <x:c r="N614" s="37" t="n">
        <x:v>0</x:v>
      </x:c>
      <x:c r="O614" s="37" t="n">
        <x:v>720.78817913495</x:v>
      </x:c>
      <x:c r="P614" s="37" t="n">
        <x:v>0</x:v>
      </x:c>
      <x:c r="Q614" s="37" t="n">
        <x:v>0</x:v>
      </x:c>
      <x:c r="R614" s="37" t="n">
        <x:v>0</x:v>
      </x:c>
      <x:c r="S614" s="37" t="n">
        <x:v>0</x:v>
      </x:c>
      <x:c r="T614" s="37" t="n">
        <x:v>0</x:v>
      </x:c>
      <x:c r="U614" s="37" t="n">
        <x:v>-6729.4488397945315</x:v>
      </x:c>
      <x:c r="V614" s="37" t="n">
        <x:v>0</x:v>
      </x:c>
      <x:c r="W614" s="37" t="n">
        <x:v>157121.18029221892</x:v>
      </x:c>
      <x:c r="X614" s="37" t="n">
        <x:v>0</x:v>
      </x:c>
      <x:c r="Y614" s="37" t="n">
        <x:v>2382.4306640909576</x:v>
      </x:c>
      <x:c r="Z614" s="37" t="n">
        <x:v>11215310.135514002</x:v>
      </x:c>
      <x:c r="AA614" s="37" t="n">
        <x:v>0</x:v>
      </x:c>
      <x:c r="AB614" s="37" t="n">
        <x:v>11215310.135514002</x:v>
      </x:c>
      <x:c r="AC614" s="37" t="n">
        <x:v>1939794.9218983296</x:v>
      </x:c>
      <x:c r="AD614" s="37" t="n">
        <x:v>0</x:v>
      </x:c>
      <x:c r="AE614" s="37" t="n">
        <x:v>0</x:v>
      </x:c>
      <x:c r="AF614" s="47" t="b">
        <x:v>0</x:v>
      </x:c>
      <x:c r="AG614" s="47" t="b">
        <x:v>0</x:v>
      </x:c>
      <x:c r="AH614" s="48" t="n">
        <x:v>0</x:v>
      </x:c>
      <x:c r="AI614" s="48" t="n">
        <x:v>1.1920928955078125e-7</x:v>
      </x:c>
      <x:c r="AJ614" s="37" t="str">
        <x:v>passed</x:v>
      </x:c>
    </x:row>
    <x:row r="615" ht="21" customHeight="1">
      <x:c r="A615" s="2"/>
      <x:c r="B615" s="2"/>
      <x:c r="C615" s="2" t="str">
        <x:v>2022</x:v>
      </x:c>
      <x:c r="D615" s="5" t="n">
        <x:v>44784</x:v>
      </x:c>
      <x:c r="E615" s="2" t="str">
        <x:v>unhedged</x:v>
      </x:c>
      <x:c r="F615" s="37" t="n">
        <x:v>1277625.0596238212</x:v>
      </x:c>
      <x:c r="G615" s="37" t="n">
        <x:v>10890403.686350886</x:v>
      </x:c>
      <x:c r="H615" s="37" t="n">
        <x:v>51365.56419649291</x:v>
      </x:c>
      <x:c r="I615" s="37" t="n">
        <x:v>10839038.122154392</x:v>
      </x:c>
      <x:c r="J615" s="37" t="n">
        <x:v>10890403.686350886</x:v>
      </x:c>
      <x:c r="K615" s="37" t="n">
        <x:v>0</x:v>
      </x:c>
      <x:c r="L615" s="37" t="n">
        <x:v>12168028.745974706</x:v>
      </x:c>
      <x:c r="M615" s="37" t="n">
        <x:v>0</x:v>
      </x:c>
      <x:c r="N615" s="37" t="n">
        <x:v>0</x:v>
      </x:c>
      <x:c r="O615" s="37" t="n">
        <x:v>70.00301680038683</x:v>
      </x:c>
      <x:c r="P615" s="37" t="n">
        <x:v>0</x:v>
      </x:c>
      <x:c r="Q615" s="37" t="n">
        <x:v>0</x:v>
      </x:c>
      <x:c r="R615" s="37" t="n">
        <x:v>0</x:v>
      </x:c>
      <x:c r="S615" s="37" t="n">
        <x:v>0</x:v>
      </x:c>
      <x:c r="T615" s="37" t="n">
        <x:v>0</x:v>
      </x:c>
      <x:c r="U615" s="37" t="n">
        <x:v>63750</x:v>
      </x:c>
      <x:c r="V615" s="37" t="n">
        <x:v>0</x:v>
      </x:c>
      <x:c r="W615" s="37" t="n">
        <x:v>15049.778940546792</x:v>
      </x:c>
      <x:c r="X615" s="37" t="n">
        <x:v>0</x:v>
      </x:c>
      <x:c r="Y615" s="37" t="n">
        <x:v>1174.7193167256753</x:v>
      </x:c>
      <x:c r="Z615" s="37" t="n">
        <x:v>0</x:v>
      </x:c>
      <x:c r="AA615" s="37" t="n">
        <x:v>0</x:v>
      </x:c>
      <x:c r="AB615" s="37" t="n">
        <x:v>0</x:v>
      </x:c>
      <x:c r="AC615" s="37" t="n">
        <x:v>1277625.0596238212</x:v>
      </x:c>
      <x:c r="AD615" s="37" t="n">
        <x:v>0</x:v>
      </x:c>
      <x:c r="AE615" s="37" t="n">
        <x:v>0</x:v>
      </x:c>
      <x:c r="AF615" s="47" t="b">
        <x:v>0</x:v>
      </x:c>
      <x:c r="AG615" s="47" t="b">
        <x:v>0</x:v>
      </x:c>
      <x:c r="AH615" s="48" t="n">
        <x:v>0</x:v>
      </x:c>
      <x:c r="AI615" s="48" t="n">
        <x:v>1.1920928955078125e-7</x:v>
      </x:c>
      <x:c r="AJ615" s="37" t="str">
        <x:v>passed</x:v>
      </x:c>
    </x:row>
    <x:row r="616" ht="21" customHeight="1">
      <x:c r="A616" s="2"/>
      <x:c r="B616" s="2"/>
      <x:c r="C616" s="2" t="str">
        <x:v>2022</x:v>
      </x:c>
      <x:c r="D616" s="5" t="n">
        <x:v>44784</x:v>
      </x:c>
      <x:c r="E616" s="2" t="str">
        <x:v>duration</x:v>
      </x:c>
      <x:c r="F616" s="37" t="n">
        <x:v>9242888.546096375</x:v>
      </x:c>
      <x:c r="G616" s="37" t="n">
        <x:v>3733244.3775501596</x:v>
      </x:c>
      <x:c r="H616" s="37" t="n">
        <x:v>24585.19330580895</x:v>
      </x:c>
      <x:c r="I616" s="37" t="n">
        <x:v>3708659.1842443505</x:v>
      </x:c>
      <x:c r="J616" s="37" t="n">
        <x:v>10890403.686350886</x:v>
      </x:c>
      <x:c r="K616" s="37" t="n">
        <x:v>7157159.308800727</x:v>
      </x:c>
      <x:c r="L616" s="37" t="n">
        <x:v>12976132.923646536</x:v>
      </x:c>
      <x:c r="M616" s="37" t="n">
        <x:v>0</x:v>
      </x:c>
      <x:c r="N616" s="37" t="n">
        <x:v>0</x:v>
      </x:c>
      <x:c r="O616" s="37" t="n">
        <x:v>506.43189666979015</x:v>
      </x:c>
      <x:c r="P616" s="37" t="n">
        <x:v>0</x:v>
      </x:c>
      <x:c r="Q616" s="37" t="n">
        <x:v>0</x:v>
      </x:c>
      <x:c r="R616" s="37" t="n">
        <x:v>0</x:v>
      </x:c>
      <x:c r="S616" s="37" t="n">
        <x:v>0</x:v>
      </x:c>
      <x:c r="T616" s="37" t="n">
        <x:v>0</x:v>
      </x:c>
      <x:c r="U616" s="37" t="n">
        <x:v>6645.098252371114</x:v>
      </x:c>
      <x:c r="V616" s="37" t="n">
        <x:v>0</x:v>
      </x:c>
      <x:c r="W616" s="37" t="n">
        <x:v>112223.36633393168</x:v>
      </x:c>
      <x:c r="X616" s="37" t="n">
        <x:v>0</x:v>
      </x:c>
      <x:c r="Y616" s="37" t="n">
        <x:v>2004.1017498441065</x:v>
      </x:c>
      <x:c r="Z616" s="37" t="n">
        <x:v>7300302.494976742</x:v>
      </x:c>
      <x:c r="AA616" s="37" t="n">
        <x:v>0</x:v>
      </x:c>
      <x:c r="AB616" s="37" t="n">
        <x:v>7300302.494976742</x:v>
      </x:c>
      <x:c r="AC616" s="37" t="n">
        <x:v>1942586.051119633</x:v>
      </x:c>
      <x:c r="AD616" s="37" t="n">
        <x:v>0</x:v>
      </x:c>
      <x:c r="AE616" s="37" t="n">
        <x:v>0</x:v>
      </x:c>
      <x:c r="AF616" s="47" t="b">
        <x:v>0</x:v>
      </x:c>
      <x:c r="AG616" s="47" t="b">
        <x:v>0</x:v>
      </x:c>
      <x:c r="AH616" s="48" t="n">
        <x:v>0</x:v>
      </x:c>
      <x:c r="AI616" s="48" t="n">
        <x:v>1.1920928955078125e-7</x:v>
      </x:c>
      <x:c r="AJ616" s="37" t="str">
        <x:v>passed</x:v>
      </x:c>
    </x:row>
    <x:row r="617" ht="21" customHeight="1">
      <x:c r="A617" s="2"/>
      <x:c r="B617" s="2"/>
      <x:c r="C617" s="2" t="str">
        <x:v>2022</x:v>
      </x:c>
      <x:c r="D617" s="5" t="n">
        <x:v>44784</x:v>
      </x:c>
      <x:c r="E617" s="2" t="str">
        <x:v>unweighted</x:v>
      </x:c>
      <x:c r="F617" s="37" t="n">
        <x:v>12413055.036682883</x:v>
      </x:c>
      <x:c r="G617" s="37" t="n">
        <x:v>626732.658589182</x:v>
      </x:c>
      <x:c r="H617" s="37" t="n">
        <x:v>22075.8548308902</x:v>
      </x:c>
      <x:c r="I617" s="37" t="n">
        <x:v>604656.8037582918</x:v>
      </x:c>
      <x:c r="J617" s="37" t="n">
        <x:v>10900279.034341238</x:v>
      </x:c>
      <x:c r="K617" s="37" t="n">
        <x:v>10273546.375752056</x:v>
      </x:c>
      <x:c r="L617" s="37" t="n">
        <x:v>13039787.695272066</x:v>
      </x:c>
      <x:c r="M617" s="37" t="n">
        <x:v>0</x:v>
      </x:c>
      <x:c r="N617" s="37" t="n">
        <x:v>0</x:v>
      </x:c>
      <x:c r="O617" s="37" t="n">
        <x:v>680.1301318686455</x:v>
      </x:c>
      <x:c r="P617" s="37" t="n">
        <x:v>0</x:v>
      </x:c>
      <x:c r="Q617" s="37" t="n">
        <x:v>0</x:v>
      </x:c>
      <x:c r="R617" s="37" t="n">
        <x:v>0</x:v>
      </x:c>
      <x:c r="S617" s="37" t="n">
        <x:v>0</x:v>
      </x:c>
      <x:c r="T617" s="37" t="n">
        <x:v>0</x:v>
      </x:c>
      <x:c r="U617" s="37" t="n">
        <x:v>-1868.6910087944125</x:v>
      </x:c>
      <x:c r="V617" s="37" t="n">
        <x:v>0</x:v>
      </x:c>
      <x:c r="W617" s="37" t="n">
        <x:v>146494.52065978572</x:v>
      </x:c>
      <x:c r="X617" s="37" t="n">
        <x:v>0</x:v>
      </x:c>
      <x:c r="Y617" s="37" t="n">
        <x:v>2285.0034441034813</x:v>
      </x:c>
      <x:c r="Z617" s="37" t="n">
        <x:v>10479017.303267097</x:v>
      </x:c>
      <x:c r="AA617" s="37" t="n">
        <x:v>0</x:v>
      </x:c>
      <x:c r="AB617" s="37" t="n">
        <x:v>10479017.303267097</x:v>
      </x:c>
      <x:c r="AC617" s="37" t="n">
        <x:v>1934037.7334157862</x:v>
      </x:c>
      <x:c r="AD617" s="37" t="n">
        <x:v>0</x:v>
      </x:c>
      <x:c r="AE617" s="37" t="n">
        <x:v>0</x:v>
      </x:c>
      <x:c r="AF617" s="47" t="b">
        <x:v>0</x:v>
      </x:c>
      <x:c r="AG617" s="47" t="b">
        <x:v>0</x:v>
      </x:c>
      <x:c r="AH617" s="48" t="n">
        <x:v>0</x:v>
      </x:c>
      <x:c r="AI617" s="48" t="n">
        <x:v>1.1920928955078125e-7</x:v>
      </x:c>
      <x:c r="AJ617" s="37" t="str">
        <x:v>passed</x:v>
      </x:c>
    </x:row>
    <x:row r="618" ht="21" customHeight="1">
      <x:c r="A618" s="2"/>
      <x:c r="B618" s="2"/>
      <x:c r="C618" s="2" t="str">
        <x:v>2022</x:v>
      </x:c>
      <x:c r="D618" s="5" t="n">
        <x:v>44784</x:v>
      </x:c>
      <x:c r="E618" s="2" t="str">
        <x:v>constrained</x:v>
      </x:c>
      <x:c r="F618" s="37" t="n">
        <x:v>13155825.885086713</x:v>
      </x:c>
      <x:c r="G618" s="37" t="n">
        <x:v>-48645.55972525935</x:v>
      </x:c>
      <x:c r="H618" s="37" t="n">
        <x:v>20333.249784137683</x:v>
      </x:c>
      <x:c r="I618" s="37" t="n">
        <x:v>-68978.80950939703</x:v>
      </x:c>
      <x:c r="J618" s="37" t="n">
        <x:v>10902500.444619803</x:v>
      </x:c>
      <x:c r="K618" s="37" t="n">
        <x:v>10951146.004345061</x:v>
      </x:c>
      <x:c r="L618" s="37" t="n">
        <x:v>13107180.325361455</x:v>
      </x:c>
      <x:c r="M618" s="37" t="n">
        <x:v>0</x:v>
      </x:c>
      <x:c r="N618" s="37" t="n">
        <x:v>0</x:v>
      </x:c>
      <x:c r="O618" s="37" t="n">
        <x:v>720.8276743814349</x:v>
      </x:c>
      <x:c r="P618" s="37" t="n">
        <x:v>0</x:v>
      </x:c>
      <x:c r="Q618" s="37" t="n">
        <x:v>0</x:v>
      </x:c>
      <x:c r="R618" s="37" t="n">
        <x:v>0</x:v>
      </x:c>
      <x:c r="S618" s="37" t="n">
        <x:v>0</x:v>
      </x:c>
      <x:c r="T618" s="37" t="n">
        <x:v>0</x:v>
      </x:c>
      <x:c r="U618" s="37" t="n">
        <x:v>-6729.4488397945315</x:v>
      </x:c>
      <x:c r="V618" s="37" t="n">
        <x:v>0</x:v>
      </x:c>
      <x:c r="W618" s="37" t="n">
        <x:v>157842.00796660036</x:v>
      </x:c>
      <x:c r="X618" s="37" t="n">
        <x:v>0</x:v>
      </x:c>
      <x:c r="Y618" s="37" t="n">
        <x:v>2382.4306640909576</x:v>
      </x:c>
      <x:c r="Z618" s="37" t="n">
        <x:v>11170168.924431963</x:v>
      </x:c>
      <x:c r="AA618" s="37" t="n">
        <x:v>0</x:v>
      </x:c>
      <x:c r="AB618" s="37" t="n">
        <x:v>11170168.924431963</x:v>
      </x:c>
      <x:c r="AC618" s="37" t="n">
        <x:v>1985656.9606547505</x:v>
      </x:c>
      <x:c r="AD618" s="37" t="n">
        <x:v>0</x:v>
      </x:c>
      <x:c r="AE618" s="37" t="n">
        <x:v>0</x:v>
      </x:c>
      <x:c r="AF618" s="47" t="b">
        <x:v>0</x:v>
      </x:c>
      <x:c r="AG618" s="47" t="b">
        <x:v>0</x:v>
      </x:c>
      <x:c r="AH618" s="48" t="n">
        <x:v>0</x:v>
      </x:c>
      <x:c r="AI618" s="48" t="n">
        <x:v>1.1920928955078125e-7</x:v>
      </x:c>
      <x:c r="AJ618" s="37" t="str">
        <x:v>passed</x:v>
      </x:c>
    </x:row>
    <x:row r="619" ht="21" customHeight="1">
      <x:c r="A619" s="2"/>
      <x:c r="B619" s="2"/>
      <x:c r="C619" s="2" t="str">
        <x:v>2022</x:v>
      </x:c>
      <x:c r="D619" s="5" t="n">
        <x:v>44785</x:v>
      </x:c>
      <x:c r="E619" s="2" t="str">
        <x:v>unhedged</x:v>
      </x:c>
      <x:c r="F619" s="37" t="n">
        <x:v>1277695.0664764033</x:v>
      </x:c>
      <x:c r="G619" s="37" t="n">
        <x:v>10905592.990036504</x:v>
      </x:c>
      <x:c r="H619" s="37" t="n">
        <x:v>51715.409560413165</x:v>
      </x:c>
      <x:c r="I619" s="37" t="n">
        <x:v>10853877.58047609</x:v>
      </x:c>
      <x:c r="J619" s="37" t="n">
        <x:v>10905592.990036504</x:v>
      </x:c>
      <x:c r="K619" s="37" t="n">
        <x:v>0</x:v>
      </x:c>
      <x:c r="L619" s="37" t="n">
        <x:v>12183288.056512907</x:v>
      </x:c>
      <x:c r="M619" s="37" t="n">
        <x:v>0</x:v>
      </x:c>
      <x:c r="N619" s="37" t="n">
        <x:v>0</x:v>
      </x:c>
      <x:c r="O619" s="37" t="n">
        <x:v>70.00685258209705</x:v>
      </x:c>
      <x:c r="P619" s="37" t="n">
        <x:v>0</x:v>
      </x:c>
      <x:c r="Q619" s="37" t="n">
        <x:v>0</x:v>
      </x:c>
      <x:c r="R619" s="37" t="n">
        <x:v>0</x:v>
      </x:c>
      <x:c r="S619" s="37" t="n">
        <x:v>0</x:v>
      </x:c>
      <x:c r="T619" s="37" t="n">
        <x:v>0</x:v>
      </x:c>
      <x:c r="U619" s="37" t="n">
        <x:v>63750</x:v>
      </x:c>
      <x:c r="V619" s="37" t="n">
        <x:v>0</x:v>
      </x:c>
      <x:c r="W619" s="37" t="n">
        <x:v>15119.785793128889</x:v>
      </x:c>
      <x:c r="X619" s="37" t="n">
        <x:v>0</x:v>
      </x:c>
      <x:c r="Y619" s="37" t="n">
        <x:v>1174.7193167256753</x:v>
      </x:c>
      <x:c r="Z619" s="37" t="n">
        <x:v>0</x:v>
      </x:c>
      <x:c r="AA619" s="37" t="n">
        <x:v>0</x:v>
      </x:c>
      <x:c r="AB619" s="37" t="n">
        <x:v>0</x:v>
      </x:c>
      <x:c r="AC619" s="37" t="n">
        <x:v>1277695.0664764033</x:v>
      </x:c>
      <x:c r="AD619" s="37" t="n">
        <x:v>0</x:v>
      </x:c>
      <x:c r="AE619" s="37" t="n">
        <x:v>0</x:v>
      </x:c>
      <x:c r="AF619" s="47" t="b">
        <x:v>0</x:v>
      </x:c>
      <x:c r="AG619" s="47" t="b">
        <x:v>0</x:v>
      </x:c>
      <x:c r="AH619" s="48" t="n">
        <x:v>0</x:v>
      </x:c>
      <x:c r="AI619" s="48" t="n">
        <x:v>1.1920928955078125e-7</x:v>
      </x:c>
      <x:c r="AJ619" s="37" t="str">
        <x:v>passed</x:v>
      </x:c>
    </x:row>
    <x:row r="620" ht="21" customHeight="1">
      <x:c r="A620" s="2"/>
      <x:c r="B620" s="2"/>
      <x:c r="C620" s="2" t="str">
        <x:v>2022</x:v>
      </x:c>
      <x:c r="D620" s="5" t="n">
        <x:v>44785</x:v>
      </x:c>
      <x:c r="E620" s="2" t="str">
        <x:v>duration</x:v>
      </x:c>
      <x:c r="F620" s="37" t="n">
        <x:v>9243395.005742736</x:v>
      </x:c>
      <x:c r="G620" s="37" t="n">
        <x:v>3726757.7103932397</x:v>
      </x:c>
      <x:c r="H620" s="37" t="n">
        <x:v>24630.716273244154</x:v>
      </x:c>
      <x:c r="I620" s="37" t="n">
        <x:v>3702126.9941199957</x:v>
      </x:c>
      <x:c r="J620" s="37" t="n">
        <x:v>10905592.990036504</x:v>
      </x:c>
      <x:c r="K620" s="37" t="n">
        <x:v>7178835.279643265</x:v>
      </x:c>
      <x:c r="L620" s="37" t="n">
        <x:v>12970152.716135975</x:v>
      </x:c>
      <x:c r="M620" s="37" t="n">
        <x:v>0</x:v>
      </x:c>
      <x:c r="N620" s="37" t="n">
        <x:v>0</x:v>
      </x:c>
      <x:c r="O620" s="37" t="n">
        <x:v>506.4596463609487</x:v>
      </x:c>
      <x:c r="P620" s="37" t="n">
        <x:v>0</x:v>
      </x:c>
      <x:c r="Q620" s="37" t="n">
        <x:v>0</x:v>
      </x:c>
      <x:c r="R620" s="37" t="n">
        <x:v>0</x:v>
      </x:c>
      <x:c r="S620" s="37" t="n">
        <x:v>0</x:v>
      </x:c>
      <x:c r="T620" s="37" t="n">
        <x:v>0</x:v>
      </x:c>
      <x:c r="U620" s="37" t="n">
        <x:v>6645.098252371114</x:v>
      </x:c>
      <x:c r="V620" s="37" t="n">
        <x:v>0</x:v>
      </x:c>
      <x:c r="W620" s="37" t="n">
        <x:v>112729.82598029263</x:v>
      </x:c>
      <x:c r="X620" s="37" t="n">
        <x:v>0</x:v>
      </x:c>
      <x:c r="Y620" s="37" t="n">
        <x:v>2004.1017498441065</x:v>
      </x:c>
      <x:c r="Z620" s="37" t="n">
        <x:v>7322411.98523613</x:v>
      </x:c>
      <x:c r="AA620" s="37" t="n">
        <x:v>0</x:v>
      </x:c>
      <x:c r="AB620" s="37" t="n">
        <x:v>7322411.98523613</x:v>
      </x:c>
      <x:c r="AC620" s="37" t="n">
        <x:v>1920983.0205066064</x:v>
      </x:c>
      <x:c r="AD620" s="37" t="n">
        <x:v>0</x:v>
      </x:c>
      <x:c r="AE620" s="37" t="n">
        <x:v>0</x:v>
      </x:c>
      <x:c r="AF620" s="47" t="b">
        <x:v>0</x:v>
      </x:c>
      <x:c r="AG620" s="47" t="b">
        <x:v>0</x:v>
      </x:c>
      <x:c r="AH620" s="48" t="n">
        <x:v>0</x:v>
      </x:c>
      <x:c r="AI620" s="48" t="n">
        <x:v>1.1920928955078125e-7</x:v>
      </x:c>
      <x:c r="AJ620" s="37" t="str">
        <x:v>passed</x:v>
      </x:c>
    </x:row>
    <x:row r="621" ht="21" customHeight="1">
      <x:c r="A621" s="2"/>
      <x:c r="B621" s="2"/>
      <x:c r="C621" s="2" t="str">
        <x:v>2022</x:v>
      </x:c>
      <x:c r="D621" s="5" t="n">
        <x:v>44785</x:v>
      </x:c>
      <x:c r="E621" s="2" t="str">
        <x:v>unweighted</x:v>
      </x:c>
      <x:c r="F621" s="37" t="n">
        <x:v>12413735.204082152</x:v>
      </x:c>
      <x:c r="G621" s="37" t="n">
        <x:v>627483.169449999</x:v>
      </x:c>
      <x:c r="H621" s="37" t="n">
        <x:v>22064.12389537398</x:v>
      </x:c>
      <x:c r="I621" s="37" t="n">
        <x:v>605419.045554625</x:v>
      </x:c>
      <x:c r="J621" s="37" t="n">
        <x:v>10915524.80383218</x:v>
      </x:c>
      <x:c r="K621" s="37" t="n">
        <x:v>10288041.63438218</x:v>
      </x:c>
      <x:c r="L621" s="37" t="n">
        <x:v>13041218.37353215</x:v>
      </x:c>
      <x:c r="M621" s="37" t="n">
        <x:v>0</x:v>
      </x:c>
      <x:c r="N621" s="37" t="n">
        <x:v>0</x:v>
      </x:c>
      <x:c r="O621" s="37" t="n">
        <x:v>680.1673992685974</x:v>
      </x:c>
      <x:c r="P621" s="37" t="n">
        <x:v>0</x:v>
      </x:c>
      <x:c r="Q621" s="37" t="n">
        <x:v>0</x:v>
      </x:c>
      <x:c r="R621" s="37" t="n">
        <x:v>0</x:v>
      </x:c>
      <x:c r="S621" s="37" t="n">
        <x:v>0</x:v>
      </x:c>
      <x:c r="T621" s="37" t="n">
        <x:v>0</x:v>
      </x:c>
      <x:c r="U621" s="37" t="n">
        <x:v>-1868.6910087944125</x:v>
      </x:c>
      <x:c r="V621" s="37" t="n">
        <x:v>0</x:v>
      </x:c>
      <x:c r="W621" s="37" t="n">
        <x:v>147174.68805905432</x:v>
      </x:c>
      <x:c r="X621" s="37" t="n">
        <x:v>0</x:v>
      </x:c>
      <x:c r="Y621" s="37" t="n">
        <x:v>2285.0034441034813</x:v>
      </x:c>
      <x:c r="Z621" s="37" t="n">
        <x:v>10493802.467069825</x:v>
      </x:c>
      <x:c r="AA621" s="37" t="n">
        <x:v>0</x:v>
      </x:c>
      <x:c r="AB621" s="37" t="n">
        <x:v>10493802.467069825</x:v>
      </x:c>
      <x:c r="AC621" s="37" t="n">
        <x:v>1919932.7370123267</x:v>
      </x:c>
      <x:c r="AD621" s="37" t="n">
        <x:v>0</x:v>
      </x:c>
      <x:c r="AE621" s="37" t="n">
        <x:v>0</x:v>
      </x:c>
      <x:c r="AF621" s="47" t="b">
        <x:v>0</x:v>
      </x:c>
      <x:c r="AG621" s="47" t="b">
        <x:v>0</x:v>
      </x:c>
      <x:c r="AH621" s="48" t="n">
        <x:v>0</x:v>
      </x:c>
      <x:c r="AI621" s="48" t="n">
        <x:v>1.1920928955078125e-7</x:v>
      </x:c>
      <x:c r="AJ621" s="37" t="str">
        <x:v>passed</x:v>
      </x:c>
    </x:row>
    <x:row r="622" ht="21" customHeight="1">
      <x:c r="A622" s="2"/>
      <x:c r="B622" s="2"/>
      <x:c r="C622" s="2" t="str">
        <x:v>2022</x:v>
      </x:c>
      <x:c r="D622" s="5" t="n">
        <x:v>44785</x:v>
      </x:c>
      <x:c r="E622" s="2" t="str">
        <x:v>constrained</x:v>
      </x:c>
      <x:c r="F622" s="37" t="n">
        <x:v>13156546.752258498</x:v>
      </x:c>
      <x:c r="G622" s="37" t="n">
        <x:v>-48371.74812260365</x:v>
      </x:c>
      <x:c r="H622" s="37" t="n">
        <x:v>20298.782720080788</x:v>
      </x:c>
      <x:c r="I622" s="37" t="n">
        <x:v>-68670.53084268444</x:v>
      </x:c>
      <x:c r="J622" s="37" t="n">
        <x:v>10917758.915812038</x:v>
      </x:c>
      <x:c r="K622" s="37" t="n">
        <x:v>10966130.663934642</x:v>
      </x:c>
      <x:c r="L622" s="37" t="n">
        <x:v>13108175.004135894</x:v>
      </x:c>
      <x:c r="M622" s="37" t="n">
        <x:v>0</x:v>
      </x:c>
      <x:c r="N622" s="37" t="n">
        <x:v>0</x:v>
      </x:c>
      <x:c r="O622" s="37" t="n">
        <x:v>720.8671717848629</x:v>
      </x:c>
      <x:c r="P622" s="37" t="n">
        <x:v>0</x:v>
      </x:c>
      <x:c r="Q622" s="37" t="n">
        <x:v>0</x:v>
      </x:c>
      <x:c r="R622" s="37" t="n">
        <x:v>0</x:v>
      </x:c>
      <x:c r="S622" s="37" t="n">
        <x:v>0</x:v>
      </x:c>
      <x:c r="T622" s="37" t="n">
        <x:v>0</x:v>
      </x:c>
      <x:c r="U622" s="37" t="n">
        <x:v>-6729.4488397945315</x:v>
      </x:c>
      <x:c r="V622" s="37" t="n">
        <x:v>0</x:v>
      </x:c>
      <x:c r="W622" s="37" t="n">
        <x:v>158562.87513838522</x:v>
      </x:c>
      <x:c r="X622" s="37" t="n">
        <x:v>0</x:v>
      </x:c>
      <x:c r="Y622" s="37" t="n">
        <x:v>2382.4306640909576</x:v>
      </x:c>
      <x:c r="Z622" s="37" t="n">
        <x:v>11185453.277213335</x:v>
      </x:c>
      <x:c r="AA622" s="37" t="n">
        <x:v>0</x:v>
      </x:c>
      <x:c r="AB622" s="37" t="n">
        <x:v>11185453.277213335</x:v>
      </x:c>
      <x:c r="AC622" s="37" t="n">
        <x:v>1971093.4750451632</x:v>
      </x:c>
      <x:c r="AD622" s="37" t="n">
        <x:v>0</x:v>
      </x:c>
      <x:c r="AE622" s="37" t="n">
        <x:v>0</x:v>
      </x:c>
      <x:c r="AF622" s="47" t="b">
        <x:v>0</x:v>
      </x:c>
      <x:c r="AG622" s="47" t="b">
        <x:v>0</x:v>
      </x:c>
      <x:c r="AH622" s="48" t="n">
        <x:v>0</x:v>
      </x:c>
      <x:c r="AI622" s="48" t="n">
        <x:v>1.1920928955078125e-7</x:v>
      </x:c>
      <x:c r="AJ622" s="37" t="str">
        <x:v>passed</x:v>
      </x:c>
    </x:row>
    <x:row r="623" ht="21" customHeight="1">
      <x:c r="A623" s="2"/>
      <x:c r="B623" s="2"/>
      <x:c r="C623" s="2" t="str">
        <x:v>2022</x:v>
      </x:c>
      <x:c r="D623" s="5" t="n">
        <x:v>44788</x:v>
      </x:c>
      <x:c r="E623" s="2" t="str">
        <x:v>unhedged</x:v>
      </x:c>
      <x:c r="F623" s="37" t="n">
        <x:v>1315405.1100509423</x:v>
      </x:c>
      <x:c r="G623" s="37" t="n">
        <x:v>10903434.382633263</x:v>
      </x:c>
      <x:c r="H623" s="37" t="n">
        <x:v>15264.945652173912</x:v>
      </x:c>
      <x:c r="I623" s="37" t="n">
        <x:v>10888169.43698109</x:v>
      </x:c>
      <x:c r="J623" s="37" t="n">
        <x:v>10903434.382633263</x:v>
      </x:c>
      <x:c r="K623" s="37" t="n">
        <x:v>0</x:v>
      </x:c>
      <x:c r="L623" s="37" t="n">
        <x:v>12218839.492684206</x:v>
      </x:c>
      <x:c r="M623" s="37" t="n">
        <x:v>37500</x:v>
      </x:c>
      <x:c r="N623" s="37" t="n">
        <x:v>0</x:v>
      </x:c>
      <x:c r="O623" s="37" t="n">
        <x:v>210.0435745390132</x:v>
      </x:c>
      <x:c r="P623" s="37" t="n">
        <x:v>0</x:v>
      </x:c>
      <x:c r="Q623" s="37" t="n">
        <x:v>0</x:v>
      </x:c>
      <x:c r="R623" s="37" t="n">
        <x:v>0</x:v>
      </x:c>
      <x:c r="S623" s="37" t="n">
        <x:v>0</x:v>
      </x:c>
      <x:c r="T623" s="37" t="n">
        <x:v>0</x:v>
      </x:c>
      <x:c r="U623" s="37" t="n">
        <x:v>101250</x:v>
      </x:c>
      <x:c r="V623" s="37" t="n">
        <x:v>0</x:v>
      </x:c>
      <x:c r="W623" s="37" t="n">
        <x:v>15329.829367667902</x:v>
      </x:c>
      <x:c r="X623" s="37" t="n">
        <x:v>0</x:v>
      </x:c>
      <x:c r="Y623" s="37" t="n">
        <x:v>1174.7193167256753</x:v>
      </x:c>
      <x:c r="Z623" s="37" t="n">
        <x:v>0</x:v>
      </x:c>
      <x:c r="AA623" s="37" t="n">
        <x:v>0</x:v>
      </x:c>
      <x:c r="AB623" s="37" t="n">
        <x:v>0</x:v>
      </x:c>
      <x:c r="AC623" s="37" t="n">
        <x:v>1315405.1100509423</x:v>
      </x:c>
      <x:c r="AD623" s="37" t="n">
        <x:v>0</x:v>
      </x:c>
      <x:c r="AE623" s="37" t="n">
        <x:v>0</x:v>
      </x:c>
      <x:c r="AF623" s="47" t="b">
        <x:v>0</x:v>
      </x:c>
      <x:c r="AG623" s="47" t="b">
        <x:v>0</x:v>
      </x:c>
      <x:c r="AH623" s="48" t="n">
        <x:v>0</x:v>
      </x:c>
      <x:c r="AI623" s="48" t="n">
        <x:v>1.1920928955078125e-7</x:v>
      </x:c>
      <x:c r="AJ623" s="37" t="str">
        <x:v>passed</x:v>
      </x:c>
    </x:row>
    <x:row r="624" ht="21" customHeight="1">
      <x:c r="A624" s="2"/>
      <x:c r="B624" s="2"/>
      <x:c r="C624" s="2" t="str">
        <x:v>2022</x:v>
      </x:c>
      <x:c r="D624" s="5" t="n">
        <x:v>44788</x:v>
      </x:c>
      <x:c r="E624" s="2" t="str">
        <x:v>duration</x:v>
      </x:c>
      <x:c r="F624" s="37" t="n">
        <x:v>9282414.551195187</x:v>
      </x:c>
      <x:c r="G624" s="37" t="n">
        <x:v>3690408.094081984</x:v>
      </x:c>
      <x:c r="H624" s="37" t="n">
        <x:v>-12732.714824450231</x:v>
      </x:c>
      <x:c r="I624" s="37" t="n">
        <x:v>3703140.808906434</x:v>
      </x:c>
      <x:c r="J624" s="37" t="n">
        <x:v>10903434.382633263</x:v>
      </x:c>
      <x:c r="K624" s="37" t="n">
        <x:v>7213026.288551279</x:v>
      </x:c>
      <x:c r="L624" s="37" t="n">
        <x:v>12972822.645277172</x:v>
      </x:c>
      <x:c r="M624" s="37" t="n">
        <x:v>37500</x:v>
      </x:c>
      <x:c r="N624" s="37" t="n">
        <x:v>0</x:v>
      </x:c>
      <x:c r="O624" s="37" t="n">
        <x:v>1519.5454524513334</x:v>
      </x:c>
      <x:c r="P624" s="37" t="n">
        <x:v>0</x:v>
      </x:c>
      <x:c r="Q624" s="37" t="n">
        <x:v>0</x:v>
      </x:c>
      <x:c r="R624" s="37" t="n">
        <x:v>0</x:v>
      </x:c>
      <x:c r="S624" s="37" t="n">
        <x:v>0</x:v>
      </x:c>
      <x:c r="T624" s="37" t="n">
        <x:v>0</x:v>
      </x:c>
      <x:c r="U624" s="37" t="n">
        <x:v>44145.09825237111</x:v>
      </x:c>
      <x:c r="V624" s="37" t="n">
        <x:v>0</x:v>
      </x:c>
      <x:c r="W624" s="37" t="n">
        <x:v>114249.37143274397</x:v>
      </x:c>
      <x:c r="X624" s="37" t="n">
        <x:v>0</x:v>
      </x:c>
      <x:c r="Y624" s="37" t="n">
        <x:v>2004.1017498441065</x:v>
      </x:c>
      <x:c r="Z624" s="37" t="n">
        <x:v>7357286.814322305</x:v>
      </x:c>
      <x:c r="AA624" s="37" t="n">
        <x:v>0</x:v>
      </x:c>
      <x:c r="AB624" s="37" t="n">
        <x:v>7357286.814322305</x:v>
      </x:c>
      <x:c r="AC624" s="37" t="n">
        <x:v>1925127.7368728826</x:v>
      </x:c>
      <x:c r="AD624" s="37" t="n">
        <x:v>0</x:v>
      </x:c>
      <x:c r="AE624" s="37" t="n">
        <x:v>0</x:v>
      </x:c>
      <x:c r="AF624" s="47" t="b">
        <x:v>0</x:v>
      </x:c>
      <x:c r="AG624" s="47" t="b">
        <x:v>0</x:v>
      </x:c>
      <x:c r="AH624" s="48" t="n">
        <x:v>0</x:v>
      </x:c>
      <x:c r="AI624" s="48" t="n">
        <x:v>1.1920928955078125e-7</x:v>
      </x:c>
      <x:c r="AJ624" s="37" t="str">
        <x:v>passed</x:v>
      </x:c>
    </x:row>
    <x:row r="625" ht="21" customHeight="1">
      <x:c r="A625" s="2"/>
      <x:c r="B625" s="2"/>
      <x:c r="C625" s="2" t="str">
        <x:v>2022</x:v>
      </x:c>
      <x:c r="D625" s="5" t="n">
        <x:v>44788</x:v>
      </x:c>
      <x:c r="E625" s="2" t="str">
        <x:v>unweighted</x:v>
      </x:c>
      <x:c r="F625" s="37" t="n">
        <x:v>12453275.929904817</x:v>
      </x:c>
      <x:c r="G625" s="37" t="n">
        <x:v>591768.5299154167</x:v>
      </x:c>
      <x:c r="H625" s="37" t="n">
        <x:v>-15471.068911174683</x:v>
      </x:c>
      <x:c r="I625" s="37" t="n">
        <x:v>607239.5988265914</x:v>
      </x:c>
      <x:c r="J625" s="37" t="n">
        <x:v>10913424.579321088</x:v>
      </x:c>
      <x:c r="K625" s="37" t="n">
        <x:v>10321656.049405672</x:v>
      </x:c>
      <x:c r="L625" s="37" t="n">
        <x:v>13045044.459820233</x:v>
      </x:c>
      <x:c r="M625" s="37" t="n">
        <x:v>37500</x:v>
      </x:c>
      <x:c r="N625" s="37" t="n">
        <x:v>0</x:v>
      </x:c>
      <x:c r="O625" s="37" t="n">
        <x:v>2040.7258226647973</x:v>
      </x:c>
      <x:c r="P625" s="37" t="n">
        <x:v>0</x:v>
      </x:c>
      <x:c r="Q625" s="37" t="n">
        <x:v>0</x:v>
      </x:c>
      <x:c r="R625" s="37" t="n">
        <x:v>0</x:v>
      </x:c>
      <x:c r="S625" s="37" t="n">
        <x:v>0</x:v>
      </x:c>
      <x:c r="T625" s="37" t="n">
        <x:v>0</x:v>
      </x:c>
      <x:c r="U625" s="37" t="n">
        <x:v>35631.30899120559</x:v>
      </x:c>
      <x:c r="V625" s="37" t="n">
        <x:v>0</x:v>
      </x:c>
      <x:c r="W625" s="37" t="n">
        <x:v>149215.4138817191</x:v>
      </x:c>
      <x:c r="X625" s="37" t="n">
        <x:v>0</x:v>
      </x:c>
      <x:c r="Y625" s="37" t="n">
        <x:v>2285.0034441034813</x:v>
      </x:c>
      <x:c r="Z625" s="37" t="n">
        <x:v>10528089.170393785</x:v>
      </x:c>
      <x:c r="AA625" s="37" t="n">
        <x:v>0</x:v>
      </x:c>
      <x:c r="AB625" s="37" t="n">
        <x:v>10528089.170393785</x:v>
      </x:c>
      <x:c r="AC625" s="37" t="n">
        <x:v>1925186.7595110312</x:v>
      </x:c>
      <x:c r="AD625" s="37" t="n">
        <x:v>0</x:v>
      </x:c>
      <x:c r="AE625" s="37" t="n">
        <x:v>0</x:v>
      </x:c>
      <x:c r="AF625" s="47" t="b">
        <x:v>0</x:v>
      </x:c>
      <x:c r="AG625" s="47" t="b">
        <x:v>0</x:v>
      </x:c>
      <x:c r="AH625" s="48" t="n">
        <x:v>0</x:v>
      </x:c>
      <x:c r="AI625" s="48" t="n">
        <x:v>1.1920928955078125e-7</x:v>
      </x:c>
      <x:c r="AJ625" s="37" t="str">
        <x:v>passed</x:v>
      </x:c>
    </x:row>
    <x:row r="626" ht="21" customHeight="1">
      <x:c r="A626" s="2"/>
      <x:c r="B626" s="2"/>
      <x:c r="C626" s="2" t="str">
        <x:v>2022</x:v>
      </x:c>
      <x:c r="D626" s="5" t="n">
        <x:v>44788</x:v>
      </x:c>
      <x:c r="E626" s="2" t="str">
        <x:v>constrained</x:v>
      </x:c>
      <x:c r="F626" s="37" t="n">
        <x:v>13196209.590779943</x:v>
      </x:c>
      <x:c r="G626" s="37" t="n">
        <x:v>-85923.67955068496</x:v>
      </x:c>
      <x:c r="H626" s="37" t="n">
        <x:v>-17304.618472089893</x:v>
      </x:c>
      <x:c r="I626" s="37" t="n">
        <x:v>-68619.06107859507</x:v>
      </x:c>
      <x:c r="J626" s="37" t="n">
        <x:v>10915671.824241359</x:v>
      </x:c>
      <x:c r="K626" s="37" t="n">
        <x:v>11001595.503792044</x:v>
      </x:c>
      <x:c r="L626" s="37" t="n">
        <x:v>13110285.911229258</x:v>
      </x:c>
      <x:c r="M626" s="37" t="n">
        <x:v>37500</x:v>
      </x:c>
      <x:c r="N626" s="37" t="n">
        <x:v>0</x:v>
      </x:c>
      <x:c r="O626" s="37" t="n">
        <x:v>2162.83852144517</x:v>
      </x:c>
      <x:c r="P626" s="37" t="n">
        <x:v>0</x:v>
      </x:c>
      <x:c r="Q626" s="37" t="n">
        <x:v>0</x:v>
      </x:c>
      <x:c r="R626" s="37" t="n">
        <x:v>0</x:v>
      </x:c>
      <x:c r="S626" s="37" t="n">
        <x:v>0</x:v>
      </x:c>
      <x:c r="T626" s="37" t="n">
        <x:v>0</x:v>
      </x:c>
      <x:c r="U626" s="37" t="n">
        <x:v>30770.55116020547</x:v>
      </x:c>
      <x:c r="V626" s="37" t="n">
        <x:v>0</x:v>
      </x:c>
      <x:c r="W626" s="37" t="n">
        <x:v>160725.7136598304</x:v>
      </x:c>
      <x:c r="X626" s="37" t="n">
        <x:v>0</x:v>
      </x:c>
      <x:c r="Y626" s="37" t="n">
        <x:v>2382.4306640909576</x:v>
      </x:c>
      <x:c r="Z626" s="37" t="n">
        <x:v>11221627.413867885</x:v>
      </x:c>
      <x:c r="AA626" s="37" t="n">
        <x:v>0</x:v>
      </x:c>
      <x:c r="AB626" s="37" t="n">
        <x:v>11221627.413867885</x:v>
      </x:c>
      <x:c r="AC626" s="37" t="n">
        <x:v>1974582.1769120581</x:v>
      </x:c>
      <x:c r="AD626" s="37" t="n">
        <x:v>0</x:v>
      </x:c>
      <x:c r="AE626" s="37" t="n">
        <x:v>0</x:v>
      </x:c>
      <x:c r="AF626" s="47" t="b">
        <x:v>0</x:v>
      </x:c>
      <x:c r="AG626" s="47" t="b">
        <x:v>0</x:v>
      </x:c>
      <x:c r="AH626" s="48" t="n">
        <x:v>0</x:v>
      </x:c>
      <x:c r="AI626" s="48" t="n">
        <x:v>1.1920928955078125e-7</x:v>
      </x:c>
      <x:c r="AJ626" s="37" t="str">
        <x:v>passed</x:v>
      </x:c>
    </x:row>
    <x:row r="627" ht="21" customHeight="1">
      <x:c r="A627" s="2"/>
      <x:c r="B627" s="2"/>
      <x:c r="C627" s="2" t="str">
        <x:v>2022</x:v>
      </x:c>
      <x:c r="D627" s="5" t="n">
        <x:v>44789</x:v>
      </x:c>
      <x:c r="E627" s="2" t="str">
        <x:v>unhedged</x:v>
      </x:c>
      <x:c r="F627" s="37" t="n">
        <x:v>1315477.1870432738</x:v>
      </x:c>
      <x:c r="G627" s="37" t="n">
        <x:v>10884778.397322943</x:v>
      </x:c>
      <x:c r="H627" s="37" t="n">
        <x:v>15611.41304347826</x:v>
      </x:c>
      <x:c r="I627" s="37" t="n">
        <x:v>10869166.984279465</x:v>
      </x:c>
      <x:c r="J627" s="37" t="n">
        <x:v>10884778.397322943</x:v>
      </x:c>
      <x:c r="K627" s="37" t="n">
        <x:v>0</x:v>
      </x:c>
      <x:c r="L627" s="37" t="n">
        <x:v>12200255.584366217</x:v>
      </x:c>
      <x:c r="M627" s="37" t="n">
        <x:v>0</x:v>
      </x:c>
      <x:c r="N627" s="37" t="n">
        <x:v>0</x:v>
      </x:c>
      <x:c r="O627" s="37" t="n">
        <x:v>72.07699233153835</x:v>
      </x:c>
      <x:c r="P627" s="37" t="n">
        <x:v>0</x:v>
      </x:c>
      <x:c r="Q627" s="37" t="n">
        <x:v>0</x:v>
      </x:c>
      <x:c r="R627" s="37" t="n">
        <x:v>0</x:v>
      </x:c>
      <x:c r="S627" s="37" t="n">
        <x:v>0</x:v>
      </x:c>
      <x:c r="T627" s="37" t="n">
        <x:v>0</x:v>
      </x:c>
      <x:c r="U627" s="37" t="n">
        <x:v>101250</x:v>
      </x:c>
      <x:c r="V627" s="37" t="n">
        <x:v>0</x:v>
      </x:c>
      <x:c r="W627" s="37" t="n">
        <x:v>15401.90635999944</x:v>
      </x:c>
      <x:c r="X627" s="37" t="n">
        <x:v>0</x:v>
      </x:c>
      <x:c r="Y627" s="37" t="n">
        <x:v>1174.7193167256753</x:v>
      </x:c>
      <x:c r="Z627" s="37" t="n">
        <x:v>0</x:v>
      </x:c>
      <x:c r="AA627" s="37" t="n">
        <x:v>0</x:v>
      </x:c>
      <x:c r="AB627" s="37" t="n">
        <x:v>0</x:v>
      </x:c>
      <x:c r="AC627" s="37" t="n">
        <x:v>1315477.1870432738</x:v>
      </x:c>
      <x:c r="AD627" s="37" t="n">
        <x:v>0</x:v>
      </x:c>
      <x:c r="AE627" s="37" t="n">
        <x:v>0</x:v>
      </x:c>
      <x:c r="AF627" s="47" t="b">
        <x:v>0</x:v>
      </x:c>
      <x:c r="AG627" s="47" t="b">
        <x:v>0</x:v>
      </x:c>
      <x:c r="AH627" s="48" t="n">
        <x:v>0</x:v>
      </x:c>
      <x:c r="AI627" s="48" t="n">
        <x:v>1.1920928955078125e-7</x:v>
      </x:c>
      <x:c r="AJ627" s="37" t="str">
        <x:v>passed</x:v>
      </x:c>
    </x:row>
    <x:row r="628" ht="21" customHeight="1">
      <x:c r="A628" s="2"/>
      <x:c r="B628" s="2"/>
      <x:c r="C628" s="2" t="str">
        <x:v>2022</x:v>
      </x:c>
      <x:c r="D628" s="5" t="n">
        <x:v>44789</x:v>
      </x:c>
      <x:c r="E628" s="2" t="str">
        <x:v>duration</x:v>
      </x:c>
      <x:c r="F628" s="37" t="n">
        <x:v>9282923.176650047</x:v>
      </x:c>
      <x:c r="G628" s="37" t="n">
        <x:v>3686738.32736361</x:v>
      </x:c>
      <x:c r="H628" s="37" t="n">
        <x:v>-12690.569829630927</x:v>
      </x:c>
      <x:c r="I628" s="37" t="n">
        <x:v>3699428.897193241</x:v>
      </x:c>
      <x:c r="J628" s="37" t="n">
        <x:v>10884778.397322943</x:v>
      </x:c>
      <x:c r="K628" s="37" t="n">
        <x:v>7198040.069959334</x:v>
      </x:c>
      <x:c r="L628" s="37" t="n">
        <x:v>12969661.504013658</x:v>
      </x:c>
      <x:c r="M628" s="37" t="n">
        <x:v>0</x:v>
      </x:c>
      <x:c r="N628" s="37" t="n">
        <x:v>0</x:v>
      </x:c>
      <x:c r="O628" s="37" t="n">
        <x:v>508.6254548598081</x:v>
      </x:c>
      <x:c r="P628" s="37" t="n">
        <x:v>0</x:v>
      </x:c>
      <x:c r="Q628" s="37" t="n">
        <x:v>0</x:v>
      </x:c>
      <x:c r="R628" s="37" t="n">
        <x:v>0</x:v>
      </x:c>
      <x:c r="S628" s="37" t="n">
        <x:v>0</x:v>
      </x:c>
      <x:c r="T628" s="37" t="n">
        <x:v>0</x:v>
      </x:c>
      <x:c r="U628" s="37" t="n">
        <x:v>44145.09825237111</x:v>
      </x:c>
      <x:c r="V628" s="37" t="n">
        <x:v>0</x:v>
      </x:c>
      <x:c r="W628" s="37" t="n">
        <x:v>114757.99688760377</x:v>
      </x:c>
      <x:c r="X628" s="37" t="n">
        <x:v>0</x:v>
      </x:c>
      <x:c r="Y628" s="37" t="n">
        <x:v>2004.1017498441065</x:v>
      </x:c>
      <x:c r="Z628" s="37" t="n">
        <x:v>7342000.871358521</x:v>
      </x:c>
      <x:c r="AA628" s="37" t="n">
        <x:v>0</x:v>
      </x:c>
      <x:c r="AB628" s="37" t="n">
        <x:v>7342000.871358521</x:v>
      </x:c>
      <x:c r="AC628" s="37" t="n">
        <x:v>1940922.305291526</x:v>
      </x:c>
      <x:c r="AD628" s="37" t="n">
        <x:v>0</x:v>
      </x:c>
      <x:c r="AE628" s="37" t="n">
        <x:v>0</x:v>
      </x:c>
      <x:c r="AF628" s="47" t="b">
        <x:v>0</x:v>
      </x:c>
      <x:c r="AG628" s="47" t="b">
        <x:v>0</x:v>
      </x:c>
      <x:c r="AH628" s="48" t="n">
        <x:v>0</x:v>
      </x:c>
      <x:c r="AI628" s="48" t="n">
        <x:v>1.1920928955078125e-7</x:v>
      </x:c>
      <x:c r="AJ628" s="37" t="str">
        <x:v>passed</x:v>
      </x:c>
    </x:row>
    <x:row r="629" ht="21" customHeight="1">
      <x:c r="A629" s="2"/>
      <x:c r="B629" s="2"/>
      <x:c r="C629" s="2" t="str">
        <x:v>2022</x:v>
      </x:c>
      <x:c r="D629" s="5" t="n">
        <x:v>44789</x:v>
      </x:c>
      <x:c r="E629" s="2" t="str">
        <x:v>unweighted</x:v>
      </x:c>
      <x:c r="F629" s="37" t="n">
        <x:v>12453958.301188648</x:v>
      </x:c>
      <x:c r="G629" s="37" t="n">
        <x:v>590701.4392745704</x:v>
      </x:c>
      <x:c r="H629" s="37" t="n">
        <x:v>-15486.177819306811</x:v>
      </x:c>
      <x:c r="I629" s="37" t="n">
        <x:v>606187.6170938773</x:v>
      </x:c>
      <x:c r="J629" s="37" t="n">
        <x:v>10894755.318798052</x:v>
      </x:c>
      <x:c r="K629" s="37" t="n">
        <x:v>10304053.87952348</x:v>
      </x:c>
      <x:c r="L629" s="37" t="n">
        <x:v>13044659.740463218</x:v>
      </x:c>
      <x:c r="M629" s="37" t="n">
        <x:v>0</x:v>
      </x:c>
      <x:c r="N629" s="37" t="n">
        <x:v>0</x:v>
      </x:c>
      <x:c r="O629" s="37" t="n">
        <x:v>682.3712838310748</x:v>
      </x:c>
      <x:c r="P629" s="37" t="n">
        <x:v>0</x:v>
      </x:c>
      <x:c r="Q629" s="37" t="n">
        <x:v>0</x:v>
      </x:c>
      <x:c r="R629" s="37" t="n">
        <x:v>0</x:v>
      </x:c>
      <x:c r="S629" s="37" t="n">
        <x:v>0</x:v>
      </x:c>
      <x:c r="T629" s="37" t="n">
        <x:v>0</x:v>
      </x:c>
      <x:c r="U629" s="37" t="n">
        <x:v>35631.30899120559</x:v>
      </x:c>
      <x:c r="V629" s="37" t="n">
        <x:v>0</x:v>
      </x:c>
      <x:c r="W629" s="37" t="n">
        <x:v>149897.7851655502</x:v>
      </x:c>
      <x:c r="X629" s="37" t="n">
        <x:v>0</x:v>
      </x:c>
      <x:c r="Y629" s="37" t="n">
        <x:v>2285.0034441034813</x:v>
      </x:c>
      <x:c r="Z629" s="37" t="n">
        <x:v>10510134.95711395</x:v>
      </x:c>
      <x:c r="AA629" s="37" t="n">
        <x:v>0</x:v>
      </x:c>
      <x:c r="AB629" s="37" t="n">
        <x:v>10510134.95711395</x:v>
      </x:c>
      <x:c r="AC629" s="37" t="n">
        <x:v>1943823.3440746982</x:v>
      </x:c>
      <x:c r="AD629" s="37" t="n">
        <x:v>0</x:v>
      </x:c>
      <x:c r="AE629" s="37" t="n">
        <x:v>0</x:v>
      </x:c>
      <x:c r="AF629" s="47" t="b">
        <x:v>0</x:v>
      </x:c>
      <x:c r="AG629" s="47" t="b">
        <x:v>0</x:v>
      </x:c>
      <x:c r="AH629" s="48" t="n">
        <x:v>0</x:v>
      </x:c>
      <x:c r="AI629" s="48" t="n">
        <x:v>1.1920928955078125e-7</x:v>
      </x:c>
      <x:c r="AJ629" s="37" t="str">
        <x:v>passed</x:v>
      </x:c>
    </x:row>
    <x:row r="630" ht="21" customHeight="1">
      <x:c r="A630" s="2"/>
      <x:c r="B630" s="2"/>
      <x:c r="C630" s="2" t="str">
        <x:v>2022</x:v>
      </x:c>
      <x:c r="D630" s="5" t="n">
        <x:v>44789</x:v>
      </x:c>
      <x:c r="E630" s="2" t="str">
        <x:v>constrained</x:v>
      </x:c>
      <x:c r="F630" s="37" t="n">
        <x:v>13196932.670757521</x:v>
      </x:c>
      <x:c r="G630" s="37" t="n">
        <x:v>-85875.73680259609</x:v>
      </x:c>
      <x:c r="H630" s="37" t="n">
        <x:v>-17342.463508762692</x:v>
      </x:c>
      <x:c r="I630" s="37" t="n">
        <x:v>-68533.2732938334</x:v>
      </x:c>
      <x:c r="J630" s="37" t="n">
        <x:v>10896999.57752543</x:v>
      </x:c>
      <x:c r="K630" s="37" t="n">
        <x:v>10982875.314328026</x:v>
      </x:c>
      <x:c r="L630" s="37" t="n">
        <x:v>13111056.933954924</x:v>
      </x:c>
      <x:c r="M630" s="37" t="n">
        <x:v>0</x:v>
      </x:c>
      <x:c r="N630" s="37" t="n">
        <x:v>0</x:v>
      </x:c>
      <x:c r="O630" s="37" t="n">
        <x:v>723.0799775775522</x:v>
      </x:c>
      <x:c r="P630" s="37" t="n">
        <x:v>0</x:v>
      </x:c>
      <x:c r="Q630" s="37" t="n">
        <x:v>0</x:v>
      </x:c>
      <x:c r="R630" s="37" t="n">
        <x:v>0</x:v>
      </x:c>
      <x:c r="S630" s="37" t="n">
        <x:v>0</x:v>
      </x:c>
      <x:c r="T630" s="37" t="n">
        <x:v>0</x:v>
      </x:c>
      <x:c r="U630" s="37" t="n">
        <x:v>30770.55116020547</x:v>
      </x:c>
      <x:c r="V630" s="37" t="n">
        <x:v>0</x:v>
      </x:c>
      <x:c r="W630" s="37" t="n">
        <x:v>161448.79363740794</x:v>
      </x:c>
      <x:c r="X630" s="37" t="n">
        <x:v>0</x:v>
      </x:c>
      <x:c r="Y630" s="37" t="n">
        <x:v>2382.4306640909576</x:v>
      </x:c>
      <x:c r="Z630" s="37" t="n">
        <x:v>11202532.820614588</x:v>
      </x:c>
      <x:c r="AA630" s="37" t="n">
        <x:v>0</x:v>
      </x:c>
      <x:c r="AB630" s="37" t="n">
        <x:v>11202532.820614588</x:v>
      </x:c>
      <x:c r="AC630" s="37" t="n">
        <x:v>1994399.8501429334</x:v>
      </x:c>
      <x:c r="AD630" s="37" t="n">
        <x:v>0</x:v>
      </x:c>
      <x:c r="AE630" s="37" t="n">
        <x:v>0</x:v>
      </x:c>
      <x:c r="AF630" s="47" t="b">
        <x:v>0</x:v>
      </x:c>
      <x:c r="AG630" s="47" t="b">
        <x:v>0</x:v>
      </x:c>
      <x:c r="AH630" s="48" t="n">
        <x:v>0</x:v>
      </x:c>
      <x:c r="AI630" s="48" t="n">
        <x:v>1.1920928955078125e-7</x:v>
      </x:c>
      <x:c r="AJ630" s="37" t="str">
        <x:v>passed</x:v>
      </x:c>
    </x:row>
    <x:row r="631" ht="21" customHeight="1">
      <x:c r="A631" s="2"/>
      <x:c r="B631" s="2"/>
      <x:c r="C631" s="2" t="str">
        <x:v>2022</x:v>
      </x:c>
      <x:c r="D631" s="5" t="n">
        <x:v>44790</x:v>
      </x:c>
      <x:c r="E631" s="2" t="str">
        <x:v>unhedged</x:v>
      </x:c>
      <x:c r="F631" s="37" t="n">
        <x:v>1315549.2679850298</x:v>
      </x:c>
      <x:c r="G631" s="37" t="n">
        <x:v>10838196.600297172</x:v>
      </x:c>
      <x:c r="H631" s="37" t="n">
        <x:v>15957.880434782608</x:v>
      </x:c>
      <x:c r="I631" s="37" t="n">
        <x:v>10822238.719862388</x:v>
      </x:c>
      <x:c r="J631" s="37" t="n">
        <x:v>10838196.600297172</x:v>
      </x:c>
      <x:c r="K631" s="37" t="n">
        <x:v>0</x:v>
      </x:c>
      <x:c r="L631" s="37" t="n">
        <x:v>12153745.8682822</x:v>
      </x:c>
      <x:c r="M631" s="37" t="n">
        <x:v>0</x:v>
      </x:c>
      <x:c r="N631" s="37" t="n">
        <x:v>0</x:v>
      </x:c>
      <x:c r="O631" s="37" t="n">
        <x:v>72.0809417560231</x:v>
      </x:c>
      <x:c r="P631" s="37" t="n">
        <x:v>0</x:v>
      </x:c>
      <x:c r="Q631" s="37" t="n">
        <x:v>0</x:v>
      </x:c>
      <x:c r="R631" s="37" t="n">
        <x:v>0</x:v>
      </x:c>
      <x:c r="S631" s="37" t="n">
        <x:v>0</x:v>
      </x:c>
      <x:c r="T631" s="37" t="n">
        <x:v>0</x:v>
      </x:c>
      <x:c r="U631" s="37" t="n">
        <x:v>101250</x:v>
      </x:c>
      <x:c r="V631" s="37" t="n">
        <x:v>0</x:v>
      </x:c>
      <x:c r="W631" s="37" t="n">
        <x:v>15473.987301755464</x:v>
      </x:c>
      <x:c r="X631" s="37" t="n">
        <x:v>0</x:v>
      </x:c>
      <x:c r="Y631" s="37" t="n">
        <x:v>1174.7193167256753</x:v>
      </x:c>
      <x:c r="Z631" s="37" t="n">
        <x:v>0</x:v>
      </x:c>
      <x:c r="AA631" s="37" t="n">
        <x:v>0</x:v>
      </x:c>
      <x:c r="AB631" s="37" t="n">
        <x:v>0</x:v>
      </x:c>
      <x:c r="AC631" s="37" t="n">
        <x:v>1315549.2679850298</x:v>
      </x:c>
      <x:c r="AD631" s="37" t="n">
        <x:v>0</x:v>
      </x:c>
      <x:c r="AE631" s="37" t="n">
        <x:v>0</x:v>
      </x:c>
      <x:c r="AF631" s="47" t="b">
        <x:v>0</x:v>
      </x:c>
      <x:c r="AG631" s="47" t="b">
        <x:v>0</x:v>
      </x:c>
      <x:c r="AH631" s="48" t="n">
        <x:v>0</x:v>
      </x:c>
      <x:c r="AI631" s="48" t="n">
        <x:v>1.1920928955078125e-7</x:v>
      </x:c>
      <x:c r="AJ631" s="37" t="str">
        <x:v>passed</x:v>
      </x:c>
    </x:row>
    <x:row r="632" ht="21" customHeight="1">
      <x:c r="A632" s="2"/>
      <x:c r="B632" s="2"/>
      <x:c r="C632" s="2" t="str">
        <x:v>2022</x:v>
      </x:c>
      <x:c r="D632" s="5" t="n">
        <x:v>44790</x:v>
      </x:c>
      <x:c r="E632" s="2" t="str">
        <x:v>duration</x:v>
      </x:c>
      <x:c r="F632" s="37" t="n">
        <x:v>9283431.829974797</x:v>
      </x:c>
      <x:c r="G632" s="37" t="n">
        <x:v>3685266.152494833</x:v>
      </x:c>
      <x:c r="H632" s="37" t="n">
        <x:v>-12648.424834811623</x:v>
      </x:c>
      <x:c r="I632" s="37" t="n">
        <x:v>3697914.5773296445</x:v>
      </x:c>
      <x:c r="J632" s="37" t="n">
        <x:v>10838196.600297172</x:v>
      </x:c>
      <x:c r="K632" s="37" t="n">
        <x:v>7152930.447802339</x:v>
      </x:c>
      <x:c r="L632" s="37" t="n">
        <x:v>12968697.98246963</x:v>
      </x:c>
      <x:c r="M632" s="37" t="n">
        <x:v>0</x:v>
      </x:c>
      <x:c r="N632" s="37" t="n">
        <x:v>0</x:v>
      </x:c>
      <x:c r="O632" s="37" t="n">
        <x:v>508.65332474932075</x:v>
      </x:c>
      <x:c r="P632" s="37" t="n">
        <x:v>0</x:v>
      </x:c>
      <x:c r="Q632" s="37" t="n">
        <x:v>0</x:v>
      </x:c>
      <x:c r="R632" s="37" t="n">
        <x:v>0</x:v>
      </x:c>
      <x:c r="S632" s="37" t="n">
        <x:v>0</x:v>
      </x:c>
      <x:c r="T632" s="37" t="n">
        <x:v>0</x:v>
      </x:c>
      <x:c r="U632" s="37" t="n">
        <x:v>44145.09825237111</x:v>
      </x:c>
      <x:c r="V632" s="37" t="n">
        <x:v>0</x:v>
      </x:c>
      <x:c r="W632" s="37" t="n">
        <x:v>115266.6502123531</x:v>
      </x:c>
      <x:c r="X632" s="37" t="n">
        <x:v>0</x:v>
      </x:c>
      <x:c r="Y632" s="37" t="n">
        <x:v>2004.1017498441065</x:v>
      </x:c>
      <x:c r="Z632" s="37" t="n">
        <x:v>7295989.056758386</x:v>
      </x:c>
      <x:c r="AA632" s="37" t="n">
        <x:v>0</x:v>
      </x:c>
      <x:c r="AB632" s="37" t="n">
        <x:v>7295989.056758386</x:v>
      </x:c>
      <x:c r="AC632" s="37" t="n">
        <x:v>1987442.7732164105</x:v>
      </x:c>
      <x:c r="AD632" s="37" t="n">
        <x:v>0</x:v>
      </x:c>
      <x:c r="AE632" s="37" t="n">
        <x:v>0</x:v>
      </x:c>
      <x:c r="AF632" s="47" t="b">
        <x:v>0</x:v>
      </x:c>
      <x:c r="AG632" s="47" t="b">
        <x:v>0</x:v>
      </x:c>
      <x:c r="AH632" s="48" t="n">
        <x:v>0</x:v>
      </x:c>
      <x:c r="AI632" s="48" t="n">
        <x:v>1.1920928955078125e-7</x:v>
      </x:c>
      <x:c r="AJ632" s="37" t="str">
        <x:v>passed</x:v>
      </x:c>
    </x:row>
    <x:row r="633" ht="21" customHeight="1">
      <x:c r="A633" s="2"/>
      <x:c r="B633" s="2"/>
      <x:c r="C633" s="2" t="str">
        <x:v>2022</x:v>
      </x:c>
      <x:c r="D633" s="5" t="n">
        <x:v>44790</x:v>
      </x:c>
      <x:c r="E633" s="2" t="str">
        <x:v>unweighted</x:v>
      </x:c>
      <x:c r="F633" s="37" t="n">
        <x:v>12454640.709862685</x:v>
      </x:c>
      <x:c r="G633" s="37" t="n">
        <x:v>587821.5220999508</x:v>
      </x:c>
      <x:c r="H633" s="37" t="n">
        <x:v>-15501.286727438932</x:v>
      </x:c>
      <x:c r="I633" s="37" t="n">
        <x:v>603322.8088273897</x:v>
      </x:c>
      <x:c r="J633" s="37" t="n">
        <x:v>10848098.729255155</x:v>
      </x:c>
      <x:c r="K633" s="37" t="n">
        <x:v>10260277.207155203</x:v>
      </x:c>
      <x:c r="L633" s="37" t="n">
        <x:v>13042462.231962636</x:v>
      </x:c>
      <x:c r="M633" s="37" t="n">
        <x:v>0</x:v>
      </x:c>
      <x:c r="N633" s="37" t="n">
        <x:v>0</x:v>
      </x:c>
      <x:c r="O633" s="37" t="n">
        <x:v>682.408674037084</x:v>
      </x:c>
      <x:c r="P633" s="37" t="n">
        <x:v>0</x:v>
      </x:c>
      <x:c r="Q633" s="37" t="n">
        <x:v>0</x:v>
      </x:c>
      <x:c r="R633" s="37" t="n">
        <x:v>0</x:v>
      </x:c>
      <x:c r="S633" s="37" t="n">
        <x:v>0</x:v>
      </x:c>
      <x:c r="T633" s="37" t="n">
        <x:v>0</x:v>
      </x:c>
      <x:c r="U633" s="37" t="n">
        <x:v>35631.30899120559</x:v>
      </x:c>
      <x:c r="V633" s="37" t="n">
        <x:v>0</x:v>
      </x:c>
      <x:c r="W633" s="37" t="n">
        <x:v>150580.19383958727</x:v>
      </x:c>
      <x:c r="X633" s="37" t="n">
        <x:v>0</x:v>
      </x:c>
      <x:c r="Y633" s="37" t="n">
        <x:v>2285.0034441034813</x:v>
      </x:c>
      <x:c r="Z633" s="37" t="n">
        <x:v>10465482.751298308</x:v>
      </x:c>
      <x:c r="AA633" s="37" t="n">
        <x:v>0</x:v>
      </x:c>
      <x:c r="AB633" s="37" t="n">
        <x:v>10465482.751298308</x:v>
      </x:c>
      <x:c r="AC633" s="37" t="n">
        <x:v>1989157.9585643765</x:v>
      </x:c>
      <x:c r="AD633" s="37" t="n">
        <x:v>0</x:v>
      </x:c>
      <x:c r="AE633" s="37" t="n">
        <x:v>0</x:v>
      </x:c>
      <x:c r="AF633" s="47" t="b">
        <x:v>0</x:v>
      </x:c>
      <x:c r="AG633" s="47" t="b">
        <x:v>0</x:v>
      </x:c>
      <x:c r="AH633" s="48" t="n">
        <x:v>0</x:v>
      </x:c>
      <x:c r="AI633" s="48" t="n">
        <x:v>1.1920928955078125e-7</x:v>
      </x:c>
      <x:c r="AJ633" s="37" t="str">
        <x:v>passed</x:v>
      </x:c>
    </x:row>
    <x:row r="634" ht="21" customHeight="1">
      <x:c r="A634" s="2"/>
      <x:c r="B634" s="2"/>
      <x:c r="C634" s="2" t="str">
        <x:v>2022</x:v>
      </x:c>
      <x:c r="D634" s="5" t="n">
        <x:v>44790</x:v>
      </x:c>
      <x:c r="E634" s="2" t="str">
        <x:v>constrained</x:v>
      </x:c>
      <x:c r="F634" s="37" t="n">
        <x:v>13197655.790355919</x:v>
      </x:c>
      <x:c r="G634" s="37" t="n">
        <x:v>-86329.34456507569</x:v>
      </x:c>
      <x:c r="H634" s="37" t="n">
        <x:v>-17380.30854543549</x:v>
      </x:c>
      <x:c r="I634" s="37" t="n">
        <x:v>-68949.0360196402</x:v>
      </x:c>
      <x:c r="J634" s="37" t="n">
        <x:v>10850326.163778823</x:v>
      </x:c>
      <x:c r="K634" s="37" t="n">
        <x:v>10936655.508343898</x:v>
      </x:c>
      <x:c r="L634" s="37" t="n">
        <x:v>13111326.445790844</x:v>
      </x:c>
      <x:c r="M634" s="37" t="n">
        <x:v>0</x:v>
      </x:c>
      <x:c r="N634" s="37" t="n">
        <x:v>0</x:v>
      </x:c>
      <x:c r="O634" s="37" t="n">
        <x:v>723.1195983979851</x:v>
      </x:c>
      <x:c r="P634" s="37" t="n">
        <x:v>0</x:v>
      </x:c>
      <x:c r="Q634" s="37" t="n">
        <x:v>0</x:v>
      </x:c>
      <x:c r="R634" s="37" t="n">
        <x:v>0</x:v>
      </x:c>
      <x:c r="S634" s="37" t="n">
        <x:v>0</x:v>
      </x:c>
      <x:c r="T634" s="37" t="n">
        <x:v>0</x:v>
      </x:c>
      <x:c r="U634" s="37" t="n">
        <x:v>30770.55116020547</x:v>
      </x:c>
      <x:c r="V634" s="37" t="n">
        <x:v>0</x:v>
      </x:c>
      <x:c r="W634" s="37" t="n">
        <x:v>162171.91323580593</x:v>
      </x:c>
      <x:c r="X634" s="37" t="n">
        <x:v>0</x:v>
      </x:c>
      <x:c r="Y634" s="37" t="n">
        <x:v>2382.4306640909576</x:v>
      </x:c>
      <x:c r="Z634" s="37" t="n">
        <x:v>11155388.618510775</x:v>
      </x:c>
      <x:c r="AA634" s="37" t="n">
        <x:v>0</x:v>
      </x:c>
      <x:c r="AB634" s="37" t="n">
        <x:v>11155388.618510775</x:v>
      </x:c>
      <x:c r="AC634" s="37" t="n">
        <x:v>2042267.1718451437</x:v>
      </x:c>
      <x:c r="AD634" s="37" t="n">
        <x:v>0</x:v>
      </x:c>
      <x:c r="AE634" s="37" t="n">
        <x:v>0</x:v>
      </x:c>
      <x:c r="AF634" s="47" t="b">
        <x:v>0</x:v>
      </x:c>
      <x:c r="AG634" s="47" t="b">
        <x:v>0</x:v>
      </x:c>
      <x:c r="AH634" s="48" t="n">
        <x:v>0</x:v>
      </x:c>
      <x:c r="AI634" s="48" t="n">
        <x:v>1.1920928955078125e-7</x:v>
      </x:c>
      <x:c r="AJ634" s="37" t="str">
        <x:v>passed</x:v>
      </x:c>
    </x:row>
    <x:row r="635" ht="21" customHeight="1">
      <x:c r="A635" s="2"/>
      <x:c r="B635" s="2"/>
      <x:c r="C635" s="2" t="str">
        <x:v>2022</x:v>
      </x:c>
      <x:c r="D635" s="5" t="n">
        <x:v>44791</x:v>
      </x:c>
      <x:c r="E635" s="2" t="str">
        <x:v>unhedged</x:v>
      </x:c>
      <x:c r="F635" s="37" t="n">
        <x:v>1315621.3528764264</x:v>
      </x:c>
      <x:c r="G635" s="37" t="n">
        <x:v>10850154.781336054</x:v>
      </x:c>
      <x:c r="H635" s="37" t="n">
        <x:v>16304.347826086956</x:v>
      </x:c>
      <x:c r="I635" s="37" t="n">
        <x:v>10833850.433509966</x:v>
      </x:c>
      <x:c r="J635" s="37" t="n">
        <x:v>10850154.781336054</x:v>
      </x:c>
      <x:c r="K635" s="37" t="n">
        <x:v>0</x:v>
      </x:c>
      <x:c r="L635" s="37" t="n">
        <x:v>12165776.13421248</x:v>
      </x:c>
      <x:c r="M635" s="37" t="n">
        <x:v>0</x:v>
      </x:c>
      <x:c r="N635" s="37" t="n">
        <x:v>0</x:v>
      </x:c>
      <x:c r="O635" s="37" t="n">
        <x:v>72.08489139657468</x:v>
      </x:c>
      <x:c r="P635" s="37" t="n">
        <x:v>0</x:v>
      </x:c>
      <x:c r="Q635" s="37" t="n">
        <x:v>0</x:v>
      </x:c>
      <x:c r="R635" s="37" t="n">
        <x:v>0</x:v>
      </x:c>
      <x:c r="S635" s="37" t="n">
        <x:v>0</x:v>
      </x:c>
      <x:c r="T635" s="37" t="n">
        <x:v>0</x:v>
      </x:c>
      <x:c r="U635" s="37" t="n">
        <x:v>101250</x:v>
      </x:c>
      <x:c r="V635" s="37" t="n">
        <x:v>0</x:v>
      </x:c>
      <x:c r="W635" s="37" t="n">
        <x:v>15546.072193152038</x:v>
      </x:c>
      <x:c r="X635" s="37" t="n">
        <x:v>0</x:v>
      </x:c>
      <x:c r="Y635" s="37" t="n">
        <x:v>1174.7193167256753</x:v>
      </x:c>
      <x:c r="Z635" s="37" t="n">
        <x:v>0</x:v>
      </x:c>
      <x:c r="AA635" s="37" t="n">
        <x:v>0</x:v>
      </x:c>
      <x:c r="AB635" s="37" t="n">
        <x:v>0</x:v>
      </x:c>
      <x:c r="AC635" s="37" t="n">
        <x:v>1315621.3528764264</x:v>
      </x:c>
      <x:c r="AD635" s="37" t="n">
        <x:v>0</x:v>
      </x:c>
      <x:c r="AE635" s="37" t="n">
        <x:v>0</x:v>
      </x:c>
      <x:c r="AF635" s="47" t="b">
        <x:v>0</x:v>
      </x:c>
      <x:c r="AG635" s="47" t="b">
        <x:v>0</x:v>
      </x:c>
      <x:c r="AH635" s="48" t="n">
        <x:v>0</x:v>
      </x:c>
      <x:c r="AI635" s="48" t="n">
        <x:v>1.1920928955078125e-7</x:v>
      </x:c>
      <x:c r="AJ635" s="37" t="str">
        <x:v>passed</x:v>
      </x:c>
    </x:row>
    <x:row r="636" ht="21" customHeight="1">
      <x:c r="A636" s="2"/>
      <x:c r="B636" s="2"/>
      <x:c r="C636" s="2" t="str">
        <x:v>2022</x:v>
      </x:c>
      <x:c r="D636" s="5" t="n">
        <x:v>44791</x:v>
      </x:c>
      <x:c r="E636" s="2" t="str">
        <x:v>duration</x:v>
      </x:c>
      <x:c r="F636" s="37" t="n">
        <x:v>9283940.511170961</x:v>
      </x:c>
      <x:c r="G636" s="37" t="n">
        <x:v>3688712.2522897273</x:v>
      </x:c>
      <x:c r="H636" s="37" t="n">
        <x:v>-12606.27983999232</x:v>
      </x:c>
      <x:c r="I636" s="37" t="n">
        <x:v>3701318.53212972</x:v>
      </x:c>
      <x:c r="J636" s="37" t="n">
        <x:v>10850154.781336054</x:v>
      </x:c>
      <x:c r="K636" s="37" t="n">
        <x:v>7161442.529046326</x:v>
      </x:c>
      <x:c r="L636" s="37" t="n">
        <x:v>12972652.763460688</x:v>
      </x:c>
      <x:c r="M636" s="37" t="n">
        <x:v>0</x:v>
      </x:c>
      <x:c r="N636" s="37" t="n">
        <x:v>0</x:v>
      </x:c>
      <x:c r="O636" s="37" t="n">
        <x:v>508.6811961643398</x:v>
      </x:c>
      <x:c r="P636" s="37" t="n">
        <x:v>0</x:v>
      </x:c>
      <x:c r="Q636" s="37" t="n">
        <x:v>0</x:v>
      </x:c>
      <x:c r="R636" s="37" t="n">
        <x:v>0</x:v>
      </x:c>
      <x:c r="S636" s="37" t="n">
        <x:v>0</x:v>
      </x:c>
      <x:c r="T636" s="37" t="n">
        <x:v>0</x:v>
      </x:c>
      <x:c r="U636" s="37" t="n">
        <x:v>44145.09825237111</x:v>
      </x:c>
      <x:c r="V636" s="37" t="n">
        <x:v>0</x:v>
      </x:c>
      <x:c r="W636" s="37" t="n">
        <x:v>115775.33140851744</x:v>
      </x:c>
      <x:c r="X636" s="37" t="n">
        <x:v>0</x:v>
      </x:c>
      <x:c r="Y636" s="37" t="n">
        <x:v>2004.1017498441065</x:v>
      </x:c>
      <x:c r="Z636" s="37" t="n">
        <x:v>7304671.379627253</x:v>
      </x:c>
      <x:c r="AA636" s="37" t="n">
        <x:v>0</x:v>
      </x:c>
      <x:c r="AB636" s="37" t="n">
        <x:v>7304671.379627253</x:v>
      </x:c>
      <x:c r="AC636" s="37" t="n">
        <x:v>1979269.131543708</x:v>
      </x:c>
      <x:c r="AD636" s="37" t="n">
        <x:v>0</x:v>
      </x:c>
      <x:c r="AE636" s="37" t="n">
        <x:v>0</x:v>
      </x:c>
      <x:c r="AF636" s="47" t="b">
        <x:v>0</x:v>
      </x:c>
      <x:c r="AG636" s="47" t="b">
        <x:v>0</x:v>
      </x:c>
      <x:c r="AH636" s="48" t="n">
        <x:v>0</x:v>
      </x:c>
      <x:c r="AI636" s="48" t="n">
        <x:v>1.1920928955078125e-7</x:v>
      </x:c>
      <x:c r="AJ636" s="37" t="str">
        <x:v>passed</x:v>
      </x:c>
    </x:row>
    <x:row r="637" ht="21" customHeight="1">
      <x:c r="A637" s="2"/>
      <x:c r="B637" s="2"/>
      <x:c r="C637" s="2" t="str">
        <x:v>2022</x:v>
      </x:c>
      <x:c r="D637" s="5" t="n">
        <x:v>44791</x:v>
      </x:c>
      <x:c r="E637" s="2" t="str">
        <x:v>unweighted</x:v>
      </x:c>
      <x:c r="F637" s="37" t="n">
        <x:v>12455323.155928982</x:v>
      </x:c>
      <x:c r="G637" s="37" t="n">
        <x:v>588219.7971980516</x:v>
      </x:c>
      <x:c r="H637" s="37" t="n">
        <x:v>-15516.395635571056</x:v>
      </x:c>
      <x:c r="I637" s="37" t="n">
        <x:v>603736.1928336227</x:v>
      </x:c>
      <x:c r="J637" s="37" t="n">
        <x:v>10860081.930159623</x:v>
      </x:c>
      <x:c r="K637" s="37" t="n">
        <x:v>10271862.132961571</x:v>
      </x:c>
      <x:c r="L637" s="37" t="n">
        <x:v>13043542.953127034</x:v>
      </x:c>
      <x:c r="M637" s="37" t="n">
        <x:v>0</x:v>
      </x:c>
      <x:c r="N637" s="37" t="n">
        <x:v>0</x:v>
      </x:c>
      <x:c r="O637" s="37" t="n">
        <x:v>682.4460662975907</x:v>
      </x:c>
      <x:c r="P637" s="37" t="n">
        <x:v>0</x:v>
      </x:c>
      <x:c r="Q637" s="37" t="n">
        <x:v>0</x:v>
      </x:c>
      <x:c r="R637" s="37" t="n">
        <x:v>0</x:v>
      </x:c>
      <x:c r="S637" s="37" t="n">
        <x:v>0</x:v>
      </x:c>
      <x:c r="T637" s="37" t="n">
        <x:v>0</x:v>
      </x:c>
      <x:c r="U637" s="37" t="n">
        <x:v>35631.30899120559</x:v>
      </x:c>
      <x:c r="V637" s="37" t="n">
        <x:v>0</x:v>
      </x:c>
      <x:c r="W637" s="37" t="n">
        <x:v>151262.63990588486</x:v>
      </x:c>
      <x:c r="X637" s="37" t="n">
        <x:v>0</x:v>
      </x:c>
      <x:c r="Y637" s="37" t="n">
        <x:v>2285.0034441034813</x:v>
      </x:c>
      <x:c r="Z637" s="37" t="n">
        <x:v>10477299.375620803</x:v>
      </x:c>
      <x:c r="AA637" s="37" t="n">
        <x:v>0</x:v>
      </x:c>
      <x:c r="AB637" s="37" t="n">
        <x:v>10477299.375620803</x:v>
      </x:c>
      <x:c r="AC637" s="37" t="n">
        <x:v>1978023.7803081796</x:v>
      </x:c>
      <x:c r="AD637" s="37" t="n">
        <x:v>0</x:v>
      </x:c>
      <x:c r="AE637" s="37" t="n">
        <x:v>0</x:v>
      </x:c>
      <x:c r="AF637" s="47" t="b">
        <x:v>0</x:v>
      </x:c>
      <x:c r="AG637" s="47" t="b">
        <x:v>0</x:v>
      </x:c>
      <x:c r="AH637" s="48" t="n">
        <x:v>0</x:v>
      </x:c>
      <x:c r="AI637" s="48" t="n">
        <x:v>1.1920928955078125e-7</x:v>
      </x:c>
      <x:c r="AJ637" s="37" t="str">
        <x:v>passed</x:v>
      </x:c>
    </x:row>
    <x:row r="638" ht="21" customHeight="1">
      <x:c r="A638" s="2"/>
      <x:c r="B638" s="2"/>
      <x:c r="C638" s="2" t="str">
        <x:v>2022</x:v>
      </x:c>
      <x:c r="D638" s="5" t="n">
        <x:v>44791</x:v>
      </x:c>
      <x:c r="E638" s="2" t="str">
        <x:v>constrained</x:v>
      </x:c>
      <x:c r="F638" s="37" t="n">
        <x:v>13198378.949577311</x:v>
      </x:c>
      <x:c r="G638" s="37" t="n">
        <x:v>-86702.30617850437</x:v>
      </x:c>
      <x:c r="H638" s="37" t="n">
        <x:v>-17418.153582108287</x:v>
      </x:c>
      <x:c r="I638" s="37" t="n">
        <x:v>-69284.15259639607</x:v>
      </x:c>
      <x:c r="J638" s="37" t="n">
        <x:v>10862314.992777271</x:v>
      </x:c>
      <x:c r="K638" s="37" t="n">
        <x:v>10949017.298955776</x:v>
      </x:c>
      <x:c r="L638" s="37" t="n">
        <x:v>13111676.643398806</x:v>
      </x:c>
      <x:c r="M638" s="37" t="n">
        <x:v>0</x:v>
      </x:c>
      <x:c r="N638" s="37" t="n">
        <x:v>0</x:v>
      </x:c>
      <x:c r="O638" s="37" t="n">
        <x:v>723.1592213921249</x:v>
      </x:c>
      <x:c r="P638" s="37" t="n">
        <x:v>0</x:v>
      </x:c>
      <x:c r="Q638" s="37" t="n">
        <x:v>0</x:v>
      </x:c>
      <x:c r="R638" s="37" t="n">
        <x:v>0</x:v>
      </x:c>
      <x:c r="S638" s="37" t="n">
        <x:v>0</x:v>
      </x:c>
      <x:c r="T638" s="37" t="n">
        <x:v>0</x:v>
      </x:c>
      <x:c r="U638" s="37" t="n">
        <x:v>30770.55116020547</x:v>
      </x:c>
      <x:c r="V638" s="37" t="n">
        <x:v>0</x:v>
      </x:c>
      <x:c r="W638" s="37" t="n">
        <x:v>162895.07245719805</x:v>
      </x:c>
      <x:c r="X638" s="37" t="n">
        <x:v>0</x:v>
      </x:c>
      <x:c r="Y638" s="37" t="n">
        <x:v>2382.4306640909576</x:v>
      </x:c>
      <x:c r="Z638" s="37" t="n">
        <x:v>11167997.64493489</x:v>
      </x:c>
      <x:c r="AA638" s="37" t="n">
        <x:v>0</x:v>
      </x:c>
      <x:c r="AB638" s="37" t="n">
        <x:v>11167997.64493489</x:v>
      </x:c>
      <x:c r="AC638" s="37" t="n">
        <x:v>2030381.3046424203</x:v>
      </x:c>
      <x:c r="AD638" s="37" t="n">
        <x:v>0</x:v>
      </x:c>
      <x:c r="AE638" s="37" t="n">
        <x:v>0</x:v>
      </x:c>
      <x:c r="AF638" s="47" t="b">
        <x:v>0</x:v>
      </x:c>
      <x:c r="AG638" s="47" t="b">
        <x:v>0</x:v>
      </x:c>
      <x:c r="AH638" s="48" t="n">
        <x:v>0</x:v>
      </x:c>
      <x:c r="AI638" s="48" t="n">
        <x:v>1.1920928955078125e-7</x:v>
      </x:c>
      <x:c r="AJ638" s="37" t="str">
        <x:v>passed</x:v>
      </x:c>
    </x:row>
    <x:row r="639" ht="21" customHeight="1">
      <x:c r="A639" s="2"/>
      <x:c r="B639" s="2"/>
      <x:c r="C639" s="2" t="str">
        <x:v>2022</x:v>
      </x:c>
      <x:c r="D639" s="5" t="n">
        <x:v>44792</x:v>
      </x:c>
      <x:c r="E639" s="2" t="str">
        <x:v>unhedged</x:v>
      </x:c>
      <x:c r="F639" s="37" t="n">
        <x:v>1315693.44171768</x:v>
      </x:c>
      <x:c r="G639" s="37" t="n">
        <x:v>10792003.758971345</x:v>
      </x:c>
      <x:c r="H639" s="37" t="n">
        <x:v>16650.815217391304</x:v>
      </x:c>
      <x:c r="I639" s="37" t="n">
        <x:v>10775352.943753954</x:v>
      </x:c>
      <x:c r="J639" s="37" t="n">
        <x:v>10792003.758971345</x:v>
      </x:c>
      <x:c r="K639" s="37" t="n">
        <x:v>0</x:v>
      </x:c>
      <x:c r="L639" s="37" t="n">
        <x:v>12107697.200689025</x:v>
      </x:c>
      <x:c r="M639" s="37" t="n">
        <x:v>0</x:v>
      </x:c>
      <x:c r="N639" s="37" t="n">
        <x:v>0</x:v>
      </x:c>
      <x:c r="O639" s="37" t="n">
        <x:v>72.08884125365876</x:v>
      </x:c>
      <x:c r="P639" s="37" t="n">
        <x:v>0</x:v>
      </x:c>
      <x:c r="Q639" s="37" t="n">
        <x:v>0</x:v>
      </x:c>
      <x:c r="R639" s="37" t="n">
        <x:v>0</x:v>
      </x:c>
      <x:c r="S639" s="37" t="n">
        <x:v>0</x:v>
      </x:c>
      <x:c r="T639" s="37" t="n">
        <x:v>0</x:v>
      </x:c>
      <x:c r="U639" s="37" t="n">
        <x:v>101250</x:v>
      </x:c>
      <x:c r="V639" s="37" t="n">
        <x:v>0</x:v>
      </x:c>
      <x:c r="W639" s="37" t="n">
        <x:v>15618.161034405697</x:v>
      </x:c>
      <x:c r="X639" s="37" t="n">
        <x:v>0</x:v>
      </x:c>
      <x:c r="Y639" s="37" t="n">
        <x:v>1174.7193167256753</x:v>
      </x:c>
      <x:c r="Z639" s="37" t="n">
        <x:v>0</x:v>
      </x:c>
      <x:c r="AA639" s="37" t="n">
        <x:v>0</x:v>
      </x:c>
      <x:c r="AB639" s="37" t="n">
        <x:v>0</x:v>
      </x:c>
      <x:c r="AC639" s="37" t="n">
        <x:v>1315693.44171768</x:v>
      </x:c>
      <x:c r="AD639" s="37" t="n">
        <x:v>0</x:v>
      </x:c>
      <x:c r="AE639" s="37" t="n">
        <x:v>0</x:v>
      </x:c>
      <x:c r="AF639" s="47" t="b">
        <x:v>0</x:v>
      </x:c>
      <x:c r="AG639" s="47" t="b">
        <x:v>0</x:v>
      </x:c>
      <x:c r="AH639" s="48" t="n">
        <x:v>0</x:v>
      </x:c>
      <x:c r="AI639" s="48" t="n">
        <x:v>1.1920928955078125e-7</x:v>
      </x:c>
      <x:c r="AJ639" s="37" t="str">
        <x:v>passed</x:v>
      </x:c>
    </x:row>
    <x:row r="640" ht="21" customHeight="1">
      <x:c r="A640" s="2"/>
      <x:c r="B640" s="2"/>
      <x:c r="C640" s="2" t="str">
        <x:v>2022</x:v>
      </x:c>
      <x:c r="D640" s="5" t="n">
        <x:v>44792</x:v>
      </x:c>
      <x:c r="E640" s="2" t="str">
        <x:v>duration</x:v>
      </x:c>
      <x:c r="F640" s="37" t="n">
        <x:v>9284449.220240068</x:v>
      </x:c>
      <x:c r="G640" s="37" t="n">
        <x:v>3697892.862334729</x:v>
      </x:c>
      <x:c r="H640" s="37" t="n">
        <x:v>-12564.134845173017</x:v>
      </x:c>
      <x:c r="I640" s="37" t="n">
        <x:v>3710456.997179902</x:v>
      </x:c>
      <x:c r="J640" s="37" t="n">
        <x:v>10792003.758971345</x:v>
      </x:c>
      <x:c r="K640" s="37" t="n">
        <x:v>7094110.896636616</x:v>
      </x:c>
      <x:c r="L640" s="37" t="n">
        <x:v>12982342.082574796</x:v>
      </x:c>
      <x:c r="M640" s="37" t="n">
        <x:v>0</x:v>
      </x:c>
      <x:c r="N640" s="37" t="n">
        <x:v>0</x:v>
      </x:c>
      <x:c r="O640" s="37" t="n">
        <x:v>508.70906910672784</x:v>
      </x:c>
      <x:c r="P640" s="37" t="n">
        <x:v>0</x:v>
      </x:c>
      <x:c r="Q640" s="37" t="n">
        <x:v>0</x:v>
      </x:c>
      <x:c r="R640" s="37" t="n">
        <x:v>0</x:v>
      </x:c>
      <x:c r="S640" s="37" t="n">
        <x:v>0</x:v>
      </x:c>
      <x:c r="T640" s="37" t="n">
        <x:v>0</x:v>
      </x:c>
      <x:c r="U640" s="37" t="n">
        <x:v>44145.09825237111</x:v>
      </x:c>
      <x:c r="V640" s="37" t="n">
        <x:v>0</x:v>
      </x:c>
      <x:c r="W640" s="37" t="n">
        <x:v>116284.04047762416</x:v>
      </x:c>
      <x:c r="X640" s="37" t="n">
        <x:v>0</x:v>
      </x:c>
      <x:c r="Y640" s="37" t="n">
        <x:v>2004.1017498441065</x:v>
      </x:c>
      <x:c r="Z640" s="37" t="n">
        <x:v>7235993.114569349</x:v>
      </x:c>
      <x:c r="AA640" s="37" t="n">
        <x:v>0</x:v>
      </x:c>
      <x:c r="AB640" s="37" t="n">
        <x:v>7235993.114569349</x:v>
      </x:c>
      <x:c r="AC640" s="37" t="n">
        <x:v>2048456.1056707185</x:v>
      </x:c>
      <x:c r="AD640" s="37" t="n">
        <x:v>0</x:v>
      </x:c>
      <x:c r="AE640" s="37" t="n">
        <x:v>0</x:v>
      </x:c>
      <x:c r="AF640" s="47" t="b">
        <x:v>0</x:v>
      </x:c>
      <x:c r="AG640" s="47" t="b">
        <x:v>0</x:v>
      </x:c>
      <x:c r="AH640" s="48" t="n">
        <x:v>0</x:v>
      </x:c>
      <x:c r="AI640" s="48" t="n">
        <x:v>1.1920928955078125e-7</x:v>
      </x:c>
      <x:c r="AJ640" s="37" t="str">
        <x:v>passed</x:v>
      </x:c>
    </x:row>
    <x:row r="641" ht="21" customHeight="1">
      <x:c r="A641" s="2"/>
      <x:c r="B641" s="2"/>
      <x:c r="C641" s="2" t="str">
        <x:v>2022</x:v>
      </x:c>
      <x:c r="D641" s="5" t="n">
        <x:v>44792</x:v>
      </x:c>
      <x:c r="E641" s="2" t="str">
        <x:v>unweighted</x:v>
      </x:c>
      <x:c r="F641" s="37" t="n">
        <x:v>12456005.639389582</x:v>
      </x:c>
      <x:c r="G641" s="37" t="n">
        <x:v>585397.3423981757</x:v>
      </x:c>
      <x:c r="H641" s="37" t="n">
        <x:v>-15531.50454370318</x:v>
      </x:c>
      <x:c r="I641" s="37" t="n">
        <x:v>600928.8469418789</x:v>
      </x:c>
      <x:c r="J641" s="37" t="n">
        <x:v>10801772.485984253</x:v>
      </x:c>
      <x:c r="K641" s="37" t="n">
        <x:v>10216375.143586077</x:v>
      </x:c>
      <x:c r="L641" s="37" t="n">
        <x:v>13041402.981787758</x:v>
      </x:c>
      <x:c r="M641" s="37" t="n">
        <x:v>0</x:v>
      </x:c>
      <x:c r="N641" s="37" t="n">
        <x:v>0</x:v>
      </x:c>
      <x:c r="O641" s="37" t="n">
        <x:v>682.4834605995566</x:v>
      </x:c>
      <x:c r="P641" s="37" t="n">
        <x:v>0</x:v>
      </x:c>
      <x:c r="Q641" s="37" t="n">
        <x:v>0</x:v>
      </x:c>
      <x:c r="R641" s="37" t="n">
        <x:v>0</x:v>
      </x:c>
      <x:c r="S641" s="37" t="n">
        <x:v>0</x:v>
      </x:c>
      <x:c r="T641" s="37" t="n">
        <x:v>0</x:v>
      </x:c>
      <x:c r="U641" s="37" t="n">
        <x:v>35631.30899120559</x:v>
      </x:c>
      <x:c r="V641" s="37" t="n">
        <x:v>0</x:v>
      </x:c>
      <x:c r="W641" s="37" t="n">
        <x:v>151945.12336648442</x:v>
      </x:c>
      <x:c r="X641" s="37" t="n">
        <x:v>0</x:v>
      </x:c>
      <x:c r="Y641" s="37" t="n">
        <x:v>2285.0034441034813</x:v>
      </x:c>
      <x:c r="Z641" s="37" t="n">
        <x:v>10420702.646457799</x:v>
      </x:c>
      <x:c r="AA641" s="37" t="n">
        <x:v>0</x:v>
      </x:c>
      <x:c r="AB641" s="37" t="n">
        <x:v>10420702.646457799</x:v>
      </x:c>
      <x:c r="AC641" s="37" t="n">
        <x:v>2035302.9929317832</x:v>
      </x:c>
      <x:c r="AD641" s="37" t="n">
        <x:v>0</x:v>
      </x:c>
      <x:c r="AE641" s="37" t="n">
        <x:v>0</x:v>
      </x:c>
      <x:c r="AF641" s="47" t="b">
        <x:v>0</x:v>
      </x:c>
      <x:c r="AG641" s="47" t="b">
        <x:v>0</x:v>
      </x:c>
      <x:c r="AH641" s="48" t="n">
        <x:v>0</x:v>
      </x:c>
      <x:c r="AI641" s="48" t="n">
        <x:v>1.1920928955078125e-7</x:v>
      </x:c>
      <x:c r="AJ641" s="37" t="str">
        <x:v>passed</x:v>
      </x:c>
    </x:row>
    <x:row r="642" ht="21" customHeight="1">
      <x:c r="A642" s="2"/>
      <x:c r="B642" s="2"/>
      <x:c r="C642" s="2" t="str">
        <x:v>2022</x:v>
      </x:c>
      <x:c r="D642" s="5" t="n">
        <x:v>44792</x:v>
      </x:c>
      <x:c r="E642" s="2" t="str">
        <x:v>constrained</x:v>
      </x:c>
      <x:c r="F642" s="37" t="n">
        <x:v>13199102.148423864</x:v>
      </x:c>
      <x:c r="G642" s="37" t="n">
        <x:v>-86957.196753223</x:v>
      </x:c>
      <x:c r="H642" s="37" t="n">
        <x:v>-17455.998618781086</x:v>
      </x:c>
      <x:c r="I642" s="37" t="n">
        <x:v>-69501.19813444192</x:v>
      </x:c>
      <x:c r="J642" s="37" t="n">
        <x:v>10803969.912405698</x:v>
      </x:c>
      <x:c r="K642" s="37" t="n">
        <x:v>10890927.10915892</x:v>
      </x:c>
      <x:c r="L642" s="37" t="n">
        <x:v>13112144.951670641</x:v>
      </x:c>
      <x:c r="M642" s="37" t="n">
        <x:v>0</x:v>
      </x:c>
      <x:c r="N642" s="37" t="n">
        <x:v>0</x:v>
      </x:c>
      <x:c r="O642" s="37" t="n">
        <x:v>723.198846552521</x:v>
      </x:c>
      <x:c r="P642" s="37" t="n">
        <x:v>0</x:v>
      </x:c>
      <x:c r="Q642" s="37" t="n">
        <x:v>0</x:v>
      </x:c>
      <x:c r="R642" s="37" t="n">
        <x:v>0</x:v>
      </x:c>
      <x:c r="S642" s="37" t="n">
        <x:v>0</x:v>
      </x:c>
      <x:c r="T642" s="37" t="n">
        <x:v>0</x:v>
      </x:c>
      <x:c r="U642" s="37" t="n">
        <x:v>30770.55116020547</x:v>
      </x:c>
      <x:c r="V642" s="37" t="n">
        <x:v>0</x:v>
      </x:c>
      <x:c r="W642" s="37" t="n">
        <x:v>163618.27130375057</x:v>
      </x:c>
      <x:c r="X642" s="37" t="n">
        <x:v>0</x:v>
      </x:c>
      <x:c r="Y642" s="37" t="n">
        <x:v>2382.4306640909576</x:v>
      </x:c>
      <x:c r="Z642" s="37" t="n">
        <x:v>11108745.6513421</x:v>
      </x:c>
      <x:c r="AA642" s="37" t="n">
        <x:v>0</x:v>
      </x:c>
      <x:c r="AB642" s="37" t="n">
        <x:v>11108745.6513421</x:v>
      </x:c>
      <x:c r="AC642" s="37" t="n">
        <x:v>2090356.497081764</x:v>
      </x:c>
      <x:c r="AD642" s="37" t="n">
        <x:v>0</x:v>
      </x:c>
      <x:c r="AE642" s="37" t="n">
        <x:v>0</x:v>
      </x:c>
      <x:c r="AF642" s="47" t="b">
        <x:v>0</x:v>
      </x:c>
      <x:c r="AG642" s="47" t="b">
        <x:v>0</x:v>
      </x:c>
      <x:c r="AH642" s="48" t="n">
        <x:v>0</x:v>
      </x:c>
      <x:c r="AI642" s="48" t="n">
        <x:v>1.1920928955078125e-7</x:v>
      </x:c>
      <x:c r="AJ642" s="37" t="str">
        <x:v>passed</x:v>
      </x:c>
    </x:row>
    <x:row r="643" ht="21" customHeight="1">
      <x:c r="A643" s="2"/>
      <x:c r="B643" s="2"/>
      <x:c r="C643" s="2" t="str">
        <x:v>2022</x:v>
      </x:c>
      <x:c r="D643" s="5" t="n">
        <x:v>44795</x:v>
      </x:c>
      <x:c r="E643" s="2" t="str">
        <x:v>unhedged</x:v>
      </x:c>
      <x:c r="F643" s="37" t="n">
        <x:v>1315909.7319427477</x:v>
      </x:c>
      <x:c r="G643" s="37" t="n">
        <x:v>10759638.844233043</x:v>
      </x:c>
      <x:c r="H643" s="37" t="n">
        <x:v>17690.217391304348</x:v>
      </x:c>
      <x:c r="I643" s="37" t="n">
        <x:v>10741948.626841739</x:v>
      </x:c>
      <x:c r="J643" s="37" t="n">
        <x:v>10759638.844233043</x:v>
      </x:c>
      <x:c r="K643" s="37" t="n">
        <x:v>0</x:v>
      </x:c>
      <x:c r="L643" s="37" t="n">
        <x:v>12075548.57617579</x:v>
      </x:c>
      <x:c r="M643" s="37" t="n">
        <x:v>0</x:v>
      </x:c>
      <x:c r="N643" s="37" t="n">
        <x:v>0</x:v>
      </x:c>
      <x:c r="O643" s="37" t="n">
        <x:v>216.2902250676416</x:v>
      </x:c>
      <x:c r="P643" s="37" t="n">
        <x:v>0</x:v>
      </x:c>
      <x:c r="Q643" s="37" t="n">
        <x:v>0</x:v>
      </x:c>
      <x:c r="R643" s="37" t="n">
        <x:v>0</x:v>
      </x:c>
      <x:c r="S643" s="37" t="n">
        <x:v>0</x:v>
      </x:c>
      <x:c r="T643" s="37" t="n">
        <x:v>0</x:v>
      </x:c>
      <x:c r="U643" s="37" t="n">
        <x:v>101250</x:v>
      </x:c>
      <x:c r="V643" s="37" t="n">
        <x:v>0</x:v>
      </x:c>
      <x:c r="W643" s="37" t="n">
        <x:v>15834.451259473339</x:v>
      </x:c>
      <x:c r="X643" s="37" t="n">
        <x:v>0</x:v>
      </x:c>
      <x:c r="Y643" s="37" t="n">
        <x:v>1174.7193167256753</x:v>
      </x:c>
      <x:c r="Z643" s="37" t="n">
        <x:v>0</x:v>
      </x:c>
      <x:c r="AA643" s="37" t="n">
        <x:v>0</x:v>
      </x:c>
      <x:c r="AB643" s="37" t="n">
        <x:v>0</x:v>
      </x:c>
      <x:c r="AC643" s="37" t="n">
        <x:v>1315909.7319427477</x:v>
      </x:c>
      <x:c r="AD643" s="37" t="n">
        <x:v>0</x:v>
      </x:c>
      <x:c r="AE643" s="37" t="n">
        <x:v>0</x:v>
      </x:c>
      <x:c r="AF643" s="47" t="b">
        <x:v>0</x:v>
      </x:c>
      <x:c r="AG643" s="47" t="b">
        <x:v>0</x:v>
      </x:c>
      <x:c r="AH643" s="48" t="n">
        <x:v>0</x:v>
      </x:c>
      <x:c r="AI643" s="48" t="n">
        <x:v>1.1920928955078125e-7</x:v>
      </x:c>
      <x:c r="AJ643" s="37" t="str">
        <x:v>passed</x:v>
      </x:c>
    </x:row>
    <x:row r="644" ht="21" customHeight="1">
      <x:c r="A644" s="2"/>
      <x:c r="B644" s="2"/>
      <x:c r="C644" s="2" t="str">
        <x:v>2022</x:v>
      </x:c>
      <x:c r="D644" s="5" t="n">
        <x:v>44795</x:v>
      </x:c>
      <x:c r="E644" s="2" t="str">
        <x:v>duration</x:v>
      </x:c>
      <x:c r="F644" s="37" t="n">
        <x:v>9285975.514700312</x:v>
      </x:c>
      <x:c r="G644" s="37" t="n">
        <x:v>3695914.2407300984</x:v>
      </x:c>
      <x:c r="H644" s="37" t="n">
        <x:v>-12437.69986071511</x:v>
      </x:c>
      <x:c r="I644" s="37" t="n">
        <x:v>3708351.9405908138</x:v>
      </x:c>
      <x:c r="J644" s="37" t="n">
        <x:v>10759638.844233043</x:v>
      </x:c>
      <x:c r="K644" s="37" t="n">
        <x:v>7063724.603502945</x:v>
      </x:c>
      <x:c r="L644" s="37" t="n">
        <x:v>12981889.755430412</x:v>
      </x:c>
      <x:c r="M644" s="37" t="n">
        <x:v>0</x:v>
      </x:c>
      <x:c r="N644" s="37" t="n">
        <x:v>0</x:v>
      </x:c>
      <x:c r="O644" s="37" t="n">
        <x:v>1526.2944602444768</x:v>
      </x:c>
      <x:c r="P644" s="37" t="n">
        <x:v>0</x:v>
      </x:c>
      <x:c r="Q644" s="37" t="n">
        <x:v>0</x:v>
      </x:c>
      <x:c r="R644" s="37" t="n">
        <x:v>0</x:v>
      </x:c>
      <x:c r="S644" s="37" t="n">
        <x:v>0</x:v>
      </x:c>
      <x:c r="T644" s="37" t="n">
        <x:v>0</x:v>
      </x:c>
      <x:c r="U644" s="37" t="n">
        <x:v>44145.09825237111</x:v>
      </x:c>
      <x:c r="V644" s="37" t="n">
        <x:v>0</x:v>
      </x:c>
      <x:c r="W644" s="37" t="n">
        <x:v>117810.33493786864</x:v>
      </x:c>
      <x:c r="X644" s="37" t="n">
        <x:v>0</x:v>
      </x:c>
      <x:c r="Y644" s="37" t="n">
        <x:v>2004.1017498441065</x:v>
      </x:c>
      <x:c r="Z644" s="37" t="n">
        <x:v>7204999.095573004</x:v>
      </x:c>
      <x:c r="AA644" s="37" t="n">
        <x:v>0</x:v>
      </x:c>
      <x:c r="AB644" s="37" t="n">
        <x:v>7204999.095573004</x:v>
      </x:c>
      <x:c r="AC644" s="37" t="n">
        <x:v>2080976.4191273078</x:v>
      </x:c>
      <x:c r="AD644" s="37" t="n">
        <x:v>0</x:v>
      </x:c>
      <x:c r="AE644" s="37" t="n">
        <x:v>0</x:v>
      </x:c>
      <x:c r="AF644" s="47" t="b">
        <x:v>0</x:v>
      </x:c>
      <x:c r="AG644" s="47" t="b">
        <x:v>0</x:v>
      </x:c>
      <x:c r="AH644" s="48" t="n">
        <x:v>0</x:v>
      </x:c>
      <x:c r="AI644" s="48" t="n">
        <x:v>1.1920928955078125e-7</x:v>
      </x:c>
      <x:c r="AJ644" s="37" t="str">
        <x:v>passed</x:v>
      </x:c>
    </x:row>
    <x:row r="645" ht="21" customHeight="1">
      <x:c r="A645" s="2"/>
      <x:c r="B645" s="2"/>
      <x:c r="C645" s="2" t="str">
        <x:v>2022</x:v>
      </x:c>
      <x:c r="D645" s="5" t="n">
        <x:v>44795</x:v>
      </x:c>
      <x:c r="E645" s="2" t="str">
        <x:v>unweighted</x:v>
      </x:c>
      <x:c r="F645" s="37" t="n">
        <x:v>12458053.314157702</x:v>
      </x:c>
      <x:c r="G645" s="37" t="n">
        <x:v>583522.7361438465</x:v>
      </x:c>
      <x:c r="H645" s="37" t="n">
        <x:v>-15576.831268099551</x:v>
      </x:c>
      <x:c r="I645" s="37" t="n">
        <x:v>599099.5674119461</x:v>
      </x:c>
      <x:c r="J645" s="37" t="n">
        <x:v>10769368.18696116</x:v>
      </x:c>
      <x:c r="K645" s="37" t="n">
        <x:v>10185845.450817313</x:v>
      </x:c>
      <x:c r="L645" s="37" t="n">
        <x:v>13041576.050301548</x:v>
      </x:c>
      <x:c r="M645" s="37" t="n">
        <x:v>0</x:v>
      </x:c>
      <x:c r="N645" s="37" t="n">
        <x:v>0</x:v>
      </x:c>
      <x:c r="O645" s="37" t="n">
        <x:v>2047.6747681200504</x:v>
      </x:c>
      <x:c r="P645" s="37" t="n">
        <x:v>0</x:v>
      </x:c>
      <x:c r="Q645" s="37" t="n">
        <x:v>0</x:v>
      </x:c>
      <x:c r="R645" s="37" t="n">
        <x:v>0</x:v>
      </x:c>
      <x:c r="S645" s="37" t="n">
        <x:v>0</x:v>
      </x:c>
      <x:c r="T645" s="37" t="n">
        <x:v>0</x:v>
      </x:c>
      <x:c r="U645" s="37" t="n">
        <x:v>35631.30899120559</x:v>
      </x:c>
      <x:c r="V645" s="37" t="n">
        <x:v>0</x:v>
      </x:c>
      <x:c r="W645" s="37" t="n">
        <x:v>153992.79813460447</x:v>
      </x:c>
      <x:c r="X645" s="37" t="n">
        <x:v>0</x:v>
      </x:c>
      <x:c r="Y645" s="37" t="n">
        <x:v>2285.0034441034813</x:v>
      </x:c>
      <x:c r="Z645" s="37" t="n">
        <x:v>10389562.35983366</x:v>
      </x:c>
      <x:c r="AA645" s="37" t="n">
        <x:v>0</x:v>
      </x:c>
      <x:c r="AB645" s="37" t="n">
        <x:v>10389562.35983366</x:v>
      </x:c>
      <x:c r="AC645" s="37" t="n">
        <x:v>2068490.9543240424</x:v>
      </x:c>
      <x:c r="AD645" s="37" t="n">
        <x:v>0</x:v>
      </x:c>
      <x:c r="AE645" s="37" t="n">
        <x:v>0</x:v>
      </x:c>
      <x:c r="AF645" s="47" t="b">
        <x:v>0</x:v>
      </x:c>
      <x:c r="AG645" s="47" t="b">
        <x:v>0</x:v>
      </x:c>
      <x:c r="AH645" s="48" t="n">
        <x:v>0</x:v>
      </x:c>
      <x:c r="AI645" s="48" t="n">
        <x:v>1.1920928955078125e-7</x:v>
      </x:c>
      <x:c r="AJ645" s="37" t="str">
        <x:v>passed</x:v>
      </x:c>
    </x:row>
    <x:row r="646" ht="21" customHeight="1">
      <x:c r="A646" s="2"/>
      <x:c r="B646" s="2"/>
      <x:c r="C646" s="2" t="str">
        <x:v>2022</x:v>
      </x:c>
      <x:c r="D646" s="5" t="n">
        <x:v>44795</x:v>
      </x:c>
      <x:c r="E646" s="2" t="str">
        <x:v>constrained</x:v>
      </x:c>
      <x:c r="F646" s="37" t="n">
        <x:v>13201271.982736213</x:v>
      </x:c>
      <x:c r="G646" s="37" t="n">
        <x:v>-87107.86566799814</x:v>
      </x:c>
      <x:c r="H646" s="37" t="n">
        <x:v>-17569.533728799473</x:v>
      </x:c>
      <x:c r="I646" s="37" t="n">
        <x:v>-69538.33193919866</x:v>
      </x:c>
      <x:c r="J646" s="37" t="n">
        <x:v>10771556.754084164</x:v>
      </x:c>
      <x:c r="K646" s="37" t="n">
        <x:v>10858664.619752163</x:v>
      </x:c>
      <x:c r="L646" s="37" t="n">
        <x:v>13114164.117068214</x:v>
      </x:c>
      <x:c r="M646" s="37" t="n">
        <x:v>0</x:v>
      </x:c>
      <x:c r="N646" s="37" t="n">
        <x:v>0</x:v>
      </x:c>
      <x:c r="O646" s="37" t="n">
        <x:v>2169.834312349558</x:v>
      </x:c>
      <x:c r="P646" s="37" t="n">
        <x:v>0</x:v>
      </x:c>
      <x:c r="Q646" s="37" t="n">
        <x:v>0</x:v>
      </x:c>
      <x:c r="R646" s="37" t="n">
        <x:v>0</x:v>
      </x:c>
      <x:c r="S646" s="37" t="n">
        <x:v>0</x:v>
      </x:c>
      <x:c r="T646" s="37" t="n">
        <x:v>0</x:v>
      </x:c>
      <x:c r="U646" s="37" t="n">
        <x:v>30770.55116020547</x:v>
      </x:c>
      <x:c r="V646" s="37" t="n">
        <x:v>0</x:v>
      </x:c>
      <x:c r="W646" s="37" t="n">
        <x:v>165788.10561610013</x:v>
      </x:c>
      <x:c r="X646" s="37" t="n">
        <x:v>0</x:v>
      </x:c>
      <x:c r="Y646" s="37" t="n">
        <x:v>2382.4306640909576</x:v>
      </x:c>
      <x:c r="Z646" s="37" t="n">
        <x:v>11075837.912147207</x:v>
      </x:c>
      <x:c r="AA646" s="37" t="n">
        <x:v>0</x:v>
      </x:c>
      <x:c r="AB646" s="37" t="n">
        <x:v>11075837.912147207</x:v>
      </x:c>
      <x:c r="AC646" s="37" t="n">
        <x:v>2125434.070589006</x:v>
      </x:c>
      <x:c r="AD646" s="37" t="n">
        <x:v>0</x:v>
      </x:c>
      <x:c r="AE646" s="37" t="n">
        <x:v>0</x:v>
      </x:c>
      <x:c r="AF646" s="47" t="b">
        <x:v>0</x:v>
      </x:c>
      <x:c r="AG646" s="47" t="b">
        <x:v>0</x:v>
      </x:c>
      <x:c r="AH646" s="48" t="n">
        <x:v>0</x:v>
      </x:c>
      <x:c r="AI646" s="48" t="n">
        <x:v>1.1920928955078125e-7</x:v>
      </x:c>
      <x:c r="AJ646" s="37" t="str">
        <x:v>passed</x:v>
      </x:c>
    </x:row>
    <x:row r="647" ht="21" customHeight="1">
      <x:c r="A647" s="2"/>
      <x:c r="B647" s="2"/>
      <x:c r="C647" s="2" t="str">
        <x:v>2022</x:v>
      </x:c>
      <x:c r="D647" s="5" t="n">
        <x:v>44796</x:v>
      </x:c>
      <x:c r="E647" s="2" t="str">
        <x:v>unhedged</x:v>
      </x:c>
      <x:c r="F647" s="37" t="n">
        <x:v>1315981.8365855939</x:v>
      </x:c>
      <x:c r="G647" s="37" t="n">
        <x:v>10750568.527474662</x:v>
      </x:c>
      <x:c r="H647" s="37" t="n">
        <x:v>18036.684782608696</x:v>
      </x:c>
      <x:c r="I647" s="37" t="n">
        <x:v>10732531.842692053</x:v>
      </x:c>
      <x:c r="J647" s="37" t="n">
        <x:v>10750568.527474662</x:v>
      </x:c>
      <x:c r="K647" s="37" t="n">
        <x:v>0</x:v>
      </x:c>
      <x:c r="L647" s="37" t="n">
        <x:v>12066550.364060257</x:v>
      </x:c>
      <x:c r="M647" s="37" t="n">
        <x:v>0</x:v>
      </x:c>
      <x:c r="N647" s="37" t="n">
        <x:v>0</x:v>
      </x:c>
      <x:c r="O647" s="37" t="n">
        <x:v>72.10464284615591</x:v>
      </x:c>
      <x:c r="P647" s="37" t="n">
        <x:v>0</x:v>
      </x:c>
      <x:c r="Q647" s="37" t="n">
        <x:v>0</x:v>
      </x:c>
      <x:c r="R647" s="37" t="n">
        <x:v>0</x:v>
      </x:c>
      <x:c r="S647" s="37" t="n">
        <x:v>0</x:v>
      </x:c>
      <x:c r="T647" s="37" t="n">
        <x:v>0</x:v>
      </x:c>
      <x:c r="U647" s="37" t="n">
        <x:v>101250</x:v>
      </x:c>
      <x:c r="V647" s="37" t="n">
        <x:v>0</x:v>
      </x:c>
      <x:c r="W647" s="37" t="n">
        <x:v>15906.555902319495</x:v>
      </x:c>
      <x:c r="X647" s="37" t="n">
        <x:v>0</x:v>
      </x:c>
      <x:c r="Y647" s="37" t="n">
        <x:v>1174.7193167256753</x:v>
      </x:c>
      <x:c r="Z647" s="37" t="n">
        <x:v>0</x:v>
      </x:c>
      <x:c r="AA647" s="37" t="n">
        <x:v>0</x:v>
      </x:c>
      <x:c r="AB647" s="37" t="n">
        <x:v>0</x:v>
      </x:c>
      <x:c r="AC647" s="37" t="n">
        <x:v>1315981.8365855939</x:v>
      </x:c>
      <x:c r="AD647" s="37" t="n">
        <x:v>0</x:v>
      </x:c>
      <x:c r="AE647" s="37" t="n">
        <x:v>0</x:v>
      </x:c>
      <x:c r="AF647" s="47" t="b">
        <x:v>0</x:v>
      </x:c>
      <x:c r="AG647" s="47" t="b">
        <x:v>0</x:v>
      </x:c>
      <x:c r="AH647" s="48" t="n">
        <x:v>0</x:v>
      </x:c>
      <x:c r="AI647" s="48" t="n">
        <x:v>1.1920928955078125e-7</x:v>
      </x:c>
      <x:c r="AJ647" s="37" t="str">
        <x:v>passed</x:v>
      </x:c>
    </x:row>
    <x:row r="648" ht="21" customHeight="1">
      <x:c r="A648" s="2"/>
      <x:c r="B648" s="2"/>
      <x:c r="C648" s="2" t="str">
        <x:v>2022</x:v>
      </x:c>
      <x:c r="D648" s="5" t="n">
        <x:v>44796</x:v>
      </x:c>
      <x:c r="E648" s="2" t="str">
        <x:v>duration</x:v>
      </x:c>
      <x:c r="F648" s="37" t="n">
        <x:v>9286484.33527646</x:v>
      </x:c>
      <x:c r="G648" s="37" t="n">
        <x:v>3701445.905173869</x:v>
      </x:c>
      <x:c r="H648" s="37" t="n">
        <x:v>-12395.554865895807</x:v>
      </x:c>
      <x:c r="I648" s="37" t="n">
        <x:v>3713841.4600397646</x:v>
      </x:c>
      <x:c r="J648" s="37" t="n">
        <x:v>10750568.527474662</x:v>
      </x:c>
      <x:c r="K648" s="37" t="n">
        <x:v>7049122.6223007925</x:v>
      </x:c>
      <x:c r="L648" s="37" t="n">
        <x:v>12987930.24045033</x:v>
      </x:c>
      <x:c r="M648" s="37" t="n">
        <x:v>0</x:v>
      </x:c>
      <x:c r="N648" s="37" t="n">
        <x:v>0</x:v>
      </x:c>
      <x:c r="O648" s="37" t="n">
        <x:v>508.82057614810765</x:v>
      </x:c>
      <x:c r="P648" s="37" t="n">
        <x:v>0</x:v>
      </x:c>
      <x:c r="Q648" s="37" t="n">
        <x:v>0</x:v>
      </x:c>
      <x:c r="R648" s="37" t="n">
        <x:v>0</x:v>
      </x:c>
      <x:c r="S648" s="37" t="n">
        <x:v>0</x:v>
      </x:c>
      <x:c r="T648" s="37" t="n">
        <x:v>0</x:v>
      </x:c>
      <x:c r="U648" s="37" t="n">
        <x:v>44145.09825237111</x:v>
      </x:c>
      <x:c r="V648" s="37" t="n">
        <x:v>0</x:v>
      </x:c>
      <x:c r="W648" s="37" t="n">
        <x:v>118319.15551401675</x:v>
      </x:c>
      <x:c r="X648" s="37" t="n">
        <x:v>0</x:v>
      </x:c>
      <x:c r="Y648" s="37" t="n">
        <x:v>2004.1017498441065</x:v>
      </x:c>
      <x:c r="Z648" s="37" t="n">
        <x:v>7190105.074746808</x:v>
      </x:c>
      <x:c r="AA648" s="37" t="n">
        <x:v>0</x:v>
      </x:c>
      <x:c r="AB648" s="37" t="n">
        <x:v>7190105.074746808</x:v>
      </x:c>
      <x:c r="AC648" s="37" t="n">
        <x:v>2096379.2605296522</x:v>
      </x:c>
      <x:c r="AD648" s="37" t="n">
        <x:v>0</x:v>
      </x:c>
      <x:c r="AE648" s="37" t="n">
        <x:v>0</x:v>
      </x:c>
      <x:c r="AF648" s="47" t="b">
        <x:v>0</x:v>
      </x:c>
      <x:c r="AG648" s="47" t="b">
        <x:v>0</x:v>
      </x:c>
      <x:c r="AH648" s="48" t="n">
        <x:v>0</x:v>
      </x:c>
      <x:c r="AI648" s="48" t="n">
        <x:v>1.1920928955078125e-7</x:v>
      </x:c>
      <x:c r="AJ648" s="37" t="str">
        <x:v>passed</x:v>
      </x:c>
    </x:row>
    <x:row r="649" ht="21" customHeight="1">
      <x:c r="A649" s="2"/>
      <x:c r="B649" s="2"/>
      <x:c r="C649" s="2" t="str">
        <x:v>2022</x:v>
      </x:c>
      <x:c r="D649" s="5" t="n">
        <x:v>44796</x:v>
      </x:c>
      <x:c r="E649" s="2" t="str">
        <x:v>unweighted</x:v>
      </x:c>
      <x:c r="F649" s="37" t="n">
        <x:v>12458735.947216013</x:v>
      </x:c>
      <x:c r="G649" s="37" t="n">
        <x:v>583023.4833345062</x:v>
      </x:c>
      <x:c r="H649" s="37" t="n">
        <x:v>-15591.940176231677</x:v>
      </x:c>
      <x:c r="I649" s="37" t="n">
        <x:v>598615.4235107378</x:v>
      </x:c>
      <x:c r="J649" s="37" t="n">
        <x:v>10760276.543267976</x:v>
      </x:c>
      <x:c r="K649" s="37" t="n">
        <x:v>10177253.05993347</x:v>
      </x:c>
      <x:c r="L649" s="37" t="n">
        <x:v>13041759.43055052</x:v>
      </x:c>
      <x:c r="M649" s="37" t="n">
        <x:v>0</x:v>
      </x:c>
      <x:c r="N649" s="37" t="n">
        <x:v>0</x:v>
      </x:c>
      <x:c r="O649" s="37" t="n">
        <x:v>682.6330583114177</x:v>
      </x:c>
      <x:c r="P649" s="37" t="n">
        <x:v>0</x:v>
      </x:c>
      <x:c r="Q649" s="37" t="n">
        <x:v>0</x:v>
      </x:c>
      <x:c r="R649" s="37" t="n">
        <x:v>0</x:v>
      </x:c>
      <x:c r="S649" s="37" t="n">
        <x:v>0</x:v>
      </x:c>
      <x:c r="T649" s="37" t="n">
        <x:v>0</x:v>
      </x:c>
      <x:c r="U649" s="37" t="n">
        <x:v>35631.30899120559</x:v>
      </x:c>
      <x:c r="V649" s="37" t="n">
        <x:v>0</x:v>
      </x:c>
      <x:c r="W649" s="37" t="n">
        <x:v>154675.4311929159</x:v>
      </x:c>
      <x:c r="X649" s="37" t="n">
        <x:v>0</x:v>
      </x:c>
      <x:c r="Y649" s="37" t="n">
        <x:v>2285.0034441034813</x:v>
      </x:c>
      <x:c r="Z649" s="37" t="n">
        <x:v>10380798.121132141</x:v>
      </x:c>
      <x:c r="AA649" s="37" t="n">
        <x:v>0</x:v>
      </x:c>
      <x:c r="AB649" s="37" t="n">
        <x:v>10380798.121132141</x:v>
      </x:c>
      <x:c r="AC649" s="37" t="n">
        <x:v>2077937.8260838725</x:v>
      </x:c>
      <x:c r="AD649" s="37" t="n">
        <x:v>0</x:v>
      </x:c>
      <x:c r="AE649" s="37" t="n">
        <x:v>0</x:v>
      </x:c>
      <x:c r="AF649" s="47" t="b">
        <x:v>0</x:v>
      </x:c>
      <x:c r="AG649" s="47" t="b">
        <x:v>0</x:v>
      </x:c>
      <x:c r="AH649" s="48" t="n">
        <x:v>0</x:v>
      </x:c>
      <x:c r="AI649" s="48" t="n">
        <x:v>1.1920928955078125e-7</x:v>
      </x:c>
      <x:c r="AJ649" s="37" t="str">
        <x:v>passed</x:v>
      </x:c>
    </x:row>
    <x:row r="650" ht="21" customHeight="1">
      <x:c r="A650" s="2"/>
      <x:c r="B650" s="2"/>
      <x:c r="C650" s="2" t="str">
        <x:v>2022</x:v>
      </x:c>
      <x:c r="D650" s="5" t="n">
        <x:v>44796</x:v>
      </x:c>
      <x:c r="E650" s="2" t="str">
        <x:v>constrained</x:v>
      </x:c>
      <x:c r="F650" s="37" t="n">
        <x:v>13201995.340105131</x:v>
      </x:c>
      <x:c r="G650" s="37" t="n">
        <x:v>-87394.04942423677</x:v>
      </x:c>
      <x:c r="H650" s="37" t="n">
        <x:v>-17607.378765472273</x:v>
      </x:c>
      <x:c r="I650" s="37" t="n">
        <x:v>-69786.6706587645</x:v>
      </x:c>
      <x:c r="J650" s="37" t="n">
        <x:v>10762460.313003363</x:v>
      </x:c>
      <x:c r="K650" s="37" t="n">
        <x:v>10849854.3624276</x:v>
      </x:c>
      <x:c r="L650" s="37" t="n">
        <x:v>13114601.290680895</x:v>
      </x:c>
      <x:c r="M650" s="37" t="n">
        <x:v>0</x:v>
      </x:c>
      <x:c r="N650" s="37" t="n">
        <x:v>0</x:v>
      </x:c>
      <x:c r="O650" s="37" t="n">
        <x:v>723.3573689181358</x:v>
      </x:c>
      <x:c r="P650" s="37" t="n">
        <x:v>0</x:v>
      </x:c>
      <x:c r="Q650" s="37" t="n">
        <x:v>0</x:v>
      </x:c>
      <x:c r="R650" s="37" t="n">
        <x:v>0</x:v>
      </x:c>
      <x:c r="S650" s="37" t="n">
        <x:v>0</x:v>
      </x:c>
      <x:c r="T650" s="37" t="n">
        <x:v>0</x:v>
      </x:c>
      <x:c r="U650" s="37" t="n">
        <x:v>30770.55116020547</x:v>
      </x:c>
      <x:c r="V650" s="37" t="n">
        <x:v>0</x:v>
      </x:c>
      <x:c r="W650" s="37" t="n">
        <x:v>166511.46298501827</x:v>
      </x:c>
      <x:c r="X650" s="37" t="n">
        <x:v>0</x:v>
      </x:c>
      <x:c r="Y650" s="37" t="n">
        <x:v>2382.4306640909576</x:v>
      </x:c>
      <x:c r="Z650" s="37" t="n">
        <x:v>11066851.449676152</x:v>
      </x:c>
      <x:c r="AA650" s="37" t="n">
        <x:v>0</x:v>
      </x:c>
      <x:c r="AB650" s="37" t="n">
        <x:v>11066851.449676152</x:v>
      </x:c>
      <x:c r="AC650" s="37" t="n">
        <x:v>2135143.890428979</x:v>
      </x:c>
      <x:c r="AD650" s="37" t="n">
        <x:v>0</x:v>
      </x:c>
      <x:c r="AE650" s="37" t="n">
        <x:v>0</x:v>
      </x:c>
      <x:c r="AF650" s="47" t="b">
        <x:v>0</x:v>
      </x:c>
      <x:c r="AG650" s="47" t="b">
        <x:v>0</x:v>
      </x:c>
      <x:c r="AH650" s="48" t="n">
        <x:v>0</x:v>
      </x:c>
      <x:c r="AI650" s="48" t="n">
        <x:v>1.1920928955078125e-7</x:v>
      </x:c>
      <x:c r="AJ650" s="37" t="str">
        <x:v>passed</x:v>
      </x:c>
    </x:row>
    <x:row r="651" ht="21" customHeight="1">
      <x:c r="A651" s="2"/>
      <x:c r="B651" s="2"/>
      <x:c r="C651" s="2" t="str">
        <x:v>2022</x:v>
      </x:c>
      <x:c r="D651" s="5" t="n">
        <x:v>44797</x:v>
      </x:c>
      <x:c r="E651" s="2" t="str">
        <x:v>unhedged</x:v>
      </x:c>
      <x:c r="F651" s="37" t="n">
        <x:v>1316053.9451793793</x:v>
      </x:c>
      <x:c r="G651" s="37" t="n">
        <x:v>10714572.50410213</x:v>
      </x:c>
      <x:c r="H651" s="37" t="n">
        <x:v>18383.152173913044</x:v>
      </x:c>
      <x:c r="I651" s="37" t="n">
        <x:v>10696189.351928217</x:v>
      </x:c>
      <x:c r="J651" s="37" t="n">
        <x:v>10714572.50410213</x:v>
      </x:c>
      <x:c r="K651" s="37" t="n">
        <x:v>0</x:v>
      </x:c>
      <x:c r="L651" s="37" t="n">
        <x:v>12030626.449281508</x:v>
      </x:c>
      <x:c r="M651" s="37" t="n">
        <x:v>0</x:v>
      </x:c>
      <x:c r="N651" s="37" t="n">
        <x:v>0</x:v>
      </x:c>
      <x:c r="O651" s="37" t="n">
        <x:v>72.10859378543682</x:v>
      </x:c>
      <x:c r="P651" s="37" t="n">
        <x:v>0</x:v>
      </x:c>
      <x:c r="Q651" s="37" t="n">
        <x:v>0</x:v>
      </x:c>
      <x:c r="R651" s="37" t="n">
        <x:v>0</x:v>
      </x:c>
      <x:c r="S651" s="37" t="n">
        <x:v>0</x:v>
      </x:c>
      <x:c r="T651" s="37" t="n">
        <x:v>0</x:v>
      </x:c>
      <x:c r="U651" s="37" t="n">
        <x:v>101250</x:v>
      </x:c>
      <x:c r="V651" s="37" t="n">
        <x:v>0</x:v>
      </x:c>
      <x:c r="W651" s="37" t="n">
        <x:v>15978.664496104931</x:v>
      </x:c>
      <x:c r="X651" s="37" t="n">
        <x:v>0</x:v>
      </x:c>
      <x:c r="Y651" s="37" t="n">
        <x:v>1174.7193167256753</x:v>
      </x:c>
      <x:c r="Z651" s="37" t="n">
        <x:v>0</x:v>
      </x:c>
      <x:c r="AA651" s="37" t="n">
        <x:v>0</x:v>
      </x:c>
      <x:c r="AB651" s="37" t="n">
        <x:v>0</x:v>
      </x:c>
      <x:c r="AC651" s="37" t="n">
        <x:v>1316053.9451793793</x:v>
      </x:c>
      <x:c r="AD651" s="37" t="n">
        <x:v>0</x:v>
      </x:c>
      <x:c r="AE651" s="37" t="n">
        <x:v>0</x:v>
      </x:c>
      <x:c r="AF651" s="47" t="b">
        <x:v>0</x:v>
      </x:c>
      <x:c r="AG651" s="47" t="b">
        <x:v>0</x:v>
      </x:c>
      <x:c r="AH651" s="48" t="n">
        <x:v>0</x:v>
      </x:c>
      <x:c r="AI651" s="48" t="n">
        <x:v>1.1920928955078125e-7</x:v>
      </x:c>
      <x:c r="AJ651" s="37" t="str">
        <x:v>passed</x:v>
      </x:c>
    </x:row>
    <x:row r="652" ht="21" customHeight="1">
      <x:c r="A652" s="2"/>
      <x:c r="B652" s="2"/>
      <x:c r="C652" s="2" t="str">
        <x:v>2022</x:v>
      </x:c>
      <x:c r="D652" s="5" t="n">
        <x:v>44797</x:v>
      </x:c>
      <x:c r="E652" s="2" t="str">
        <x:v>duration</x:v>
      </x:c>
      <x:c r="F652" s="37" t="n">
        <x:v>9286993.183733188</x:v>
      </x:c>
      <x:c r="G652" s="37" t="n">
        <x:v>3702184.9188222</x:v>
      </x:c>
      <x:c r="H652" s="37" t="n">
        <x:v>-12353.4098710765</x:v>
      </x:c>
      <x:c r="I652" s="37" t="n">
        <x:v>3714538.3286932767</x:v>
      </x:c>
      <x:c r="J652" s="37" t="n">
        <x:v>10714572.50410213</x:v>
      </x:c>
      <x:c r="K652" s="37" t="n">
        <x:v>7012387.58527993</x:v>
      </x:c>
      <x:c r="L652" s="37" t="n">
        <x:v>12989178.102555387</x:v>
      </x:c>
      <x:c r="M652" s="37" t="n">
        <x:v>0</x:v>
      </x:c>
      <x:c r="N652" s="37" t="n">
        <x:v>0</x:v>
      </x:c>
      <x:c r="O652" s="37" t="n">
        <x:v>508.8484567273408</x:v>
      </x:c>
      <x:c r="P652" s="37" t="n">
        <x:v>0</x:v>
      </x:c>
      <x:c r="Q652" s="37" t="n">
        <x:v>0</x:v>
      </x:c>
      <x:c r="R652" s="37" t="n">
        <x:v>0</x:v>
      </x:c>
      <x:c r="S652" s="37" t="n">
        <x:v>0</x:v>
      </x:c>
      <x:c r="T652" s="37" t="n">
        <x:v>0</x:v>
      </x:c>
      <x:c r="U652" s="37" t="n">
        <x:v>44145.09825237111</x:v>
      </x:c>
      <x:c r="V652" s="37" t="n">
        <x:v>0</x:v>
      </x:c>
      <x:c r="W652" s="37" t="n">
        <x:v>118828.00397074409</x:v>
      </x:c>
      <x:c r="X652" s="37" t="n">
        <x:v>0</x:v>
      </x:c>
      <x:c r="Y652" s="37" t="n">
        <x:v>2004.1017498441065</x:v>
      </x:c>
      <x:c r="Z652" s="37" t="n">
        <x:v>7152635.336985529</x:v>
      </x:c>
      <x:c r="AA652" s="37" t="n">
        <x:v>0</x:v>
      </x:c>
      <x:c r="AB652" s="37" t="n">
        <x:v>7152635.336985529</x:v>
      </x:c>
      <x:c r="AC652" s="37" t="n">
        <x:v>2134357.846747658</x:v>
      </x:c>
      <x:c r="AD652" s="37" t="n">
        <x:v>0</x:v>
      </x:c>
      <x:c r="AE652" s="37" t="n">
        <x:v>0</x:v>
      </x:c>
      <x:c r="AF652" s="47" t="b">
        <x:v>0</x:v>
      </x:c>
      <x:c r="AG652" s="47" t="b">
        <x:v>0</x:v>
      </x:c>
      <x:c r="AH652" s="48" t="n">
        <x:v>0</x:v>
      </x:c>
      <x:c r="AI652" s="48" t="n">
        <x:v>1.1920928955078125e-7</x:v>
      </x:c>
      <x:c r="AJ652" s="37" t="str">
        <x:v>passed</x:v>
      </x:c>
    </x:row>
    <x:row r="653" ht="21" customHeight="1">
      <x:c r="A653" s="2"/>
      <x:c r="B653" s="2"/>
      <x:c r="C653" s="2" t="str">
        <x:v>2022</x:v>
      </x:c>
      <x:c r="D653" s="5" t="n">
        <x:v>44797</x:v>
      </x:c>
      <x:c r="E653" s="2" t="str">
        <x:v>unweighted</x:v>
      </x:c>
      <x:c r="F653" s="37" t="n">
        <x:v>12459418.617678873</x:v>
      </x:c>
      <x:c r="G653" s="37" t="n">
        <x:v>581410.0978979405</x:v>
      </x:c>
      <x:c r="H653" s="37" t="n">
        <x:v>-15607.049084363796</x:v>
      </x:c>
      <x:c r="I653" s="37" t="n">
        <x:v>597017.1469823043</x:v>
      </x:c>
      <x:c r="J653" s="37" t="n">
        <x:v>10724178.963180438</x:v>
      </x:c>
      <x:c r="K653" s="37" t="n">
        <x:v>10142768.865282496</x:v>
      </x:c>
      <x:c r="L653" s="37" t="n">
        <x:v>13040828.715576814</x:v>
      </x:c>
      <x:c r="M653" s="37" t="n">
        <x:v>0</x:v>
      </x:c>
      <x:c r="N653" s="37" t="n">
        <x:v>0</x:v>
      </x:c>
      <x:c r="O653" s="37" t="n">
        <x:v>682.6704628597945</x:v>
      </x:c>
      <x:c r="P653" s="37" t="n">
        <x:v>0</x:v>
      </x:c>
      <x:c r="Q653" s="37" t="n">
        <x:v>0</x:v>
      </x:c>
      <x:c r="R653" s="37" t="n">
        <x:v>0</x:v>
      </x:c>
      <x:c r="S653" s="37" t="n">
        <x:v>0</x:v>
      </x:c>
      <x:c r="T653" s="37" t="n">
        <x:v>0</x:v>
      </x:c>
      <x:c r="U653" s="37" t="n">
        <x:v>35631.30899120559</x:v>
      </x:c>
      <x:c r="V653" s="37" t="n">
        <x:v>0</x:v>
      </x:c>
      <x:c r="W653" s="37" t="n">
        <x:v>155358.10165577568</x:v>
      </x:c>
      <x:c r="X653" s="37" t="n">
        <x:v>0</x:v>
      </x:c>
      <x:c r="Y653" s="37" t="n">
        <x:v>2285.0034441034813</x:v>
      </x:c>
      <x:c r="Z653" s="37" t="n">
        <x:v>10345624.242588146</x:v>
      </x:c>
      <x:c r="AA653" s="37" t="n">
        <x:v>0</x:v>
      </x:c>
      <x:c r="AB653" s="37" t="n">
        <x:v>10345624.242588146</x:v>
      </x:c>
      <x:c r="AC653" s="37" t="n">
        <x:v>2113794.3750907276</x:v>
      </x:c>
      <x:c r="AD653" s="37" t="n">
        <x:v>0</x:v>
      </x:c>
      <x:c r="AE653" s="37" t="n">
        <x:v>0</x:v>
      </x:c>
      <x:c r="AF653" s="47" t="b">
        <x:v>0</x:v>
      </x:c>
      <x:c r="AG653" s="47" t="b">
        <x:v>0</x:v>
      </x:c>
      <x:c r="AH653" s="48" t="n">
        <x:v>0</x:v>
      </x:c>
      <x:c r="AI653" s="48" t="n">
        <x:v>1.1920928955078125e-7</x:v>
      </x:c>
      <x:c r="AJ653" s="37" t="str">
        <x:v>passed</x:v>
      </x:c>
    </x:row>
    <x:row r="654" ht="21" customHeight="1">
      <x:c r="A654" s="2"/>
      <x:c r="B654" s="2"/>
      <x:c r="C654" s="2" t="str">
        <x:v>2022</x:v>
      </x:c>
      <x:c r="D654" s="5" t="n">
        <x:v>44797</x:v>
      </x:c>
      <x:c r="E654" s="2" t="str">
        <x:v>constrained</x:v>
      </x:c>
      <x:c r="F654" s="37" t="n">
        <x:v>13202718.737110067</x:v>
      </x:c>
      <x:c r="G654" s="37" t="n">
        <x:v>-87183.12077344768</x:v>
      </x:c>
      <x:c r="H654" s="37" t="n">
        <x:v>-17645.22380214507</x:v>
      </x:c>
      <x:c r="I654" s="37" t="n">
        <x:v>-69537.8969713026</x:v>
      </x:c>
      <x:c r="J654" s="37" t="n">
        <x:v>10726339.888239281</x:v>
      </x:c>
      <x:c r="K654" s="37" t="n">
        <x:v>10813523.009012729</x:v>
      </x:c>
      <x:c r="L654" s="37" t="n">
        <x:v>13115535.61633662</x:v>
      </x:c>
      <x:c r="M654" s="37" t="n">
        <x:v>0</x:v>
      </x:c>
      <x:c r="N654" s="37" t="n">
        <x:v>0</x:v>
      </x:c>
      <x:c r="O654" s="37" t="n">
        <x:v>723.3970049358904</x:v>
      </x:c>
      <x:c r="P654" s="37" t="n">
        <x:v>0</x:v>
      </x:c>
      <x:c r="Q654" s="37" t="n">
        <x:v>0</x:v>
      </x:c>
      <x:c r="R654" s="37" t="n">
        <x:v>0</x:v>
      </x:c>
      <x:c r="S654" s="37" t="n">
        <x:v>0</x:v>
      </x:c>
      <x:c r="T654" s="37" t="n">
        <x:v>0</x:v>
      </x:c>
      <x:c r="U654" s="37" t="n">
        <x:v>30770.55116020547</x:v>
      </x:c>
      <x:c r="V654" s="37" t="n">
        <x:v>0</x:v>
      </x:c>
      <x:c r="W654" s="37" t="n">
        <x:v>167234.85998995416</x:v>
      </x:c>
      <x:c r="X654" s="37" t="n">
        <x:v>0</x:v>
      </x:c>
      <x:c r="Y654" s="37" t="n">
        <x:v>2382.4306640909576</x:v>
      </x:c>
      <x:c r="Z654" s="37" t="n">
        <x:v>11029793.469192984</x:v>
      </x:c>
      <x:c r="AA654" s="37" t="n">
        <x:v>0</x:v>
      </x:c>
      <x:c r="AB654" s="37" t="n">
        <x:v>11029793.469192984</x:v>
      </x:c>
      <x:c r="AC654" s="37" t="n">
        <x:v>2172925.2679170836</x:v>
      </x:c>
      <x:c r="AD654" s="37" t="n">
        <x:v>0</x:v>
      </x:c>
      <x:c r="AE654" s="37" t="n">
        <x:v>0</x:v>
      </x:c>
      <x:c r="AF654" s="47" t="b">
        <x:v>0</x:v>
      </x:c>
      <x:c r="AG654" s="47" t="b">
        <x:v>0</x:v>
      </x:c>
      <x:c r="AH654" s="48" t="n">
        <x:v>0</x:v>
      </x:c>
      <x:c r="AI654" s="48" t="n">
        <x:v>1.1920928955078125e-7</x:v>
      </x:c>
      <x:c r="AJ654" s="37" t="str">
        <x:v>passed</x:v>
      </x:c>
    </x:row>
    <x:row r="655" ht="21" customHeight="1">
      <x:c r="A655" s="2"/>
      <x:c r="B655" s="2"/>
      <x:c r="C655" s="2" t="str">
        <x:v>2022</x:v>
      </x:c>
      <x:c r="D655" s="5" t="n">
        <x:v>44798</x:v>
      </x:c>
      <x:c r="E655" s="2" t="str">
        <x:v>unhedged</x:v>
      </x:c>
      <x:c r="F655" s="37" t="n">
        <x:v>1316126.0577243208</x:v>
      </x:c>
      <x:c r="G655" s="37" t="n">
        <x:v>10757177.210038576</x:v>
      </x:c>
      <x:c r="H655" s="37" t="n">
        <x:v>18729.619565217392</x:v>
      </x:c>
      <x:c r="I655" s="37" t="n">
        <x:v>10738447.59047336</x:v>
      </x:c>
      <x:c r="J655" s="37" t="n">
        <x:v>10757177.210038576</x:v>
      </x:c>
      <x:c r="K655" s="37" t="n">
        <x:v>0</x:v>
      </x:c>
      <x:c r="L655" s="37" t="n">
        <x:v>12073303.267762898</x:v>
      </x:c>
      <x:c r="M655" s="37" t="n">
        <x:v>0</x:v>
      </x:c>
      <x:c r="N655" s="37" t="n">
        <x:v>0</x:v>
      </x:c>
      <x:c r="O655" s="37" t="n">
        <x:v>72.11254494148307</x:v>
      </x:c>
      <x:c r="P655" s="37" t="n">
        <x:v>0</x:v>
      </x:c>
      <x:c r="Q655" s="37" t="n">
        <x:v>0</x:v>
      </x:c>
      <x:c r="R655" s="37" t="n">
        <x:v>0</x:v>
      </x:c>
      <x:c r="S655" s="37" t="n">
        <x:v>0</x:v>
      </x:c>
      <x:c r="T655" s="37" t="n">
        <x:v>0</x:v>
      </x:c>
      <x:c r="U655" s="37" t="n">
        <x:v>101250</x:v>
      </x:c>
      <x:c r="V655" s="37" t="n">
        <x:v>0</x:v>
      </x:c>
      <x:c r="W655" s="37" t="n">
        <x:v>16050.777041046415</x:v>
      </x:c>
      <x:c r="X655" s="37" t="n">
        <x:v>0</x:v>
      </x:c>
      <x:c r="Y655" s="37" t="n">
        <x:v>1174.7193167256753</x:v>
      </x:c>
      <x:c r="Z655" s="37" t="n">
        <x:v>0</x:v>
      </x:c>
      <x:c r="AA655" s="37" t="n">
        <x:v>0</x:v>
      </x:c>
      <x:c r="AB655" s="37" t="n">
        <x:v>0</x:v>
      </x:c>
      <x:c r="AC655" s="37" t="n">
        <x:v>1316126.0577243208</x:v>
      </x:c>
      <x:c r="AD655" s="37" t="n">
        <x:v>0</x:v>
      </x:c>
      <x:c r="AE655" s="37" t="n">
        <x:v>0</x:v>
      </x:c>
      <x:c r="AF655" s="47" t="b">
        <x:v>0</x:v>
      </x:c>
      <x:c r="AG655" s="47" t="b">
        <x:v>0</x:v>
      </x:c>
      <x:c r="AH655" s="48" t="n">
        <x:v>0</x:v>
      </x:c>
      <x:c r="AI655" s="48" t="n">
        <x:v>1.1920928955078125e-7</x:v>
      </x:c>
      <x:c r="AJ655" s="37" t="str">
        <x:v>passed</x:v>
      </x:c>
    </x:row>
    <x:row r="656" ht="21" customHeight="1">
      <x:c r="A656" s="2"/>
      <x:c r="B656" s="2"/>
      <x:c r="C656" s="2" t="str">
        <x:v>2022</x:v>
      </x:c>
      <x:c r="D656" s="5" t="n">
        <x:v>44798</x:v>
      </x:c>
      <x:c r="E656" s="2" t="str">
        <x:v>duration</x:v>
      </x:c>
      <x:c r="F656" s="37" t="n">
        <x:v>9287502.060072023</x:v>
      </x:c>
      <x:c r="G656" s="37" t="n">
        <x:v>3695287.119527627</x:v>
      </x:c>
      <x:c r="H656" s="37" t="n">
        <x:v>-12311.264876257199</x:v>
      </x:c>
      <x:c r="I656" s="37" t="n">
        <x:v>3707598.384403884</x:v>
      </x:c>
      <x:c r="J656" s="37" t="n">
        <x:v>10757177.210038576</x:v>
      </x:c>
      <x:c r="K656" s="37" t="n">
        <x:v>7061890.090510949</x:v>
      </x:c>
      <x:c r="L656" s="37" t="n">
        <x:v>12982789.17959965</x:v>
      </x:c>
      <x:c r="M656" s="37" t="n">
        <x:v>0</x:v>
      </x:c>
      <x:c r="N656" s="37" t="n">
        <x:v>0</x:v>
      </x:c>
      <x:c r="O656" s="37" t="n">
        <x:v>508.87633883580565</x:v>
      </x:c>
      <x:c r="P656" s="37" t="n">
        <x:v>0</x:v>
      </x:c>
      <x:c r="Q656" s="37" t="n">
        <x:v>0</x:v>
      </x:c>
      <x:c r="R656" s="37" t="n">
        <x:v>0</x:v>
      </x:c>
      <x:c r="S656" s="37" t="n">
        <x:v>0</x:v>
      </x:c>
      <x:c r="T656" s="37" t="n">
        <x:v>0</x:v>
      </x:c>
      <x:c r="U656" s="37" t="n">
        <x:v>44145.09825237111</x:v>
      </x:c>
      <x:c r="V656" s="37" t="n">
        <x:v>0</x:v>
      </x:c>
      <x:c r="W656" s="37" t="n">
        <x:v>119336.8803095799</x:v>
      </x:c>
      <x:c r="X656" s="37" t="n">
        <x:v>0</x:v>
      </x:c>
      <x:c r="Y656" s="37" t="n">
        <x:v>2004.1017498441065</x:v>
      </x:c>
      <x:c r="Z656" s="37" t="n">
        <x:v>7203127.8923211675</x:v>
      </x:c>
      <x:c r="AA656" s="37" t="n">
        <x:v>0</x:v>
      </x:c>
      <x:c r="AB656" s="37" t="n">
        <x:v>7203127.8923211675</x:v>
      </x:c>
      <x:c r="AC656" s="37" t="n">
        <x:v>2084374.167750856</x:v>
      </x:c>
      <x:c r="AD656" s="37" t="n">
        <x:v>0</x:v>
      </x:c>
      <x:c r="AE656" s="37" t="n">
        <x:v>0</x:v>
      </x:c>
      <x:c r="AF656" s="47" t="b">
        <x:v>0</x:v>
      </x:c>
      <x:c r="AG656" s="47" t="b">
        <x:v>0</x:v>
      </x:c>
      <x:c r="AH656" s="48" t="n">
        <x:v>0</x:v>
      </x:c>
      <x:c r="AI656" s="48" t="n">
        <x:v>1.1920928955078125e-7</x:v>
      </x:c>
      <x:c r="AJ656" s="37" t="str">
        <x:v>passed</x:v>
      </x:c>
    </x:row>
    <x:row r="657" ht="21" customHeight="1">
      <x:c r="A657" s="2"/>
      <x:c r="B657" s="2"/>
      <x:c r="C657" s="2" t="str">
        <x:v>2022</x:v>
      </x:c>
      <x:c r="D657" s="5" t="n">
        <x:v>44798</x:v>
      </x:c>
      <x:c r="E657" s="2" t="str">
        <x:v>unweighted</x:v>
      </x:c>
      <x:c r="F657" s="37" t="n">
        <x:v>12460101.325548338</x:v>
      </x:c>
      <x:c r="G657" s="37" t="n">
        <x:v>583470.8402555317</x:v>
      </x:c>
      <x:c r="H657" s="37" t="n">
        <x:v>-15622.157992495922</x:v>
      </x:c>
      <x:c r="I657" s="37" t="n">
        <x:v>599092.9982480276</x:v>
      </x:c>
      <x:c r="J657" s="37" t="n">
        <x:v>10766908.07547525</x:v>
      </x:c>
      <x:c r="K657" s="37" t="n">
        <x:v>10183437.235219717</x:v>
      </x:c>
      <x:c r="L657" s="37" t="n">
        <x:v>13043572.16580387</x:v>
      </x:c>
      <x:c r="M657" s="37" t="n">
        <x:v>0</x:v>
      </x:c>
      <x:c r="N657" s="37" t="n">
        <x:v>0</x:v>
      </x:c>
      <x:c r="O657" s="37" t="n">
        <x:v>682.7078694645315</x:v>
      </x:c>
      <x:c r="P657" s="37" t="n">
        <x:v>0</x:v>
      </x:c>
      <x:c r="Q657" s="37" t="n">
        <x:v>0</x:v>
      </x:c>
      <x:c r="R657" s="37" t="n">
        <x:v>0</x:v>
      </x:c>
      <x:c r="S657" s="37" t="n">
        <x:v>0</x:v>
      </x:c>
      <x:c r="T657" s="37" t="n">
        <x:v>0</x:v>
      </x:c>
      <x:c r="U657" s="37" t="n">
        <x:v>35631.30899120559</x:v>
      </x:c>
      <x:c r="V657" s="37" t="n">
        <x:v>0</x:v>
      </x:c>
      <x:c r="W657" s="37" t="n">
        <x:v>156040.8095252402</x:v>
      </x:c>
      <x:c r="X657" s="37" t="n">
        <x:v>0</x:v>
      </x:c>
      <x:c r="Y657" s="37" t="n">
        <x:v>2285.0034441034813</x:v>
      </x:c>
      <x:c r="Z657" s="37" t="n">
        <x:v>10387105.97992411</x:v>
      </x:c>
      <x:c r="AA657" s="37" t="n">
        <x:v>0</x:v>
      </x:c>
      <x:c r="AB657" s="37" t="n">
        <x:v>10387105.97992411</x:v>
      </x:c>
      <x:c r="AC657" s="37" t="n">
        <x:v>2072995.345624227</x:v>
      </x:c>
      <x:c r="AD657" s="37" t="n">
        <x:v>0</x:v>
      </x:c>
      <x:c r="AE657" s="37" t="n">
        <x:v>0</x:v>
      </x:c>
      <x:c r="AF657" s="47" t="b">
        <x:v>0</x:v>
      </x:c>
      <x:c r="AG657" s="47" t="b">
        <x:v>0</x:v>
      </x:c>
      <x:c r="AH657" s="48" t="n">
        <x:v>0</x:v>
      </x:c>
      <x:c r="AI657" s="48" t="n">
        <x:v>1.1920928955078125e-7</x:v>
      </x:c>
      <x:c r="AJ657" s="37" t="str">
        <x:v>passed</x:v>
      </x:c>
    </x:row>
    <x:row r="658" ht="21" customHeight="1">
      <x:c r="A658" s="2"/>
      <x:c r="B658" s="2"/>
      <x:c r="C658" s="2" t="str">
        <x:v>2022</x:v>
      </x:c>
      <x:c r="D658" s="5" t="n">
        <x:v>44798</x:v>
      </x:c>
      <x:c r="E658" s="2" t="str">
        <x:v>constrained</x:v>
      </x:c>
      <x:c r="F658" s="37" t="n">
        <x:v>13203442.1737532</x:v>
      </x:c>
      <x:c r="G658" s="37" t="n">
        <x:v>-87000.76871203951</x:v>
      </x:c>
      <x:c r="H658" s="37" t="n">
        <x:v>-17683.068838817868</x:v>
      </x:c>
      <x:c r="I658" s="37" t="n">
        <x:v>-69317.69987322165</x:v>
      </x:c>
      <x:c r="J658" s="37" t="n">
        <x:v>10769096.985123951</x:v>
      </x:c>
      <x:c r="K658" s="37" t="n">
        <x:v>10856097.75383599</x:v>
      </x:c>
      <x:c r="L658" s="37" t="n">
        <x:v>13116441.40504116</x:v>
      </x:c>
      <x:c r="M658" s="37" t="n">
        <x:v>0</x:v>
      </x:c>
      <x:c r="N658" s="37" t="n">
        <x:v>0</x:v>
      </x:c>
      <x:c r="O658" s="37" t="n">
        <x:v>723.4366431329399</x:v>
      </x:c>
      <x:c r="P658" s="37" t="n">
        <x:v>0</x:v>
      </x:c>
      <x:c r="Q658" s="37" t="n">
        <x:v>0</x:v>
      </x:c>
      <x:c r="R658" s="37" t="n">
        <x:v>0</x:v>
      </x:c>
      <x:c r="S658" s="37" t="n">
        <x:v>0</x:v>
      </x:c>
      <x:c r="T658" s="37" t="n">
        <x:v>0</x:v>
      </x:c>
      <x:c r="U658" s="37" t="n">
        <x:v>30770.55116020547</x:v>
      </x:c>
      <x:c r="V658" s="37" t="n">
        <x:v>0</x:v>
      </x:c>
      <x:c r="W658" s="37" t="n">
        <x:v>167958.2966330871</x:v>
      </x:c>
      <x:c r="X658" s="37" t="n">
        <x:v>0</x:v>
      </x:c>
      <x:c r="Y658" s="37" t="n">
        <x:v>2382.4306640909576</x:v>
      </x:c>
      <x:c r="Z658" s="37" t="n">
        <x:v>11073219.70891271</x:v>
      </x:c>
      <x:c r="AA658" s="37" t="n">
        <x:v>0</x:v>
      </x:c>
      <x:c r="AB658" s="37" t="n">
        <x:v>11073219.70891271</x:v>
      </x:c>
      <x:c r="AC658" s="37" t="n">
        <x:v>2130222.4648404904</x:v>
      </x:c>
      <x:c r="AD658" s="37" t="n">
        <x:v>0</x:v>
      </x:c>
      <x:c r="AE658" s="37" t="n">
        <x:v>0</x:v>
      </x:c>
      <x:c r="AF658" s="47" t="b">
        <x:v>0</x:v>
      </x:c>
      <x:c r="AG658" s="47" t="b">
        <x:v>0</x:v>
      </x:c>
      <x:c r="AH658" s="48" t="n">
        <x:v>0</x:v>
      </x:c>
      <x:c r="AI658" s="48" t="n">
        <x:v>1.1920928955078125e-7</x:v>
      </x:c>
      <x:c r="AJ658" s="37" t="str">
        <x:v>passed</x:v>
      </x:c>
    </x:row>
    <x:row r="659" ht="21" customHeight="1">
      <x:c r="A659" s="2"/>
      <x:c r="B659" s="2"/>
      <x:c r="C659" s="2" t="str">
        <x:v>2022</x:v>
      </x:c>
      <x:c r="D659" s="5" t="n">
        <x:v>44799</x:v>
      </x:c>
      <x:c r="E659" s="2" t="str">
        <x:v>unhedged</x:v>
      </x:c>
      <x:c r="F659" s="37" t="n">
        <x:v>1316198.1742206344</x:v>
      </x:c>
      <x:c r="G659" s="37" t="n">
        <x:v>10739049.9316134</x:v>
      </x:c>
      <x:c r="H659" s="37" t="n">
        <x:v>19076.08695652174</x:v>
      </x:c>
      <x:c r="I659" s="37" t="n">
        <x:v>10719973.84465688</x:v>
      </x:c>
      <x:c r="J659" s="37" t="n">
        <x:v>10739049.9316134</x:v>
      </x:c>
      <x:c r="K659" s="37" t="n">
        <x:v>0</x:v>
      </x:c>
      <x:c r="L659" s="37" t="n">
        <x:v>12055248.105834035</x:v>
      </x:c>
      <x:c r="M659" s="37" t="n">
        <x:v>0</x:v>
      </x:c>
      <x:c r="N659" s="37" t="n">
        <x:v>0</x:v>
      </x:c>
      <x:c r="O659" s="37" t="n">
        <x:v>72.11649631359614</x:v>
      </x:c>
      <x:c r="P659" s="37" t="n">
        <x:v>0</x:v>
      </x:c>
      <x:c r="Q659" s="37" t="n">
        <x:v>0</x:v>
      </x:c>
      <x:c r="R659" s="37" t="n">
        <x:v>0</x:v>
      </x:c>
      <x:c r="S659" s="37" t="n">
        <x:v>0</x:v>
      </x:c>
      <x:c r="T659" s="37" t="n">
        <x:v>0</x:v>
      </x:c>
      <x:c r="U659" s="37" t="n">
        <x:v>101250</x:v>
      </x:c>
      <x:c r="V659" s="37" t="n">
        <x:v>0</x:v>
      </x:c>
      <x:c r="W659" s="37" t="n">
        <x:v>16122.89353736001</x:v>
      </x:c>
      <x:c r="X659" s="37" t="n">
        <x:v>0</x:v>
      </x:c>
      <x:c r="Y659" s="37" t="n">
        <x:v>1174.7193167256753</x:v>
      </x:c>
      <x:c r="Z659" s="37" t="n">
        <x:v>0</x:v>
      </x:c>
      <x:c r="AA659" s="37" t="n">
        <x:v>0</x:v>
      </x:c>
      <x:c r="AB659" s="37" t="n">
        <x:v>0</x:v>
      </x:c>
      <x:c r="AC659" s="37" t="n">
        <x:v>1316198.1742206344</x:v>
      </x:c>
      <x:c r="AD659" s="37" t="n">
        <x:v>0</x:v>
      </x:c>
      <x:c r="AE659" s="37" t="n">
        <x:v>0</x:v>
      </x:c>
      <x:c r="AF659" s="47" t="b">
        <x:v>0</x:v>
      </x:c>
      <x:c r="AG659" s="47" t="b">
        <x:v>0</x:v>
      </x:c>
      <x:c r="AH659" s="48" t="n">
        <x:v>0</x:v>
      </x:c>
      <x:c r="AI659" s="48" t="n">
        <x:v>1.1920928955078125e-7</x:v>
      </x:c>
      <x:c r="AJ659" s="37" t="str">
        <x:v>passed</x:v>
      </x:c>
    </x:row>
    <x:row r="660" ht="21" customHeight="1">
      <x:c r="A660" s="2"/>
      <x:c r="B660" s="2"/>
      <x:c r="C660" s="2" t="str">
        <x:v>2022</x:v>
      </x:c>
      <x:c r="D660" s="5" t="n">
        <x:v>44799</x:v>
      </x:c>
      <x:c r="E660" s="2" t="str">
        <x:v>duration</x:v>
      </x:c>
      <x:c r="F660" s="37" t="n">
        <x:v>9288010.964294493</x:v>
      </x:c>
      <x:c r="G660" s="37" t="n">
        <x:v>3693072.9330669334</x:v>
      </x:c>
      <x:c r="H660" s="37" t="n">
        <x:v>-12269.119881437897</x:v>
      </x:c>
      <x:c r="I660" s="37" t="n">
        <x:v>3705342.0529483715</x:v>
      </x:c>
      <x:c r="J660" s="37" t="n">
        <x:v>10739049.9316134</x:v>
      </x:c>
      <x:c r="K660" s="37" t="n">
        <x:v>7045976.998546468</x:v>
      </x:c>
      <x:c r="L660" s="37" t="n">
        <x:v>12981083.897361428</x:v>
      </x:c>
      <x:c r="M660" s="37" t="n">
        <x:v>0</x:v>
      </x:c>
      <x:c r="N660" s="37" t="n">
        <x:v>0</x:v>
      </x:c>
      <x:c r="O660" s="37" t="n">
        <x:v>508.90422246977687</x:v>
      </x:c>
      <x:c r="P660" s="37" t="n">
        <x:v>0</x:v>
      </x:c>
      <x:c r="Q660" s="37" t="n">
        <x:v>0</x:v>
      </x:c>
      <x:c r="R660" s="37" t="n">
        <x:v>0</x:v>
      </x:c>
      <x:c r="S660" s="37" t="n">
        <x:v>0</x:v>
      </x:c>
      <x:c r="T660" s="37" t="n">
        <x:v>0</x:v>
      </x:c>
      <x:c r="U660" s="37" t="n">
        <x:v>44145.09825237111</x:v>
      </x:c>
      <x:c r="V660" s="37" t="n">
        <x:v>0</x:v>
      </x:c>
      <x:c r="W660" s="37" t="n">
        <x:v>119845.78453204967</x:v>
      </x:c>
      <x:c r="X660" s="37" t="n">
        <x:v>0</x:v>
      </x:c>
      <x:c r="Y660" s="37" t="n">
        <x:v>2004.1017498441065</x:v>
      </x:c>
      <x:c r="Z660" s="37" t="n">
        <x:v>7186896.538517398</x:v>
      </x:c>
      <x:c r="AA660" s="37" t="n">
        <x:v>0</x:v>
      </x:c>
      <x:c r="AB660" s="37" t="n">
        <x:v>7186896.538517398</x:v>
      </x:c>
      <x:c r="AC660" s="37" t="n">
        <x:v>2101114.4257770954</x:v>
      </x:c>
      <x:c r="AD660" s="37" t="n">
        <x:v>0</x:v>
      </x:c>
      <x:c r="AE660" s="37" t="n">
        <x:v>0</x:v>
      </x:c>
      <x:c r="AF660" s="47" t="b">
        <x:v>0</x:v>
      </x:c>
      <x:c r="AG660" s="47" t="b">
        <x:v>0</x:v>
      </x:c>
      <x:c r="AH660" s="48" t="n">
        <x:v>0</x:v>
      </x:c>
      <x:c r="AI660" s="48" t="n">
        <x:v>1.1920928955078125e-7</x:v>
      </x:c>
      <x:c r="AJ660" s="37" t="str">
        <x:v>passed</x:v>
      </x:c>
    </x:row>
    <x:row r="661" ht="21" customHeight="1">
      <x:c r="A661" s="2"/>
      <x:c r="B661" s="2"/>
      <x:c r="C661" s="2" t="str">
        <x:v>2022</x:v>
      </x:c>
      <x:c r="D661" s="5" t="n">
        <x:v>44799</x:v>
      </x:c>
      <x:c r="E661" s="2" t="str">
        <x:v>unweighted</x:v>
      </x:c>
      <x:c r="F661" s="37" t="n">
        <x:v>12460784.070826449</x:v>
      </x:c>
      <x:c r="G661" s="37" t="n">
        <x:v>582136.035304888</x:v>
      </x:c>
      <x:c r="H661" s="37" t="n">
        <x:v>-15637.266900628047</x:v>
      </x:c>
      <x:c r="I661" s="37" t="n">
        <x:v>597773.302205516</x:v>
      </x:c>
      <x:c r="J661" s="37" t="n">
        <x:v>10748814.86338498</x:v>
      </x:c>
      <x:c r="K661" s="37" t="n">
        <x:v>10166678.828080092</x:v>
      </x:c>
      <x:c r="L661" s="37" t="n">
        <x:v>13042920.106131336</x:v>
      </x:c>
      <x:c r="M661" s="37" t="n">
        <x:v>0</x:v>
      </x:c>
      <x:c r="N661" s="37" t="n">
        <x:v>0</x:v>
      </x:c>
      <x:c r="O661" s="37" t="n">
        <x:v>682.7452781107277</x:v>
      </x:c>
      <x:c r="P661" s="37" t="n">
        <x:v>0</x:v>
      </x:c>
      <x:c r="Q661" s="37" t="n">
        <x:v>0</x:v>
      </x:c>
      <x:c r="R661" s="37" t="n">
        <x:v>0</x:v>
      </x:c>
      <x:c r="S661" s="37" t="n">
        <x:v>0</x:v>
      </x:c>
      <x:c r="T661" s="37" t="n">
        <x:v>0</x:v>
      </x:c>
      <x:c r="U661" s="37" t="n">
        <x:v>35631.30899120559</x:v>
      </x:c>
      <x:c r="V661" s="37" t="n">
        <x:v>0</x:v>
      </x:c>
      <x:c r="W661" s="37" t="n">
        <x:v>156723.55480335094</x:v>
      </x:c>
      <x:c r="X661" s="37" t="n">
        <x:v>0</x:v>
      </x:c>
      <x:c r="Y661" s="37" t="n">
        <x:v>2285.0034441034813</x:v>
      </x:c>
      <x:c r="Z661" s="37" t="n">
        <x:v>10370012.404641693</x:v>
      </x:c>
      <x:c r="AA661" s="37" t="n">
        <x:v>0</x:v>
      </x:c>
      <x:c r="AB661" s="37" t="n">
        <x:v>10370012.404641693</x:v>
      </x:c>
      <x:c r="AC661" s="37" t="n">
        <x:v>2090771.666184755</x:v>
      </x:c>
      <x:c r="AD661" s="37" t="n">
        <x:v>0</x:v>
      </x:c>
      <x:c r="AE661" s="37" t="n">
        <x:v>0</x:v>
      </x:c>
      <x:c r="AF661" s="47" t="b">
        <x:v>0</x:v>
      </x:c>
      <x:c r="AG661" s="47" t="b">
        <x:v>0</x:v>
      </x:c>
      <x:c r="AH661" s="48" t="n">
        <x:v>0</x:v>
      </x:c>
      <x:c r="AI661" s="48" t="n">
        <x:v>1.1920928955078125e-7</x:v>
      </x:c>
      <x:c r="AJ661" s="37" t="str">
        <x:v>passed</x:v>
      </x:c>
    </x:row>
    <x:row r="662" ht="21" customHeight="1">
      <x:c r="A662" s="2"/>
      <x:c r="B662" s="2"/>
      <x:c r="C662" s="2" t="str">
        <x:v>2022</x:v>
      </x:c>
      <x:c r="D662" s="5" t="n">
        <x:v>44799</x:v>
      </x:c>
      <x:c r="E662" s="2" t="str">
        <x:v>constrained</x:v>
      </x:c>
      <x:c r="F662" s="37" t="n">
        <x:v>13204165.650036693</x:v>
      </x:c>
      <x:c r="G662" s="37" t="n">
        <x:v>-87370.08493049303</x:v>
      </x:c>
      <x:c r="H662" s="37" t="n">
        <x:v>-17720.913875490663</x:v>
      </x:c>
      <x:c r="I662" s="37" t="n">
        <x:v>-69649.17105500237</x:v>
      </x:c>
      <x:c r="J662" s="37" t="n">
        <x:v>10751011.436085816</x:v>
      </x:c>
      <x:c r="K662" s="37" t="n">
        <x:v>10838381.52101631</x:v>
      </x:c>
      <x:c r="L662" s="37" t="n">
        <x:v>13116795.5651062</x:v>
      </x:c>
      <x:c r="M662" s="37" t="n">
        <x:v>0</x:v>
      </x:c>
      <x:c r="N662" s="37" t="n">
        <x:v>0</x:v>
      </x:c>
      <x:c r="O662" s="37" t="n">
        <x:v>723.4762834925205</x:v>
      </x:c>
      <x:c r="P662" s="37" t="n">
        <x:v>0</x:v>
      </x:c>
      <x:c r="Q662" s="37" t="n">
        <x:v>0</x:v>
      </x:c>
      <x:c r="R662" s="37" t="n">
        <x:v>0</x:v>
      </x:c>
      <x:c r="S662" s="37" t="n">
        <x:v>0</x:v>
      </x:c>
      <x:c r="T662" s="37" t="n">
        <x:v>0</x:v>
      </x:c>
      <x:c r="U662" s="37" t="n">
        <x:v>30770.55116020547</x:v>
      </x:c>
      <x:c r="V662" s="37" t="n">
        <x:v>0</x:v>
      </x:c>
      <x:c r="W662" s="37" t="n">
        <x:v>168681.77291657962</x:v>
      </x:c>
      <x:c r="X662" s="37" t="n">
        <x:v>0</x:v>
      </x:c>
      <x:c r="Y662" s="37" t="n">
        <x:v>2382.4306640909576</x:v>
      </x:c>
      <x:c r="Z662" s="37" t="n">
        <x:v>11055149.151436638</x:v>
      </x:c>
      <x:c r="AA662" s="37" t="n">
        <x:v>0</x:v>
      </x:c>
      <x:c r="AB662" s="37" t="n">
        <x:v>11055149.151436638</x:v>
      </x:c>
      <x:c r="AC662" s="37" t="n">
        <x:v>2149016.4986000545</x:v>
      </x:c>
      <x:c r="AD662" s="37" t="n">
        <x:v>0</x:v>
      </x:c>
      <x:c r="AE662" s="37" t="n">
        <x:v>0</x:v>
      </x:c>
      <x:c r="AF662" s="47" t="b">
        <x:v>0</x:v>
      </x:c>
      <x:c r="AG662" s="47" t="b">
        <x:v>0</x:v>
      </x:c>
      <x:c r="AH662" s="48" t="n">
        <x:v>0</x:v>
      </x:c>
      <x:c r="AI662" s="48" t="n">
        <x:v>1.1920928955078125e-7</x:v>
      </x:c>
      <x:c r="AJ662" s="37" t="str">
        <x:v>passed</x:v>
      </x:c>
    </x:row>
    <x:row r="663" ht="21" customHeight="1">
      <x:c r="A663" s="2"/>
      <x:c r="B663" s="2"/>
      <x:c r="C663" s="2" t="str">
        <x:v>2022</x:v>
      </x:c>
      <x:c r="D663" s="5" t="n">
        <x:v>44802</x:v>
      </x:c>
      <x:c r="E663" s="2" t="str">
        <x:v>unhedged</x:v>
      </x:c>
      <x:c r="F663" s="37" t="n">
        <x:v>1316414.547419975</x:v>
      </x:c>
      <x:c r="G663" s="37" t="n">
        <x:v>10701523.008521896</x:v>
      </x:c>
      <x:c r="H663" s="37" t="n">
        <x:v>20115.489130434784</x:v>
      </x:c>
      <x:c r="I663" s="37" t="n">
        <x:v>10681407.51939146</x:v>
      </x:c>
      <x:c r="J663" s="37" t="n">
        <x:v>10701523.008521896</x:v>
      </x:c>
      <x:c r="K663" s="37" t="n">
        <x:v>0</x:v>
      </x:c>
      <x:c r="L663" s="37" t="n">
        <x:v>12017937.55594187</x:v>
      </x:c>
      <x:c r="M663" s="37" t="n">
        <x:v>0</x:v>
      </x:c>
      <x:c r="N663" s="37" t="n">
        <x:v>0</x:v>
      </x:c>
      <x:c r="O663" s="37" t="n">
        <x:v>216.37319934065454</x:v>
      </x:c>
      <x:c r="P663" s="37" t="n">
        <x:v>0</x:v>
      </x:c>
      <x:c r="Q663" s="37" t="n">
        <x:v>0</x:v>
      </x:c>
      <x:c r="R663" s="37" t="n">
        <x:v>0</x:v>
      </x:c>
      <x:c r="S663" s="37" t="n">
        <x:v>0</x:v>
      </x:c>
      <x:c r="T663" s="37" t="n">
        <x:v>0</x:v>
      </x:c>
      <x:c r="U663" s="37" t="n">
        <x:v>101250</x:v>
      </x:c>
      <x:c r="V663" s="37" t="n">
        <x:v>0</x:v>
      </x:c>
      <x:c r="W663" s="37" t="n">
        <x:v>16339.266736700665</x:v>
      </x:c>
      <x:c r="X663" s="37" t="n">
        <x:v>0</x:v>
      </x:c>
      <x:c r="Y663" s="37" t="n">
        <x:v>1174.7193167256753</x:v>
      </x:c>
      <x:c r="Z663" s="37" t="n">
        <x:v>0</x:v>
      </x:c>
      <x:c r="AA663" s="37" t="n">
        <x:v>0</x:v>
      </x:c>
      <x:c r="AB663" s="37" t="n">
        <x:v>0</x:v>
      </x:c>
      <x:c r="AC663" s="37" t="n">
        <x:v>1316414.547419975</x:v>
      </x:c>
      <x:c r="AD663" s="37" t="n">
        <x:v>0</x:v>
      </x:c>
      <x:c r="AE663" s="37" t="n">
        <x:v>0</x:v>
      </x:c>
      <x:c r="AF663" s="47" t="b">
        <x:v>0</x:v>
      </x:c>
      <x:c r="AG663" s="47" t="b">
        <x:v>0</x:v>
      </x:c>
      <x:c r="AH663" s="48" t="n">
        <x:v>0</x:v>
      </x:c>
      <x:c r="AI663" s="48" t="n">
        <x:v>1.1920928955078125e-7</x:v>
      </x:c>
      <x:c r="AJ663" s="37" t="str">
        <x:v>passed</x:v>
      </x:c>
    </x:row>
    <x:row r="664" ht="21" customHeight="1">
      <x:c r="A664" s="2"/>
      <x:c r="B664" s="2"/>
      <x:c r="C664" s="2" t="str">
        <x:v>2022</x:v>
      </x:c>
      <x:c r="D664" s="5" t="n">
        <x:v>44802</x:v>
      </x:c>
      <x:c r="E664" s="2" t="str">
        <x:v>duration</x:v>
      </x:c>
      <x:c r="F664" s="37" t="n">
        <x:v>9289537.844278995</x:v>
      </x:c>
      <x:c r="G664" s="37" t="n">
        <x:v>3698026.578439624</x:v>
      </x:c>
      <x:c r="H664" s="37" t="n">
        <x:v>-12142.68489697999</x:v>
      </x:c>
      <x:c r="I664" s="37" t="n">
        <x:v>3710169.263336604</x:v>
      </x:c>
      <x:c r="J664" s="37" t="n">
        <x:v>10701523.008521896</x:v>
      </x:c>
      <x:c r="K664" s="37" t="n">
        <x:v>7003496.430082272</x:v>
      </x:c>
      <x:c r="L664" s="37" t="n">
        <x:v>12987564.422718618</x:v>
      </x:c>
      <x:c r="M664" s="37" t="n">
        <x:v>0</x:v>
      </x:c>
      <x:c r="N664" s="37" t="n">
        <x:v>0</x:v>
      </x:c>
      <x:c r="O664" s="37" t="n">
        <x:v>1526.8799845017493</x:v>
      </x:c>
      <x:c r="P664" s="37" t="n">
        <x:v>0</x:v>
      </x:c>
      <x:c r="Q664" s="37" t="n">
        <x:v>0</x:v>
      </x:c>
      <x:c r="R664" s="37" t="n">
        <x:v>0</x:v>
      </x:c>
      <x:c r="S664" s="37" t="n">
        <x:v>0</x:v>
      </x:c>
      <x:c r="T664" s="37" t="n">
        <x:v>0</x:v>
      </x:c>
      <x:c r="U664" s="37" t="n">
        <x:v>44145.09825237111</x:v>
      </x:c>
      <x:c r="V664" s="37" t="n">
        <x:v>0</x:v>
      </x:c>
      <x:c r="W664" s="37" t="n">
        <x:v>121372.66451655142</x:v>
      </x:c>
      <x:c r="X664" s="37" t="n">
        <x:v>0</x:v>
      </x:c>
      <x:c r="Y664" s="37" t="n">
        <x:v>2004.1017498441065</x:v>
      </x:c>
      <x:c r="Z664" s="37" t="n">
        <x:v>7143566.358683918</x:v>
      </x:c>
      <x:c r="AA664" s="37" t="n">
        <x:v>0</x:v>
      </x:c>
      <x:c r="AB664" s="37" t="n">
        <x:v>7143566.358683918</x:v>
      </x:c>
      <x:c r="AC664" s="37" t="n">
        <x:v>2145971.4855950773</x:v>
      </x:c>
      <x:c r="AD664" s="37" t="n">
        <x:v>0</x:v>
      </x:c>
      <x:c r="AE664" s="37" t="n">
        <x:v>0</x:v>
      </x:c>
      <x:c r="AF664" s="47" t="b">
        <x:v>0</x:v>
      </x:c>
      <x:c r="AG664" s="47" t="b">
        <x:v>0</x:v>
      </x:c>
      <x:c r="AH664" s="48" t="n">
        <x:v>0</x:v>
      </x:c>
      <x:c r="AI664" s="48" t="n">
        <x:v>1.1920928955078125e-7</x:v>
      </x:c>
      <x:c r="AJ664" s="37" t="str">
        <x:v>passed</x:v>
      </x:c>
    </x:row>
    <x:row r="665" ht="21" customHeight="1">
      <x:c r="A665" s="2"/>
      <x:c r="B665" s="2"/>
      <x:c r="C665" s="2" t="str">
        <x:v>2022</x:v>
      </x:c>
      <x:c r="D665" s="5" t="n">
        <x:v>44802</x:v>
      </x:c>
      <x:c r="E665" s="2" t="str">
        <x:v>unweighted</x:v>
      </x:c>
      <x:c r="F665" s="37" t="n">
        <x:v>12462832.531133192</x:v>
      </x:c>
      <x:c r="G665" s="37" t="n">
        <x:v>580130.2127356873</x:v>
      </x:c>
      <x:c r="H665" s="37" t="n">
        <x:v>-15682.593625024418</x:v>
      </x:c>
      <x:c r="I665" s="37" t="n">
        <x:v>595812.8063607117</x:v>
      </x:c>
      <x:c r="J665" s="37" t="n">
        <x:v>10711205.904910117</x:v>
      </x:c>
      <x:c r="K665" s="37" t="n">
        <x:v>10131075.692174431</x:v>
      </x:c>
      <x:c r="L665" s="37" t="n">
        <x:v>13042962.743868878</x:v>
      </x:c>
      <x:c r="M665" s="37" t="n">
        <x:v>0</x:v>
      </x:c>
      <x:c r="N665" s="37" t="n">
        <x:v>0</x:v>
      </x:c>
      <x:c r="O665" s="37" t="n">
        <x:v>2048.46030674316</x:v>
      </x:c>
      <x:c r="P665" s="37" t="n">
        <x:v>0</x:v>
      </x:c>
      <x:c r="Q665" s="37" t="n">
        <x:v>0</x:v>
      </x:c>
      <x:c r="R665" s="37" t="n">
        <x:v>0</x:v>
      </x:c>
      <x:c r="S665" s="37" t="n">
        <x:v>0</x:v>
      </x:c>
      <x:c r="T665" s="37" t="n">
        <x:v>0</x:v>
      </x:c>
      <x:c r="U665" s="37" t="n">
        <x:v>35631.30899120559</x:v>
      </x:c>
      <x:c r="V665" s="37" t="n">
        <x:v>0</x:v>
      </x:c>
      <x:c r="W665" s="37" t="n">
        <x:v>158772.0151100941</x:v>
      </x:c>
      <x:c r="X665" s="37" t="n">
        <x:v>0</x:v>
      </x:c>
      <x:c r="Y665" s="37" t="n">
        <x:v>2285.0034441034813</x:v>
      </x:c>
      <x:c r="Z665" s="37" t="n">
        <x:v>10333697.206017919</x:v>
      </x:c>
      <x:c r="AA665" s="37" t="n">
        <x:v>0</x:v>
      </x:c>
      <x:c r="AB665" s="37" t="n">
        <x:v>10333697.206017919</x:v>
      </x:c>
      <x:c r="AC665" s="37" t="n">
        <x:v>2129135.325115273</x:v>
      </x:c>
      <x:c r="AD665" s="37" t="n">
        <x:v>0</x:v>
      </x:c>
      <x:c r="AE665" s="37" t="n">
        <x:v>0</x:v>
      </x:c>
      <x:c r="AF665" s="47" t="b">
        <x:v>0</x:v>
      </x:c>
      <x:c r="AG665" s="47" t="b">
        <x:v>0</x:v>
      </x:c>
      <x:c r="AH665" s="48" t="n">
        <x:v>0</x:v>
      </x:c>
      <x:c r="AI665" s="48" t="n">
        <x:v>1.1920928955078125e-7</x:v>
      </x:c>
      <x:c r="AJ665" s="37" t="str">
        <x:v>passed</x:v>
      </x:c>
    </x:row>
    <x:row r="666" ht="21" customHeight="1">
      <x:c r="A666" s="2"/>
      <x:c r="B666" s="2"/>
      <x:c r="C666" s="2" t="str">
        <x:v>2022</x:v>
      </x:c>
      <x:c r="D666" s="5" t="n">
        <x:v>44802</x:v>
      </x:c>
      <x:c r="E666" s="2" t="str">
        <x:v>constrained</x:v>
      </x:c>
      <x:c r="F666" s="37" t="n">
        <x:v>13206336.316751083</x:v>
      </x:c>
      <x:c r="G666" s="37" t="n">
        <x:v>-87690.13701859507</x:v>
      </x:c>
      <x:c r="H666" s="37" t="n">
        <x:v>-17834.448985509054</x:v>
      </x:c>
      <x:c r="I666" s="37" t="n">
        <x:v>-69855.68803308601</x:v>
      </x:c>
      <x:c r="J666" s="37" t="n">
        <x:v>10713384.024160609</x:v>
      </x:c>
      <x:c r="K666" s="37" t="n">
        <x:v>10801074.161179204</x:v>
      </x:c>
      <x:c r="L666" s="37" t="n">
        <x:v>13118646.179732488</x:v>
      </x:c>
      <x:c r="M666" s="37" t="n">
        <x:v>0</x:v>
      </x:c>
      <x:c r="N666" s="37" t="n">
        <x:v>0</x:v>
      </x:c>
      <x:c r="O666" s="37" t="n">
        <x:v>2170.66671439074</x:v>
      </x:c>
      <x:c r="P666" s="37" t="n">
        <x:v>0</x:v>
      </x:c>
      <x:c r="Q666" s="37" t="n">
        <x:v>0</x:v>
      </x:c>
      <x:c r="R666" s="37" t="n">
        <x:v>0</x:v>
      </x:c>
      <x:c r="S666" s="37" t="n">
        <x:v>0</x:v>
      </x:c>
      <x:c r="T666" s="37" t="n">
        <x:v>0</x:v>
      </x:c>
      <x:c r="U666" s="37" t="n">
        <x:v>30770.55116020547</x:v>
      </x:c>
      <x:c r="V666" s="37" t="n">
        <x:v>0</x:v>
      </x:c>
      <x:c r="W666" s="37" t="n">
        <x:v>170852.43963097036</x:v>
      </x:c>
      <x:c r="X666" s="37" t="n">
        <x:v>0</x:v>
      </x:c>
      <x:c r="Y666" s="37" t="n">
        <x:v>2382.4306640909576</x:v>
      </x:c>
      <x:c r="Z666" s="37" t="n">
        <x:v>11017095.644402787</x:v>
      </x:c>
      <x:c r="AA666" s="37" t="n">
        <x:v>0</x:v>
      </x:c>
      <x:c r="AB666" s="37" t="n">
        <x:v>11017095.644402787</x:v>
      </x:c>
      <x:c r="AC666" s="37" t="n">
        <x:v>2189240.6723482963</x:v>
      </x:c>
      <x:c r="AD666" s="37" t="n">
        <x:v>0</x:v>
      </x:c>
      <x:c r="AE666" s="37" t="n">
        <x:v>0</x:v>
      </x:c>
      <x:c r="AF666" s="47" t="b">
        <x:v>0</x:v>
      </x:c>
      <x:c r="AG666" s="47" t="b">
        <x:v>0</x:v>
      </x:c>
      <x:c r="AH666" s="48" t="n">
        <x:v>0</x:v>
      </x:c>
      <x:c r="AI666" s="48" t="n">
        <x:v>1.1920928955078125e-7</x:v>
      </x:c>
      <x:c r="AJ666" s="37" t="str">
        <x:v>passed</x:v>
      </x:c>
    </x:row>
    <x:row r="667" ht="21" customHeight="1">
      <x:c r="A667" s="2"/>
      <x:c r="B667" s="2"/>
      <x:c r="C667" s="2" t="str">
        <x:v>2022</x:v>
      </x:c>
      <x:c r="D667" s="5" t="n">
        <x:v>44803</x:v>
      </x:c>
      <x:c r="E667" s="2" t="str">
        <x:v>unhedged</x:v>
      </x:c>
      <x:c r="F667" s="37" t="n">
        <x:v>1316486.6797239434</x:v>
      </x:c>
      <x:c r="G667" s="37" t="n">
        <x:v>10700319.903496852</x:v>
      </x:c>
      <x:c r="H667" s="37" t="n">
        <x:v>20461.956521739132</x:v>
      </x:c>
      <x:c r="I667" s="37" t="n">
        <x:v>10679857.946975114</x:v>
      </x:c>
      <x:c r="J667" s="37" t="n">
        <x:v>10700319.903496852</x:v>
      </x:c>
      <x:c r="K667" s="37" t="n">
        <x:v>0</x:v>
      </x:c>
      <x:c r="L667" s="37" t="n">
        <x:v>12016806.583220795</x:v>
      </x:c>
      <x:c r="M667" s="37" t="n">
        <x:v>0</x:v>
      </x:c>
      <x:c r="N667" s="37" t="n">
        <x:v>0</x:v>
      </x:c>
      <x:c r="O667" s="37" t="n">
        <x:v>72.13230396830477</x:v>
      </x:c>
      <x:c r="P667" s="37" t="n">
        <x:v>0</x:v>
      </x:c>
      <x:c r="Q667" s="37" t="n">
        <x:v>0</x:v>
      </x:c>
      <x:c r="R667" s="37" t="n">
        <x:v>0</x:v>
      </x:c>
      <x:c r="S667" s="37" t="n">
        <x:v>0</x:v>
      </x:c>
      <x:c r="T667" s="37" t="n">
        <x:v>0</x:v>
      </x:c>
      <x:c r="U667" s="37" t="n">
        <x:v>101250</x:v>
      </x:c>
      <x:c r="V667" s="37" t="n">
        <x:v>0</x:v>
      </x:c>
      <x:c r="W667" s="37" t="n">
        <x:v>16411.39904066897</x:v>
      </x:c>
      <x:c r="X667" s="37" t="n">
        <x:v>0</x:v>
      </x:c>
      <x:c r="Y667" s="37" t="n">
        <x:v>1174.7193167256753</x:v>
      </x:c>
      <x:c r="Z667" s="37" t="n">
        <x:v>0</x:v>
      </x:c>
      <x:c r="AA667" s="37" t="n">
        <x:v>0</x:v>
      </x:c>
      <x:c r="AB667" s="37" t="n">
        <x:v>0</x:v>
      </x:c>
      <x:c r="AC667" s="37" t="n">
        <x:v>1316486.6797239434</x:v>
      </x:c>
      <x:c r="AD667" s="37" t="n">
        <x:v>0</x:v>
      </x:c>
      <x:c r="AE667" s="37" t="n">
        <x:v>0</x:v>
      </x:c>
      <x:c r="AF667" s="47" t="b">
        <x:v>0</x:v>
      </x:c>
      <x:c r="AG667" s="47" t="b">
        <x:v>0</x:v>
      </x:c>
      <x:c r="AH667" s="48" t="n">
        <x:v>0</x:v>
      </x:c>
      <x:c r="AI667" s="48" t="n">
        <x:v>1.1920928955078125e-7</x:v>
      </x:c>
      <x:c r="AJ667" s="37" t="str">
        <x:v>passed</x:v>
      </x:c>
    </x:row>
    <x:row r="668" ht="21" customHeight="1">
      <x:c r="A668" s="2"/>
      <x:c r="B668" s="2"/>
      <x:c r="C668" s="2" t="str">
        <x:v>2022</x:v>
      </x:c>
      <x:c r="D668" s="5" t="n">
        <x:v>44803</x:v>
      </x:c>
      <x:c r="E668" s="2" t="str">
        <x:v>duration</x:v>
      </x:c>
      <x:c r="F668" s="37" t="n">
        <x:v>9290046.860051284</x:v>
      </x:c>
      <x:c r="G668" s="37" t="n">
        <x:v>3694587.385678938</x:v>
      </x:c>
      <x:c r="H668" s="37" t="n">
        <x:v>-12100.539902160683</x:v>
      </x:c>
      <x:c r="I668" s="37" t="n">
        <x:v>3706687.925581099</x:v>
      </x:c>
      <x:c r="J668" s="37" t="n">
        <x:v>10700319.903496852</x:v>
      </x:c>
      <x:c r="K668" s="37" t="n">
        <x:v>7005732.5178179145</x:v>
      </x:c>
      <x:c r="L668" s="37" t="n">
        <x:v>12984634.245730221</x:v>
      </x:c>
      <x:c r="M668" s="37" t="n">
        <x:v>0</x:v>
      </x:c>
      <x:c r="N668" s="37" t="n">
        <x:v>0</x:v>
      </x:c>
      <x:c r="O668" s="37" t="n">
        <x:v>509.0157722886652</x:v>
      </x:c>
      <x:c r="P668" s="37" t="n">
        <x:v>0</x:v>
      </x:c>
      <x:c r="Q668" s="37" t="n">
        <x:v>0</x:v>
      </x:c>
      <x:c r="R668" s="37" t="n">
        <x:v>0</x:v>
      </x:c>
      <x:c r="S668" s="37" t="n">
        <x:v>0</x:v>
      </x:c>
      <x:c r="T668" s="37" t="n">
        <x:v>0</x:v>
      </x:c>
      <x:c r="U668" s="37" t="n">
        <x:v>44145.09825237111</x:v>
      </x:c>
      <x:c r="V668" s="37" t="n">
        <x:v>0</x:v>
      </x:c>
      <x:c r="W668" s="37" t="n">
        <x:v>121881.68028884009</x:v>
      </x:c>
      <x:c r="X668" s="37" t="n">
        <x:v>0</x:v>
      </x:c>
      <x:c r="Y668" s="37" t="n">
        <x:v>2004.1017498441065</x:v>
      </x:c>
      <x:c r="Z668" s="37" t="n">
        <x:v>7145847.168174273</x:v>
      </x:c>
      <x:c r="AA668" s="37" t="n">
        <x:v>0</x:v>
      </x:c>
      <x:c r="AB668" s="37" t="n">
        <x:v>7145847.168174273</x:v>
      </x:c>
      <x:c r="AC668" s="37" t="n">
        <x:v>2144199.6918770103</x:v>
      </x:c>
      <x:c r="AD668" s="37" t="n">
        <x:v>0</x:v>
      </x:c>
      <x:c r="AE668" s="37" t="n">
        <x:v>0</x:v>
      </x:c>
      <x:c r="AF668" s="47" t="b">
        <x:v>0</x:v>
      </x:c>
      <x:c r="AG668" s="47" t="b">
        <x:v>0</x:v>
      </x:c>
      <x:c r="AH668" s="48" t="n">
        <x:v>0</x:v>
      </x:c>
      <x:c r="AI668" s="48" t="n">
        <x:v>1.1920928955078125e-7</x:v>
      </x:c>
      <x:c r="AJ668" s="37" t="str">
        <x:v>passed</x:v>
      </x:c>
    </x:row>
    <x:row r="669" ht="21" customHeight="1">
      <x:c r="A669" s="2"/>
      <x:c r="B669" s="2"/>
      <x:c r="C669" s="2" t="str">
        <x:v>2022</x:v>
      </x:c>
      <x:c r="D669" s="5" t="n">
        <x:v>44803</x:v>
      </x:c>
      <x:c r="E669" s="2" t="str">
        <x:v>unweighted</x:v>
      </x:c>
      <x:c r="F669" s="37" t="n">
        <x:v>12463515.426066404</x:v>
      </x:c>
      <x:c r="G669" s="37" t="n">
        <x:v>580089.3808889012</x:v>
      </x:c>
      <x:c r="H669" s="37" t="n">
        <x:v>-15697.702533156542</x:v>
      </x:c>
      <x:c r="I669" s="37" t="n">
        <x:v>595787.0834220577</x:v>
      </x:c>
      <x:c r="J669" s="37" t="n">
        <x:v>10710030.862196727</x:v>
      </x:c>
      <x:c r="K669" s="37" t="n">
        <x:v>10129941.481307827</x:v>
      </x:c>
      <x:c r="L669" s="37" t="n">
        <x:v>13043604.806955306</x:v>
      </x:c>
      <x:c r="M669" s="37" t="n">
        <x:v>0</x:v>
      </x:c>
      <x:c r="N669" s="37" t="n">
        <x:v>0</x:v>
      </x:c>
      <x:c r="O669" s="37" t="n">
        <x:v>682.8949332125485</x:v>
      </x:c>
      <x:c r="P669" s="37" t="n">
        <x:v>0</x:v>
      </x:c>
      <x:c r="Q669" s="37" t="n">
        <x:v>0</x:v>
      </x:c>
      <x:c r="R669" s="37" t="n">
        <x:v>0</x:v>
      </x:c>
      <x:c r="S669" s="37" t="n">
        <x:v>0</x:v>
      </x:c>
      <x:c r="T669" s="37" t="n">
        <x:v>0</x:v>
      </x:c>
      <x:c r="U669" s="37" t="n">
        <x:v>35631.30899120559</x:v>
      </x:c>
      <x:c r="V669" s="37" t="n">
        <x:v>0</x:v>
      </x:c>
      <x:c r="W669" s="37" t="n">
        <x:v>159454.91004330665</x:v>
      </x:c>
      <x:c r="X669" s="37" t="n">
        <x:v>0</x:v>
      </x:c>
      <x:c r="Y669" s="37" t="n">
        <x:v>2285.0034441034813</x:v>
      </x:c>
      <x:c r="Z669" s="37" t="n">
        <x:v>10332540.310933983</x:v>
      </x:c>
      <x:c r="AA669" s="37" t="n">
        <x:v>0</x:v>
      </x:c>
      <x:c r="AB669" s="37" t="n">
        <x:v>10332540.310933983</x:v>
      </x:c>
      <x:c r="AC669" s="37" t="n">
        <x:v>2130975.1151324213</x:v>
      </x:c>
      <x:c r="AD669" s="37" t="n">
        <x:v>0</x:v>
      </x:c>
      <x:c r="AE669" s="37" t="n">
        <x:v>0</x:v>
      </x:c>
      <x:c r="AF669" s="47" t="b">
        <x:v>0</x:v>
      </x:c>
      <x:c r="AG669" s="47" t="b">
        <x:v>0</x:v>
      </x:c>
      <x:c r="AH669" s="48" t="n">
        <x:v>0</x:v>
      </x:c>
      <x:c r="AI669" s="48" t="n">
        <x:v>1.1920928955078125e-7</x:v>
      </x:c>
      <x:c r="AJ669" s="37" t="str">
        <x:v>passed</x:v>
      </x:c>
    </x:row>
    <x:row r="670" ht="21" customHeight="1">
      <x:c r="A670" s="2"/>
      <x:c r="B670" s="2"/>
      <x:c r="C670" s="2" t="str">
        <x:v>2022</x:v>
      </x:c>
      <x:c r="D670" s="5" t="n">
        <x:v>44803</x:v>
      </x:c>
      <x:c r="E670" s="2" t="str">
        <x:v>constrained</x:v>
      </x:c>
      <x:c r="F670" s="37" t="n">
        <x:v>13207059.951617755</x:v>
      </x:c>
      <x:c r="G670" s="37" t="n">
        <x:v>-87533.98804443695</x:v>
      </x:c>
      <x:c r="H670" s="37" t="n">
        <x:v>-17872.29402218185</x:v>
      </x:c>
      <x:c r="I670" s="37" t="n">
        <x:v>-69661.6940222551</x:v>
      </x:c>
      <x:c r="J670" s="37" t="n">
        <x:v>10712215.293924266</x:v>
      </x:c>
      <x:c r="K670" s="37" t="n">
        <x:v>10799749.281968703</x:v>
      </x:c>
      <x:c r="L670" s="37" t="n">
        <x:v>13119525.963573318</x:v>
      </x:c>
      <x:c r="M670" s="37" t="n">
        <x:v>0</x:v>
      </x:c>
      <x:c r="N670" s="37" t="n">
        <x:v>0</x:v>
      </x:c>
      <x:c r="O670" s="37" t="n">
        <x:v>723.6348666716367</x:v>
      </x:c>
      <x:c r="P670" s="37" t="n">
        <x:v>0</x:v>
      </x:c>
      <x:c r="Q670" s="37" t="n">
        <x:v>0</x:v>
      </x:c>
      <x:c r="R670" s="37" t="n">
        <x:v>0</x:v>
      </x:c>
      <x:c r="S670" s="37" t="n">
        <x:v>0</x:v>
      </x:c>
      <x:c r="T670" s="37" t="n">
        <x:v>0</x:v>
      </x:c>
      <x:c r="U670" s="37" t="n">
        <x:v>30770.55116020547</x:v>
      </x:c>
      <x:c r="V670" s="37" t="n">
        <x:v>0</x:v>
      </x:c>
      <x:c r="W670" s="37" t="n">
        <x:v>171576.074497642</x:v>
      </x:c>
      <x:c r="X670" s="37" t="n">
        <x:v>0</x:v>
      </x:c>
      <x:c r="Y670" s="37" t="n">
        <x:v>2382.4306640909576</x:v>
      </x:c>
      <x:c r="Z670" s="37" t="n">
        <x:v>11015744.267608078</x:v>
      </x:c>
      <x:c r="AA670" s="37" t="n">
        <x:v>0</x:v>
      </x:c>
      <x:c r="AB670" s="37" t="n">
        <x:v>11015744.267608078</x:v>
      </x:c>
      <x:c r="AC670" s="37" t="n">
        <x:v>2191315.684009677</x:v>
      </x:c>
      <x:c r="AD670" s="37" t="n">
        <x:v>0</x:v>
      </x:c>
      <x:c r="AE670" s="37" t="n">
        <x:v>0</x:v>
      </x:c>
      <x:c r="AF670" s="47" t="b">
        <x:v>0</x:v>
      </x:c>
      <x:c r="AG670" s="47" t="b">
        <x:v>0</x:v>
      </x:c>
      <x:c r="AH670" s="48" t="n">
        <x:v>0</x:v>
      </x:c>
      <x:c r="AI670" s="48" t="n">
        <x:v>1.1920928955078125e-7</x:v>
      </x:c>
      <x:c r="AJ670" s="37" t="str">
        <x:v>passed</x:v>
      </x:c>
    </x:row>
    <x:row r="671" ht="21" customHeight="1">
      <x:c r="A671" s="2"/>
      <x:c r="B671" s="2"/>
      <x:c r="C671" s="2" t="str">
        <x:v>2022</x:v>
      </x:c>
      <x:c r="D671" s="5" t="n">
        <x:v>44804</x:v>
      </x:c>
      <x:c r="E671" s="2" t="str">
        <x:v>unhedged</x:v>
      </x:c>
      <x:c r="F671" s="37" t="n">
        <x:v>1316558.8159803667</x:v>
      </x:c>
      <x:c r="G671" s="37" t="n">
        <x:v>10683316.876638014</x:v>
      </x:c>
      <x:c r="H671" s="37" t="n">
        <x:v>20808.42391304348</x:v>
      </x:c>
      <x:c r="I671" s="37" t="n">
        <x:v>10662508.45272497</x:v>
      </x:c>
      <x:c r="J671" s="37" t="n">
        <x:v>10683316.876638014</x:v>
      </x:c>
      <x:c r="K671" s="37" t="n">
        <x:v>0</x:v>
      </x:c>
      <x:c r="L671" s="37" t="n">
        <x:v>11999875.692618381</x:v>
      </x:c>
      <x:c r="M671" s="37" t="n">
        <x:v>0</x:v>
      </x:c>
      <x:c r="N671" s="37" t="n">
        <x:v>0</x:v>
      </x:c>
      <x:c r="O671" s="37" t="n">
        <x:v>72.13625642331317</x:v>
      </x:c>
      <x:c r="P671" s="37" t="n">
        <x:v>0</x:v>
      </x:c>
      <x:c r="Q671" s="37" t="n">
        <x:v>0</x:v>
      </x:c>
      <x:c r="R671" s="37" t="n">
        <x:v>0</x:v>
      </x:c>
      <x:c r="S671" s="37" t="n">
        <x:v>0</x:v>
      </x:c>
      <x:c r="T671" s="37" t="n">
        <x:v>0</x:v>
      </x:c>
      <x:c r="U671" s="37" t="n">
        <x:v>101250</x:v>
      </x:c>
      <x:c r="V671" s="37" t="n">
        <x:v>0</x:v>
      </x:c>
      <x:c r="W671" s="37" t="n">
        <x:v>16483.535297092283</x:v>
      </x:c>
      <x:c r="X671" s="37" t="n">
        <x:v>0</x:v>
      </x:c>
      <x:c r="Y671" s="37" t="n">
        <x:v>1174.7193167256753</x:v>
      </x:c>
      <x:c r="Z671" s="37" t="n">
        <x:v>0</x:v>
      </x:c>
      <x:c r="AA671" s="37" t="n">
        <x:v>0</x:v>
      </x:c>
      <x:c r="AB671" s="37" t="n">
        <x:v>0</x:v>
      </x:c>
      <x:c r="AC671" s="37" t="n">
        <x:v>1316558.8159803667</x:v>
      </x:c>
      <x:c r="AD671" s="37" t="n">
        <x:v>0</x:v>
      </x:c>
      <x:c r="AE671" s="37" t="n">
        <x:v>0</x:v>
      </x:c>
      <x:c r="AF671" s="47" t="b">
        <x:v>0</x:v>
      </x:c>
      <x:c r="AG671" s="47" t="b">
        <x:v>0</x:v>
      </x:c>
      <x:c r="AH671" s="48" t="n">
        <x:v>0</x:v>
      </x:c>
      <x:c r="AI671" s="48" t="n">
        <x:v>1.1920928955078125e-7</x:v>
      </x:c>
      <x:c r="AJ671" s="37" t="str">
        <x:v>passed</x:v>
      </x:c>
    </x:row>
    <x:row r="672" ht="21" customHeight="1">
      <x:c r="A672" s="2"/>
      <x:c r="B672" s="2"/>
      <x:c r="C672" s="2" t="str">
        <x:v>2022</x:v>
      </x:c>
      <x:c r="D672" s="5" t="n">
        <x:v>44804</x:v>
      </x:c>
      <x:c r="E672" s="2" t="str">
        <x:v>duration</x:v>
      </x:c>
      <x:c r="F672" s="37" t="n">
        <x:v>9290555.903714849</x:v>
      </x:c>
      <x:c r="G672" s="37" t="n">
        <x:v>3700643.811751027</x:v>
      </x:c>
      <x:c r="H672" s="37" t="n">
        <x:v>-12058.394907341382</x:v>
      </x:c>
      <x:c r="I672" s="37" t="n">
        <x:v>3712702.2066583685</x:v>
      </x:c>
      <x:c r="J672" s="37" t="n">
        <x:v>10683316.876638014</x:v>
      </x:c>
      <x:c r="K672" s="37" t="n">
        <x:v>6982673.064886987</x:v>
      </x:c>
      <x:c r="L672" s="37" t="n">
        <x:v>12991199.715465875</x:v>
      </x:c>
      <x:c r="M672" s="37" t="n">
        <x:v>0</x:v>
      </x:c>
      <x:c r="N672" s="37" t="n">
        <x:v>0</x:v>
      </x:c>
      <x:c r="O672" s="37" t="n">
        <x:v>509.04366356506944</x:v>
      </x:c>
      <x:c r="P672" s="37" t="n">
        <x:v>0</x:v>
      </x:c>
      <x:c r="Q672" s="37" t="n">
        <x:v>0</x:v>
      </x:c>
      <x:c r="R672" s="37" t="n">
        <x:v>0</x:v>
      </x:c>
      <x:c r="S672" s="37" t="n">
        <x:v>0</x:v>
      </x:c>
      <x:c r="T672" s="37" t="n">
        <x:v>0</x:v>
      </x:c>
      <x:c r="U672" s="37" t="n">
        <x:v>44145.09825237111</x:v>
      </x:c>
      <x:c r="V672" s="37" t="n">
        <x:v>0</x:v>
      </x:c>
      <x:c r="W672" s="37" t="n">
        <x:v>122390.72395240515</x:v>
      </x:c>
      <x:c r="X672" s="37" t="n">
        <x:v>0</x:v>
      </x:c>
      <x:c r="Y672" s="37" t="n">
        <x:v>2004.1017498441065</x:v>
      </x:c>
      <x:c r="Z672" s="37" t="n">
        <x:v>7122326.526184727</x:v>
      </x:c>
      <x:c r="AA672" s="37" t="n">
        <x:v>0</x:v>
      </x:c>
      <x:c r="AB672" s="37" t="n">
        <x:v>7122326.526184727</x:v>
      </x:c>
      <x:c r="AC672" s="37" t="n">
        <x:v>2168229.3775301212</x:v>
      </x:c>
      <x:c r="AD672" s="37" t="n">
        <x:v>0</x:v>
      </x:c>
      <x:c r="AE672" s="37" t="n">
        <x:v>0</x:v>
      </x:c>
      <x:c r="AF672" s="47" t="b">
        <x:v>0</x:v>
      </x:c>
      <x:c r="AG672" s="47" t="b">
        <x:v>0</x:v>
      </x:c>
      <x:c r="AH672" s="48" t="n">
        <x:v>0</x:v>
      </x:c>
      <x:c r="AI672" s="48" t="n">
        <x:v>1.1920928955078125e-7</x:v>
      </x:c>
      <x:c r="AJ672" s="37" t="str">
        <x:v>passed</x:v>
      </x:c>
    </x:row>
    <x:row r="673" ht="21" customHeight="1">
      <x:c r="A673" s="2"/>
      <x:c r="B673" s="2"/>
      <x:c r="C673" s="2" t="str">
        <x:v>2022</x:v>
      </x:c>
      <x:c r="D673" s="5" t="n">
        <x:v>44804</x:v>
      </x:c>
      <x:c r="E673" s="2" t="str">
        <x:v>unweighted</x:v>
      </x:c>
      <x:c r="F673" s="37" t="n">
        <x:v>12464198.358418519</x:v>
      </x:c>
      <x:c r="G673" s="37" t="n">
        <x:v>579191.4431802911</x:v>
      </x:c>
      <x:c r="H673" s="37" t="n">
        <x:v>-15712.811441288664</x:v>
      </x:c>
      <x:c r="I673" s="37" t="n">
        <x:v>594904.2546215798</x:v>
      </x:c>
      <x:c r="J673" s="37" t="n">
        <x:v>10692969.686956385</x:v>
      </x:c>
      <x:c r="K673" s="37" t="n">
        <x:v>10113778.243776094</x:v>
      </x:c>
      <x:c r="L673" s="37" t="n">
        <x:v>13043389.80159881</x:v>
      </x:c>
      <x:c r="M673" s="37" t="n">
        <x:v>0</x:v>
      </x:c>
      <x:c r="N673" s="37" t="n">
        <x:v>0</x:v>
      </x:c>
      <x:c r="O673" s="37" t="n">
        <x:v>682.9323521144688</x:v>
      </x:c>
      <x:c r="P673" s="37" t="n">
        <x:v>0</x:v>
      </x:c>
      <x:c r="Q673" s="37" t="n">
        <x:v>0</x:v>
      </x:c>
      <x:c r="R673" s="37" t="n">
        <x:v>0</x:v>
      </x:c>
      <x:c r="S673" s="37" t="n">
        <x:v>0</x:v>
      </x:c>
      <x:c r="T673" s="37" t="n">
        <x:v>0</x:v>
      </x:c>
      <x:c r="U673" s="37" t="n">
        <x:v>35631.30899120559</x:v>
      </x:c>
      <x:c r="V673" s="37" t="n">
        <x:v>0</x:v>
      </x:c>
      <x:c r="W673" s="37" t="n">
        <x:v>160137.84239542112</x:v>
      </x:c>
      <x:c r="X673" s="37" t="n">
        <x:v>0</x:v>
      </x:c>
      <x:c r="Y673" s="37" t="n">
        <x:v>2285.0034441034813</x:v>
      </x:c>
      <x:c r="Z673" s="37" t="n">
        <x:v>10316053.808651617</x:v>
      </x:c>
      <x:c r="AA673" s="37" t="n">
        <x:v>0</x:v>
      </x:c>
      <x:c r="AB673" s="37" t="n">
        <x:v>10316053.808651617</x:v>
      </x:c>
      <x:c r="AC673" s="37" t="n">
        <x:v>2148144.549766902</x:v>
      </x:c>
      <x:c r="AD673" s="37" t="n">
        <x:v>0</x:v>
      </x:c>
      <x:c r="AE673" s="37" t="n">
        <x:v>0</x:v>
      </x:c>
      <x:c r="AF673" s="47" t="b">
        <x:v>0</x:v>
      </x:c>
      <x:c r="AG673" s="47" t="b">
        <x:v>0</x:v>
      </x:c>
      <x:c r="AH673" s="48" t="n">
        <x:v>0</x:v>
      </x:c>
      <x:c r="AI673" s="48" t="n">
        <x:v>1.1920928955078125e-7</x:v>
      </x:c>
      <x:c r="AJ673" s="37" t="str">
        <x:v>passed</x:v>
      </x:c>
    </x:row>
    <x:row r="674" ht="21" customHeight="1">
      <x:c r="A674" s="2"/>
      <x:c r="B674" s="2"/>
      <x:c r="C674" s="2" t="str">
        <x:v>2022</x:v>
      </x:c>
      <x:c r="D674" s="5" t="n">
        <x:v>44804</x:v>
      </x:c>
      <x:c r="E674" s="2" t="str">
        <x:v>constrained</x:v>
      </x:c>
      <x:c r="F674" s="37" t="n">
        <x:v>13207783.626135653</x:v>
      </x:c>
      <x:c r="G674" s="37" t="n">
        <x:v>-87849.77300244194</x:v>
      </x:c>
      <x:c r="H674" s="37" t="n">
        <x:v>-17910.13905885465</x:v>
      </x:c>
      <x:c r="I674" s="37" t="n">
        <x:v>-69939.6339435873</x:v>
      </x:c>
      <x:c r="J674" s="37" t="n">
        <x:v>10695141.03849551</x:v>
      </x:c>
      <x:c r="K674" s="37" t="n">
        <x:v>10782990.811497953</x:v>
      </x:c>
      <x:c r="L674" s="37" t="n">
        <x:v>13119933.85313321</x:v>
      </x:c>
      <x:c r="M674" s="37" t="n">
        <x:v>0</x:v>
      </x:c>
      <x:c r="N674" s="37" t="n">
        <x:v>0</x:v>
      </x:c>
      <x:c r="O674" s="37" t="n">
        <x:v>723.674517897889</x:v>
      </x:c>
      <x:c r="P674" s="37" t="n">
        <x:v>0</x:v>
      </x:c>
      <x:c r="Q674" s="37" t="n">
        <x:v>0</x:v>
      </x:c>
      <x:c r="R674" s="37" t="n">
        <x:v>0</x:v>
      </x:c>
      <x:c r="S674" s="37" t="n">
        <x:v>0</x:v>
      </x:c>
      <x:c r="T674" s="37" t="n">
        <x:v>0</x:v>
      </x:c>
      <x:c r="U674" s="37" t="n">
        <x:v>30770.55116020547</x:v>
      </x:c>
      <x:c r="V674" s="37" t="n">
        <x:v>0</x:v>
      </x:c>
      <x:c r="W674" s="37" t="n">
        <x:v>172299.74901553988</x:v>
      </x:c>
      <x:c r="X674" s="37" t="n">
        <x:v>0</x:v>
      </x:c>
      <x:c r="Y674" s="37" t="n">
        <x:v>2382.4306640909576</x:v>
      </x:c>
      <x:c r="Z674" s="37" t="n">
        <x:v>10998650.627727913</x:v>
      </x:c>
      <x:c r="AA674" s="37" t="n">
        <x:v>0</x:v>
      </x:c>
      <x:c r="AB674" s="37" t="n">
        <x:v>10998650.627727913</x:v>
      </x:c>
      <x:c r="AC674" s="37" t="n">
        <x:v>2209132.99840774</x:v>
      </x:c>
      <x:c r="AD674" s="37" t="n">
        <x:v>0</x:v>
      </x:c>
      <x:c r="AE674" s="37" t="n">
        <x:v>0</x:v>
      </x:c>
      <x:c r="AF674" s="47" t="b">
        <x:v>0</x:v>
      </x:c>
      <x:c r="AG674" s="47" t="b">
        <x:v>0</x:v>
      </x:c>
      <x:c r="AH674" s="48" t="n">
        <x:v>0</x:v>
      </x:c>
      <x:c r="AI674" s="48" t="n">
        <x:v>1.1920928955078125e-7</x:v>
      </x:c>
      <x:c r="AJ674" s="37" t="str">
        <x:v>passed</x:v>
      </x:c>
    </x:row>
    <x:row r="675" ht="21" customHeight="1">
      <x:c r="A675" s="2"/>
      <x:c r="B675" s="2"/>
      <x:c r="C675" s="2" t="str">
        <x:v>2022</x:v>
      </x:c>
      <x:c r="D675" s="5" t="n">
        <x:v>44805</x:v>
      </x:c>
      <x:c r="E675" s="2" t="str">
        <x:v>unhedged</x:v>
      </x:c>
      <x:c r="F675" s="37" t="n">
        <x:v>1316630.9561894615</x:v>
      </x:c>
      <x:c r="G675" s="37" t="n">
        <x:v>10621249.70631775</x:v>
      </x:c>
      <x:c r="H675" s="37" t="n">
        <x:v>21154.891304347828</x:v>
      </x:c>
      <x:c r="I675" s="37" t="n">
        <x:v>10600094.815013403</x:v>
      </x:c>
      <x:c r="J675" s="37" t="n">
        <x:v>10621249.70631775</x:v>
      </x:c>
      <x:c r="K675" s="37" t="n">
        <x:v>0</x:v>
      </x:c>
      <x:c r="L675" s="37" t="n">
        <x:v>11937880.662507212</x:v>
      </x:c>
      <x:c r="M675" s="37" t="n">
        <x:v>0</x:v>
      </x:c>
      <x:c r="N675" s="37" t="n">
        <x:v>0</x:v>
      </x:c>
      <x:c r="O675" s="37" t="n">
        <x:v>72.14020909485407</x:v>
      </x:c>
      <x:c r="P675" s="37" t="n">
        <x:v>0</x:v>
      </x:c>
      <x:c r="Q675" s="37" t="n">
        <x:v>0</x:v>
      </x:c>
      <x:c r="R675" s="37" t="n">
        <x:v>0</x:v>
      </x:c>
      <x:c r="S675" s="37" t="n">
        <x:v>0</x:v>
      </x:c>
      <x:c r="T675" s="37" t="n">
        <x:v>0</x:v>
      </x:c>
      <x:c r="U675" s="37" t="n">
        <x:v>101250</x:v>
      </x:c>
      <x:c r="V675" s="37" t="n">
        <x:v>0</x:v>
      </x:c>
      <x:c r="W675" s="37" t="n">
        <x:v>16555.675506187137</x:v>
      </x:c>
      <x:c r="X675" s="37" t="n">
        <x:v>0</x:v>
      </x:c>
      <x:c r="Y675" s="37" t="n">
        <x:v>1174.7193167256753</x:v>
      </x:c>
      <x:c r="Z675" s="37" t="n">
        <x:v>0</x:v>
      </x:c>
      <x:c r="AA675" s="37" t="n">
        <x:v>0</x:v>
      </x:c>
      <x:c r="AB675" s="37" t="n">
        <x:v>0</x:v>
      </x:c>
      <x:c r="AC675" s="37" t="n">
        <x:v>1316630.9561894615</x:v>
      </x:c>
      <x:c r="AD675" s="37" t="n">
        <x:v>0</x:v>
      </x:c>
      <x:c r="AE675" s="37" t="n">
        <x:v>0</x:v>
      </x:c>
      <x:c r="AF675" s="47" t="b">
        <x:v>0</x:v>
      </x:c>
      <x:c r="AG675" s="47" t="b">
        <x:v>0</x:v>
      </x:c>
      <x:c r="AH675" s="48" t="n">
        <x:v>0</x:v>
      </x:c>
      <x:c r="AI675" s="48" t="n">
        <x:v>1.1920928955078125e-7</x:v>
      </x:c>
      <x:c r="AJ675" s="37" t="str">
        <x:v>passed</x:v>
      </x:c>
    </x:row>
    <x:row r="676" ht="21" customHeight="1">
      <x:c r="A676" s="2"/>
      <x:c r="B676" s="2"/>
      <x:c r="C676" s="2" t="str">
        <x:v>2022</x:v>
      </x:c>
      <x:c r="D676" s="5" t="n">
        <x:v>44805</x:v>
      </x:c>
      <x:c r="E676" s="2" t="str">
        <x:v>duration</x:v>
      </x:c>
      <x:c r="F676" s="37" t="n">
        <x:v>9304373.482082661</x:v>
      </x:c>
      <x:c r="G676" s="37" t="n">
        <x:v>3693624.009574851</x:v>
      </x:c>
      <x:c r="H676" s="37" t="n">
        <x:v>-12080.103302804751</x:v>
      </x:c>
      <x:c r="I676" s="37" t="n">
        <x:v>3705704.112877656</x:v>
      </x:c>
      <x:c r="J676" s="37" t="n">
        <x:v>10621249.70631775</x:v>
      </x:c>
      <x:c r="K676" s="37" t="n">
        <x:v>6927625.6967429</x:v>
      </x:c>
      <x:c r="L676" s="37" t="n">
        <x:v>12997997.491657512</x:v>
      </x:c>
      <x:c r="M676" s="37" t="n">
        <x:v>0</x:v>
      </x:c>
      <x:c r="N676" s="37" t="n">
        <x:v>0</x:v>
      </x:c>
      <x:c r="O676" s="37" t="n">
        <x:v>509.0715563688427</x:v>
      </x:c>
      <x:c r="P676" s="37" t="n">
        <x:v>0</x:v>
      </x:c>
      <x:c r="Q676" s="37" t="n">
        <x:v>1.3309837795224946</x:v>
      </x:c>
      <x:c r="R676" s="37" t="n">
        <x:v>13309.837795224945</x:v>
      </x:c>
      <x:c r="S676" s="37" t="n">
        <x:v>13309.837795224945</x:v>
      </x:c>
      <x:c r="T676" s="37" t="n">
        <x:v>0</x:v>
      </x:c>
      <x:c r="U676" s="37" t="n">
        <x:v>44145.09825237111</x:v>
      </x:c>
      <x:c r="V676" s="37" t="n">
        <x:v>0</x:v>
      </x:c>
      <x:c r="W676" s="37" t="n">
        <x:v>122899.795508774</x:v>
      </x:c>
      <x:c r="X676" s="37" t="n">
        <x:v>0</x:v>
      </x:c>
      <x:c r="Y676" s="37" t="n">
        <x:v>2005.432733623629</x:v>
      </x:c>
      <x:c r="Z676" s="37" t="n">
        <x:v>7066178.210677758</x:v>
      </x:c>
      <x:c r="AA676" s="37" t="n">
        <x:v>0</x:v>
      </x:c>
      <x:c r="AB676" s="37" t="n">
        <x:v>7066178.210677758</x:v>
      </x:c>
      <x:c r="AC676" s="37" t="n">
        <x:v>2238195.2714049034</x:v>
      </x:c>
      <x:c r="AD676" s="37" t="n">
        <x:v>0</x:v>
      </x:c>
      <x:c r="AE676" s="37" t="n">
        <x:v>0</x:v>
      </x:c>
      <x:c r="AF676" s="47" t="b">
        <x:v>0</x:v>
      </x:c>
      <x:c r="AG676" s="47" t="b">
        <x:v>0</x:v>
      </x:c>
      <x:c r="AH676" s="48" t="n">
        <x:v>-1.7060022283743592e-9</x:v>
      </x:c>
      <x:c r="AI676" s="48" t="n">
        <x:v>1.1920928955078125e-7</x:v>
      </x:c>
      <x:c r="AJ676" s="37" t="str">
        <x:v>passed</x:v>
      </x:c>
    </x:row>
    <x:row r="677" ht="21" customHeight="1">
      <x:c r="A677" s="2"/>
      <x:c r="B677" s="2"/>
      <x:c r="C677" s="2" t="str">
        <x:v>2022</x:v>
      </x:c>
      <x:c r="D677" s="5" t="n">
        <x:v>44805</x:v>
      </x:c>
      <x:c r="E677" s="2" t="str">
        <x:v>unweighted</x:v>
      </x:c>
      <x:c r="F677" s="37" t="n">
        <x:v>12526235.849523362</x:v>
      </x:c>
      <x:c r="G677" s="37" t="n">
        <x:v>514758.31812726235</x:v>
      </x:c>
      <x:c r="H677" s="37" t="n">
        <x:v>-15910.637373984373</x:v>
      </x:c>
      <x:c r="I677" s="37" t="n">
        <x:v>530668.9555012467</x:v>
      </x:c>
      <x:c r="J677" s="37" t="n">
        <x:v>10634932.724644348</x:v>
      </x:c>
      <x:c r="K677" s="37" t="n">
        <x:v>10120174.406517085</x:v>
      </x:c>
      <x:c r="L677" s="37" t="n">
        <x:v>13040994.167650623</x:v>
      </x:c>
      <x:c r="M677" s="37" t="n">
        <x:v>0</x:v>
      </x:c>
      <x:c r="N677" s="37" t="n">
        <x:v>0</x:v>
      </x:c>
      <x:c r="O677" s="37" t="n">
        <x:v>682.9697730634362</x:v>
      </x:c>
      <x:c r="P677" s="37" t="n">
        <x:v>0</x:v>
      </x:c>
      <x:c r="Q677" s="37" t="n">
        <x:v>7.034390878356493</x:v>
      </x:c>
      <x:c r="R677" s="37" t="n">
        <x:v>61361.555722656754</x:v>
      </x:c>
      <x:c r="S677" s="37" t="n">
        <x:v>70343.90878356493</x:v>
      </x:c>
      <x:c r="T677" s="37" t="n">
        <x:v>0</x:v>
      </x:c>
      <x:c r="U677" s="37" t="n">
        <x:v>35631.30899120559</x:v>
      </x:c>
      <x:c r="V677" s="37" t="n">
        <x:v>0</x:v>
      </x:c>
      <x:c r="W677" s="37" t="n">
        <x:v>160820.81216848455</x:v>
      </x:c>
      <x:c r="X677" s="37" t="n">
        <x:v>0</x:v>
      </x:c>
      <x:c r="Y677" s="37" t="n">
        <x:v>2292.037834981838</x:v>
      </x:c>
      <x:c r="Z677" s="37" t="n">
        <x:v>10322577.894647427</x:v>
      </x:c>
      <x:c r="AA677" s="37" t="n">
        <x:v>0</x:v>
      </x:c>
      <x:c r="AB677" s="37" t="n">
        <x:v>10322577.894647427</x:v>
      </x:c>
      <x:c r="AC677" s="37" t="n">
        <x:v>2203657.954875935</x:v>
      </x:c>
      <x:c r="AD677" s="37" t="n">
        <x:v>0</x:v>
      </x:c>
      <x:c r="AE677" s="37" t="n">
        <x:v>0</x:v>
      </x:c>
      <x:c r="AF677" s="47" t="b">
        <x:v>0</x:v>
      </x:c>
      <x:c r="AG677" s="47" t="b">
        <x:v>0</x:v>
      </x:c>
      <x:c r="AH677" s="48" t="n">
        <x:v>1.2609175925604177e-9</x:v>
      </x:c>
      <x:c r="AI677" s="48" t="n">
        <x:v>1.1920928955078125e-7</x:v>
      </x:c>
      <x:c r="AJ677" s="37" t="str">
        <x:v>passed</x:v>
      </x:c>
    </x:row>
    <x:row r="678" ht="21" customHeight="1">
      <x:c r="A678" s="2"/>
      <x:c r="B678" s="2"/>
      <x:c r="C678" s="2" t="str">
        <x:v>2022</x:v>
      </x:c>
      <x:c r="D678" s="5" t="n">
        <x:v>44805</x:v>
      </x:c>
      <x:c r="E678" s="2" t="str">
        <x:v>constrained</x:v>
      </x:c>
      <x:c r="F678" s="37" t="n">
        <x:v>13182532.72734757</x:v>
      </x:c>
      <x:c r="G678" s="37" t="n">
        <x:v>-62051.705080309875</x:v>
      </x:c>
      <x:c r="H678" s="37" t="n">
        <x:v>-17930.69058516976</x:v>
      </x:c>
      <x:c r="I678" s="37" t="n">
        <x:v>-44121.014495140116</x:v>
      </x:c>
      <x:c r="J678" s="37" t="n">
        <x:v>10638368.958445786</x:v>
      </x:c>
      <x:c r="K678" s="37" t="n">
        <x:v>10700420.663526095</x:v>
      </x:c>
      <x:c r="L678" s="37" t="n">
        <x:v>13120481.02226726</x:v>
      </x:c>
      <x:c r="M678" s="37" t="n">
        <x:v>0</x:v>
      </x:c>
      <x:c r="N678" s="37" t="n">
        <x:v>0</x:v>
      </x:c>
      <x:c r="O678" s="37" t="n">
        <x:v>723.7141712941229</x:v>
      </x:c>
      <x:c r="P678" s="37" t="n">
        <x:v>0</x:v>
      </x:c>
      <x:c r="Q678" s="37" t="n">
        <x:v>6.0828122041796915</x:v>
      </x:c>
      <x:c r="R678" s="37" t="n">
        <x:v>-25968.530147172656</x:v>
      </x:c>
      <x:c r="S678" s="37" t="n">
        <x:v>60828.12204179691</x:v>
      </x:c>
      <x:c r="T678" s="37" t="n">
        <x:v>0</x:v>
      </x:c>
      <x:c r="U678" s="37" t="n">
        <x:v>30770.55116020547</x:v>
      </x:c>
      <x:c r="V678" s="37" t="n">
        <x:v>0</x:v>
      </x:c>
      <x:c r="W678" s="37" t="n">
        <x:v>173023.463186834</x:v>
      </x:c>
      <x:c r="X678" s="37" t="n">
        <x:v>0</x:v>
      </x:c>
      <x:c r="Y678" s="37" t="n">
        <x:v>2388.5134762951375</x:v>
      </x:c>
      <x:c r="Z678" s="37" t="n">
        <x:v>10914429.076796617</x:v>
      </x:c>
      <x:c r="AA678" s="37" t="n">
        <x:v>0</x:v>
      </x:c>
      <x:c r="AB678" s="37" t="n">
        <x:v>10914429.076796617</x:v>
      </x:c>
      <x:c r="AC678" s="37" t="n">
        <x:v>2268103.650550952</x:v>
      </x:c>
      <x:c r="AD678" s="37" t="n">
        <x:v>0</x:v>
      </x:c>
      <x:c r="AE678" s="37" t="n">
        <x:v>0</x:v>
      </x:c>
      <x:c r="AF678" s="47" t="b">
        <x:v>0</x:v>
      </x:c>
      <x:c r="AG678" s="47" t="b">
        <x:v>0</x:v>
      </x:c>
      <x:c r="AH678" s="48" t="n">
        <x:v>-6.317977252479068e-10</x:v>
      </x:c>
      <x:c r="AI678" s="48" t="n">
        <x:v>1.1920928955078125e-7</x:v>
      </x:c>
      <x:c r="AJ678" s="37" t="str">
        <x:v>passed</x:v>
      </x:c>
    </x:row>
    <x:row r="679" ht="21" customHeight="1">
      <x:c r="A679" s="2"/>
      <x:c r="B679" s="2"/>
      <x:c r="C679" s="2" t="str">
        <x:v>2022</x:v>
      </x:c>
      <x:c r="D679" s="5" t="n">
        <x:v>44806</x:v>
      </x:c>
      <x:c r="E679" s="2" t="str">
        <x:v>unhedged</x:v>
      </x:c>
      <x:c r="F679" s="37" t="n">
        <x:v>1316703.1003514447</x:v>
      </x:c>
      <x:c r="G679" s="37" t="n">
        <x:v>10661950.779258806</x:v>
      </x:c>
      <x:c r="H679" s="37" t="n">
        <x:v>21501.358695652172</x:v>
      </x:c>
      <x:c r="I679" s="37" t="n">
        <x:v>10640449.420563154</x:v>
      </x:c>
      <x:c r="J679" s="37" t="n">
        <x:v>10661950.779258806</x:v>
      </x:c>
      <x:c r="K679" s="37" t="n">
        <x:v>0</x:v>
      </x:c>
      <x:c r="L679" s="37" t="n">
        <x:v>11978653.879610252</x:v>
      </x:c>
      <x:c r="M679" s="37" t="n">
        <x:v>0</x:v>
      </x:c>
      <x:c r="N679" s="37" t="n">
        <x:v>0</x:v>
      </x:c>
      <x:c r="O679" s="37" t="n">
        <x:v>72.1441619831603</x:v>
      </x:c>
      <x:c r="P679" s="37" t="n">
        <x:v>0</x:v>
      </x:c>
      <x:c r="Q679" s="37" t="n">
        <x:v>0</x:v>
      </x:c>
      <x:c r="R679" s="37" t="n">
        <x:v>0</x:v>
      </x:c>
      <x:c r="S679" s="37" t="n">
        <x:v>0</x:v>
      </x:c>
      <x:c r="T679" s="37" t="n">
        <x:v>0</x:v>
      </x:c>
      <x:c r="U679" s="37" t="n">
        <x:v>101250</x:v>
      </x:c>
      <x:c r="V679" s="37" t="n">
        <x:v>0</x:v>
      </x:c>
      <x:c r="W679" s="37" t="n">
        <x:v>16627.819668170298</x:v>
      </x:c>
      <x:c r="X679" s="37" t="n">
        <x:v>0</x:v>
      </x:c>
      <x:c r="Y679" s="37" t="n">
        <x:v>1174.7193167256753</x:v>
      </x:c>
      <x:c r="Z679" s="37" t="n">
        <x:v>0</x:v>
      </x:c>
      <x:c r="AA679" s="37" t="n">
        <x:v>0</x:v>
      </x:c>
      <x:c r="AB679" s="37" t="n">
        <x:v>0</x:v>
      </x:c>
      <x:c r="AC679" s="37" t="n">
        <x:v>1316703.1003514447</x:v>
      </x:c>
      <x:c r="AD679" s="37" t="n">
        <x:v>0</x:v>
      </x:c>
      <x:c r="AE679" s="37" t="n">
        <x:v>0</x:v>
      </x:c>
      <x:c r="AF679" s="47" t="b">
        <x:v>0</x:v>
      </x:c>
      <x:c r="AG679" s="47" t="b">
        <x:v>0</x:v>
      </x:c>
      <x:c r="AH679" s="48" t="n">
        <x:v>0</x:v>
      </x:c>
      <x:c r="AI679" s="48" t="n">
        <x:v>1.1920928955078125e-7</x:v>
      </x:c>
      <x:c r="AJ679" s="37" t="str">
        <x:v>passed</x:v>
      </x:c>
    </x:row>
    <x:row r="680" ht="21" customHeight="1">
      <x:c r="A680" s="2"/>
      <x:c r="B680" s="2"/>
      <x:c r="C680" s="2" t="str">
        <x:v>2022</x:v>
      </x:c>
      <x:c r="D680" s="5" t="n">
        <x:v>44806</x:v>
      </x:c>
      <x:c r="E680" s="2" t="str">
        <x:v>duration</x:v>
      </x:c>
      <x:c r="F680" s="37" t="n">
        <x:v>9304883.310766611</x:v>
      </x:c>
      <x:c r="G680" s="37" t="n">
        <x:v>3700636.9897685894</x:v>
      </x:c>
      <x:c r="H680" s="37" t="n">
        <x:v>-12038.544118905473</x:v>
      </x:c>
      <x:c r="I680" s="37" t="n">
        <x:v>3712675.533887495</x:v>
      </x:c>
      <x:c r="J680" s="37" t="n">
        <x:v>10661950.779258806</x:v>
      </x:c>
      <x:c r="K680" s="37" t="n">
        <x:v>6961313.789490216</x:v>
      </x:c>
      <x:c r="L680" s="37" t="n">
        <x:v>13005520.3005352</x:v>
      </x:c>
      <x:c r="M680" s="37" t="n">
        <x:v>0</x:v>
      </x:c>
      <x:c r="N680" s="37" t="n">
        <x:v>0</x:v>
      </x:c>
      <x:c r="O680" s="37" t="n">
        <x:v>509.82868395000696</x:v>
      </x:c>
      <x:c r="P680" s="37" t="n">
        <x:v>0</x:v>
      </x:c>
      <x:c r="Q680" s="37" t="n">
        <x:v>0</x:v>
      </x:c>
      <x:c r="R680" s="37" t="n">
        <x:v>0</x:v>
      </x:c>
      <x:c r="S680" s="37" t="n">
        <x:v>0</x:v>
      </x:c>
      <x:c r="T680" s="37" t="n">
        <x:v>0</x:v>
      </x:c>
      <x:c r="U680" s="37" t="n">
        <x:v>44145.09825237111</x:v>
      </x:c>
      <x:c r="V680" s="37" t="n">
        <x:v>0</x:v>
      </x:c>
      <x:c r="W680" s="37" t="n">
        <x:v>123409.624192724</x:v>
      </x:c>
      <x:c r="X680" s="37" t="n">
        <x:v>0</x:v>
      </x:c>
      <x:c r="Y680" s="37" t="n">
        <x:v>2005.432733623629</x:v>
      </x:c>
      <x:c r="Z680" s="37" t="n">
        <x:v>7100540.065280021</x:v>
      </x:c>
      <x:c r="AA680" s="37" t="n">
        <x:v>0</x:v>
      </x:c>
      <x:c r="AB680" s="37" t="n">
        <x:v>7100540.065280021</x:v>
      </x:c>
      <x:c r="AC680" s="37" t="n">
        <x:v>2204343.24548659</x:v>
      </x:c>
      <x:c r="AD680" s="37" t="n">
        <x:v>0</x:v>
      </x:c>
      <x:c r="AE680" s="37" t="n">
        <x:v>0</x:v>
      </x:c>
      <x:c r="AF680" s="47" t="b">
        <x:v>0</x:v>
      </x:c>
      <x:c r="AG680" s="47" t="b">
        <x:v>0</x:v>
      </x:c>
      <x:c r="AH680" s="48" t="n">
        <x:v>0</x:v>
      </x:c>
      <x:c r="AI680" s="48" t="n">
        <x:v>1.1920928955078125e-7</x:v>
      </x:c>
      <x:c r="AJ680" s="37" t="str">
        <x:v>passed</x:v>
      </x:c>
    </x:row>
    <x:row r="681" ht="21" customHeight="1">
      <x:c r="A681" s="2"/>
      <x:c r="B681" s="2"/>
      <x:c r="C681" s="2" t="str">
        <x:v>2022</x:v>
      </x:c>
      <x:c r="D681" s="5" t="n">
        <x:v>44806</x:v>
      </x:c>
      <x:c r="E681" s="2" t="str">
        <x:v>unweighted</x:v>
      </x:c>
      <x:c r="F681" s="37" t="n">
        <x:v>12526922.218611008</x:v>
      </x:c>
      <x:c r="G681" s="37" t="n">
        <x:v>516814.8323013941</x:v>
      </x:c>
      <x:c r="H681" s="37" t="n">
        <x:v>-15927.561926967603</x:v>
      </x:c>
      <x:c r="I681" s="37" t="n">
        <x:v>532742.3942283617</x:v>
      </x:c>
      <x:c r="J681" s="37" t="n">
        <x:v>10675706.78894935</x:v>
      </x:c>
      <x:c r="K681" s="37" t="n">
        <x:v>10158891.956647957</x:v>
      </x:c>
      <x:c r="L681" s="37" t="n">
        <x:v>13043737.050912403</x:v>
      </x:c>
      <x:c r="M681" s="37" t="n">
        <x:v>0</x:v>
      </x:c>
      <x:c r="N681" s="37" t="n">
        <x:v>0</x:v>
      </x:c>
      <x:c r="O681" s="37" t="n">
        <x:v>686.369087645784</x:v>
      </x:c>
      <x:c r="P681" s="37" t="n">
        <x:v>0</x:v>
      </x:c>
      <x:c r="Q681" s="37" t="n">
        <x:v>0</x:v>
      </x:c>
      <x:c r="R681" s="37" t="n">
        <x:v>0</x:v>
      </x:c>
      <x:c r="S681" s="37" t="n">
        <x:v>0</x:v>
      </x:c>
      <x:c r="T681" s="37" t="n">
        <x:v>0</x:v>
      </x:c>
      <x:c r="U681" s="37" t="n">
        <x:v>35631.30899120559</x:v>
      </x:c>
      <x:c r="V681" s="37" t="n">
        <x:v>0</x:v>
      </x:c>
      <x:c r="W681" s="37" t="n">
        <x:v>161507.18125613034</x:v>
      </x:c>
      <x:c r="X681" s="37" t="n">
        <x:v>0</x:v>
      </x:c>
      <x:c r="Y681" s="37" t="n">
        <x:v>2292.037834981838</x:v>
      </x:c>
      <x:c r="Z681" s="37" t="n">
        <x:v>10362069.795780916</x:v>
      </x:c>
      <x:c r="AA681" s="37" t="n">
        <x:v>0</x:v>
      </x:c>
      <x:c r="AB681" s="37" t="n">
        <x:v>10362069.795780916</x:v>
      </x:c>
      <x:c r="AC681" s="37" t="n">
        <x:v>2164852.422830092</x:v>
      </x:c>
      <x:c r="AD681" s="37" t="n">
        <x:v>0</x:v>
      </x:c>
      <x:c r="AE681" s="37" t="n">
        <x:v>0</x:v>
      </x:c>
      <x:c r="AF681" s="47" t="b">
        <x:v>0</x:v>
      </x:c>
      <x:c r="AG681" s="47" t="b">
        <x:v>0</x:v>
      </x:c>
      <x:c r="AH681" s="48" t="n">
        <x:v>0</x:v>
      </x:c>
      <x:c r="AI681" s="48" t="n">
        <x:v>1.1920928955078125e-7</x:v>
      </x:c>
      <x:c r="AJ681" s="37" t="str">
        <x:v>passed</x:v>
      </x:c>
    </x:row>
    <x:row r="682" ht="21" customHeight="1">
      <x:c r="A682" s="2"/>
      <x:c r="B682" s="2"/>
      <x:c r="C682" s="2" t="str">
        <x:v>2022</x:v>
      </x:c>
      <x:c r="D682" s="5" t="n">
        <x:v>44806</x:v>
      </x:c>
      <x:c r="E682" s="2" t="str">
        <x:v>constrained</x:v>
      </x:c>
      <x:c r="F682" s="37" t="n">
        <x:v>13183255.057907972</x:v>
      </x:c>
      <x:c r="G682" s="37" t="n">
        <x:v>-62194.61212946638</x:v>
      </x:c>
      <x:c r="H682" s="37" t="n">
        <x:v>-17968.28461721788</x:v>
      </x:c>
      <x:c r="I682" s="37" t="n">
        <x:v>-44226.32751224851</x:v>
      </x:c>
      <x:c r="J682" s="37" t="n">
        <x:v>10679161.531130973</x:v>
      </x:c>
      <x:c r="K682" s="37" t="n">
        <x:v>10741356.14326044</x:v>
      </x:c>
      <x:c r="L682" s="37" t="n">
        <x:v>13121060.445778506</x:v>
      </x:c>
      <x:c r="M682" s="37" t="n">
        <x:v>0</x:v>
      </x:c>
      <x:c r="N682" s="37" t="n">
        <x:v>0</x:v>
      </x:c>
      <x:c r="O682" s="37" t="n">
        <x:v>722.3305604029447</x:v>
      </x:c>
      <x:c r="P682" s="37" t="n">
        <x:v>0</x:v>
      </x:c>
      <x:c r="Q682" s="37" t="n">
        <x:v>0</x:v>
      </x:c>
      <x:c r="R682" s="37" t="n">
        <x:v>0</x:v>
      </x:c>
      <x:c r="S682" s="37" t="n">
        <x:v>0</x:v>
      </x:c>
      <x:c r="T682" s="37" t="n">
        <x:v>0</x:v>
      </x:c>
      <x:c r="U682" s="37" t="n">
        <x:v>30770.55116020547</x:v>
      </x:c>
      <x:c r="V682" s="37" t="n">
        <x:v>0</x:v>
      </x:c>
      <x:c r="W682" s="37" t="n">
        <x:v>173745.79374723695</x:v>
      </x:c>
      <x:c r="X682" s="37" t="n">
        <x:v>0</x:v>
      </x:c>
      <x:c r="Y682" s="37" t="n">
        <x:v>2388.5134762951375</x:v>
      </x:c>
      <x:c r="Z682" s="37" t="n">
        <x:v>10956183.26612565</x:v>
      </x:c>
      <x:c r="AA682" s="37" t="n">
        <x:v>0</x:v>
      </x:c>
      <x:c r="AB682" s="37" t="n">
        <x:v>10956183.26612565</x:v>
      </x:c>
      <x:c r="AC682" s="37" t="n">
        <x:v>2227071.7917823233</x:v>
      </x:c>
      <x:c r="AD682" s="37" t="n">
        <x:v>0</x:v>
      </x:c>
      <x:c r="AE682" s="37" t="n">
        <x:v>0</x:v>
      </x:c>
      <x:c r="AF682" s="47" t="b">
        <x:v>0</x:v>
      </x:c>
      <x:c r="AG682" s="47" t="b">
        <x:v>0</x:v>
      </x:c>
      <x:c r="AH682" s="48" t="n">
        <x:v>0</x:v>
      </x:c>
      <x:c r="AI682" s="48" t="n">
        <x:v>1.1920928955078125e-7</x:v>
      </x:c>
      <x:c r="AJ682" s="37" t="str">
        <x:v>passed</x:v>
      </x:c>
    </x:row>
    <x:row r="683" ht="21" customHeight="1">
      <x:c r="A683" s="2"/>
      <x:c r="B683" s="2"/>
      <x:c r="C683" s="2" t="str">
        <x:v>2022</x:v>
      </x:c>
      <x:c r="D683" s="5" t="n">
        <x:v>44810</x:v>
      </x:c>
      <x:c r="E683" s="2" t="str">
        <x:v>unhedged</x:v>
      </x:c>
      <x:c r="F683" s="37" t="n">
        <x:v>1316991.7165325906</x:v>
      </x:c>
      <x:c r="G683" s="37" t="n">
        <x:v>10593919.353831386</x:v>
      </x:c>
      <x:c r="H683" s="37" t="n">
        <x:v>22887.228260869564</x:v>
      </x:c>
      <x:c r="I683" s="37" t="n">
        <x:v>10571032.125570517</x:v>
      </x:c>
      <x:c r="J683" s="37" t="n">
        <x:v>10593919.353831386</x:v>
      </x:c>
      <x:c r="K683" s="37" t="n">
        <x:v>0</x:v>
      </x:c>
      <x:c r="L683" s="37" t="n">
        <x:v>11910911.070363976</x:v>
      </x:c>
      <x:c r="M683" s="37" t="n">
        <x:v>0</x:v>
      </x:c>
      <x:c r="N683" s="37" t="n">
        <x:v>0</x:v>
      </x:c>
      <x:c r="O683" s="37" t="n">
        <x:v>288.6161811458878</x:v>
      </x:c>
      <x:c r="P683" s="37" t="n">
        <x:v>0</x:v>
      </x:c>
      <x:c r="Q683" s="37" t="n">
        <x:v>0</x:v>
      </x:c>
      <x:c r="R683" s="37" t="n">
        <x:v>0</x:v>
      </x:c>
      <x:c r="S683" s="37" t="n">
        <x:v>0</x:v>
      </x:c>
      <x:c r="T683" s="37" t="n">
        <x:v>0</x:v>
      </x:c>
      <x:c r="U683" s="37" t="n">
        <x:v>101250</x:v>
      </x:c>
      <x:c r="V683" s="37" t="n">
        <x:v>0</x:v>
      </x:c>
      <x:c r="W683" s="37" t="n">
        <x:v>16916.435849316185</x:v>
      </x:c>
      <x:c r="X683" s="37" t="n">
        <x:v>0</x:v>
      </x:c>
      <x:c r="Y683" s="37" t="n">
        <x:v>1174.7193167256753</x:v>
      </x:c>
      <x:c r="Z683" s="37" t="n">
        <x:v>0</x:v>
      </x:c>
      <x:c r="AA683" s="37" t="n">
        <x:v>0</x:v>
      </x:c>
      <x:c r="AB683" s="37" t="n">
        <x:v>0</x:v>
      </x:c>
      <x:c r="AC683" s="37" t="n">
        <x:v>1316991.7165325906</x:v>
      </x:c>
      <x:c r="AD683" s="37" t="n">
        <x:v>0</x:v>
      </x:c>
      <x:c r="AE683" s="37" t="n">
        <x:v>0</x:v>
      </x:c>
      <x:c r="AF683" s="47" t="b">
        <x:v>0</x:v>
      </x:c>
      <x:c r="AG683" s="47" t="b">
        <x:v>0</x:v>
      </x:c>
      <x:c r="AH683" s="48" t="n">
        <x:v>0</x:v>
      </x:c>
      <x:c r="AI683" s="48" t="n">
        <x:v>1.1920928955078125e-7</x:v>
      </x:c>
      <x:c r="AJ683" s="37" t="str">
        <x:v>passed</x:v>
      </x:c>
    </x:row>
    <x:row r="684" ht="21" customHeight="1">
      <x:c r="A684" s="2"/>
      <x:c r="B684" s="2"/>
      <x:c r="C684" s="2" t="str">
        <x:v>2022</x:v>
      </x:c>
      <x:c r="D684" s="5" t="n">
        <x:v>44810</x:v>
      </x:c>
      <x:c r="E684" s="2" t="str">
        <x:v>duration</x:v>
      </x:c>
      <x:c r="F684" s="37" t="n">
        <x:v>9306922.904875904</x:v>
      </x:c>
      <x:c r="G684" s="37" t="n">
        <x:v>3703668.1937088175</x:v>
      </x:c>
      <x:c r="H684" s="37" t="n">
        <x:v>-11872.307383308358</x:v>
      </x:c>
      <x:c r="I684" s="37" t="n">
        <x:v>3715540.5010921257</x:v>
      </x:c>
      <x:c r="J684" s="37" t="n">
        <x:v>10593919.353831386</x:v>
      </x:c>
      <x:c r="K684" s="37" t="n">
        <x:v>6890251.160122569</x:v>
      </x:c>
      <x:c r="L684" s="37" t="n">
        <x:v>13010591.098584723</x:v>
      </x:c>
      <x:c r="M684" s="37" t="n">
        <x:v>0</x:v>
      </x:c>
      <x:c r="N684" s="37" t="n">
        <x:v>0</x:v>
      </x:c>
      <x:c r="O684" s="37" t="n">
        <x:v>2039.5941092930734</x:v>
      </x:c>
      <x:c r="P684" s="37" t="n">
        <x:v>0</x:v>
      </x:c>
      <x:c r="Q684" s="37" t="n">
        <x:v>0</x:v>
      </x:c>
      <x:c r="R684" s="37" t="n">
        <x:v>0</x:v>
      </x:c>
      <x:c r="S684" s="37" t="n">
        <x:v>0</x:v>
      </x:c>
      <x:c r="T684" s="37" t="n">
        <x:v>0</x:v>
      </x:c>
      <x:c r="U684" s="37" t="n">
        <x:v>44145.09825237111</x:v>
      </x:c>
      <x:c r="V684" s="37" t="n">
        <x:v>0</x:v>
      </x:c>
      <x:c r="W684" s="37" t="n">
        <x:v>125449.21830201708</x:v>
      </x:c>
      <x:c r="X684" s="37" t="n">
        <x:v>0</x:v>
      </x:c>
      <x:c r="Y684" s="37" t="n">
        <x:v>2005.432733623629</x:v>
      </x:c>
      <x:c r="Z684" s="37" t="n">
        <x:v>7028056.183325021</x:v>
      </x:c>
      <x:c r="AA684" s="37" t="n">
        <x:v>0</x:v>
      </x:c>
      <x:c r="AB684" s="37" t="n">
        <x:v>7028056.183325021</x:v>
      </x:c>
      <x:c r="AC684" s="37" t="n">
        <x:v>2278866.7215508837</x:v>
      </x:c>
      <x:c r="AD684" s="37" t="n">
        <x:v>0</x:v>
      </x:c>
      <x:c r="AE684" s="37" t="n">
        <x:v>0</x:v>
      </x:c>
      <x:c r="AF684" s="47" t="b">
        <x:v>0</x:v>
      </x:c>
      <x:c r="AG684" s="47" t="b">
        <x:v>0</x:v>
      </x:c>
      <x:c r="AH684" s="48" t="n">
        <x:v>0</x:v>
      </x:c>
      <x:c r="AI684" s="48" t="n">
        <x:v>1.1920928955078125e-7</x:v>
      </x:c>
      <x:c r="AJ684" s="37" t="str">
        <x:v>passed</x:v>
      </x:c>
    </x:row>
    <x:row r="685" ht="21" customHeight="1">
      <x:c r="A685" s="2"/>
      <x:c r="B685" s="2"/>
      <x:c r="C685" s="2" t="str">
        <x:v>2022</x:v>
      </x:c>
      <x:c r="D685" s="5" t="n">
        <x:v>44810</x:v>
      </x:c>
      <x:c r="E685" s="2" t="str">
        <x:v>unweighted</x:v>
      </x:c>
      <x:c r="F685" s="37" t="n">
        <x:v>12529668.071074853</x:v>
      </x:c>
      <x:c r="G685" s="37" t="n">
        <x:v>513604.23514567286</x:v>
      </x:c>
      <x:c r="H685" s="37" t="n">
        <x:v>-15995.260138900509</x:v>
      </x:c>
      <x:c r="I685" s="37" t="n">
        <x:v>529599.4952845734</x:v>
      </x:c>
      <x:c r="J685" s="37" t="n">
        <x:v>10607414.218671517</x:v>
      </x:c>
      <x:c r="K685" s="37" t="n">
        <x:v>10093809.983525844</x:v>
      </x:c>
      <x:c r="L685" s="37" t="n">
        <x:v>13043272.306220526</x:v>
      </x:c>
      <x:c r="M685" s="37" t="n">
        <x:v>0</x:v>
      </x:c>
      <x:c r="N685" s="37" t="n">
        <x:v>0</x:v>
      </x:c>
      <x:c r="O685" s="37" t="n">
        <x:v>2745.8524638451636</x:v>
      </x:c>
      <x:c r="P685" s="37" t="n">
        <x:v>0</x:v>
      </x:c>
      <x:c r="Q685" s="37" t="n">
        <x:v>0</x:v>
      </x:c>
      <x:c r="R685" s="37" t="n">
        <x:v>0</x:v>
      </x:c>
      <x:c r="S685" s="37" t="n">
        <x:v>0</x:v>
      </x:c>
      <x:c r="T685" s="37" t="n">
        <x:v>0</x:v>
      </x:c>
      <x:c r="U685" s="37" t="n">
        <x:v>35631.30899120559</x:v>
      </x:c>
      <x:c r="V685" s="37" t="n">
        <x:v>0</x:v>
      </x:c>
      <x:c r="W685" s="37" t="n">
        <x:v>164253.0337199755</x:v>
      </x:c>
      <x:c r="X685" s="37" t="n">
        <x:v>0</x:v>
      </x:c>
      <x:c r="Y685" s="37" t="n">
        <x:v>2292.037834981838</x:v>
      </x:c>
      <x:c r="Z685" s="37" t="n">
        <x:v>10295686.183196362</x:v>
      </x:c>
      <x:c r="AA685" s="37" t="n">
        <x:v>0</x:v>
      </x:c>
      <x:c r="AB685" s="37" t="n">
        <x:v>10295686.183196362</x:v>
      </x:c>
      <x:c r="AC685" s="37" t="n">
        <x:v>2233981.8878784906</x:v>
      </x:c>
      <x:c r="AD685" s="37" t="n">
        <x:v>0</x:v>
      </x:c>
      <x:c r="AE685" s="37" t="n">
        <x:v>0</x:v>
      </x:c>
      <x:c r="AF685" s="47" t="b">
        <x:v>0</x:v>
      </x:c>
      <x:c r="AG685" s="47" t="b">
        <x:v>0</x:v>
      </x:c>
      <x:c r="AH685" s="48" t="n">
        <x:v>0</x:v>
      </x:c>
      <x:c r="AI685" s="48" t="n">
        <x:v>1.1920928955078125e-7</x:v>
      </x:c>
      <x:c r="AJ685" s="37" t="str">
        <x:v>passed</x:v>
      </x:c>
    </x:row>
    <x:row r="686" ht="21" customHeight="1">
      <x:c r="A686" s="2"/>
      <x:c r="B686" s="2"/>
      <x:c r="C686" s="2" t="str">
        <x:v>2022</x:v>
      </x:c>
      <x:c r="D686" s="5" t="n">
        <x:v>44810</x:v>
      </x:c>
      <x:c r="E686" s="2" t="str">
        <x:v>constrained</x:v>
      </x:c>
      <x:c r="F686" s="37" t="n">
        <x:v>13186144.775968844</x:v>
      </x:c>
      <x:c r="G686" s="37" t="n">
        <x:v>-62279.62286770649</x:v>
      </x:c>
      <x:c r="H686" s="37" t="n">
        <x:v>-18118.660745410332</x:v>
      </x:c>
      <x:c r="I686" s="37" t="n">
        <x:v>-44160.96212229616</x:v>
      </x:c>
      <x:c r="J686" s="37" t="n">
        <x:v>10610804.074431019</x:v>
      </x:c>
      <x:c r="K686" s="37" t="n">
        <x:v>10673083.697298726</x:v>
      </x:c>
      <x:c r="L686" s="37" t="n">
        <x:v>13123865.153101137</x:v>
      </x:c>
      <x:c r="M686" s="37" t="n">
        <x:v>0</x:v>
      </x:c>
      <x:c r="N686" s="37" t="n">
        <x:v>0</x:v>
      </x:c>
      <x:c r="O686" s="37" t="n">
        <x:v>2889.718060871586</x:v>
      </x:c>
      <x:c r="P686" s="37" t="n">
        <x:v>0</x:v>
      </x:c>
      <x:c r="Q686" s="37" t="n">
        <x:v>0</x:v>
      </x:c>
      <x:c r="R686" s="37" t="n">
        <x:v>0</x:v>
      </x:c>
      <x:c r="S686" s="37" t="n">
        <x:v>0</x:v>
      </x:c>
      <x:c r="T686" s="37" t="n">
        <x:v>0</x:v>
      </x:c>
      <x:c r="U686" s="37" t="n">
        <x:v>30770.55116020547</x:v>
      </x:c>
      <x:c r="V686" s="37" t="n">
        <x:v>0</x:v>
      </x:c>
      <x:c r="W686" s="37" t="n">
        <x:v>176635.51180810854</x:v>
      </x:c>
      <x:c r="X686" s="37" t="n">
        <x:v>0</x:v>
      </x:c>
      <x:c r="Y686" s="37" t="n">
        <x:v>2388.5134762951375</x:v>
      </x:c>
      <x:c r="Z686" s="37" t="n">
        <x:v>10886545.3712447</x:v>
      </x:c>
      <x:c r="AA686" s="37" t="n">
        <x:v>0</x:v>
      </x:c>
      <x:c r="AB686" s="37" t="n">
        <x:v>10886545.3712447</x:v>
      </x:c>
      <x:c r="AC686" s="37" t="n">
        <x:v>2299599.4047241434</x:v>
      </x:c>
      <x:c r="AD686" s="37" t="n">
        <x:v>0</x:v>
      </x:c>
      <x:c r="AE686" s="37" t="n">
        <x:v>0</x:v>
      </x:c>
      <x:c r="AF686" s="47" t="b">
        <x:v>0</x:v>
      </x:c>
      <x:c r="AG686" s="47" t="b">
        <x:v>0</x:v>
      </x:c>
      <x:c r="AH686" s="48" t="n">
        <x:v>0</x:v>
      </x:c>
      <x:c r="AI686" s="48" t="n">
        <x:v>1.1920928955078125e-7</x:v>
      </x:c>
      <x:c r="AJ686" s="37" t="str">
        <x:v>passed</x:v>
      </x:c>
    </x:row>
    <x:row r="687" ht="21" customHeight="1">
      <x:c r="A687" s="2"/>
      <x:c r="B687" s="2"/>
      <x:c r="C687" s="2" t="str">
        <x:v>2022</x:v>
      </x:c>
      <x:c r="D687" s="5" t="n">
        <x:v>44811</x:v>
      </x:c>
      <x:c r="E687" s="2" t="str">
        <x:v>unhedged</x:v>
      </x:c>
      <x:c r="F687" s="37" t="n">
        <x:v>1317063.880462264</x:v>
      </x:c>
      <x:c r="G687" s="37" t="n">
        <x:v>10630922.212730933</x:v>
      </x:c>
      <x:c r="H687" s="37" t="n">
        <x:v>23233.695652173912</x:v>
      </x:c>
      <x:c r="I687" s="37" t="n">
        <x:v>10607688.51707876</x:v>
      </x:c>
      <x:c r="J687" s="37" t="n">
        <x:v>10630922.212730933</x:v>
      </x:c>
      <x:c r="K687" s="37" t="n">
        <x:v>0</x:v>
      </x:c>
      <x:c r="L687" s="37" t="n">
        <x:v>11947986.093193198</x:v>
      </x:c>
      <x:c r="M687" s="37" t="n">
        <x:v>0</x:v>
      </x:c>
      <x:c r="N687" s="37" t="n">
        <x:v>0</x:v>
      </x:c>
      <x:c r="O687" s="37" t="n">
        <x:v>72.16392967337742</x:v>
      </x:c>
      <x:c r="P687" s="37" t="n">
        <x:v>0</x:v>
      </x:c>
      <x:c r="Q687" s="37" t="n">
        <x:v>0</x:v>
      </x:c>
      <x:c r="R687" s="37" t="n">
        <x:v>0</x:v>
      </x:c>
      <x:c r="S687" s="37" t="n">
        <x:v>0</x:v>
      </x:c>
      <x:c r="T687" s="37" t="n">
        <x:v>0</x:v>
      </x:c>
      <x:c r="U687" s="37" t="n">
        <x:v>101250</x:v>
      </x:c>
      <x:c r="V687" s="37" t="n">
        <x:v>0</x:v>
      </x:c>
      <x:c r="W687" s="37" t="n">
        <x:v>16988.599778989563</x:v>
      </x:c>
      <x:c r="X687" s="37" t="n">
        <x:v>0</x:v>
      </x:c>
      <x:c r="Y687" s="37" t="n">
        <x:v>1174.7193167256753</x:v>
      </x:c>
      <x:c r="Z687" s="37" t="n">
        <x:v>0</x:v>
      </x:c>
      <x:c r="AA687" s="37" t="n">
        <x:v>0</x:v>
      </x:c>
      <x:c r="AB687" s="37" t="n">
        <x:v>0</x:v>
      </x:c>
      <x:c r="AC687" s="37" t="n">
        <x:v>1317063.880462264</x:v>
      </x:c>
      <x:c r="AD687" s="37" t="n">
        <x:v>0</x:v>
      </x:c>
      <x:c r="AE687" s="37" t="n">
        <x:v>0</x:v>
      </x:c>
      <x:c r="AF687" s="47" t="b">
        <x:v>0</x:v>
      </x:c>
      <x:c r="AG687" s="47" t="b">
        <x:v>0</x:v>
      </x:c>
      <x:c r="AH687" s="48" t="n">
        <x:v>0</x:v>
      </x:c>
      <x:c r="AI687" s="48" t="n">
        <x:v>1.1920928955078125e-7</x:v>
      </x:c>
      <x:c r="AJ687" s="37" t="str">
        <x:v>passed</x:v>
      </x:c>
    </x:row>
    <x:row r="688" ht="21" customHeight="1">
      <x:c r="A688" s="2"/>
      <x:c r="B688" s="2"/>
      <x:c r="C688" s="2" t="str">
        <x:v>2022</x:v>
      </x:c>
      <x:c r="D688" s="5" t="n">
        <x:v>44811</x:v>
      </x:c>
      <x:c r="E688" s="2" t="str">
        <x:v>duration</x:v>
      </x:c>
      <x:c r="F688" s="37" t="n">
        <x:v>9307432.873254254</x:v>
      </x:c>
      <x:c r="G688" s="37" t="n">
        <x:v>3702756.6361221643</x:v>
      </x:c>
      <x:c r="H688" s="37" t="n">
        <x:v>-11830.748199409085</x:v>
      </x:c>
      <x:c r="I688" s="37" t="n">
        <x:v>3714587.384321573</x:v>
      </x:c>
      <x:c r="J688" s="37" t="n">
        <x:v>10630922.212730933</x:v>
      </x:c>
      <x:c r="K688" s="37" t="n">
        <x:v>6928165.576608768</x:v>
      </x:c>
      <x:c r="L688" s="37" t="n">
        <x:v>13010189.509376418</x:v>
      </x:c>
      <x:c r="M688" s="37" t="n">
        <x:v>0</x:v>
      </x:c>
      <x:c r="N688" s="37" t="n">
        <x:v>0</x:v>
      </x:c>
      <x:c r="O688" s="37" t="n">
        <x:v>509.96837835013866</x:v>
      </x:c>
      <x:c r="P688" s="37" t="n">
        <x:v>0</x:v>
      </x:c>
      <x:c r="Q688" s="37" t="n">
        <x:v>0</x:v>
      </x:c>
      <x:c r="R688" s="37" t="n">
        <x:v>0</x:v>
      </x:c>
      <x:c r="S688" s="37" t="n">
        <x:v>0</x:v>
      </x:c>
      <x:c r="T688" s="37" t="n">
        <x:v>0</x:v>
      </x:c>
      <x:c r="U688" s="37" t="n">
        <x:v>44145.09825237111</x:v>
      </x:c>
      <x:c r="V688" s="37" t="n">
        <x:v>0</x:v>
      </x:c>
      <x:c r="W688" s="37" t="n">
        <x:v>125959.18668036722</x:v>
      </x:c>
      <x:c r="X688" s="37" t="n">
        <x:v>0</x:v>
      </x:c>
      <x:c r="Y688" s="37" t="n">
        <x:v>2005.432733623629</x:v>
      </x:c>
      <x:c r="Z688" s="37" t="n">
        <x:v>7066728.888140943</x:v>
      </x:c>
      <x:c r="AA688" s="37" t="n">
        <x:v>0</x:v>
      </x:c>
      <x:c r="AB688" s="37" t="n">
        <x:v>7066728.888140943</x:v>
      </x:c>
      <x:c r="AC688" s="37" t="n">
        <x:v>2240703.9851133116</x:v>
      </x:c>
      <x:c r="AD688" s="37" t="n">
        <x:v>0</x:v>
      </x:c>
      <x:c r="AE688" s="37" t="n">
        <x:v>0</x:v>
      </x:c>
      <x:c r="AF688" s="47" t="b">
        <x:v>0</x:v>
      </x:c>
      <x:c r="AG688" s="47" t="b">
        <x:v>0</x:v>
      </x:c>
      <x:c r="AH688" s="48" t="n">
        <x:v>0</x:v>
      </x:c>
      <x:c r="AI688" s="48" t="n">
        <x:v>1.1920928955078125e-7</x:v>
      </x:c>
      <x:c r="AJ688" s="37" t="str">
        <x:v>passed</x:v>
      </x:c>
    </x:row>
    <x:row r="689" ht="21" customHeight="1">
      <x:c r="A689" s="2"/>
      <x:c r="B689" s="2"/>
      <x:c r="C689" s="2" t="str">
        <x:v>2022</x:v>
      </x:c>
      <x:c r="D689" s="5" t="n">
        <x:v>44811</x:v>
      </x:c>
      <x:c r="E689" s="2" t="str">
        <x:v>unweighted</x:v>
      </x:c>
      <x:c r="F689" s="37" t="n">
        <x:v>12530354.628229432</x:v>
      </x:c>
      <x:c r="G689" s="37" t="n">
        <x:v>515412.8608107253</x:v>
      </x:c>
      <x:c r="H689" s="37" t="n">
        <x:v>-16012.184691883735</x:v>
      </x:c>
      <x:c r="I689" s="37" t="n">
        <x:v>531425.045502609</x:v>
      </x:c>
      <x:c r="J689" s="37" t="n">
        <x:v>10644556.232924106</x:v>
      </x:c>
      <x:c r="K689" s="37" t="n">
        <x:v>10129143.37211338</x:v>
      </x:c>
      <x:c r="L689" s="37" t="n">
        <x:v>13045767.489040157</x:v>
      </x:c>
      <x:c r="M689" s="37" t="n">
        <x:v>0</x:v>
      </x:c>
      <x:c r="N689" s="37" t="n">
        <x:v>0</x:v>
      </x:c>
      <x:c r="O689" s="37" t="n">
        <x:v>686.5571545790881</x:v>
      </x:c>
      <x:c r="P689" s="37" t="n">
        <x:v>0</x:v>
      </x:c>
      <x:c r="Q689" s="37" t="n">
        <x:v>0</x:v>
      </x:c>
      <x:c r="R689" s="37" t="n">
        <x:v>0</x:v>
      </x:c>
      <x:c r="S689" s="37" t="n">
        <x:v>0</x:v>
      </x:c>
      <x:c r="T689" s="37" t="n">
        <x:v>0</x:v>
      </x:c>
      <x:c r="U689" s="37" t="n">
        <x:v>35631.30899120559</x:v>
      </x:c>
      <x:c r="V689" s="37" t="n">
        <x:v>0</x:v>
      </x:c>
      <x:c r="W689" s="37" t="n">
        <x:v>164939.5908745546</x:v>
      </x:c>
      <x:c r="X689" s="37" t="n">
        <x:v>0</x:v>
      </x:c>
      <x:c r="Y689" s="37" t="n">
        <x:v>2292.037834981838</x:v>
      </x:c>
      <x:c r="Z689" s="37" t="n">
        <x:v>10331726.239555648</x:v>
      </x:c>
      <x:c r="AA689" s="37" t="n">
        <x:v>0</x:v>
      </x:c>
      <x:c r="AB689" s="37" t="n">
        <x:v>10331726.239555648</x:v>
      </x:c>
      <x:c r="AC689" s="37" t="n">
        <x:v>2198628.388673784</x:v>
      </x:c>
      <x:c r="AD689" s="37" t="n">
        <x:v>0</x:v>
      </x:c>
      <x:c r="AE689" s="37" t="n">
        <x:v>0</x:v>
      </x:c>
      <x:c r="AF689" s="47" t="b">
        <x:v>0</x:v>
      </x:c>
      <x:c r="AG689" s="47" t="b">
        <x:v>0</x:v>
      </x:c>
      <x:c r="AH689" s="48" t="n">
        <x:v>0</x:v>
      </x:c>
      <x:c r="AI689" s="48" t="n">
        <x:v>1.1920928955078125e-7</x:v>
      </x:c>
      <x:c r="AJ689" s="37" t="str">
        <x:v>passed</x:v>
      </x:c>
    </x:row>
    <x:row r="690" ht="21" customHeight="1">
      <x:c r="A690" s="2"/>
      <x:c r="B690" s="2"/>
      <x:c r="C690" s="2" t="str">
        <x:v>2022</x:v>
      </x:c>
      <x:c r="D690" s="5" t="n">
        <x:v>44811</x:v>
      </x:c>
      <x:c r="E690" s="2" t="str">
        <x:v>constrained</x:v>
      </x:c>
      <x:c r="F690" s="37" t="n">
        <x:v>13186867.304449718</x:v>
      </x:c>
      <x:c r="G690" s="37" t="n">
        <x:v>-62203.894192931526</x:v>
      </x:c>
      <x:c r="H690" s="37" t="n">
        <x:v>-18156.254777458445</x:v>
      </x:c>
      <x:c r="I690" s="37" t="n">
        <x:v>-44047.63941547308</x:v>
      </x:c>
      <x:c r="J690" s="37" t="n">
        <x:v>10647980.60193434</x:v>
      </x:c>
      <x:c r="K690" s="37" t="n">
        <x:v>10710184.496127272</x:v>
      </x:c>
      <x:c r="L690" s="37" t="n">
        <x:v>13124663.410256786</x:v>
      </x:c>
      <x:c r="M690" s="37" t="n">
        <x:v>0</x:v>
      </x:c>
      <x:c r="N690" s="37" t="n">
        <x:v>0</x:v>
      </x:c>
      <x:c r="O690" s="37" t="n">
        <x:v>722.5284808743745</x:v>
      </x:c>
      <x:c r="P690" s="37" t="n">
        <x:v>0</x:v>
      </x:c>
      <x:c r="Q690" s="37" t="n">
        <x:v>0</x:v>
      </x:c>
      <x:c r="R690" s="37" t="n">
        <x:v>0</x:v>
      </x:c>
      <x:c r="S690" s="37" t="n">
        <x:v>0</x:v>
      </x:c>
      <x:c r="T690" s="37" t="n">
        <x:v>0</x:v>
      </x:c>
      <x:c r="U690" s="37" t="n">
        <x:v>30770.55116020547</x:v>
      </x:c>
      <x:c r="V690" s="37" t="n">
        <x:v>0</x:v>
      </x:c>
      <x:c r="W690" s="37" t="n">
        <x:v>177358.0402889829</x:v>
      </x:c>
      <x:c r="X690" s="37" t="n">
        <x:v>0</x:v>
      </x:c>
      <x:c r="Y690" s="37" t="n">
        <x:v>2388.5134762951375</x:v>
      </x:c>
      <x:c r="Z690" s="37" t="n">
        <x:v>10924388.186049817</x:v>
      </x:c>
      <x:c r="AA690" s="37" t="n">
        <x:v>0</x:v>
      </x:c>
      <x:c r="AB690" s="37" t="n">
        <x:v>10924388.186049817</x:v>
      </x:c>
      <x:c r="AC690" s="37" t="n">
        <x:v>2262479.1183999013</x:v>
      </x:c>
      <x:c r="AD690" s="37" t="n">
        <x:v>0</x:v>
      </x:c>
      <x:c r="AE690" s="37" t="n">
        <x:v>0</x:v>
      </x:c>
      <x:c r="AF690" s="47" t="b">
        <x:v>0</x:v>
      </x:c>
      <x:c r="AG690" s="47" t="b">
        <x:v>0</x:v>
      </x:c>
      <x:c r="AH690" s="48" t="n">
        <x:v>0</x:v>
      </x:c>
      <x:c r="AI690" s="48" t="n">
        <x:v>1.1920928955078125e-7</x:v>
      </x:c>
      <x:c r="AJ690" s="37" t="str">
        <x:v>passed</x:v>
      </x:c>
    </x:row>
    <x:row r="691" ht="21" customHeight="1">
      <x:c r="A691" s="2"/>
      <x:c r="B691" s="2"/>
      <x:c r="C691" s="2" t="str">
        <x:v>2022</x:v>
      </x:c>
      <x:c r="D691" s="5" t="n">
        <x:v>44812</x:v>
      </x:c>
      <x:c r="E691" s="2" t="str">
        <x:v>unhedged</x:v>
      </x:c>
      <x:c r="F691" s="37" t="n">
        <x:v>1317136.048346125</x:v>
      </x:c>
      <x:c r="G691" s="37" t="n">
        <x:v>10618688.87166353</x:v>
      </x:c>
      <x:c r="H691" s="37" t="n">
        <x:v>23580.16304347826</x:v>
      </x:c>
      <x:c r="I691" s="37" t="n">
        <x:v>10595108.70862005</x:v>
      </x:c>
      <x:c r="J691" s="37" t="n">
        <x:v>10618688.87166353</x:v>
      </x:c>
      <x:c r="K691" s="37" t="n">
        <x:v>0</x:v>
      </x:c>
      <x:c r="L691" s="37" t="n">
        <x:v>11935824.920009654</x:v>
      </x:c>
      <x:c r="M691" s="37" t="n">
        <x:v>0</x:v>
      </x:c>
      <x:c r="N691" s="37" t="n">
        <x:v>0</x:v>
      </x:c>
      <x:c r="O691" s="37" t="n">
        <x:v>72.16788386111148</x:v>
      </x:c>
      <x:c r="P691" s="37" t="n">
        <x:v>0</x:v>
      </x:c>
      <x:c r="Q691" s="37" t="n">
        <x:v>0</x:v>
      </x:c>
      <x:c r="R691" s="37" t="n">
        <x:v>0</x:v>
      </x:c>
      <x:c r="S691" s="37" t="n">
        <x:v>0</x:v>
      </x:c>
      <x:c r="T691" s="37" t="n">
        <x:v>0</x:v>
      </x:c>
      <x:c r="U691" s="37" t="n">
        <x:v>101250</x:v>
      </x:c>
      <x:c r="V691" s="37" t="n">
        <x:v>0</x:v>
      </x:c>
      <x:c r="W691" s="37" t="n">
        <x:v>17060.767662850674</x:v>
      </x:c>
      <x:c r="X691" s="37" t="n">
        <x:v>0</x:v>
      </x:c>
      <x:c r="Y691" s="37" t="n">
        <x:v>1174.7193167256753</x:v>
      </x:c>
      <x:c r="Z691" s="37" t="n">
        <x:v>0</x:v>
      </x:c>
      <x:c r="AA691" s="37" t="n">
        <x:v>0</x:v>
      </x:c>
      <x:c r="AB691" s="37" t="n">
        <x:v>0</x:v>
      </x:c>
      <x:c r="AC691" s="37" t="n">
        <x:v>1317136.048346125</x:v>
      </x:c>
      <x:c r="AD691" s="37" t="n">
        <x:v>0</x:v>
      </x:c>
      <x:c r="AE691" s="37" t="n">
        <x:v>0</x:v>
      </x:c>
      <x:c r="AF691" s="47" t="b">
        <x:v>0</x:v>
      </x:c>
      <x:c r="AG691" s="47" t="b">
        <x:v>0</x:v>
      </x:c>
      <x:c r="AH691" s="48" t="n">
        <x:v>0</x:v>
      </x:c>
      <x:c r="AI691" s="48" t="n">
        <x:v>1.1920928955078125e-7</x:v>
      </x:c>
      <x:c r="AJ691" s="37" t="str">
        <x:v>passed</x:v>
      </x:c>
    </x:row>
    <x:row r="692" ht="21" customHeight="1">
      <x:c r="A692" s="2"/>
      <x:c r="B692" s="2"/>
      <x:c r="C692" s="2" t="str">
        <x:v>2022</x:v>
      </x:c>
      <x:c r="D692" s="5" t="n">
        <x:v>44812</x:v>
      </x:c>
      <x:c r="E692" s="2" t="str">
        <x:v>duration</x:v>
      </x:c>
      <x:c r="F692" s="37" t="n">
        <x:v>9307942.869576078</x:v>
      </x:c>
      <x:c r="G692" s="37" t="n">
        <x:v>3699256.5610956075</x:v>
      </x:c>
      <x:c r="H692" s="37" t="n">
        <x:v>-11789.189015509804</x:v>
      </x:c>
      <x:c r="I692" s="37" t="n">
        <x:v>3711045.7501111175</x:v>
      </x:c>
      <x:c r="J692" s="37" t="n">
        <x:v>10618688.87166353</x:v>
      </x:c>
      <x:c r="K692" s="37" t="n">
        <x:v>6919432.310567923</x:v>
      </x:c>
      <x:c r="L692" s="37" t="n">
        <x:v>13007199.430671684</x:v>
      </x:c>
      <x:c r="M692" s="37" t="n">
        <x:v>0</x:v>
      </x:c>
      <x:c r="N692" s="37" t="n">
        <x:v>0</x:v>
      </x:c>
      <x:c r="O692" s="37" t="n">
        <x:v>509.99632182344794</x:v>
      </x:c>
      <x:c r="P692" s="37" t="n">
        <x:v>0</x:v>
      </x:c>
      <x:c r="Q692" s="37" t="n">
        <x:v>0</x:v>
      </x:c>
      <x:c r="R692" s="37" t="n">
        <x:v>0</x:v>
      </x:c>
      <x:c r="S692" s="37" t="n">
        <x:v>0</x:v>
      </x:c>
      <x:c r="T692" s="37" t="n">
        <x:v>0</x:v>
      </x:c>
      <x:c r="U692" s="37" t="n">
        <x:v>44145.09825237111</x:v>
      </x:c>
      <x:c r="V692" s="37" t="n">
        <x:v>0</x:v>
      </x:c>
      <x:c r="W692" s="37" t="n">
        <x:v>126469.18300219066</x:v>
      </x:c>
      <x:c r="X692" s="37" t="n">
        <x:v>0</x:v>
      </x:c>
      <x:c r="Y692" s="37" t="n">
        <x:v>2005.432733623629</x:v>
      </x:c>
      <x:c r="Z692" s="37" t="n">
        <x:v>7057820.956779282</x:v>
      </x:c>
      <x:c r="AA692" s="37" t="n">
        <x:v>0</x:v>
      </x:c>
      <x:c r="AB692" s="37" t="n">
        <x:v>7057820.956779282</x:v>
      </x:c>
      <x:c r="AC692" s="37" t="n">
        <x:v>2250121.9127967963</x:v>
      </x:c>
      <x:c r="AD692" s="37" t="n">
        <x:v>0</x:v>
      </x:c>
      <x:c r="AE692" s="37" t="n">
        <x:v>0</x:v>
      </x:c>
      <x:c r="AF692" s="47" t="b">
        <x:v>0</x:v>
      </x:c>
      <x:c r="AG692" s="47" t="b">
        <x:v>0</x:v>
      </x:c>
      <x:c r="AH692" s="48" t="n">
        <x:v>0</x:v>
      </x:c>
      <x:c r="AI692" s="48" t="n">
        <x:v>1.1920928955078125e-7</x:v>
      </x:c>
      <x:c r="AJ692" s="37" t="str">
        <x:v>passed</x:v>
      </x:c>
    </x:row>
    <x:row r="693" ht="21" customHeight="1">
      <x:c r="A693" s="2"/>
      <x:c r="B693" s="2"/>
      <x:c r="C693" s="2" t="str">
        <x:v>2022</x:v>
      </x:c>
      <x:c r="D693" s="5" t="n">
        <x:v>44812</x:v>
      </x:c>
      <x:c r="E693" s="2" t="str">
        <x:v>unweighted</x:v>
      </x:c>
      <x:c r="F693" s="37" t="n">
        <x:v>12531041.223003583</x:v>
      </x:c>
      <x:c r="G693" s="37" t="n">
        <x:v>514862.25341935776</x:v>
      </x:c>
      <x:c r="H693" s="37" t="n">
        <x:v>-16029.109244866962</x:v>
      </x:c>
      <x:c r="I693" s="37" t="n">
        <x:v>530891.3626642247</x:v>
      </x:c>
      <x:c r="J693" s="37" t="n">
        <x:v>10632270.79752245</x:v>
      </x:c>
      <x:c r="K693" s="37" t="n">
        <x:v>10117408.544103093</x:v>
      </x:c>
      <x:c r="L693" s="37" t="n">
        <x:v>13045903.476422941</x:v>
      </x:c>
      <x:c r="M693" s="37" t="n">
        <x:v>0</x:v>
      </x:c>
      <x:c r="N693" s="37" t="n">
        <x:v>0</x:v>
      </x:c>
      <x:c r="O693" s="37" t="n">
        <x:v>686.5947741512209</x:v>
      </x:c>
      <x:c r="P693" s="37" t="n">
        <x:v>0</x:v>
      </x:c>
      <x:c r="Q693" s="37" t="n">
        <x:v>0</x:v>
      </x:c>
      <x:c r="R693" s="37" t="n">
        <x:v>0</x:v>
      </x:c>
      <x:c r="S693" s="37" t="n">
        <x:v>0</x:v>
      </x:c>
      <x:c r="T693" s="37" t="n">
        <x:v>0</x:v>
      </x:c>
      <x:c r="U693" s="37" t="n">
        <x:v>35631.30899120559</x:v>
      </x:c>
      <x:c r="V693" s="37" t="n">
        <x:v>0</x:v>
      </x:c>
      <x:c r="W693" s="37" t="n">
        <x:v>165626.1856487058</x:v>
      </x:c>
      <x:c r="X693" s="37" t="n">
        <x:v>0</x:v>
      </x:c>
      <x:c r="Y693" s="37" t="n">
        <x:v>2292.037834981838</x:v>
      </x:c>
      <x:c r="Z693" s="37" t="n">
        <x:v>10319756.714985155</x:v>
      </x:c>
      <x:c r="AA693" s="37" t="n">
        <x:v>0</x:v>
      </x:c>
      <x:c r="AB693" s="37" t="n">
        <x:v>10319756.714985155</x:v>
      </x:c>
      <x:c r="AC693" s="37" t="n">
        <x:v>2211284.5080184285</x:v>
      </x:c>
      <x:c r="AD693" s="37" t="n">
        <x:v>0</x:v>
      </x:c>
      <x:c r="AE693" s="37" t="n">
        <x:v>0</x:v>
      </x:c>
      <x:c r="AF693" s="47" t="b">
        <x:v>0</x:v>
      </x:c>
      <x:c r="AG693" s="47" t="b">
        <x:v>0</x:v>
      </x:c>
      <x:c r="AH693" s="48" t="n">
        <x:v>0</x:v>
      </x:c>
      <x:c r="AI693" s="48" t="n">
        <x:v>1.1920928955078125e-7</x:v>
      </x:c>
      <x:c r="AJ693" s="37" t="str">
        <x:v>passed</x:v>
      </x:c>
    </x:row>
    <x:row r="694" ht="21" customHeight="1">
      <x:c r="A694" s="2"/>
      <x:c r="B694" s="2"/>
      <x:c r="C694" s="2" t="str">
        <x:v>2022</x:v>
      </x:c>
      <x:c r="D694" s="5" t="n">
        <x:v>44812</x:v>
      </x:c>
      <x:c r="E694" s="2" t="str">
        <x:v>constrained</x:v>
      </x:c>
      <x:c r="F694" s="37" t="n">
        <x:v>13187589.872521197</x:v>
      </x:c>
      <x:c r="G694" s="37" t="n">
        <x:v>-62026.18868221283</x:v>
      </x:c>
      <x:c r="H694" s="37" t="n">
        <x:v>-18193.848809506562</x:v>
      </x:c>
      <x:c r="I694" s="37" t="n">
        <x:v>-43832.33987270627</x:v>
      </x:c>
      <x:c r="J694" s="37" t="n">
        <x:v>10635682.365125934</x:v>
      </x:c>
      <x:c r="K694" s="37" t="n">
        <x:v>10697708.553808145</x:v>
      </x:c>
      <x:c r="L694" s="37" t="n">
        <x:v>13125563.683838984</x:v>
      </x:c>
      <x:c r="M694" s="37" t="n">
        <x:v>0</x:v>
      </x:c>
      <x:c r="N694" s="37" t="n">
        <x:v>0</x:v>
      </x:c>
      <x:c r="O694" s="37" t="n">
        <x:v>722.5680714789778</x:v>
      </x:c>
      <x:c r="P694" s="37" t="n">
        <x:v>0</x:v>
      </x:c>
      <x:c r="Q694" s="37" t="n">
        <x:v>0</x:v>
      </x:c>
      <x:c r="R694" s="37" t="n">
        <x:v>0</x:v>
      </x:c>
      <x:c r="S694" s="37" t="n">
        <x:v>0</x:v>
      </x:c>
      <x:c r="T694" s="37" t="n">
        <x:v>0</x:v>
      </x:c>
      <x:c r="U694" s="37" t="n">
        <x:v>30770.55116020547</x:v>
      </x:c>
      <x:c r="V694" s="37" t="n">
        <x:v>0</x:v>
      </x:c>
      <x:c r="W694" s="37" t="n">
        <x:v>178080.6083604619</x:v>
      </x:c>
      <x:c r="X694" s="37" t="n">
        <x:v>0</x:v>
      </x:c>
      <x:c r="Y694" s="37" t="n">
        <x:v>2388.5134762951375</x:v>
      </x:c>
      <x:c r="Z694" s="37" t="n">
        <x:v>10911662.724884309</x:v>
      </x:c>
      <x:c r="AA694" s="37" t="n">
        <x:v>0</x:v>
      </x:c>
      <x:c r="AB694" s="37" t="n">
        <x:v>10911662.724884309</x:v>
      </x:c>
      <x:c r="AC694" s="37" t="n">
        <x:v>2275927.1476368885</x:v>
      </x:c>
      <x:c r="AD694" s="37" t="n">
        <x:v>0</x:v>
      </x:c>
      <x:c r="AE694" s="37" t="n">
        <x:v>0</x:v>
      </x:c>
      <x:c r="AF694" s="47" t="b">
        <x:v>0</x:v>
      </x:c>
      <x:c r="AG694" s="47" t="b">
        <x:v>0</x:v>
      </x:c>
      <x:c r="AH694" s="48" t="n">
        <x:v>0</x:v>
      </x:c>
      <x:c r="AI694" s="48" t="n">
        <x:v>1.1920928955078125e-7</x:v>
      </x:c>
      <x:c r="AJ694" s="37" t="str">
        <x:v>passed</x:v>
      </x:c>
    </x:row>
    <x:row r="695" ht="21" customHeight="1">
      <x:c r="A695" s="2"/>
      <x:c r="B695" s="2"/>
      <x:c r="C695" s="2" t="str">
        <x:v>2022</x:v>
      </x:c>
      <x:c r="D695" s="5" t="n">
        <x:v>44813</x:v>
      </x:c>
      <x:c r="E695" s="2" t="str">
        <x:v>unhedged</x:v>
      </x:c>
      <x:c r="F695" s="37" t="n">
        <x:v>1317208.2201843907</x:v>
      </x:c>
      <x:c r="G695" s="37" t="n">
        <x:v>10595064.992626227</x:v>
      </x:c>
      <x:c r="H695" s="37" t="n">
        <x:v>23926.630434782608</x:v>
      </x:c>
      <x:c r="I695" s="37" t="n">
        <x:v>10571138.362191444</x:v>
      </x:c>
      <x:c r="J695" s="37" t="n">
        <x:v>10595064.992626227</x:v>
      </x:c>
      <x:c r="K695" s="37" t="n">
        <x:v>0</x:v>
      </x:c>
      <x:c r="L695" s="37" t="n">
        <x:v>11912273.212810619</x:v>
      </x:c>
      <x:c r="M695" s="37" t="n">
        <x:v>0</x:v>
      </x:c>
      <x:c r="N695" s="37" t="n">
        <x:v>0</x:v>
      </x:c>
      <x:c r="O695" s="37" t="n">
        <x:v>72.17183826561086</x:v>
      </x:c>
      <x:c r="P695" s="37" t="n">
        <x:v>0</x:v>
      </x:c>
      <x:c r="Q695" s="37" t="n">
        <x:v>0</x:v>
      </x:c>
      <x:c r="R695" s="37" t="n">
        <x:v>0</x:v>
      </x:c>
      <x:c r="S695" s="37" t="n">
        <x:v>0</x:v>
      </x:c>
      <x:c r="T695" s="37" t="n">
        <x:v>0</x:v>
      </x:c>
      <x:c r="U695" s="37" t="n">
        <x:v>101250</x:v>
      </x:c>
      <x:c r="V695" s="37" t="n">
        <x:v>0</x:v>
      </x:c>
      <x:c r="W695" s="37" t="n">
        <x:v>17132.939501116285</x:v>
      </x:c>
      <x:c r="X695" s="37" t="n">
        <x:v>0</x:v>
      </x:c>
      <x:c r="Y695" s="37" t="n">
        <x:v>1174.7193167256753</x:v>
      </x:c>
      <x:c r="Z695" s="37" t="n">
        <x:v>0</x:v>
      </x:c>
      <x:c r="AA695" s="37" t="n">
        <x:v>0</x:v>
      </x:c>
      <x:c r="AB695" s="37" t="n">
        <x:v>0</x:v>
      </x:c>
      <x:c r="AC695" s="37" t="n">
        <x:v>1317208.2201843907</x:v>
      </x:c>
      <x:c r="AD695" s="37" t="n">
        <x:v>0</x:v>
      </x:c>
      <x:c r="AE695" s="37" t="n">
        <x:v>0</x:v>
      </x:c>
      <x:c r="AF695" s="47" t="b">
        <x:v>0</x:v>
      </x:c>
      <x:c r="AG695" s="47" t="b">
        <x:v>0</x:v>
      </x:c>
      <x:c r="AH695" s="48" t="n">
        <x:v>0</x:v>
      </x:c>
      <x:c r="AI695" s="48" t="n">
        <x:v>1.1920928955078125e-7</x:v>
      </x:c>
      <x:c r="AJ695" s="37" t="str">
        <x:v>passed</x:v>
      </x:c>
    </x:row>
    <x:row r="696" ht="21" customHeight="1">
      <x:c r="A696" s="2"/>
      <x:c r="B696" s="2"/>
      <x:c r="C696" s="2" t="str">
        <x:v>2022</x:v>
      </x:c>
      <x:c r="D696" s="5" t="n">
        <x:v>44813</x:v>
      </x:c>
      <x:c r="E696" s="2" t="str">
        <x:v>duration</x:v>
      </x:c>
      <x:c r="F696" s="37" t="n">
        <x:v>9308452.893842904</x:v>
      </x:c>
      <x:c r="G696" s="37" t="n">
        <x:v>3694735.9418302486</x:v>
      </x:c>
      <x:c r="H696" s="37" t="n">
        <x:v>-11747.629831610524</x:v>
      </x:c>
      <x:c r="I696" s="37" t="n">
        <x:v>3706483.5716618593</x:v>
      </x:c>
      <x:c r="J696" s="37" t="n">
        <x:v>10595064.992626227</x:v>
      </x:c>
      <x:c r="K696" s="37" t="n">
        <x:v>6900329.050795978</x:v>
      </x:c>
      <x:c r="L696" s="37" t="n">
        <x:v>13003188.835673153</x:v>
      </x:c>
      <x:c r="M696" s="37" t="n">
        <x:v>0</x:v>
      </x:c>
      <x:c r="N696" s="37" t="n">
        <x:v>0</x:v>
      </x:c>
      <x:c r="O696" s="37" t="n">
        <x:v>510.0242668259889</x:v>
      </x:c>
      <x:c r="P696" s="37" t="n">
        <x:v>0</x:v>
      </x:c>
      <x:c r="Q696" s="37" t="n">
        <x:v>0</x:v>
      </x:c>
      <x:c r="R696" s="37" t="n">
        <x:v>0</x:v>
      </x:c>
      <x:c r="S696" s="37" t="n">
        <x:v>0</x:v>
      </x:c>
      <x:c r="T696" s="37" t="n">
        <x:v>0</x:v>
      </x:c>
      <x:c r="U696" s="37" t="n">
        <x:v>44145.09825237111</x:v>
      </x:c>
      <x:c r="V696" s="37" t="n">
        <x:v>0</x:v>
      </x:c>
      <x:c r="W696" s="37" t="n">
        <x:v>126979.20726901665</x:v>
      </x:c>
      <x:c r="X696" s="37" t="n">
        <x:v>0</x:v>
      </x:c>
      <x:c r="Y696" s="37" t="n">
        <x:v>2005.432733623629</x:v>
      </x:c>
      <x:c r="Z696" s="37" t="n">
        <x:v>7038335.631811897</x:v>
      </x:c>
      <x:c r="AA696" s="37" t="n">
        <x:v>0</x:v>
      </x:c>
      <x:c r="AB696" s="37" t="n">
        <x:v>7038335.631811897</x:v>
      </x:c>
      <x:c r="AC696" s="37" t="n">
        <x:v>2270117.2620310066</x:v>
      </x:c>
      <x:c r="AD696" s="37" t="n">
        <x:v>0</x:v>
      </x:c>
      <x:c r="AE696" s="37" t="n">
        <x:v>0</x:v>
      </x:c>
      <x:c r="AF696" s="47" t="b">
        <x:v>0</x:v>
      </x:c>
      <x:c r="AG696" s="47" t="b">
        <x:v>0</x:v>
      </x:c>
      <x:c r="AH696" s="48" t="n">
        <x:v>0</x:v>
      </x:c>
      <x:c r="AI696" s="48" t="n">
        <x:v>1.1920928955078125e-7</x:v>
      </x:c>
      <x:c r="AJ696" s="37" t="str">
        <x:v>passed</x:v>
      </x:c>
    </x:row>
    <x:row r="697" ht="21" customHeight="1">
      <x:c r="A697" s="2"/>
      <x:c r="B697" s="2"/>
      <x:c r="C697" s="2" t="str">
        <x:v>2022</x:v>
      </x:c>
      <x:c r="D697" s="5" t="n">
        <x:v>44813</x:v>
      </x:c>
      <x:c r="E697" s="2" t="str">
        <x:v>unweighted</x:v>
      </x:c>
      <x:c r="F697" s="37" t="n">
        <x:v>12531727.855399365</x:v>
      </x:c>
      <x:c r="G697" s="37" t="n">
        <x:v>513742.2117596616</x:v>
      </x:c>
      <x:c r="H697" s="37" t="n">
        <x:v>-16046.03379785019</x:v>
      </x:c>
      <x:c r="I697" s="37" t="n">
        <x:v>529788.2455575118</x:v>
      </x:c>
      <x:c r="J697" s="37" t="n">
        <x:v>10608601.964474812</x:v>
      </x:c>
      <x:c r="K697" s="37" t="n">
        <x:v>10094859.752715152</x:v>
      </x:c>
      <x:c r="L697" s="37" t="n">
        <x:v>13045470.067159027</x:v>
      </x:c>
      <x:c r="M697" s="37" t="n">
        <x:v>0</x:v>
      </x:c>
      <x:c r="N697" s="37" t="n">
        <x:v>0</x:v>
      </x:c>
      <x:c r="O697" s="37" t="n">
        <x:v>686.6323957815766</x:v>
      </x:c>
      <x:c r="P697" s="37" t="n">
        <x:v>0</x:v>
      </x:c>
      <x:c r="Q697" s="37" t="n">
        <x:v>0</x:v>
      </x:c>
      <x:c r="R697" s="37" t="n">
        <x:v>0</x:v>
      </x:c>
      <x:c r="S697" s="37" t="n">
        <x:v>0</x:v>
      </x:c>
      <x:c r="T697" s="37" t="n">
        <x:v>0</x:v>
      </x:c>
      <x:c r="U697" s="37" t="n">
        <x:v>35631.30899120559</x:v>
      </x:c>
      <x:c r="V697" s="37" t="n">
        <x:v>0</x:v>
      </x:c>
      <x:c r="W697" s="37" t="n">
        <x:v>166312.8180444874</x:v>
      </x:c>
      <x:c r="X697" s="37" t="n">
        <x:v>0</x:v>
      </x:c>
      <x:c r="Y697" s="37" t="n">
        <x:v>2292.037834981838</x:v>
      </x:c>
      <x:c r="Z697" s="37" t="n">
        <x:v>10296756.947769456</x:v>
      </x:c>
      <x:c r="AA697" s="37" t="n">
        <x:v>0</x:v>
      </x:c>
      <x:c r="AB697" s="37" t="n">
        <x:v>10296756.947769456</x:v>
      </x:c>
      <x:c r="AC697" s="37" t="n">
        <x:v>2234970.907629909</x:v>
      </x:c>
      <x:c r="AD697" s="37" t="n">
        <x:v>0</x:v>
      </x:c>
      <x:c r="AE697" s="37" t="n">
        <x:v>0</x:v>
      </x:c>
      <x:c r="AF697" s="47" t="b">
        <x:v>0</x:v>
      </x:c>
      <x:c r="AG697" s="47" t="b">
        <x:v>0</x:v>
      </x:c>
      <x:c r="AH697" s="48" t="n">
        <x:v>0</x:v>
      </x:c>
      <x:c r="AI697" s="48" t="n">
        <x:v>1.1920928955078125e-7</x:v>
      </x:c>
      <x:c r="AJ697" s="37" t="str">
        <x:v>passed</x:v>
      </x:c>
    </x:row>
    <x:row r="698" ht="21" customHeight="1">
      <x:c r="A698" s="2"/>
      <x:c r="B698" s="2"/>
      <x:c r="C698" s="2" t="str">
        <x:v>2022</x:v>
      </x:c>
      <x:c r="D698" s="5" t="n">
        <x:v>44813</x:v>
      </x:c>
      <x:c r="E698" s="2" t="str">
        <x:v>constrained</x:v>
      </x:c>
      <x:c r="F698" s="37" t="n">
        <x:v>13188312.480185445</x:v>
      </x:c>
      <x:c r="G698" s="37" t="n">
        <x:v>-61888.16040829092</x:v>
      </x:c>
      <x:c r="H698" s="37" t="n">
        <x:v>-18231.44284155468</x:v>
      </x:c>
      <x:c r="I698" s="37" t="n">
        <x:v>-43656.71756673624</x:v>
      </x:c>
      <x:c r="J698" s="37" t="n">
        <x:v>10612002.176634723</x:v>
      </x:c>
      <x:c r="K698" s="37" t="n">
        <x:v>10673890.337043015</x:v>
      </x:c>
      <x:c r="L698" s="37" t="n">
        <x:v>13126424.319777155</x:v>
      </x:c>
      <x:c r="M698" s="37" t="n">
        <x:v>0</x:v>
      </x:c>
      <x:c r="N698" s="37" t="n">
        <x:v>0</x:v>
      </x:c>
      <x:c r="O698" s="37" t="n">
        <x:v>722.6076642479748</x:v>
      </x:c>
      <x:c r="P698" s="37" t="n">
        <x:v>0</x:v>
      </x:c>
      <x:c r="Q698" s="37" t="n">
        <x:v>0</x:v>
      </x:c>
      <x:c r="R698" s="37" t="n">
        <x:v>0</x:v>
      </x:c>
      <x:c r="S698" s="37" t="n">
        <x:v>0</x:v>
      </x:c>
      <x:c r="T698" s="37" t="n">
        <x:v>0</x:v>
      </x:c>
      <x:c r="U698" s="37" t="n">
        <x:v>30770.55116020547</x:v>
      </x:c>
      <x:c r="V698" s="37" t="n">
        <x:v>0</x:v>
      </x:c>
      <x:c r="W698" s="37" t="n">
        <x:v>178803.21602470987</x:v>
      </x:c>
      <x:c r="X698" s="37" t="n">
        <x:v>0</x:v>
      </x:c>
      <x:c r="Y698" s="37" t="n">
        <x:v>2388.5134762951375</x:v>
      </x:c>
      <x:c r="Z698" s="37" t="n">
        <x:v>10887368.143783877</x:v>
      </x:c>
      <x:c r="AA698" s="37" t="n">
        <x:v>0</x:v>
      </x:c>
      <x:c r="AB698" s="37" t="n">
        <x:v>10887368.143783877</x:v>
      </x:c>
      <x:c r="AC698" s="37" t="n">
        <x:v>2300944.3364015687</x:v>
      </x:c>
      <x:c r="AD698" s="37" t="n">
        <x:v>0</x:v>
      </x:c>
      <x:c r="AE698" s="37" t="n">
        <x:v>0</x:v>
      </x:c>
      <x:c r="AF698" s="47" t="b">
        <x:v>0</x:v>
      </x:c>
      <x:c r="AG698" s="47" t="b">
        <x:v>0</x:v>
      </x:c>
      <x:c r="AH698" s="48" t="n">
        <x:v>0</x:v>
      </x:c>
      <x:c r="AI698" s="48" t="n">
        <x:v>1.1920928955078125e-7</x:v>
      </x:c>
      <x:c r="AJ698" s="37" t="str">
        <x:v>passed</x:v>
      </x:c>
    </x:row>
    <x:row r="699" ht="21" customHeight="1">
      <x:c r="A699" s="2"/>
      <x:c r="B699" s="2"/>
      <x:c r="C699" s="2" t="str">
        <x:v>2022</x:v>
      </x:c>
      <x:c r="D699" s="5" t="n">
        <x:v>44816</x:v>
      </x:c>
      <x:c r="E699" s="2" t="str">
        <x:v>unhedged</x:v>
      </x:c>
      <x:c r="F699" s="37" t="n">
        <x:v>1317424.7594277817</x:v>
      </x:c>
      <x:c r="G699" s="37" t="n">
        <x:v>10580247.204701079</x:v>
      </x:c>
      <x:c r="H699" s="37" t="n">
        <x:v>24966.032608695652</x:v>
      </x:c>
      <x:c r="I699" s="37" t="n">
        <x:v>10555281.172092384</x:v>
      </x:c>
      <x:c r="J699" s="37" t="n">
        <x:v>10580247.204701079</x:v>
      </x:c>
      <x:c r="K699" s="37" t="n">
        <x:v>0</x:v>
      </x:c>
      <x:c r="L699" s="37" t="n">
        <x:v>11897671.964128861</x:v>
      </x:c>
      <x:c r="M699" s="37" t="n">
        <x:v>0</x:v>
      </x:c>
      <x:c r="N699" s="37" t="n">
        <x:v>0</x:v>
      </x:c>
      <x:c r="O699" s="37" t="n">
        <x:v>216.5392433910165</x:v>
      </x:c>
      <x:c r="P699" s="37" t="n">
        <x:v>0</x:v>
      </x:c>
      <x:c r="Q699" s="37" t="n">
        <x:v>0</x:v>
      </x:c>
      <x:c r="R699" s="37" t="n">
        <x:v>0</x:v>
      </x:c>
      <x:c r="S699" s="37" t="n">
        <x:v>0</x:v>
      </x:c>
      <x:c r="T699" s="37" t="n">
        <x:v>0</x:v>
      </x:c>
      <x:c r="U699" s="37" t="n">
        <x:v>101250</x:v>
      </x:c>
      <x:c r="V699" s="37" t="n">
        <x:v>0</x:v>
      </x:c>
      <x:c r="W699" s="37" t="n">
        <x:v>17349.4787445073</x:v>
      </x:c>
      <x:c r="X699" s="37" t="n">
        <x:v>0</x:v>
      </x:c>
      <x:c r="Y699" s="37" t="n">
        <x:v>1174.7193167256753</x:v>
      </x:c>
      <x:c r="Z699" s="37" t="n">
        <x:v>0</x:v>
      </x:c>
      <x:c r="AA699" s="37" t="n">
        <x:v>0</x:v>
      </x:c>
      <x:c r="AB699" s="37" t="n">
        <x:v>0</x:v>
      </x:c>
      <x:c r="AC699" s="37" t="n">
        <x:v>1317424.7594277817</x:v>
      </x:c>
      <x:c r="AD699" s="37" t="n">
        <x:v>0</x:v>
      </x:c>
      <x:c r="AE699" s="37" t="n">
        <x:v>0</x:v>
      </x:c>
      <x:c r="AF699" s="47" t="b">
        <x:v>0</x:v>
      </x:c>
      <x:c r="AG699" s="47" t="b">
        <x:v>0</x:v>
      </x:c>
      <x:c r="AH699" s="48" t="n">
        <x:v>0</x:v>
      </x:c>
      <x:c r="AI699" s="48" t="n">
        <x:v>1.1920928955078125e-7</x:v>
      </x:c>
      <x:c r="AJ699" s="37" t="str">
        <x:v>passed</x:v>
      </x:c>
    </x:row>
    <x:row r="700" ht="21" customHeight="1">
      <x:c r="A700" s="2"/>
      <x:c r="B700" s="2"/>
      <x:c r="C700" s="2" t="str">
        <x:v>2022</x:v>
      </x:c>
      <x:c r="D700" s="5" t="n">
        <x:v>44816</x:v>
      </x:c>
      <x:c r="E700" s="2" t="str">
        <x:v>duration</x:v>
      </x:c>
      <x:c r="F700" s="37" t="n">
        <x:v>9309983.13432872</x:v>
      </x:c>
      <x:c r="G700" s="37" t="n">
        <x:v>3699970.5885352017</x:v>
      </x:c>
      <x:c r="H700" s="37" t="n">
        <x:v>-11622.95227991269</x:v>
      </x:c>
      <x:c r="I700" s="37" t="n">
        <x:v>3711593.5408151145</x:v>
      </x:c>
      <x:c r="J700" s="37" t="n">
        <x:v>10580247.204701079</x:v>
      </x:c>
      <x:c r="K700" s="37" t="n">
        <x:v>6880276.616165878</x:v>
      </x:c>
      <x:c r="L700" s="37" t="n">
        <x:v>13009953.72286392</x:v>
      </x:c>
      <x:c r="M700" s="37" t="n">
        <x:v>0</x:v>
      </x:c>
      <x:c r="N700" s="37" t="n">
        <x:v>0</x:v>
      </x:c>
      <x:c r="O700" s="37" t="n">
        <x:v>1530.2404858153313</x:v>
      </x:c>
      <x:c r="P700" s="37" t="n">
        <x:v>0</x:v>
      </x:c>
      <x:c r="Q700" s="37" t="n">
        <x:v>0</x:v>
      </x:c>
      <x:c r="R700" s="37" t="n">
        <x:v>0</x:v>
      </x:c>
      <x:c r="S700" s="37" t="n">
        <x:v>0</x:v>
      </x:c>
      <x:c r="T700" s="37" t="n">
        <x:v>0</x:v>
      </x:c>
      <x:c r="U700" s="37" t="n">
        <x:v>44145.09825237111</x:v>
      </x:c>
      <x:c r="V700" s="37" t="n">
        <x:v>0</x:v>
      </x:c>
      <x:c r="W700" s="37" t="n">
        <x:v>128509.44775483198</x:v>
      </x:c>
      <x:c r="X700" s="37" t="n">
        <x:v>0</x:v>
      </x:c>
      <x:c r="Y700" s="37" t="n">
        <x:v>2005.432733623629</x:v>
      </x:c>
      <x:c r="Z700" s="37" t="n">
        <x:v>7017882.148489196</x:v>
      </x:c>
      <x:c r="AA700" s="37" t="n">
        <x:v>0</x:v>
      </x:c>
      <x:c r="AB700" s="37" t="n">
        <x:v>7017882.148489196</x:v>
      </x:c>
      <x:c r="AC700" s="37" t="n">
        <x:v>2292100.9858395234</x:v>
      </x:c>
      <x:c r="AD700" s="37" t="n">
        <x:v>0</x:v>
      </x:c>
      <x:c r="AE700" s="37" t="n">
        <x:v>0</x:v>
      </x:c>
      <x:c r="AF700" s="47" t="b">
        <x:v>0</x:v>
      </x:c>
      <x:c r="AG700" s="47" t="b">
        <x:v>0</x:v>
      </x:c>
      <x:c r="AH700" s="48" t="n">
        <x:v>0</x:v>
      </x:c>
      <x:c r="AI700" s="48" t="n">
        <x:v>1.1920928955078125e-7</x:v>
      </x:c>
      <x:c r="AJ700" s="37" t="str">
        <x:v>passed</x:v>
      </x:c>
    </x:row>
    <x:row r="701" ht="21" customHeight="1">
      <x:c r="A701" s="2"/>
      <x:c r="B701" s="2"/>
      <x:c r="C701" s="2" t="str">
        <x:v>2022</x:v>
      </x:c>
      <x:c r="D701" s="5" t="n">
        <x:v>44816</x:v>
      </x:c>
      <x:c r="E701" s="2" t="str">
        <x:v>unweighted</x:v>
      </x:c>
      <x:c r="F701" s="37" t="n">
        <x:v>12533787.978337113</x:v>
      </x:c>
      <x:c r="G701" s="37" t="n">
        <x:v>513195.0613435833</x:v>
      </x:c>
      <x:c r="H701" s="37" t="n">
        <x:v>-16096.807456799866</x:v>
      </x:c>
      <x:c r="I701" s="37" t="n">
        <x:v>529291.8688003832</x:v>
      </x:c>
      <x:c r="J701" s="37" t="n">
        <x:v>10593676.59379611</x:v>
      </x:c>
      <x:c r="K701" s="37" t="n">
        <x:v>10080481.532452527</x:v>
      </x:c>
      <x:c r="L701" s="37" t="n">
        <x:v>13046983.039680697</x:v>
      </x:c>
      <x:c r="M701" s="37" t="n">
        <x:v>0</x:v>
      </x:c>
      <x:c r="N701" s="37" t="n">
        <x:v>0</x:v>
      </x:c>
      <x:c r="O701" s="37" t="n">
        <x:v>2060.1229377482086</x:v>
      </x:c>
      <x:c r="P701" s="37" t="n">
        <x:v>0</x:v>
      </x:c>
      <x:c r="Q701" s="37" t="n">
        <x:v>0</x:v>
      </x:c>
      <x:c r="R701" s="37" t="n">
        <x:v>0</x:v>
      </x:c>
      <x:c r="S701" s="37" t="n">
        <x:v>0</x:v>
      </x:c>
      <x:c r="T701" s="37" t="n">
        <x:v>0</x:v>
      </x:c>
      <x:c r="U701" s="37" t="n">
        <x:v>35631.30899120559</x:v>
      </x:c>
      <x:c r="V701" s="37" t="n">
        <x:v>0</x:v>
      </x:c>
      <x:c r="W701" s="37" t="n">
        <x:v>168372.9409822356</x:v>
      </x:c>
      <x:c r="X701" s="37" t="n">
        <x:v>0</x:v>
      </x:c>
      <x:c r="Y701" s="37" t="n">
        <x:v>2292.037834981838</x:v>
      </x:c>
      <x:c r="Z701" s="37" t="n">
        <x:v>10282091.163101578</x:v>
      </x:c>
      <x:c r="AA701" s="37" t="n">
        <x:v>0</x:v>
      </x:c>
      <x:c r="AB701" s="37" t="n">
        <x:v>10282091.163101578</x:v>
      </x:c>
      <x:c r="AC701" s="37" t="n">
        <x:v>2251696.8152355347</x:v>
      </x:c>
      <x:c r="AD701" s="37" t="n">
        <x:v>0</x:v>
      </x:c>
      <x:c r="AE701" s="37" t="n">
        <x:v>0</x:v>
      </x:c>
      <x:c r="AF701" s="47" t="b">
        <x:v>0</x:v>
      </x:c>
      <x:c r="AG701" s="47" t="b">
        <x:v>0</x:v>
      </x:c>
      <x:c r="AH701" s="48" t="n">
        <x:v>0</x:v>
      </x:c>
      <x:c r="AI701" s="48" t="n">
        <x:v>1.1920928955078125e-7</x:v>
      </x:c>
      <x:c r="AJ701" s="37" t="str">
        <x:v>passed</x:v>
      </x:c>
    </x:row>
    <x:row r="702" ht="21" customHeight="1">
      <x:c r="A702" s="2"/>
      <x:c r="B702" s="2"/>
      <x:c r="C702" s="2" t="str">
        <x:v>2022</x:v>
      </x:c>
      <x:c r="D702" s="5" t="n">
        <x:v>44816</x:v>
      </x:c>
      <x:c r="E702" s="2" t="str">
        <x:v>constrained</x:v>
      </x:c>
      <x:c r="F702" s="37" t="n">
        <x:v>13190480.54075651</x:v>
      </x:c>
      <x:c r="G702" s="37" t="n">
        <x:v>-61929.065582479685</x:v>
      </x:c>
      <x:c r="H702" s="37" t="n">
        <x:v>-18344.224937699015</x:v>
      </x:c>
      <x:c r="I702" s="37" t="n">
        <x:v>-43584.84064478067</x:v>
      </x:c>
      <x:c r="J702" s="37" t="n">
        <x:v>10597050.232406395</x:v>
      </x:c>
      <x:c r="K702" s="37" t="n">
        <x:v>10658979.297988873</x:v>
      </x:c>
      <x:c r="L702" s="37" t="n">
        <x:v>13128551.47517403</x:v>
      </x:c>
      <x:c r="M702" s="37" t="n">
        <x:v>0</x:v>
      </x:c>
      <x:c r="N702" s="37" t="n">
        <x:v>0</x:v>
      </x:c>
      <x:c r="O702" s="37" t="n">
        <x:v>2168.0605710651726</x:v>
      </x:c>
      <x:c r="P702" s="37" t="n">
        <x:v>0</x:v>
      </x:c>
      <x:c r="Q702" s="37" t="n">
        <x:v>0</x:v>
      </x:c>
      <x:c r="R702" s="37" t="n">
        <x:v>0</x:v>
      </x:c>
      <x:c r="S702" s="37" t="n">
        <x:v>0</x:v>
      </x:c>
      <x:c r="T702" s="37" t="n">
        <x:v>0</x:v>
      </x:c>
      <x:c r="U702" s="37" t="n">
        <x:v>30770.55116020547</x:v>
      </x:c>
      <x:c r="V702" s="37" t="n">
        <x:v>0</x:v>
      </x:c>
      <x:c r="W702" s="37" t="n">
        <x:v>180971.27659577504</x:v>
      </x:c>
      <x:c r="X702" s="37" t="n">
        <x:v>0</x:v>
      </x:c>
      <x:c r="Y702" s="37" t="n">
        <x:v>2388.5134762951375</x:v>
      </x:c>
      <x:c r="Z702" s="37" t="n">
        <x:v>10872158.88394865</x:v>
      </x:c>
      <x:c r="AA702" s="37" t="n">
        <x:v>0</x:v>
      </x:c>
      <x:c r="AB702" s="37" t="n">
        <x:v>10872158.88394865</x:v>
      </x:c>
      <x:c r="AC702" s="37" t="n">
        <x:v>2318321.6568078604</x:v>
      </x:c>
      <x:c r="AD702" s="37" t="n">
        <x:v>0</x:v>
      </x:c>
      <x:c r="AE702" s="37" t="n">
        <x:v>0</x:v>
      </x:c>
      <x:c r="AF702" s="47" t="b">
        <x:v>0</x:v>
      </x:c>
      <x:c r="AG702" s="47" t="b">
        <x:v>0</x:v>
      </x:c>
      <x:c r="AH702" s="48" t="n">
        <x:v>0</x:v>
      </x:c>
      <x:c r="AI702" s="48" t="n">
        <x:v>1.1920928955078125e-7</x:v>
      </x:c>
      <x:c r="AJ702" s="37" t="str">
        <x:v>passed</x:v>
      </x:c>
    </x:row>
    <x:row r="703" ht="21" customHeight="1">
      <x:c r="A703" s="2"/>
      <x:c r="B703" s="2"/>
      <x:c r="C703" s="2" t="str">
        <x:v>2022</x:v>
      </x:c>
      <x:c r="D703" s="5" t="n">
        <x:v>44817</x:v>
      </x:c>
      <x:c r="E703" s="2" t="str">
        <x:v>unhedged</x:v>
      </x:c>
      <x:c r="F703" s="37" t="n">
        <x:v>1317496.9470858327</x:v>
      </x:c>
      <x:c r="G703" s="37" t="n">
        <x:v>10537429.717488261</x:v>
      </x:c>
      <x:c r="H703" s="37" t="n">
        <x:v>25312.5</x:v>
      </x:c>
      <x:c r="I703" s="37" t="n">
        <x:v>10512117.217488261</x:v>
      </x:c>
      <x:c r="J703" s="37" t="n">
        <x:v>10537429.717488261</x:v>
      </x:c>
      <x:c r="K703" s="37" t="n">
        <x:v>0</x:v>
      </x:c>
      <x:c r="L703" s="37" t="n">
        <x:v>11854926.664574094</x:v>
      </x:c>
      <x:c r="M703" s="37" t="n">
        <x:v>0</x:v>
      </x:c>
      <x:c r="N703" s="37" t="n">
        <x:v>0</x:v>
      </x:c>
      <x:c r="O703" s="37" t="n">
        <x:v>72.18765805102885</x:v>
      </x:c>
      <x:c r="P703" s="37" t="n">
        <x:v>0</x:v>
      </x:c>
      <x:c r="Q703" s="37" t="n">
        <x:v>0</x:v>
      </x:c>
      <x:c r="R703" s="37" t="n">
        <x:v>0</x:v>
      </x:c>
      <x:c r="S703" s="37" t="n">
        <x:v>0</x:v>
      </x:c>
      <x:c r="T703" s="37" t="n">
        <x:v>0</x:v>
      </x:c>
      <x:c r="U703" s="37" t="n">
        <x:v>101250</x:v>
      </x:c>
      <x:c r="V703" s="37" t="n">
        <x:v>0</x:v>
      </x:c>
      <x:c r="W703" s="37" t="n">
        <x:v>17421.66640255833</x:v>
      </x:c>
      <x:c r="X703" s="37" t="n">
        <x:v>0</x:v>
      </x:c>
      <x:c r="Y703" s="37" t="n">
        <x:v>1174.7193167256753</x:v>
      </x:c>
      <x:c r="Z703" s="37" t="n">
        <x:v>0</x:v>
      </x:c>
      <x:c r="AA703" s="37" t="n">
        <x:v>0</x:v>
      </x:c>
      <x:c r="AB703" s="37" t="n">
        <x:v>0</x:v>
      </x:c>
      <x:c r="AC703" s="37" t="n">
        <x:v>1317496.9470858327</x:v>
      </x:c>
      <x:c r="AD703" s="37" t="n">
        <x:v>0</x:v>
      </x:c>
      <x:c r="AE703" s="37" t="n">
        <x:v>0</x:v>
      </x:c>
      <x:c r="AF703" s="47" t="b">
        <x:v>0</x:v>
      </x:c>
      <x:c r="AG703" s="47" t="b">
        <x:v>0</x:v>
      </x:c>
      <x:c r="AH703" s="48" t="n">
        <x:v>0</x:v>
      </x:c>
      <x:c r="AI703" s="48" t="n">
        <x:v>1.1920928955078125e-7</x:v>
      </x:c>
      <x:c r="AJ703" s="37" t="str">
        <x:v>passed</x:v>
      </x:c>
    </x:row>
    <x:row r="704" ht="21" customHeight="1">
      <x:c r="A704" s="2"/>
      <x:c r="B704" s="2"/>
      <x:c r="C704" s="2" t="str">
        <x:v>2022</x:v>
      </x:c>
      <x:c r="D704" s="5" t="n">
        <x:v>44817</x:v>
      </x:c>
      <x:c r="E704" s="2" t="str">
        <x:v>duration</x:v>
      </x:c>
      <x:c r="F704" s="37" t="n">
        <x:v>9310493.270390876</x:v>
      </x:c>
      <x:c r="G704" s="37" t="n">
        <x:v>3685202.319421045</x:v>
      </x:c>
      <x:c r="H704" s="37" t="n">
        <x:v>-11581.39309601341</x:v>
      </x:c>
      <x:c r="I704" s="37" t="n">
        <x:v>3696783.7125170585</x:v>
      </x:c>
      <x:c r="J704" s="37" t="n">
        <x:v>10537429.717488261</x:v>
      </x:c>
      <x:c r="K704" s="37" t="n">
        <x:v>6852227.398067215</x:v>
      </x:c>
      <x:c r="L704" s="37" t="n">
        <x:v>12995695.589811921</x:v>
      </x:c>
      <x:c r="M704" s="37" t="n">
        <x:v>0</x:v>
      </x:c>
      <x:c r="N704" s="37" t="n">
        <x:v>0</x:v>
      </x:c>
      <x:c r="O704" s="37" t="n">
        <x:v>510.136062156409</x:v>
      </x:c>
      <x:c r="P704" s="37" t="n">
        <x:v>0</x:v>
      </x:c>
      <x:c r="Q704" s="37" t="n">
        <x:v>0</x:v>
      </x:c>
      <x:c r="R704" s="37" t="n">
        <x:v>0</x:v>
      </x:c>
      <x:c r="S704" s="37" t="n">
        <x:v>0</x:v>
      </x:c>
      <x:c r="T704" s="37" t="n">
        <x:v>0</x:v>
      </x:c>
      <x:c r="U704" s="37" t="n">
        <x:v>44145.09825237111</x:v>
      </x:c>
      <x:c r="V704" s="37" t="n">
        <x:v>0</x:v>
      </x:c>
      <x:c r="W704" s="37" t="n">
        <x:v>129019.5838169884</x:v>
      </x:c>
      <x:c r="X704" s="37" t="n">
        <x:v>0</x:v>
      </x:c>
      <x:c r="Y704" s="37" t="n">
        <x:v>2005.432733623629</x:v>
      </x:c>
      <x:c r="Z704" s="37" t="n">
        <x:v>6989271.9460285595</x:v>
      </x:c>
      <x:c r="AA704" s="37" t="n">
        <x:v>0</x:v>
      </x:c>
      <x:c r="AB704" s="37" t="n">
        <x:v>6989271.9460285595</x:v>
      </x:c>
      <x:c r="AC704" s="37" t="n">
        <x:v>2321221.324362316</x:v>
      </x:c>
      <x:c r="AD704" s="37" t="n">
        <x:v>0</x:v>
      </x:c>
      <x:c r="AE704" s="37" t="n">
        <x:v>0</x:v>
      </x:c>
      <x:c r="AF704" s="47" t="b">
        <x:v>0</x:v>
      </x:c>
      <x:c r="AG704" s="47" t="b">
        <x:v>0</x:v>
      </x:c>
      <x:c r="AH704" s="48" t="n">
        <x:v>0</x:v>
      </x:c>
      <x:c r="AI704" s="48" t="n">
        <x:v>1.1920928955078125e-7</x:v>
      </x:c>
      <x:c r="AJ704" s="37" t="str">
        <x:v>passed</x:v>
      </x:c>
    </x:row>
    <x:row r="705" ht="21" customHeight="1">
      <x:c r="A705" s="2"/>
      <x:c r="B705" s="2"/>
      <x:c r="C705" s="2" t="str">
        <x:v>2022</x:v>
      </x:c>
      <x:c r="D705" s="5" t="n">
        <x:v>44817</x:v>
      </x:c>
      <x:c r="E705" s="2" t="str">
        <x:v>unweighted</x:v>
      </x:c>
      <x:c r="F705" s="37" t="n">
        <x:v>12534474.761240035</x:v>
      </x:c>
      <x:c r="G705" s="37" t="n">
        <x:v>510779.2555674288</x:v>
      </x:c>
      <x:c r="H705" s="37" t="n">
        <x:v>-16113.732009783096</x:v>
      </x:c>
      <x:c r="I705" s="37" t="n">
        <x:v>526892.9875772118</x:v>
      </x:c>
      <x:c r="J705" s="37" t="n">
        <x:v>10550885.705459127</x:v>
      </x:c>
      <x:c r="K705" s="37" t="n">
        <x:v>10040106.4498917</x:v>
      </x:c>
      <x:c r="L705" s="37" t="n">
        <x:v>13045254.016807465</x:v>
      </x:c>
      <x:c r="M705" s="37" t="n">
        <x:v>0</x:v>
      </x:c>
      <x:c r="N705" s="37" t="n">
        <x:v>0</x:v>
      </x:c>
      <x:c r="O705" s="37" t="n">
        <x:v>686.7829029224813</x:v>
      </x:c>
      <x:c r="P705" s="37" t="n">
        <x:v>0</x:v>
      </x:c>
      <x:c r="Q705" s="37" t="n">
        <x:v>0</x:v>
      </x:c>
      <x:c r="R705" s="37" t="n">
        <x:v>0</x:v>
      </x:c>
      <x:c r="S705" s="37" t="n">
        <x:v>0</x:v>
      </x:c>
      <x:c r="T705" s="37" t="n">
        <x:v>0</x:v>
      </x:c>
      <x:c r="U705" s="37" t="n">
        <x:v>35631.30899120559</x:v>
      </x:c>
      <x:c r="V705" s="37" t="n">
        <x:v>0</x:v>
      </x:c>
      <x:c r="W705" s="37" t="n">
        <x:v>169059.72388515808</x:v>
      </x:c>
      <x:c r="X705" s="37" t="n">
        <x:v>0</x:v>
      </x:c>
      <x:c r="Y705" s="37" t="n">
        <x:v>2292.037834981838</x:v>
      </x:c>
      <x:c r="Z705" s="37" t="n">
        <x:v>10240908.578889534</x:v>
      </x:c>
      <x:c r="AA705" s="37" t="n">
        <x:v>0</x:v>
      </x:c>
      <x:c r="AB705" s="37" t="n">
        <x:v>10240908.578889534</x:v>
      </x:c>
      <x:c r="AC705" s="37" t="n">
        <x:v>2293566.1823505014</x:v>
      </x:c>
      <x:c r="AD705" s="37" t="n">
        <x:v>0</x:v>
      </x:c>
      <x:c r="AE705" s="37" t="n">
        <x:v>0</x:v>
      </x:c>
      <x:c r="AF705" s="47" t="b">
        <x:v>0</x:v>
      </x:c>
      <x:c r="AG705" s="47" t="b">
        <x:v>0</x:v>
      </x:c>
      <x:c r="AH705" s="48" t="n">
        <x:v>0</x:v>
      </x:c>
      <x:c r="AI705" s="48" t="n">
        <x:v>1.1920928955078125e-7</x:v>
      </x:c>
      <x:c r="AJ705" s="37" t="str">
        <x:v>passed</x:v>
      </x:c>
    </x:row>
    <x:row r="706" ht="21" customHeight="1">
      <x:c r="A706" s="2"/>
      <x:c r="B706" s="2"/>
      <x:c r="C706" s="2" t="str">
        <x:v>2022</x:v>
      </x:c>
      <x:c r="D706" s="5" t="n">
        <x:v>44817</x:v>
      </x:c>
      <x:c r="E706" s="2" t="str">
        <x:v>constrained</x:v>
      </x:c>
      <x:c r="F706" s="37" t="n">
        <x:v>13191203.30681354</x:v>
      </x:c>
      <x:c r="G706" s="37" t="n">
        <x:v>-61863.887967381444</x:v>
      </x:c>
      <x:c r="H706" s="37" t="n">
        <x:v>-18381.81896974713</x:v>
      </x:c>
      <x:c r="I706" s="37" t="n">
        <x:v>-43482.06899763431</x:v>
      </x:c>
      <x:c r="J706" s="37" t="n">
        <x:v>10554265.39466504</x:v>
      </x:c>
      <x:c r="K706" s="37" t="n">
        <x:v>10616129.282632422</x:v>
      </x:c>
      <x:c r="L706" s="37" t="n">
        <x:v>13129339.418846158</x:v>
      </x:c>
      <x:c r="M706" s="37" t="n">
        <x:v>0</x:v>
      </x:c>
      <x:c r="N706" s="37" t="n">
        <x:v>0</x:v>
      </x:c>
      <x:c r="O706" s="37" t="n">
        <x:v>722.7660570293665</x:v>
      </x:c>
      <x:c r="P706" s="37" t="n">
        <x:v>0</x:v>
      </x:c>
      <x:c r="Q706" s="37" t="n">
        <x:v>0</x:v>
      </x:c>
      <x:c r="R706" s="37" t="n">
        <x:v>0</x:v>
      </x:c>
      <x:c r="S706" s="37" t="n">
        <x:v>0</x:v>
      </x:c>
      <x:c r="T706" s="37" t="n">
        <x:v>0</x:v>
      </x:c>
      <x:c r="U706" s="37" t="n">
        <x:v>30770.55116020547</x:v>
      </x:c>
      <x:c r="V706" s="37" t="n">
        <x:v>0</x:v>
      </x:c>
      <x:c r="W706" s="37" t="n">
        <x:v>181694.0426528044</x:v>
      </x:c>
      <x:c r="X706" s="37" t="n">
        <x:v>0</x:v>
      </x:c>
      <x:c r="Y706" s="37" t="n">
        <x:v>2388.5134762951375</x:v>
      </x:c>
      <x:c r="Z706" s="37" t="n">
        <x:v>10828451.868285071</x:v>
      </x:c>
      <x:c r="AA706" s="37" t="n">
        <x:v>0</x:v>
      </x:c>
      <x:c r="AB706" s="37" t="n">
        <x:v>10828451.868285071</x:v>
      </x:c>
      <x:c r="AC706" s="37" t="n">
        <x:v>2362751.438528469</x:v>
      </x:c>
      <x:c r="AD706" s="37" t="n">
        <x:v>0</x:v>
      </x:c>
      <x:c r="AE706" s="37" t="n">
        <x:v>0</x:v>
      </x:c>
      <x:c r="AF706" s="47" t="b">
        <x:v>0</x:v>
      </x:c>
      <x:c r="AG706" s="47" t="b">
        <x:v>0</x:v>
      </x:c>
      <x:c r="AH706" s="48" t="n">
        <x:v>0</x:v>
      </x:c>
      <x:c r="AI706" s="48" t="n">
        <x:v>1.1920928955078125e-7</x:v>
      </x:c>
      <x:c r="AJ706" s="37" t="str">
        <x:v>passed</x:v>
      </x:c>
    </x:row>
    <x:row r="707" ht="21" customHeight="1">
      <x:c r="A707" s="2"/>
      <x:c r="B707" s="2"/>
      <x:c r="C707" s="2" t="str">
        <x:v>2022</x:v>
      </x:c>
      <x:c r="D707" s="5" t="n">
        <x:v>44818</x:v>
      </x:c>
      <x:c r="E707" s="2" t="str">
        <x:v>unhedged</x:v>
      </x:c>
      <x:c r="F707" s="37" t="n">
        <x:v>1317569.1386993718</x:v>
      </x:c>
      <x:c r="G707" s="37" t="n">
        <x:v>10537849.286446774</x:v>
      </x:c>
      <x:c r="H707" s="37" t="n">
        <x:v>25658.967391304348</x:v>
      </x:c>
      <x:c r="I707" s="37" t="n">
        <x:v>10512190.31905547</x:v>
      </x:c>
      <x:c r="J707" s="37" t="n">
        <x:v>10537849.286446774</x:v>
      </x:c>
      <x:c r="K707" s="37" t="n">
        <x:v>0</x:v>
      </x:c>
      <x:c r="L707" s="37" t="n">
        <x:v>11855418.425146146</x:v>
      </x:c>
      <x:c r="M707" s="37" t="n">
        <x:v>0</x:v>
      </x:c>
      <x:c r="N707" s="37" t="n">
        <x:v>0</x:v>
      </x:c>
      <x:c r="O707" s="37" t="n">
        <x:v>72.19161353912205</x:v>
      </x:c>
      <x:c r="P707" s="37" t="n">
        <x:v>0</x:v>
      </x:c>
      <x:c r="Q707" s="37" t="n">
        <x:v>0</x:v>
      </x:c>
      <x:c r="R707" s="37" t="n">
        <x:v>0</x:v>
      </x:c>
      <x:c r="S707" s="37" t="n">
        <x:v>0</x:v>
      </x:c>
      <x:c r="T707" s="37" t="n">
        <x:v>0</x:v>
      </x:c>
      <x:c r="U707" s="37" t="n">
        <x:v>101250</x:v>
      </x:c>
      <x:c r="V707" s="37" t="n">
        <x:v>0</x:v>
      </x:c>
      <x:c r="W707" s="37" t="n">
        <x:v>17493.858016097452</x:v>
      </x:c>
      <x:c r="X707" s="37" t="n">
        <x:v>0</x:v>
      </x:c>
      <x:c r="Y707" s="37" t="n">
        <x:v>1174.7193167256753</x:v>
      </x:c>
      <x:c r="Z707" s="37" t="n">
        <x:v>0</x:v>
      </x:c>
      <x:c r="AA707" s="37" t="n">
        <x:v>0</x:v>
      </x:c>
      <x:c r="AB707" s="37" t="n">
        <x:v>0</x:v>
      </x:c>
      <x:c r="AC707" s="37" t="n">
        <x:v>1317569.1386993718</x:v>
      </x:c>
      <x:c r="AD707" s="37" t="n">
        <x:v>0</x:v>
      </x:c>
      <x:c r="AE707" s="37" t="n">
        <x:v>0</x:v>
      </x:c>
      <x:c r="AF707" s="47" t="b">
        <x:v>0</x:v>
      </x:c>
      <x:c r="AG707" s="47" t="b">
        <x:v>0</x:v>
      </x:c>
      <x:c r="AH707" s="48" t="n">
        <x:v>0</x:v>
      </x:c>
      <x:c r="AI707" s="48" t="n">
        <x:v>1.1920928955078125e-7</x:v>
      </x:c>
      <x:c r="AJ707" s="37" t="str">
        <x:v>passed</x:v>
      </x:c>
    </x:row>
    <x:row r="708" ht="21" customHeight="1">
      <x:c r="A708" s="2"/>
      <x:c r="B708" s="2"/>
      <x:c r="C708" s="2" t="str">
        <x:v>2022</x:v>
      </x:c>
      <x:c r="D708" s="5" t="n">
        <x:v>44818</x:v>
      </x:c>
      <x:c r="E708" s="2" t="str">
        <x:v>duration</x:v>
      </x:c>
      <x:c r="F708" s="37" t="n">
        <x:v>9311003.434405692</x:v>
      </x:c>
      <x:c r="G708" s="37" t="n">
        <x:v>3679919.097728394</x:v>
      </x:c>
      <x:c r="H708" s="37" t="n">
        <x:v>-11539.833912114136</x:v>
      </x:c>
      <x:c r="I708" s="37" t="n">
        <x:v>3691458.931640508</x:v>
      </x:c>
      <x:c r="J708" s="37" t="n">
        <x:v>10537849.286446774</x:v>
      </x:c>
      <x:c r="K708" s="37" t="n">
        <x:v>6857930.18871838</x:v>
      </x:c>
      <x:c r="L708" s="37" t="n">
        <x:v>12990922.532134086</x:v>
      </x:c>
      <x:c r="M708" s="37" t="n">
        <x:v>0</x:v>
      </x:c>
      <x:c r="N708" s="37" t="n">
        <x:v>0</x:v>
      </x:c>
      <x:c r="O708" s="37" t="n">
        <x:v>510.1640148162842</x:v>
      </x:c>
      <x:c r="P708" s="37" t="n">
        <x:v>0</x:v>
      </x:c>
      <x:c r="Q708" s="37" t="n">
        <x:v>0</x:v>
      </x:c>
      <x:c r="R708" s="37" t="n">
        <x:v>0</x:v>
      </x:c>
      <x:c r="S708" s="37" t="n">
        <x:v>0</x:v>
      </x:c>
      <x:c r="T708" s="37" t="n">
        <x:v>0</x:v>
      </x:c>
      <x:c r="U708" s="37" t="n">
        <x:v>44145.09825237111</x:v>
      </x:c>
      <x:c r="V708" s="37" t="n">
        <x:v>0</x:v>
      </x:c>
      <x:c r="W708" s="37" t="n">
        <x:v>129529.74783180468</x:v>
      </x:c>
      <x:c r="X708" s="37" t="n">
        <x:v>0</x:v>
      </x:c>
      <x:c r="Y708" s="37" t="n">
        <x:v>2005.432733623629</x:v>
      </x:c>
      <x:c r="Z708" s="37" t="n">
        <x:v>6995088.792492748</x:v>
      </x:c>
      <x:c r="AA708" s="37" t="n">
        <x:v>0</x:v>
      </x:c>
      <x:c r="AB708" s="37" t="n">
        <x:v>6995088.792492748</x:v>
      </x:c>
      <x:c r="AC708" s="37" t="n">
        <x:v>2315914.6419129437</x:v>
      </x:c>
      <x:c r="AD708" s="37" t="n">
        <x:v>0</x:v>
      </x:c>
      <x:c r="AE708" s="37" t="n">
        <x:v>0</x:v>
      </x:c>
      <x:c r="AF708" s="47" t="b">
        <x:v>0</x:v>
      </x:c>
      <x:c r="AG708" s="47" t="b">
        <x:v>0</x:v>
      </x:c>
      <x:c r="AH708" s="48" t="n">
        <x:v>0</x:v>
      </x:c>
      <x:c r="AI708" s="48" t="n">
        <x:v>1.1920928955078125e-7</x:v>
      </x:c>
      <x:c r="AJ708" s="37" t="str">
        <x:v>passed</x:v>
      </x:c>
    </x:row>
    <x:row r="709" ht="21" customHeight="1">
      <x:c r="A709" s="2"/>
      <x:c r="B709" s="2"/>
      <x:c r="C709" s="2" t="str">
        <x:v>2022</x:v>
      </x:c>
      <x:c r="D709" s="5" t="n">
        <x:v>44818</x:v>
      </x:c>
      <x:c r="E709" s="2" t="str">
        <x:v>unweighted</x:v>
      </x:c>
      <x:c r="F709" s="37" t="n">
        <x:v>12535161.5817749</x:v>
      </x:c>
      <x:c r="G709" s="37" t="n">
        <x:v>510724.81398104836</x:v>
      </x:c>
      <x:c r="H709" s="37" t="n">
        <x:v>-16130.656562766322</x:v>
      </x:c>
      <x:c r="I709" s="37" t="n">
        <x:v>526855.4705438147</x:v>
      </x:c>
      <x:c r="J709" s="37" t="n">
        <x:v>10551355.277101409</x:v>
      </x:c>
      <x:c r="K709" s="37" t="n">
        <x:v>10040630.46312036</x:v>
      </x:c>
      <x:c r="L709" s="37" t="n">
        <x:v>13045886.395755948</x:v>
      </x:c>
      <x:c r="M709" s="37" t="n">
        <x:v>0</x:v>
      </x:c>
      <x:c r="N709" s="37" t="n">
        <x:v>0</x:v>
      </x:c>
      <x:c r="O709" s="37" t="n">
        <x:v>686.8205348644406</x:v>
      </x:c>
      <x:c r="P709" s="37" t="n">
        <x:v>0</x:v>
      </x:c>
      <x:c r="Q709" s="37" t="n">
        <x:v>0</x:v>
      </x:c>
      <x:c r="R709" s="37" t="n">
        <x:v>0</x:v>
      </x:c>
      <x:c r="S709" s="37" t="n">
        <x:v>0</x:v>
      </x:c>
      <x:c r="T709" s="37" t="n">
        <x:v>0</x:v>
      </x:c>
      <x:c r="U709" s="37" t="n">
        <x:v>35631.30899120559</x:v>
      </x:c>
      <x:c r="V709" s="37" t="n">
        <x:v>0</x:v>
      </x:c>
      <x:c r="W709" s="37" t="n">
        <x:v>169746.54442002252</x:v>
      </x:c>
      <x:c r="X709" s="37" t="n">
        <x:v>0</x:v>
      </x:c>
      <x:c r="Y709" s="37" t="n">
        <x:v>2292.037834981838</x:v>
      </x:c>
      <x:c r="Z709" s="37" t="n">
        <x:v>10241443.072382767</x:v>
      </x:c>
      <x:c r="AA709" s="37" t="n">
        <x:v>0</x:v>
      </x:c>
      <x:c r="AB709" s="37" t="n">
        <x:v>10241443.072382767</x:v>
      </x:c>
      <x:c r="AC709" s="37" t="n">
        <x:v>2293718.509392133</x:v>
      </x:c>
      <x:c r="AD709" s="37" t="n">
        <x:v>0</x:v>
      </x:c>
      <x:c r="AE709" s="37" t="n">
        <x:v>0</x:v>
      </x:c>
      <x:c r="AF709" s="47" t="b">
        <x:v>0</x:v>
      </x:c>
      <x:c r="AG709" s="47" t="b">
        <x:v>0</x:v>
      </x:c>
      <x:c r="AH709" s="48" t="n">
        <x:v>0</x:v>
      </x:c>
      <x:c r="AI709" s="48" t="n">
        <x:v>1.1920928955078125e-7</x:v>
      </x:c>
      <x:c r="AJ709" s="37" t="str">
        <x:v>passed</x:v>
      </x:c>
    </x:row>
    <x:row r="710" ht="21" customHeight="1">
      <x:c r="A710" s="2"/>
      <x:c r="B710" s="2"/>
      <x:c r="C710" s="2" t="str">
        <x:v>2022</x:v>
      </x:c>
      <x:c r="D710" s="5" t="n">
        <x:v>44818</x:v>
      </x:c>
      <x:c r="E710" s="2" t="str">
        <x:v>constrained</x:v>
      </x:c>
      <x:c r="F710" s="37" t="n">
        <x:v>13191926.11247419</x:v>
      </x:c>
      <x:c r="G710" s="37" t="n">
        <x:v>-61762.35554937349</x:v>
      </x:c>
      <x:c r="H710" s="37" t="n">
        <x:v>-18419.41300179525</x:v>
      </x:c>
      <x:c r="I710" s="37" t="n">
        <x:v>-43342.94254757824</x:v>
      </x:c>
      <x:c r="J710" s="37" t="n">
        <x:v>10554747.247135855</x:v>
      </x:c>
      <x:c r="K710" s="37" t="n">
        <x:v>10616509.60268523</x:v>
      </x:c>
      <x:c r="L710" s="37" t="n">
        <x:v>13130163.756924817</x:v>
      </x:c>
      <x:c r="M710" s="37" t="n">
        <x:v>0</x:v>
      </x:c>
      <x:c r="N710" s="37" t="n">
        <x:v>0</x:v>
      </x:c>
      <x:c r="O710" s="37" t="n">
        <x:v>722.8056606501341</x:v>
      </x:c>
      <x:c r="P710" s="37" t="n">
        <x:v>0</x:v>
      </x:c>
      <x:c r="Q710" s="37" t="n">
        <x:v>0</x:v>
      </x:c>
      <x:c r="R710" s="37" t="n">
        <x:v>0</x:v>
      </x:c>
      <x:c r="S710" s="37" t="n">
        <x:v>0</x:v>
      </x:c>
      <x:c r="T710" s="37" t="n">
        <x:v>0</x:v>
      </x:c>
      <x:c r="U710" s="37" t="n">
        <x:v>30770.55116020547</x:v>
      </x:c>
      <x:c r="V710" s="37" t="n">
        <x:v>0</x:v>
      </x:c>
      <x:c r="W710" s="37" t="n">
        <x:v>182416.84831345454</x:v>
      </x:c>
      <x:c r="X710" s="37" t="n">
        <x:v>0</x:v>
      </x:c>
      <x:c r="Y710" s="37" t="n">
        <x:v>2388.5134762951375</x:v>
      </x:c>
      <x:c r="Z710" s="37" t="n">
        <x:v>10828839.794738935</x:v>
      </x:c>
      <x:c r="AA710" s="37" t="n">
        <x:v>0</x:v>
      </x:c>
      <x:c r="AB710" s="37" t="n">
        <x:v>10828839.794738935</x:v>
      </x:c>
      <x:c r="AC710" s="37" t="n">
        <x:v>2363086.3177352548</x:v>
      </x:c>
      <x:c r="AD710" s="37" t="n">
        <x:v>0</x:v>
      </x:c>
      <x:c r="AE710" s="37" t="n">
        <x:v>0</x:v>
      </x:c>
      <x:c r="AF710" s="47" t="b">
        <x:v>0</x:v>
      </x:c>
      <x:c r="AG710" s="47" t="b">
        <x:v>0</x:v>
      </x:c>
      <x:c r="AH710" s="48" t="n">
        <x:v>0</x:v>
      </x:c>
      <x:c r="AI710" s="48" t="n">
        <x:v>1.1920928955078125e-7</x:v>
      </x:c>
      <x:c r="AJ710" s="37" t="str">
        <x:v>passed</x:v>
      </x:c>
    </x:row>
    <x:row r="711" ht="21" customHeight="1">
      <x:c r="A711" s="2"/>
      <x:c r="B711" s="2"/>
      <x:c r="C711" s="2" t="str">
        <x:v>2022</x:v>
      </x:c>
      <x:c r="D711" s="5" t="n">
        <x:v>44819</x:v>
      </x:c>
      <x:c r="E711" s="2" t="str">
        <x:v>unhedged</x:v>
      </x:c>
      <x:c r="F711" s="37" t="n">
        <x:v>1317641.3342686158</x:v>
      </x:c>
      <x:c r="G711" s="37" t="n">
        <x:v>10505376.636112895</x:v>
      </x:c>
      <x:c r="H711" s="37" t="n">
        <x:v>26005.434782608696</x:v>
      </x:c>
      <x:c r="I711" s="37" t="n">
        <x:v>10479371.201330286</x:v>
      </x:c>
      <x:c r="J711" s="37" t="n">
        <x:v>10505376.636112895</x:v>
      </x:c>
      <x:c r="K711" s="37" t="n">
        <x:v>0</x:v>
      </x:c>
      <x:c r="L711" s="37" t="n">
        <x:v>11823017.970381511</x:v>
      </x:c>
      <x:c r="M711" s="37" t="n">
        <x:v>0</x:v>
      </x:c>
      <x:c r="N711" s="37" t="n">
        <x:v>0</x:v>
      </x:c>
      <x:c r="O711" s="37" t="n">
        <x:v>72.19556924398057</x:v>
      </x:c>
      <x:c r="P711" s="37" t="n">
        <x:v>0</x:v>
      </x:c>
      <x:c r="Q711" s="37" t="n">
        <x:v>0</x:v>
      </x:c>
      <x:c r="R711" s="37" t="n">
        <x:v>0</x:v>
      </x:c>
      <x:c r="S711" s="37" t="n">
        <x:v>0</x:v>
      </x:c>
      <x:c r="T711" s="37" t="n">
        <x:v>0</x:v>
      </x:c>
      <x:c r="U711" s="37" t="n">
        <x:v>101250</x:v>
      </x:c>
      <x:c r="V711" s="37" t="n">
        <x:v>0</x:v>
      </x:c>
      <x:c r="W711" s="37" t="n">
        <x:v>17566.053585341433</x:v>
      </x:c>
      <x:c r="X711" s="37" t="n">
        <x:v>0</x:v>
      </x:c>
      <x:c r="Y711" s="37" t="n">
        <x:v>1174.7193167256753</x:v>
      </x:c>
      <x:c r="Z711" s="37" t="n">
        <x:v>0</x:v>
      </x:c>
      <x:c r="AA711" s="37" t="n">
        <x:v>0</x:v>
      </x:c>
      <x:c r="AB711" s="37" t="n">
        <x:v>0</x:v>
      </x:c>
      <x:c r="AC711" s="37" t="n">
        <x:v>1317641.3342686158</x:v>
      </x:c>
      <x:c r="AD711" s="37" t="n">
        <x:v>0</x:v>
      </x:c>
      <x:c r="AE711" s="37" t="n">
        <x:v>0</x:v>
      </x:c>
      <x:c r="AF711" s="47" t="b">
        <x:v>0</x:v>
      </x:c>
      <x:c r="AG711" s="47" t="b">
        <x:v>0</x:v>
      </x:c>
      <x:c r="AH711" s="48" t="n">
        <x:v>0</x:v>
      </x:c>
      <x:c r="AI711" s="48" t="n">
        <x:v>1.1920928955078125e-7</x:v>
      </x:c>
      <x:c r="AJ711" s="37" t="str">
        <x:v>passed</x:v>
      </x:c>
    </x:row>
    <x:row r="712" ht="21" customHeight="1">
      <x:c r="A712" s="2"/>
      <x:c r="B712" s="2"/>
      <x:c r="C712" s="2" t="str">
        <x:v>2022</x:v>
      </x:c>
      <x:c r="D712" s="5" t="n">
        <x:v>44819</x:v>
      </x:c>
      <x:c r="E712" s="2" t="str">
        <x:v>duration</x:v>
      </x:c>
      <x:c r="F712" s="37" t="n">
        <x:v>9311513.626374703</x:v>
      </x:c>
      <x:c r="G712" s="37" t="n">
        <x:v>3678438.8240653737</x:v>
      </x:c>
      <x:c r="H712" s="37" t="n">
        <x:v>-11498.274728214856</x:v>
      </x:c>
      <x:c r="I712" s="37" t="n">
        <x:v>3689937.0987935886</x:v>
      </x:c>
      <x:c r="J712" s="37" t="n">
        <x:v>10505376.636112895</x:v>
      </x:c>
      <x:c r="K712" s="37" t="n">
        <x:v>6826937.812047521</x:v>
      </x:c>
      <x:c r="L712" s="37" t="n">
        <x:v>12989952.450440077</x:v>
      </x:c>
      <x:c r="M712" s="37" t="n">
        <x:v>0</x:v>
      </x:c>
      <x:c r="N712" s="37" t="n">
        <x:v>0</x:v>
      </x:c>
      <x:c r="O712" s="37" t="n">
        <x:v>510.19196901097894</x:v>
      </x:c>
      <x:c r="P712" s="37" t="n">
        <x:v>0</x:v>
      </x:c>
      <x:c r="Q712" s="37" t="n">
        <x:v>0</x:v>
      </x:c>
      <x:c r="R712" s="37" t="n">
        <x:v>0</x:v>
      </x:c>
      <x:c r="S712" s="37" t="n">
        <x:v>0</x:v>
      </x:c>
      <x:c r="T712" s="37" t="n">
        <x:v>0</x:v>
      </x:c>
      <x:c r="U712" s="37" t="n">
        <x:v>44145.09825237111</x:v>
      </x:c>
      <x:c r="V712" s="37" t="n">
        <x:v>0</x:v>
      </x:c>
      <x:c r="W712" s="37" t="n">
        <x:v>130039.93980081566</x:v>
      </x:c>
      <x:c r="X712" s="37" t="n">
        <x:v>0</x:v>
      </x:c>
      <x:c r="Y712" s="37" t="n">
        <x:v>2005.432733623629</x:v>
      </x:c>
      <x:c r="Z712" s="37" t="n">
        <x:v>6963476.568288472</x:v>
      </x:c>
      <x:c r="AA712" s="37" t="n">
        <x:v>0</x:v>
      </x:c>
      <x:c r="AB712" s="37" t="n">
        <x:v>6963476.568288472</x:v>
      </x:c>
      <x:c r="AC712" s="37" t="n">
        <x:v>2348037.0580862314</x:v>
      </x:c>
      <x:c r="AD712" s="37" t="n">
        <x:v>0</x:v>
      </x:c>
      <x:c r="AE712" s="37" t="n">
        <x:v>0</x:v>
      </x:c>
      <x:c r="AF712" s="47" t="b">
        <x:v>0</x:v>
      </x:c>
      <x:c r="AG712" s="47" t="b">
        <x:v>0</x:v>
      </x:c>
      <x:c r="AH712" s="48" t="n">
        <x:v>0</x:v>
      </x:c>
      <x:c r="AI712" s="48" t="n">
        <x:v>1.1920928955078125e-7</x:v>
      </x:c>
      <x:c r="AJ712" s="37" t="str">
        <x:v>passed</x:v>
      </x:c>
    </x:row>
    <x:row r="713" ht="21" customHeight="1">
      <x:c r="A713" s="2"/>
      <x:c r="B713" s="2"/>
      <x:c r="C713" s="2" t="str">
        <x:v>2022</x:v>
      </x:c>
      <x:c r="D713" s="5" t="n">
        <x:v>44819</x:v>
      </x:c>
      <x:c r="E713" s="2" t="str">
        <x:v>unweighted</x:v>
      </x:c>
      <x:c r="F713" s="37" t="n">
        <x:v>12535848.439943766</x:v>
      </x:c>
      <x:c r="G713" s="37" t="n">
        <x:v>509165.86592825927</x:v>
      </x:c>
      <x:c r="H713" s="37" t="n">
        <x:v>-16147.58111574955</x:v>
      </x:c>
      <x:c r="I713" s="37" t="n">
        <x:v>525313.4470440089</x:v>
      </x:c>
      <x:c r="J713" s="37" t="n">
        <x:v>10518834.975870403</x:v>
      </x:c>
      <x:c r="K713" s="37" t="n">
        <x:v>10009669.109942144</x:v>
      </x:c>
      <x:c r="L713" s="37" t="n">
        <x:v>13045014.305872025</x:v>
      </x:c>
      <x:c r="M713" s="37" t="n">
        <x:v>0</x:v>
      </x:c>
      <x:c r="N713" s="37" t="n">
        <x:v>0</x:v>
      </x:c>
      <x:c r="O713" s="37" t="n">
        <x:v>686.8581688664854</x:v>
      </x:c>
      <x:c r="P713" s="37" t="n">
        <x:v>0</x:v>
      </x:c>
      <x:c r="Q713" s="37" t="n">
        <x:v>0</x:v>
      </x:c>
      <x:c r="R713" s="37" t="n">
        <x:v>0</x:v>
      </x:c>
      <x:c r="S713" s="37" t="n">
        <x:v>0</x:v>
      </x:c>
      <x:c r="T713" s="37" t="n">
        <x:v>0</x:v>
      </x:c>
      <x:c r="U713" s="37" t="n">
        <x:v>35631.30899120559</x:v>
      </x:c>
      <x:c r="V713" s="37" t="n">
        <x:v>0</x:v>
      </x:c>
      <x:c r="W713" s="37" t="n">
        <x:v>170433.402588889</x:v>
      </x:c>
      <x:c r="X713" s="37" t="n">
        <x:v>0</x:v>
      </x:c>
      <x:c r="Y713" s="37" t="n">
        <x:v>2292.037834981838</x:v>
      </x:c>
      <x:c r="Z713" s="37" t="n">
        <x:v>10209862.492140986</x:v>
      </x:c>
      <x:c r="AA713" s="37" t="n">
        <x:v>0</x:v>
      </x:c>
      <x:c r="AB713" s="37" t="n">
        <x:v>10209862.492140986</x:v>
      </x:c>
      <x:c r="AC713" s="37" t="n">
        <x:v>2325985.94780278</x:v>
      </x:c>
      <x:c r="AD713" s="37" t="n">
        <x:v>0</x:v>
      </x:c>
      <x:c r="AE713" s="37" t="n">
        <x:v>0</x:v>
      </x:c>
      <x:c r="AF713" s="47" t="b">
        <x:v>0</x:v>
      </x:c>
      <x:c r="AG713" s="47" t="b">
        <x:v>0</x:v>
      </x:c>
      <x:c r="AH713" s="48" t="n">
        <x:v>0</x:v>
      </x:c>
      <x:c r="AI713" s="48" t="n">
        <x:v>1.1920928955078125e-7</x:v>
      </x:c>
      <x:c r="AJ713" s="37" t="str">
        <x:v>passed</x:v>
      </x:c>
    </x:row>
    <x:row r="714" ht="21" customHeight="1">
      <x:c r="A714" s="2"/>
      <x:c r="B714" s="2"/>
      <x:c r="C714" s="2" t="str">
        <x:v>2022</x:v>
      </x:c>
      <x:c r="D714" s="5" t="n">
        <x:v>44819</x:v>
      </x:c>
      <x:c r="E714" s="2" t="str">
        <x:v>constrained</x:v>
      </x:c>
      <x:c r="F714" s="37" t="n">
        <x:v>13192648.95774063</x:v>
      </x:c>
      <x:c r="G714" s="37" t="n">
        <x:v>-61753.799207405384</x:v>
      </x:c>
      <x:c r="H714" s="37" t="n">
        <x:v>-18457.00703384336</x:v>
      </x:c>
      <x:c r="I714" s="37" t="n">
        <x:v>-43296.79217356202</x:v>
      </x:c>
      <x:c r="J714" s="37" t="n">
        <x:v>10522214.5389733</x:v>
      </x:c>
      <x:c r="K714" s="37" t="n">
        <x:v>10583968.338180706</x:v>
      </x:c>
      <x:c r="L714" s="37" t="n">
        <x:v>13130895.158533223</x:v>
      </x:c>
      <x:c r="M714" s="37" t="n">
        <x:v>0</x:v>
      </x:c>
      <x:c r="N714" s="37" t="n">
        <x:v>0</x:v>
      </x:c>
      <x:c r="O714" s="37" t="n">
        <x:v>722.8452664390206</x:v>
      </x:c>
      <x:c r="P714" s="37" t="n">
        <x:v>0</x:v>
      </x:c>
      <x:c r="Q714" s="37" t="n">
        <x:v>0</x:v>
      </x:c>
      <x:c r="R714" s="37" t="n">
        <x:v>0</x:v>
      </x:c>
      <x:c r="S714" s="37" t="n">
        <x:v>0</x:v>
      </x:c>
      <x:c r="T714" s="37" t="n">
        <x:v>0</x:v>
      </x:c>
      <x:c r="U714" s="37" t="n">
        <x:v>30770.55116020547</x:v>
      </x:c>
      <x:c r="V714" s="37" t="n">
        <x:v>0</x:v>
      </x:c>
      <x:c r="W714" s="37" t="n">
        <x:v>183139.69357989356</x:v>
      </x:c>
      <x:c r="X714" s="37" t="n">
        <x:v>0</x:v>
      </x:c>
      <x:c r="Y714" s="37" t="n">
        <x:v>2388.5134762951375</x:v>
      </x:c>
      <x:c r="Z714" s="37" t="n">
        <x:v>10795647.70494432</x:v>
      </x:c>
      <x:c r="AA714" s="37" t="n">
        <x:v>0</x:v>
      </x:c>
      <x:c r="AB714" s="37" t="n">
        <x:v>10795647.70494432</x:v>
      </x:c>
      <x:c r="AC714" s="37" t="n">
        <x:v>2397001.252796309</x:v>
      </x:c>
      <x:c r="AD714" s="37" t="n">
        <x:v>0</x:v>
      </x:c>
      <x:c r="AE714" s="37" t="n">
        <x:v>0</x:v>
      </x:c>
      <x:c r="AF714" s="47" t="b">
        <x:v>0</x:v>
      </x:c>
      <x:c r="AG714" s="47" t="b">
        <x:v>0</x:v>
      </x:c>
      <x:c r="AH714" s="48" t="n">
        <x:v>0</x:v>
      </x:c>
      <x:c r="AI714" s="48" t="n">
        <x:v>1.1920928955078125e-7</x:v>
      </x:c>
      <x:c r="AJ714" s="37" t="str">
        <x:v>passed</x:v>
      </x:c>
    </x:row>
    <x:row r="715" ht="21" customHeight="1">
      <x:c r="A715" s="2"/>
      <x:c r="B715" s="2"/>
      <x:c r="C715" s="2" t="str">
        <x:v>2022</x:v>
      </x:c>
      <x:c r="D715" s="5" t="n">
        <x:v>44820</x:v>
      </x:c>
      <x:c r="E715" s="2" t="str">
        <x:v>unhedged</x:v>
      </x:c>
      <x:c r="F715" s="37" t="n">
        <x:v>1317713.5337937812</x:v>
      </x:c>
      <x:c r="G715" s="37" t="n">
        <x:v>10516449.183488768</x:v>
      </x:c>
      <x:c r="H715" s="37" t="n">
        <x:v>26351.902173913044</x:v>
      </x:c>
      <x:c r="I715" s="37" t="n">
        <x:v>10490097.281314855</x:v>
      </x:c>
      <x:c r="J715" s="37" t="n">
        <x:v>10516449.183488768</x:v>
      </x:c>
      <x:c r="K715" s="37" t="n">
        <x:v>0</x:v>
      </x:c>
      <x:c r="L715" s="37" t="n">
        <x:v>11834162.717282549</x:v>
      </x:c>
      <x:c r="M715" s="37" t="n">
        <x:v>0</x:v>
      </x:c>
      <x:c r="N715" s="37" t="n">
        <x:v>0</x:v>
      </x:c>
      <x:c r="O715" s="37" t="n">
        <x:v>72.1995251653716</x:v>
      </x:c>
      <x:c r="P715" s="37" t="n">
        <x:v>0</x:v>
      </x:c>
      <x:c r="Q715" s="37" t="n">
        <x:v>0</x:v>
      </x:c>
      <x:c r="R715" s="37" t="n">
        <x:v>0</x:v>
      </x:c>
      <x:c r="S715" s="37" t="n">
        <x:v>0</x:v>
      </x:c>
      <x:c r="T715" s="37" t="n">
        <x:v>0</x:v>
      </x:c>
      <x:c r="U715" s="37" t="n">
        <x:v>101250</x:v>
      </x:c>
      <x:c r="V715" s="37" t="n">
        <x:v>0</x:v>
      </x:c>
      <x:c r="W715" s="37" t="n">
        <x:v>17638.253110506805</x:v>
      </x:c>
      <x:c r="X715" s="37" t="n">
        <x:v>0</x:v>
      </x:c>
      <x:c r="Y715" s="37" t="n">
        <x:v>1174.7193167256753</x:v>
      </x:c>
      <x:c r="Z715" s="37" t="n">
        <x:v>0</x:v>
      </x:c>
      <x:c r="AA715" s="37" t="n">
        <x:v>0</x:v>
      </x:c>
      <x:c r="AB715" s="37" t="n">
        <x:v>0</x:v>
      </x:c>
      <x:c r="AC715" s="37" t="n">
        <x:v>1317713.5337937812</x:v>
      </x:c>
      <x:c r="AD715" s="37" t="n">
        <x:v>0</x:v>
      </x:c>
      <x:c r="AE715" s="37" t="n">
        <x:v>0</x:v>
      </x:c>
      <x:c r="AF715" s="47" t="b">
        <x:v>0</x:v>
      </x:c>
      <x:c r="AG715" s="47" t="b">
        <x:v>0</x:v>
      </x:c>
      <x:c r="AH715" s="48" t="n">
        <x:v>0</x:v>
      </x:c>
      <x:c r="AI715" s="48" t="n">
        <x:v>1.1920928955078125e-7</x:v>
      </x:c>
      <x:c r="AJ715" s="37" t="str">
        <x:v>passed</x:v>
      </x:c>
    </x:row>
    <x:row r="716" ht="21" customHeight="1">
      <x:c r="A716" s="2"/>
      <x:c r="B716" s="2"/>
      <x:c r="C716" s="2" t="str">
        <x:v>2022</x:v>
      </x:c>
      <x:c r="D716" s="5" t="n">
        <x:v>44820</x:v>
      </x:c>
      <x:c r="E716" s="2" t="str">
        <x:v>duration</x:v>
      </x:c>
      <x:c r="F716" s="37" t="n">
        <x:v>9312023.846299436</x:v>
      </x:c>
      <x:c r="G716" s="37" t="n">
        <x:v>3683549.8341112016</x:v>
      </x:c>
      <x:c r="H716" s="37" t="n">
        <x:v>-11456.715544315577</x:v>
      </x:c>
      <x:c r="I716" s="37" t="n">
        <x:v>3695006.549655517</x:v>
      </x:c>
      <x:c r="J716" s="37" t="n">
        <x:v>10516449.183488768</x:v>
      </x:c>
      <x:c r="K716" s="37" t="n">
        <x:v>6832899.349377565</x:v>
      </x:c>
      <x:c r="L716" s="37" t="n">
        <x:v>12995573.680410638</x:v>
      </x:c>
      <x:c r="M716" s="37" t="n">
        <x:v>0</x:v>
      </x:c>
      <x:c r="N716" s="37" t="n">
        <x:v>0</x:v>
      </x:c>
      <x:c r="O716" s="37" t="n">
        <x:v>510.2199247330427</x:v>
      </x:c>
      <x:c r="P716" s="37" t="n">
        <x:v>0</x:v>
      </x:c>
      <x:c r="Q716" s="37" t="n">
        <x:v>0</x:v>
      </x:c>
      <x:c r="R716" s="37" t="n">
        <x:v>0</x:v>
      </x:c>
      <x:c r="S716" s="37" t="n">
        <x:v>0</x:v>
      </x:c>
      <x:c r="T716" s="37" t="n">
        <x:v>0</x:v>
      </x:c>
      <x:c r="U716" s="37" t="n">
        <x:v>44145.09825237111</x:v>
      </x:c>
      <x:c r="V716" s="37" t="n">
        <x:v>0</x:v>
      </x:c>
      <x:c r="W716" s="37" t="n">
        <x:v>130550.1597255487</x:v>
      </x:c>
      <x:c r="X716" s="37" t="n">
        <x:v>0</x:v>
      </x:c>
      <x:c r="Y716" s="37" t="n">
        <x:v>2005.432733623629</x:v>
      </x:c>
      <x:c r="Z716" s="37" t="n">
        <x:v>6969557.336365117</x:v>
      </x:c>
      <x:c r="AA716" s="37" t="n">
        <x:v>0</x:v>
      </x:c>
      <x:c r="AB716" s="37" t="n">
        <x:v>6969557.336365117</x:v>
      </x:c>
      <x:c r="AC716" s="37" t="n">
        <x:v>2342466.509934319</x:v>
      </x:c>
      <x:c r="AD716" s="37" t="n">
        <x:v>0</x:v>
      </x:c>
      <x:c r="AE716" s="37" t="n">
        <x:v>0</x:v>
      </x:c>
      <x:c r="AF716" s="47" t="b">
        <x:v>0</x:v>
      </x:c>
      <x:c r="AG716" s="47" t="b">
        <x:v>0</x:v>
      </x:c>
      <x:c r="AH716" s="48" t="n">
        <x:v>0</x:v>
      </x:c>
      <x:c r="AI716" s="48" t="n">
        <x:v>1.1920928955078125e-7</x:v>
      </x:c>
      <x:c r="AJ716" s="37" t="str">
        <x:v>passed</x:v>
      </x:c>
    </x:row>
    <x:row r="717" ht="21" customHeight="1">
      <x:c r="A717" s="2"/>
      <x:c r="B717" s="2"/>
      <x:c r="C717" s="2" t="str">
        <x:v>2022</x:v>
      </x:c>
      <x:c r="D717" s="5" t="n">
        <x:v>44820</x:v>
      </x:c>
      <x:c r="E717" s="2" t="str">
        <x:v>unweighted</x:v>
      </x:c>
      <x:c r="F717" s="37" t="n">
        <x:v>12536535.335748695</x:v>
      </x:c>
      <x:c r="G717" s="37" t="n">
        <x:v>510343.0619550581</x:v>
      </x:c>
      <x:c r="H717" s="37" t="n">
        <x:v>-16164.505668732774</x:v>
      </x:c>
      <x:c r="I717" s="37" t="n">
        <x:v>526507.5676237908</x:v>
      </x:c>
      <x:c r="J717" s="37" t="n">
        <x:v>10529831.018473804</x:v>
      </x:c>
      <x:c r="K717" s="37" t="n">
        <x:v>10019487.956518747</x:v>
      </x:c>
      <x:c r="L717" s="37" t="n">
        <x:v>13046878.397703754</x:v>
      </x:c>
      <x:c r="M717" s="37" t="n">
        <x:v>0</x:v>
      </x:c>
      <x:c r="N717" s="37" t="n">
        <x:v>0</x:v>
      </x:c>
      <x:c r="O717" s="37" t="n">
        <x:v>686.8958049286157</x:v>
      </x:c>
      <x:c r="P717" s="37" t="n">
        <x:v>0</x:v>
      </x:c>
      <x:c r="Q717" s="37" t="n">
        <x:v>0</x:v>
      </x:c>
      <x:c r="R717" s="37" t="n">
        <x:v>0</x:v>
      </x:c>
      <x:c r="S717" s="37" t="n">
        <x:v>0</x:v>
      </x:c>
      <x:c r="T717" s="37" t="n">
        <x:v>0</x:v>
      </x:c>
      <x:c r="U717" s="37" t="n">
        <x:v>35631.30899120559</x:v>
      </x:c>
      <x:c r="V717" s="37" t="n">
        <x:v>0</x:v>
      </x:c>
      <x:c r="W717" s="37" t="n">
        <x:v>171120.29839381762</x:v>
      </x:c>
      <x:c r="X717" s="37" t="n">
        <x:v>0</x:v>
      </x:c>
      <x:c r="Y717" s="37" t="n">
        <x:v>2292.037834981838</x:v>
      </x:c>
      <x:c r="Z717" s="37" t="n">
        <x:v>10219877.715649122</x:v>
      </x:c>
      <x:c r="AA717" s="37" t="n">
        <x:v>0</x:v>
      </x:c>
      <x:c r="AB717" s="37" t="n">
        <x:v>10219877.715649122</x:v>
      </x:c>
      <x:c r="AC717" s="37" t="n">
        <x:v>2316657.6200995725</x:v>
      </x:c>
      <x:c r="AD717" s="37" t="n">
        <x:v>0</x:v>
      </x:c>
      <x:c r="AE717" s="37" t="n">
        <x:v>0</x:v>
      </x:c>
      <x:c r="AF717" s="47" t="b">
        <x:v>0</x:v>
      </x:c>
      <x:c r="AG717" s="47" t="b">
        <x:v>0</x:v>
      </x:c>
      <x:c r="AH717" s="48" t="n">
        <x:v>0</x:v>
      </x:c>
      <x:c r="AI717" s="48" t="n">
        <x:v>1.1920928955078125e-7</x:v>
      </x:c>
      <x:c r="AJ717" s="37" t="str">
        <x:v>passed</x:v>
      </x:c>
    </x:row>
    <x:row r="718" ht="21" customHeight="1">
      <x:c r="A718" s="2"/>
      <x:c r="B718" s="2"/>
      <x:c r="C718" s="2" t="str">
        <x:v>2022</x:v>
      </x:c>
      <x:c r="D718" s="5" t="n">
        <x:v>44820</x:v>
      </x:c>
      <x:c r="E718" s="2" t="str">
        <x:v>constrained</x:v>
      </x:c>
      <x:c r="F718" s="37" t="n">
        <x:v>13193371.842615025</x:v>
      </x:c>
      <x:c r="G718" s="37" t="n">
        <x:v>-61277.51114410928</x:v>
      </x:c>
      <x:c r="H718" s="37" t="n">
        <x:v>-18494.60106589148</x:v>
      </x:c>
      <x:c r="I718" s="37" t="n">
        <x:v>-42782.9100782178</x:v>
      </x:c>
      <x:c r="J718" s="37" t="n">
        <x:v>10533191.733964548</x:v>
      </x:c>
      <x:c r="K718" s="37" t="n">
        <x:v>10594469.245108657</x:v>
      </x:c>
      <x:c r="L718" s="37" t="n">
        <x:v>13132094.331470916</x:v>
      </x:c>
      <x:c r="M718" s="37" t="n">
        <x:v>0</x:v>
      </x:c>
      <x:c r="N718" s="37" t="n">
        <x:v>0</x:v>
      </x:c>
      <x:c r="O718" s="37" t="n">
        <x:v>722.8848743960261</x:v>
      </x:c>
      <x:c r="P718" s="37" t="n">
        <x:v>0</x:v>
      </x:c>
      <x:c r="Q718" s="37" t="n">
        <x:v>0</x:v>
      </x:c>
      <x:c r="R718" s="37" t="n">
        <x:v>0</x:v>
      </x:c>
      <x:c r="S718" s="37" t="n">
        <x:v>0</x:v>
      </x:c>
      <x:c r="T718" s="37" t="n">
        <x:v>0</x:v>
      </x:c>
      <x:c r="U718" s="37" t="n">
        <x:v>30770.55116020547</x:v>
      </x:c>
      <x:c r="V718" s="37" t="n">
        <x:v>0</x:v>
      </x:c>
      <x:c r="W718" s="37" t="n">
        <x:v>183862.57845428959</x:v>
      </x:c>
      <x:c r="X718" s="37" t="n">
        <x:v>0</x:v>
      </x:c>
      <x:c r="Y718" s="37" t="n">
        <x:v>2388.5134762951375</x:v>
      </x:c>
      <x:c r="Z718" s="37" t="n">
        <x:v>10806358.63001083</x:v>
      </x:c>
      <x:c r="AA718" s="37" t="n">
        <x:v>0</x:v>
      </x:c>
      <x:c r="AB718" s="37" t="n">
        <x:v>10806358.63001083</x:v>
      </x:c>
      <x:c r="AC718" s="37" t="n">
        <x:v>2387013.212604195</x:v>
      </x:c>
      <x:c r="AD718" s="37" t="n">
        <x:v>0</x:v>
      </x:c>
      <x:c r="AE718" s="37" t="n">
        <x:v>0</x:v>
      </x:c>
      <x:c r="AF718" s="47" t="b">
        <x:v>0</x:v>
      </x:c>
      <x:c r="AG718" s="47" t="b">
        <x:v>0</x:v>
      </x:c>
      <x:c r="AH718" s="48" t="n">
        <x:v>0</x:v>
      </x:c>
      <x:c r="AI718" s="48" t="n">
        <x:v>1.1920928955078125e-7</x:v>
      </x:c>
      <x:c r="AJ718" s="37" t="str">
        <x:v>passed</x:v>
      </x:c>
    </x:row>
    <x:row r="719" ht="21" customHeight="1">
      <x:c r="A719" s="2"/>
      <x:c r="B719" s="2"/>
      <x:c r="C719" s="2" t="str">
        <x:v>2022</x:v>
      </x:c>
      <x:c r="D719" s="5" t="n">
        <x:v>44823</x:v>
      </x:c>
      <x:c r="E719" s="2" t="str">
        <x:v>unhedged</x:v>
      </x:c>
      <x:c r="F719" s="37" t="n">
        <x:v>1317930.156106975</x:v>
      </x:c>
      <x:c r="G719" s="37" t="n">
        <x:v>10491320.535556104</x:v>
      </x:c>
      <x:c r="H719" s="37" t="n">
        <x:v>27391.304347826088</x:v>
      </x:c>
      <x:c r="I719" s="37" t="n">
        <x:v>10463929.231208278</x:v>
      </x:c>
      <x:c r="J719" s="37" t="n">
        <x:v>10491320.535556104</x:v>
      </x:c>
      <x:c r="K719" s="37" t="n">
        <x:v>0</x:v>
      </x:c>
      <x:c r="L719" s="37" t="n">
        <x:v>11809250.691663079</x:v>
      </x:c>
      <x:c r="M719" s="37" t="n">
        <x:v>0</x:v>
      </x:c>
      <x:c r="N719" s="37" t="n">
        <x:v>0</x:v>
      </x:c>
      <x:c r="O719" s="37" t="n">
        <x:v>216.62231319374405</x:v>
      </x:c>
      <x:c r="P719" s="37" t="n">
        <x:v>0</x:v>
      </x:c>
      <x:c r="Q719" s="37" t="n">
        <x:v>0</x:v>
      </x:c>
      <x:c r="R719" s="37" t="n">
        <x:v>0</x:v>
      </x:c>
      <x:c r="S719" s="37" t="n">
        <x:v>0</x:v>
      </x:c>
      <x:c r="T719" s="37" t="n">
        <x:v>0</x:v>
      </x:c>
      <x:c r="U719" s="37" t="n">
        <x:v>101250</x:v>
      </x:c>
      <x:c r="V719" s="37" t="n">
        <x:v>0</x:v>
      </x:c>
      <x:c r="W719" s="37" t="n">
        <x:v>17854.87542370055</x:v>
      </x:c>
      <x:c r="X719" s="37" t="n">
        <x:v>0</x:v>
      </x:c>
      <x:c r="Y719" s="37" t="n">
        <x:v>1174.7193167256753</x:v>
      </x:c>
      <x:c r="Z719" s="37" t="n">
        <x:v>0</x:v>
      </x:c>
      <x:c r="AA719" s="37" t="n">
        <x:v>0</x:v>
      </x:c>
      <x:c r="AB719" s="37" t="n">
        <x:v>0</x:v>
      </x:c>
      <x:c r="AC719" s="37" t="n">
        <x:v>1317930.156106975</x:v>
      </x:c>
      <x:c r="AD719" s="37" t="n">
        <x:v>0</x:v>
      </x:c>
      <x:c r="AE719" s="37" t="n">
        <x:v>0</x:v>
      </x:c>
      <x:c r="AF719" s="47" t="b">
        <x:v>0</x:v>
      </x:c>
      <x:c r="AG719" s="47" t="b">
        <x:v>0</x:v>
      </x:c>
      <x:c r="AH719" s="48" t="n">
        <x:v>0</x:v>
      </x:c>
      <x:c r="AI719" s="48" t="n">
        <x:v>1.1920928955078125e-7</x:v>
      </x:c>
      <x:c r="AJ719" s="37" t="str">
        <x:v>passed</x:v>
      </x:c>
    </x:row>
    <x:row r="720" ht="21" customHeight="1">
      <x:c r="A720" s="2"/>
      <x:c r="B720" s="2"/>
      <x:c r="C720" s="2" t="str">
        <x:v>2022</x:v>
      </x:c>
      <x:c r="D720" s="5" t="n">
        <x:v>44823</x:v>
      </x:c>
      <x:c r="E720" s="2" t="str">
        <x:v>duration</x:v>
      </x:c>
      <x:c r="F720" s="37" t="n">
        <x:v>9313554.6738233</x:v>
      </x:c>
      <x:c r="G720" s="37" t="n">
        <x:v>3677800.7069581803</x:v>
      </x:c>
      <x:c r="H720" s="37" t="n">
        <x:v>-11332.037992617743</x:v>
      </x:c>
      <x:c r="I720" s="37" t="n">
        <x:v>3689132.744950798</x:v>
      </x:c>
      <x:c r="J720" s="37" t="n">
        <x:v>10491320.535556104</x:v>
      </x:c>
      <x:c r="K720" s="37" t="n">
        <x:v>6813519.828597924</x:v>
      </x:c>
      <x:c r="L720" s="37" t="n">
        <x:v>12991355.380781481</x:v>
      </x:c>
      <x:c r="M720" s="37" t="n">
        <x:v>0</x:v>
      </x:c>
      <x:c r="N720" s="37" t="n">
        <x:v>0</x:v>
      </x:c>
      <x:c r="O720" s="37" t="n">
        <x:v>1530.8275238648057</x:v>
      </x:c>
      <x:c r="P720" s="37" t="n">
        <x:v>0</x:v>
      </x:c>
      <x:c r="Q720" s="37" t="n">
        <x:v>0</x:v>
      </x:c>
      <x:c r="R720" s="37" t="n">
        <x:v>0</x:v>
      </x:c>
      <x:c r="S720" s="37" t="n">
        <x:v>0</x:v>
      </x:c>
      <x:c r="T720" s="37" t="n">
        <x:v>0</x:v>
      </x:c>
      <x:c r="U720" s="37" t="n">
        <x:v>44145.09825237111</x:v>
      </x:c>
      <x:c r="V720" s="37" t="n">
        <x:v>0</x:v>
      </x:c>
      <x:c r="W720" s="37" t="n">
        <x:v>132080.9872494135</x:v>
      </x:c>
      <x:c r="X720" s="37" t="n">
        <x:v>0</x:v>
      </x:c>
      <x:c r="Y720" s="37" t="n">
        <x:v>2005.432733623629</x:v>
      </x:c>
      <x:c r="Z720" s="37" t="n">
        <x:v>6949790.225169882</x:v>
      </x:c>
      <x:c r="AA720" s="37" t="n">
        <x:v>0</x:v>
      </x:c>
      <x:c r="AB720" s="37" t="n">
        <x:v>6949790.225169882</x:v>
      </x:c>
      <x:c r="AC720" s="37" t="n">
        <x:v>2363764.4486534186</x:v>
      </x:c>
      <x:c r="AD720" s="37" t="n">
        <x:v>0</x:v>
      </x:c>
      <x:c r="AE720" s="37" t="n">
        <x:v>0</x:v>
      </x:c>
      <x:c r="AF720" s="47" t="b">
        <x:v>0</x:v>
      </x:c>
      <x:c r="AG720" s="47" t="b">
        <x:v>0</x:v>
      </x:c>
      <x:c r="AH720" s="48" t="n">
        <x:v>0</x:v>
      </x:c>
      <x:c r="AI720" s="48" t="n">
        <x:v>1.1920928955078125e-7</x:v>
      </x:c>
      <x:c r="AJ720" s="37" t="str">
        <x:v>passed</x:v>
      </x:c>
    </x:row>
    <x:row r="721" ht="21" customHeight="1">
      <x:c r="A721" s="2"/>
      <x:c r="B721" s="2"/>
      <x:c r="C721" s="2" t="str">
        <x:v>2022</x:v>
      </x:c>
      <x:c r="D721" s="5" t="n">
        <x:v>44823</x:v>
      </x:c>
      <x:c r="E721" s="2" t="str">
        <x:v>unweighted</x:v>
      </x:c>
      <x:c r="F721" s="37" t="n">
        <x:v>12538596.249000492</x:v>
      </x:c>
      <x:c r="G721" s="37" t="n">
        <x:v>508844.1500599954</x:v>
      </x:c>
      <x:c r="H721" s="37" t="n">
        <x:v>-16215.279327682456</x:v>
      </x:c>
      <x:c r="I721" s="37" t="n">
        <x:v>525059.4293876779</x:v>
      </x:c>
      <x:c r="J721" s="37" t="n">
        <x:v>10504710.494818067</x:v>
      </x:c>
      <x:c r="K721" s="37" t="n">
        <x:v>9995866.344758071</x:v>
      </x:c>
      <x:c r="L721" s="37" t="n">
        <x:v>13047440.399060488</x:v>
      </x:c>
      <x:c r="M721" s="37" t="n">
        <x:v>0</x:v>
      </x:c>
      <x:c r="N721" s="37" t="n">
        <x:v>0</x:v>
      </x:c>
      <x:c r="O721" s="37" t="n">
        <x:v>2060.9132517967373</x:v>
      </x:c>
      <x:c r="P721" s="37" t="n">
        <x:v>0</x:v>
      </x:c>
      <x:c r="Q721" s="37" t="n">
        <x:v>0</x:v>
      </x:c>
      <x:c r="R721" s="37" t="n">
        <x:v>0</x:v>
      </x:c>
      <x:c r="S721" s="37" t="n">
        <x:v>0</x:v>
      </x:c>
      <x:c r="T721" s="37" t="n">
        <x:v>0</x:v>
      </x:c>
      <x:c r="U721" s="37" t="n">
        <x:v>35631.30899120559</x:v>
      </x:c>
      <x:c r="V721" s="37" t="n">
        <x:v>0</x:v>
      </x:c>
      <x:c r="W721" s="37" t="n">
        <x:v>173181.21164561436</x:v>
      </x:c>
      <x:c r="X721" s="37" t="n">
        <x:v>0</x:v>
      </x:c>
      <x:c r="Y721" s="37" t="n">
        <x:v>2292.037834981838</x:v>
      </x:c>
      <x:c r="Z721" s="37" t="n">
        <x:v>10195783.671653233</x:v>
      </x:c>
      <x:c r="AA721" s="37" t="n">
        <x:v>0</x:v>
      </x:c>
      <x:c r="AB721" s="37" t="n">
        <x:v>10195783.671653233</x:v>
      </x:c>
      <x:c r="AC721" s="37" t="n">
        <x:v>2342812.577347258</x:v>
      </x:c>
      <x:c r="AD721" s="37" t="n">
        <x:v>0</x:v>
      </x:c>
      <x:c r="AE721" s="37" t="n">
        <x:v>0</x:v>
      </x:c>
      <x:c r="AF721" s="47" t="b">
        <x:v>0</x:v>
      </x:c>
      <x:c r="AG721" s="47" t="b">
        <x:v>0</x:v>
      </x:c>
      <x:c r="AH721" s="48" t="n">
        <x:v>0</x:v>
      </x:c>
      <x:c r="AI721" s="48" t="n">
        <x:v>1.1920928955078125e-7</x:v>
      </x:c>
      <x:c r="AJ721" s="37" t="str">
        <x:v>passed</x:v>
      </x:c>
    </x:row>
    <x:row r="722" ht="21" customHeight="1">
      <x:c r="A722" s="2"/>
      <x:c r="B722" s="2"/>
      <x:c r="C722" s="2" t="str">
        <x:v>2022</x:v>
      </x:c>
      <x:c r="D722" s="5" t="n">
        <x:v>44823</x:v>
      </x:c>
      <x:c r="E722" s="2" t="str">
        <x:v>constrained</x:v>
      </x:c>
      <x:c r="F722" s="37" t="n">
        <x:v>13195540.734907681</x:v>
      </x:c>
      <x:c r="G722" s="37" t="n">
        <x:v>-61381.00375344166</x:v>
      </x:c>
      <x:c r="H722" s="37" t="n">
        <x:v>-18607.383162035818</x:v>
      </x:c>
      <x:c r="I722" s="37" t="n">
        <x:v>-42773.620591405845</x:v>
      </x:c>
      <x:c r="J722" s="37" t="n">
        <x:v>10508072.910331156</x:v>
      </x:c>
      <x:c r="K722" s="37" t="n">
        <x:v>10569453.914084598</x:v>
      </x:c>
      <x:c r="L722" s="37" t="n">
        <x:v>13134159.731154239</x:v>
      </x:c>
      <x:c r="M722" s="37" t="n">
        <x:v>0</x:v>
      </x:c>
      <x:c r="N722" s="37" t="n">
        <x:v>0</x:v>
      </x:c>
      <x:c r="O722" s="37" t="n">
        <x:v>2168.8922926560044</x:v>
      </x:c>
      <x:c r="P722" s="37" t="n">
        <x:v>0</x:v>
      </x:c>
      <x:c r="Q722" s="37" t="n">
        <x:v>0</x:v>
      </x:c>
      <x:c r="R722" s="37" t="n">
        <x:v>0</x:v>
      </x:c>
      <x:c r="S722" s="37" t="n">
        <x:v>0</x:v>
      </x:c>
      <x:c r="T722" s="37" t="n">
        <x:v>0</x:v>
      </x:c>
      <x:c r="U722" s="37" t="n">
        <x:v>30770.55116020547</x:v>
      </x:c>
      <x:c r="V722" s="37" t="n">
        <x:v>0</x:v>
      </x:c>
      <x:c r="W722" s="37" t="n">
        <x:v>186031.4707469456</x:v>
      </x:c>
      <x:c r="X722" s="37" t="n">
        <x:v>0</x:v>
      </x:c>
      <x:c r="Y722" s="37" t="n">
        <x:v>2388.5134762951375</x:v>
      </x:c>
      <x:c r="Z722" s="37" t="n">
        <x:v>10780842.99236629</x:v>
      </x:c>
      <x:c r="AA722" s="37" t="n">
        <x:v>0</x:v>
      </x:c>
      <x:c r="AB722" s="37" t="n">
        <x:v>10780842.99236629</x:v>
      </x:c>
      <x:c r="AC722" s="37" t="n">
        <x:v>2414697.7425413914</x:v>
      </x:c>
      <x:c r="AD722" s="37" t="n">
        <x:v>0</x:v>
      </x:c>
      <x:c r="AE722" s="37" t="n">
        <x:v>0</x:v>
      </x:c>
      <x:c r="AF722" s="47" t="b">
        <x:v>0</x:v>
      </x:c>
      <x:c r="AG722" s="47" t="b">
        <x:v>0</x:v>
      </x:c>
      <x:c r="AH722" s="48" t="n">
        <x:v>0</x:v>
      </x:c>
      <x:c r="AI722" s="48" t="n">
        <x:v>1.1920928955078125e-7</x:v>
      </x:c>
      <x:c r="AJ722" s="37" t="str">
        <x:v>passed</x:v>
      </x:c>
    </x:row>
    <x:row r="723" ht="21" customHeight="1">
      <x:c r="A723" s="2"/>
      <x:c r="B723" s="2"/>
      <x:c r="C723" s="2" t="str">
        <x:v>2022</x:v>
      </x:c>
      <x:c r="D723" s="5" t="n">
        <x:v>44824</x:v>
      </x:c>
      <x:c r="E723" s="2" t="str">
        <x:v>unhedged</x:v>
      </x:c>
      <x:c r="F723" s="37" t="n">
        <x:v>1318002.3714579947</x:v>
      </x:c>
      <x:c r="G723" s="37" t="n">
        <x:v>10443632.038279282</x:v>
      </x:c>
      <x:c r="H723" s="37" t="n">
        <x:v>27737.771739130432</x:v>
      </x:c>
      <x:c r="I723" s="37" t="n">
        <x:v>10415894.266540151</x:v>
      </x:c>
      <x:c r="J723" s="37" t="n">
        <x:v>10443632.038279282</x:v>
      </x:c>
      <x:c r="K723" s="37" t="n">
        <x:v>0</x:v>
      </x:c>
      <x:c r="L723" s="37" t="n">
        <x:v>11761634.409737276</x:v>
      </x:c>
      <x:c r="M723" s="37" t="n">
        <x:v>0</x:v>
      </x:c>
      <x:c r="N723" s="37" t="n">
        <x:v>0</x:v>
      </x:c>
      <x:c r="O723" s="37" t="n">
        <x:v>72.21535101975314</x:v>
      </x:c>
      <x:c r="P723" s="37" t="n">
        <x:v>0</x:v>
      </x:c>
      <x:c r="Q723" s="37" t="n">
        <x:v>0</x:v>
      </x:c>
      <x:c r="R723" s="37" t="n">
        <x:v>0</x:v>
      </x:c>
      <x:c r="S723" s="37" t="n">
        <x:v>0</x:v>
      </x:c>
      <x:c r="T723" s="37" t="n">
        <x:v>0</x:v>
      </x:c>
      <x:c r="U723" s="37" t="n">
        <x:v>101250</x:v>
      </x:c>
      <x:c r="V723" s="37" t="n">
        <x:v>0</x:v>
      </x:c>
      <x:c r="W723" s="37" t="n">
        <x:v>17927.090774720302</x:v>
      </x:c>
      <x:c r="X723" s="37" t="n">
        <x:v>0</x:v>
      </x:c>
      <x:c r="Y723" s="37" t="n">
        <x:v>1174.7193167256753</x:v>
      </x:c>
      <x:c r="Z723" s="37" t="n">
        <x:v>0</x:v>
      </x:c>
      <x:c r="AA723" s="37" t="n">
        <x:v>0</x:v>
      </x:c>
      <x:c r="AB723" s="37" t="n">
        <x:v>0</x:v>
      </x:c>
      <x:c r="AC723" s="37" t="n">
        <x:v>1318002.3714579947</x:v>
      </x:c>
      <x:c r="AD723" s="37" t="n">
        <x:v>0</x:v>
      </x:c>
      <x:c r="AE723" s="37" t="n">
        <x:v>0</x:v>
      </x:c>
      <x:c r="AF723" s="47" t="b">
        <x:v>0</x:v>
      </x:c>
      <x:c r="AG723" s="47" t="b">
        <x:v>0</x:v>
      </x:c>
      <x:c r="AH723" s="48" t="n">
        <x:v>0</x:v>
      </x:c>
      <x:c r="AI723" s="48" t="n">
        <x:v>1.1920928955078125e-7</x:v>
      </x:c>
      <x:c r="AJ723" s="37" t="str">
        <x:v>passed</x:v>
      </x:c>
    </x:row>
    <x:row r="724" ht="21" customHeight="1">
      <x:c r="A724" s="2"/>
      <x:c r="B724" s="2"/>
      <x:c r="C724" s="2" t="str">
        <x:v>2022</x:v>
      </x:c>
      <x:c r="D724" s="5" t="n">
        <x:v>44824</x:v>
      </x:c>
      <x:c r="E724" s="2" t="str">
        <x:v>duration</x:v>
      </x:c>
      <x:c r="F724" s="37" t="n">
        <x:v>9314065.005586252</x:v>
      </x:c>
      <x:c r="G724" s="37" t="n">
        <x:v>3685772.7556264787</x:v>
      </x:c>
      <x:c r="H724" s="37" t="n">
        <x:v>-11290.478808718462</x:v>
      </x:c>
      <x:c r="I724" s="37" t="n">
        <x:v>3697063.234435197</x:v>
      </x:c>
      <x:c r="J724" s="37" t="n">
        <x:v>10443632.038279282</x:v>
      </x:c>
      <x:c r="K724" s="37" t="n">
        <x:v>6757859.282652804</x:v>
      </x:c>
      <x:c r="L724" s="37" t="n">
        <x:v>12999837.76121273</x:v>
      </x:c>
      <x:c r="M724" s="37" t="n">
        <x:v>0</x:v>
      </x:c>
      <x:c r="N724" s="37" t="n">
        <x:v>0</x:v>
      </x:c>
      <x:c r="O724" s="37" t="n">
        <x:v>510.3317629508674</x:v>
      </x:c>
      <x:c r="P724" s="37" t="n">
        <x:v>0</x:v>
      </x:c>
      <x:c r="Q724" s="37" t="n">
        <x:v>0</x:v>
      </x:c>
      <x:c r="R724" s="37" t="n">
        <x:v>0</x:v>
      </x:c>
      <x:c r="S724" s="37" t="n">
        <x:v>0</x:v>
      </x:c>
      <x:c r="T724" s="37" t="n">
        <x:v>0</x:v>
      </x:c>
      <x:c r="U724" s="37" t="n">
        <x:v>44145.09825237111</x:v>
      </x:c>
      <x:c r="V724" s="37" t="n">
        <x:v>0</x:v>
      </x:c>
      <x:c r="W724" s="37" t="n">
        <x:v>132591.31901236437</x:v>
      </x:c>
      <x:c r="X724" s="37" t="n">
        <x:v>0</x:v>
      </x:c>
      <x:c r="Y724" s="37" t="n">
        <x:v>2005.432733623629</x:v>
      </x:c>
      <x:c r="Z724" s="37" t="n">
        <x:v>6893016.46830586</x:v>
      </x:c>
      <x:c r="AA724" s="37" t="n">
        <x:v>0</x:v>
      </x:c>
      <x:c r="AB724" s="37" t="n">
        <x:v>6893016.46830586</x:v>
      </x:c>
      <x:c r="AC724" s="37" t="n">
        <x:v>2421048.537280392</x:v>
      </x:c>
      <x:c r="AD724" s="37" t="n">
        <x:v>0</x:v>
      </x:c>
      <x:c r="AE724" s="37" t="n">
        <x:v>0</x:v>
      </x:c>
      <x:c r="AF724" s="47" t="b">
        <x:v>0</x:v>
      </x:c>
      <x:c r="AG724" s="47" t="b">
        <x:v>0</x:v>
      </x:c>
      <x:c r="AH724" s="48" t="n">
        <x:v>0</x:v>
      </x:c>
      <x:c r="AI724" s="48" t="n">
        <x:v>1.1920928955078125e-7</x:v>
      </x:c>
      <x:c r="AJ724" s="37" t="str">
        <x:v>passed</x:v>
      </x:c>
    </x:row>
    <x:row r="725" ht="21" customHeight="1">
      <x:c r="A725" s="2"/>
      <x:c r="B725" s="2"/>
      <x:c r="C725" s="2" t="str">
        <x:v>2022</x:v>
      </x:c>
      <x:c r="D725" s="5" t="n">
        <x:v>44824</x:v>
      </x:c>
      <x:c r="E725" s="2" t="str">
        <x:v>unweighted</x:v>
      </x:c>
      <x:c r="F725" s="37" t="n">
        <x:v>12539283.295370301</x:v>
      </x:c>
      <x:c r="G725" s="37" t="n">
        <x:v>505630.914809502</x:v>
      </x:c>
      <x:c r="H725" s="37" t="n">
        <x:v>-16232.203880665686</x:v>
      </x:c>
      <x:c r="I725" s="37" t="n">
        <x:v>521863.1186901677</x:v>
      </x:c>
      <x:c r="J725" s="37" t="n">
        <x:v>10456923.474720642</x:v>
      </x:c>
      <x:c r="K725" s="37" t="n">
        <x:v>9951292.55991114</x:v>
      </x:c>
      <x:c r="L725" s="37" t="n">
        <x:v>13044914.210179804</x:v>
      </x:c>
      <x:c r="M725" s="37" t="n">
        <x:v>0</x:v>
      </x:c>
      <x:c r="N725" s="37" t="n">
        <x:v>0</x:v>
      </x:c>
      <x:c r="O725" s="37" t="n">
        <x:v>687.0463698096573</x:v>
      </x:c>
      <x:c r="P725" s="37" t="n">
        <x:v>0</x:v>
      </x:c>
      <x:c r="Q725" s="37" t="n">
        <x:v>0</x:v>
      </x:c>
      <x:c r="R725" s="37" t="n">
        <x:v>0</x:v>
      </x:c>
      <x:c r="S725" s="37" t="n">
        <x:v>0</x:v>
      </x:c>
      <x:c r="T725" s="37" t="n">
        <x:v>0</x:v>
      </x:c>
      <x:c r="U725" s="37" t="n">
        <x:v>35631.30899120559</x:v>
      </x:c>
      <x:c r="V725" s="37" t="n">
        <x:v>0</x:v>
      </x:c>
      <x:c r="W725" s="37" t="n">
        <x:v>173868.258015424</x:v>
      </x:c>
      <x:c r="X725" s="37" t="n">
        <x:v>0</x:v>
      </x:c>
      <x:c r="Y725" s="37" t="n">
        <x:v>2292.037834981838</x:v>
      </x:c>
      <x:c r="Z725" s="37" t="n">
        <x:v>10150318.411109362</x:v>
      </x:c>
      <x:c r="AA725" s="37" t="n">
        <x:v>0</x:v>
      </x:c>
      <x:c r="AB725" s="37" t="n">
        <x:v>10150318.411109362</x:v>
      </x:c>
      <x:c r="AC725" s="37" t="n">
        <x:v>2388964.8842609394</x:v>
      </x:c>
      <x:c r="AD725" s="37" t="n">
        <x:v>0</x:v>
      </x:c>
      <x:c r="AE725" s="37" t="n">
        <x:v>0</x:v>
      </x:c>
      <x:c r="AF725" s="47" t="b">
        <x:v>0</x:v>
      </x:c>
      <x:c r="AG725" s="47" t="b">
        <x:v>0</x:v>
      </x:c>
      <x:c r="AH725" s="48" t="n">
        <x:v>0</x:v>
      </x:c>
      <x:c r="AI725" s="48" t="n">
        <x:v>1.1920928955078125e-7</x:v>
      </x:c>
      <x:c r="AJ725" s="37" t="str">
        <x:v>passed</x:v>
      </x:c>
    </x:row>
    <x:row r="726" ht="21" customHeight="1">
      <x:c r="A726" s="2"/>
      <x:c r="B726" s="2"/>
      <x:c r="C726" s="2" t="str">
        <x:v>2022</x:v>
      </x:c>
      <x:c r="D726" s="5" t="n">
        <x:v>44824</x:v>
      </x:c>
      <x:c r="E726" s="2" t="str">
        <x:v>constrained</x:v>
      </x:c>
      <x:c r="F726" s="37" t="n">
        <x:v>13196263.778235624</x:v>
      </x:c>
      <x:c r="G726" s="37" t="n">
        <x:v>-62759.75436961204</x:v>
      </x:c>
      <x:c r="H726" s="37" t="n">
        <x:v>-18644.977194083935</x:v>
      </x:c>
      <x:c r="I726" s="37" t="n">
        <x:v>-44114.77717552811</x:v>
      </x:c>
      <x:c r="J726" s="37" t="n">
        <x:v>10460262.52717016</x:v>
      </x:c>
      <x:c r="K726" s="37" t="n">
        <x:v>10523022.281539774</x:v>
      </x:c>
      <x:c r="L726" s="37" t="n">
        <x:v>13133504.02386601</x:v>
      </x:c>
      <x:c r="M726" s="37" t="n">
        <x:v>0</x:v>
      </x:c>
      <x:c r="N726" s="37" t="n">
        <x:v>0</x:v>
      </x:c>
      <x:c r="O726" s="37" t="n">
        <x:v>723.0433279424906</x:v>
      </x:c>
      <x:c r="P726" s="37" t="n">
        <x:v>0</x:v>
      </x:c>
      <x:c r="Q726" s="37" t="n">
        <x:v>0</x:v>
      </x:c>
      <x:c r="R726" s="37" t="n">
        <x:v>0</x:v>
      </x:c>
      <x:c r="S726" s="37" t="n">
        <x:v>0</x:v>
      </x:c>
      <x:c r="T726" s="37" t="n">
        <x:v>0</x:v>
      </x:c>
      <x:c r="U726" s="37" t="n">
        <x:v>30770.55116020547</x:v>
      </x:c>
      <x:c r="V726" s="37" t="n">
        <x:v>0</x:v>
      </x:c>
      <x:c r="W726" s="37" t="n">
        <x:v>186754.51407488808</x:v>
      </x:c>
      <x:c r="X726" s="37" t="n">
        <x:v>0</x:v>
      </x:c>
      <x:c r="Y726" s="37" t="n">
        <x:v>2388.5134762951375</x:v>
      </x:c>
      <x:c r="Z726" s="37" t="n">
        <x:v>10733482.72717057</x:v>
      </x:c>
      <x:c r="AA726" s="37" t="n">
        <x:v>0</x:v>
      </x:c>
      <x:c r="AB726" s="37" t="n">
        <x:v>10733482.72717057</x:v>
      </x:c>
      <x:c r="AC726" s="37" t="n">
        <x:v>2462781.051065054</x:v>
      </x:c>
      <x:c r="AD726" s="37" t="n">
        <x:v>0</x:v>
      </x:c>
      <x:c r="AE726" s="37" t="n">
        <x:v>0</x:v>
      </x:c>
      <x:c r="AF726" s="47" t="b">
        <x:v>0</x:v>
      </x:c>
      <x:c r="AG726" s="47" t="b">
        <x:v>0</x:v>
      </x:c>
      <x:c r="AH726" s="48" t="n">
        <x:v>0</x:v>
      </x:c>
      <x:c r="AI726" s="48" t="n">
        <x:v>1.1920928955078125e-7</x:v>
      </x:c>
      <x:c r="AJ726" s="37" t="str">
        <x:v>passed</x:v>
      </x:c>
    </x:row>
    <x:row r="727" ht="21" customHeight="1">
      <x:c r="A727" s="2"/>
      <x:c r="B727" s="2"/>
      <x:c r="C727" s="2" t="str">
        <x:v>2022</x:v>
      </x:c>
      <x:c r="D727" s="5" t="n">
        <x:v>44825</x:v>
      </x:c>
      <x:c r="E727" s="2" t="str">
        <x:v>unhedged</x:v>
      </x:c>
      <x:c r="F727" s="37" t="n">
        <x:v>1318074.59076602</x:v>
      </x:c>
      <x:c r="G727" s="37" t="n">
        <x:v>10466156.173577439</x:v>
      </x:c>
      <x:c r="H727" s="37" t="n">
        <x:v>28084.23913043478</x:v>
      </x:c>
      <x:c r="I727" s="37" t="n">
        <x:v>10438071.934447004</x:v>
      </x:c>
      <x:c r="J727" s="37" t="n">
        <x:v>10466156.173577439</x:v>
      </x:c>
      <x:c r="K727" s="37" t="n">
        <x:v>0</x:v>
      </x:c>
      <x:c r="L727" s="37" t="n">
        <x:v>11784230.76434346</x:v>
      </x:c>
      <x:c r="M727" s="37" t="n">
        <x:v>0</x:v>
      </x:c>
      <x:c r="N727" s="37" t="n">
        <x:v>0</x:v>
      </x:c>
      <x:c r="O727" s="37" t="n">
        <x:v>72.21930802520365</x:v>
      </x:c>
      <x:c r="P727" s="37" t="n">
        <x:v>0</x:v>
      </x:c>
      <x:c r="Q727" s="37" t="n">
        <x:v>0</x:v>
      </x:c>
      <x:c r="R727" s="37" t="n">
        <x:v>0</x:v>
      </x:c>
      <x:c r="S727" s="37" t="n">
        <x:v>0</x:v>
      </x:c>
      <x:c r="T727" s="37" t="n">
        <x:v>0</x:v>
      </x:c>
      <x:c r="U727" s="37" t="n">
        <x:v>101250</x:v>
      </x:c>
      <x:c r="V727" s="37" t="n">
        <x:v>0</x:v>
      </x:c>
      <x:c r="W727" s="37" t="n">
        <x:v>17999.310082745505</x:v>
      </x:c>
      <x:c r="X727" s="37" t="n">
        <x:v>0</x:v>
      </x:c>
      <x:c r="Y727" s="37" t="n">
        <x:v>1174.7193167256753</x:v>
      </x:c>
      <x:c r="Z727" s="37" t="n">
        <x:v>0</x:v>
      </x:c>
      <x:c r="AA727" s="37" t="n">
        <x:v>0</x:v>
      </x:c>
      <x:c r="AB727" s="37" t="n">
        <x:v>0</x:v>
      </x:c>
      <x:c r="AC727" s="37" t="n">
        <x:v>1318074.59076602</x:v>
      </x:c>
      <x:c r="AD727" s="37" t="n">
        <x:v>0</x:v>
      </x:c>
      <x:c r="AE727" s="37" t="n">
        <x:v>0</x:v>
      </x:c>
      <x:c r="AF727" s="47" t="b">
        <x:v>0</x:v>
      </x:c>
      <x:c r="AG727" s="47" t="b">
        <x:v>0</x:v>
      </x:c>
      <x:c r="AH727" s="48" t="n">
        <x:v>0</x:v>
      </x:c>
      <x:c r="AI727" s="48" t="n">
        <x:v>1.1920928955078125e-7</x:v>
      </x:c>
      <x:c r="AJ727" s="37" t="str">
        <x:v>passed</x:v>
      </x:c>
    </x:row>
    <x:row r="728" ht="21" customHeight="1">
      <x:c r="A728" s="2"/>
      <x:c r="B728" s="2"/>
      <x:c r="C728" s="2" t="str">
        <x:v>2022</x:v>
      </x:c>
      <x:c r="D728" s="5" t="n">
        <x:v>44825</x:v>
      </x:c>
      <x:c r="E728" s="2" t="str">
        <x:v>duration</x:v>
      </x:c>
      <x:c r="F728" s="37" t="n">
        <x:v>9314575.365312584</x:v>
      </x:c>
      <x:c r="G728" s="37" t="n">
        <x:v>3675289.8643709105</x:v>
      </x:c>
      <x:c r="H728" s="37" t="n">
        <x:v>-11248.91962481919</x:v>
      </x:c>
      <x:c r="I728" s="37" t="n">
        <x:v>3686538.78399573</x:v>
      </x:c>
      <x:c r="J728" s="37" t="n">
        <x:v>10466156.173577439</x:v>
      </x:c>
      <x:c r="K728" s="37" t="n">
        <x:v>6790866.309206528</x:v>
      </x:c>
      <x:c r="L728" s="37" t="n">
        <x:v>12989865.229683494</x:v>
      </x:c>
      <x:c r="M728" s="37" t="n">
        <x:v>0</x:v>
      </x:c>
      <x:c r="N728" s="37" t="n">
        <x:v>0</x:v>
      </x:c>
      <x:c r="O728" s="37" t="n">
        <x:v>510.35972633212805</x:v>
      </x:c>
      <x:c r="P728" s="37" t="n">
        <x:v>0</x:v>
      </x:c>
      <x:c r="Q728" s="37" t="n">
        <x:v>0</x:v>
      </x:c>
      <x:c r="R728" s="37" t="n">
        <x:v>0</x:v>
      </x:c>
      <x:c r="S728" s="37" t="n">
        <x:v>0</x:v>
      </x:c>
      <x:c r="T728" s="37" t="n">
        <x:v>0</x:v>
      </x:c>
      <x:c r="U728" s="37" t="n">
        <x:v>44145.09825237111</x:v>
      </x:c>
      <x:c r="V728" s="37" t="n">
        <x:v>0</x:v>
      </x:c>
      <x:c r="W728" s="37" t="n">
        <x:v>133101.6787386965</x:v>
      </x:c>
      <x:c r="X728" s="37" t="n">
        <x:v>0</x:v>
      </x:c>
      <x:c r="Y728" s="37" t="n">
        <x:v>2005.432733623629</x:v>
      </x:c>
      <x:c r="Z728" s="37" t="n">
        <x:v>6926683.635390658</x:v>
      </x:c>
      <x:c r="AA728" s="37" t="n">
        <x:v>0</x:v>
      </x:c>
      <x:c r="AB728" s="37" t="n">
        <x:v>6926683.635390658</x:v>
      </x:c>
      <x:c r="AC728" s="37" t="n">
        <x:v>2387891.729921926</x:v>
      </x:c>
      <x:c r="AD728" s="37" t="n">
        <x:v>0</x:v>
      </x:c>
      <x:c r="AE728" s="37" t="n">
        <x:v>0</x:v>
      </x:c>
      <x:c r="AF728" s="47" t="b">
        <x:v>0</x:v>
      </x:c>
      <x:c r="AG728" s="47" t="b">
        <x:v>0</x:v>
      </x:c>
      <x:c r="AH728" s="48" t="n">
        <x:v>0</x:v>
      </x:c>
      <x:c r="AI728" s="48" t="n">
        <x:v>1.1920928955078125e-7</x:v>
      </x:c>
      <x:c r="AJ728" s="37" t="str">
        <x:v>passed</x:v>
      </x:c>
    </x:row>
    <x:row r="729" ht="21" customHeight="1">
      <x:c r="A729" s="2"/>
      <x:c r="B729" s="2"/>
      <x:c r="C729" s="2" t="str">
        <x:v>2022</x:v>
      </x:c>
      <x:c r="D729" s="5" t="n">
        <x:v>44825</x:v>
      </x:c>
      <x:c r="E729" s="2" t="str">
        <x:v>unweighted</x:v>
      </x:c>
      <x:c r="F729" s="37" t="n">
        <x:v>12539970.379386485</x:v>
      </x:c>
      <x:c r="G729" s="37" t="n">
        <x:v>507331.2465853842</x:v>
      </x:c>
      <x:c r="H729" s="37" t="n">
        <x:v>-16249.128433648912</x:v>
      </x:c>
      <x:c r="I729" s="37" t="n">
        <x:v>523580.3750190331</x:v>
      </x:c>
      <x:c r="J729" s="37" t="n">
        <x:v>10479594.743767304</x:v>
      </x:c>
      <x:c r="K729" s="37" t="n">
        <x:v>9972263.49718192</x:v>
      </x:c>
      <x:c r="L729" s="37" t="n">
        <x:v>13047301.625971869</x:v>
      </x:c>
      <x:c r="M729" s="37" t="n">
        <x:v>0</x:v>
      </x:c>
      <x:c r="N729" s="37" t="n">
        <x:v>0</x:v>
      </x:c>
      <x:c r="O729" s="37" t="n">
        <x:v>687.0840161833912</x:v>
      </x:c>
      <x:c r="P729" s="37" t="n">
        <x:v>0</x:v>
      </x:c>
      <x:c r="Q729" s="37" t="n">
        <x:v>0</x:v>
      </x:c>
      <x:c r="R729" s="37" t="n">
        <x:v>0</x:v>
      </x:c>
      <x:c r="S729" s="37" t="n">
        <x:v>0</x:v>
      </x:c>
      <x:c r="T729" s="37" t="n">
        <x:v>0</x:v>
      </x:c>
      <x:c r="U729" s="37" t="n">
        <x:v>35631.30899120559</x:v>
      </x:c>
      <x:c r="V729" s="37" t="n">
        <x:v>0</x:v>
      </x:c>
      <x:c r="W729" s="37" t="n">
        <x:v>174555.3420316074</x:v>
      </x:c>
      <x:c r="X729" s="37" t="n">
        <x:v>0</x:v>
      </x:c>
      <x:c r="Y729" s="37" t="n">
        <x:v>2292.037834981838</x:v>
      </x:c>
      <x:c r="Z729" s="37" t="n">
        <x:v>10171708.767125558</x:v>
      </x:c>
      <x:c r="AA729" s="37" t="n">
        <x:v>0</x:v>
      </x:c>
      <x:c r="AB729" s="37" t="n">
        <x:v>10171708.767125558</x:v>
      </x:c>
      <x:c r="AC729" s="37" t="n">
        <x:v>2368261.6122609265</x:v>
      </x:c>
      <x:c r="AD729" s="37" t="n">
        <x:v>0</x:v>
      </x:c>
      <x:c r="AE729" s="37" t="n">
        <x:v>0</x:v>
      </x:c>
      <x:c r="AF729" s="47" t="b">
        <x:v>0</x:v>
      </x:c>
      <x:c r="AG729" s="47" t="b">
        <x:v>0</x:v>
      </x:c>
      <x:c r="AH729" s="48" t="n">
        <x:v>0</x:v>
      </x:c>
      <x:c r="AI729" s="48" t="n">
        <x:v>1.1920928955078125e-7</x:v>
      </x:c>
      <x:c r="AJ729" s="37" t="str">
        <x:v>passed</x:v>
      </x:c>
    </x:row>
    <x:row r="730" ht="21" customHeight="1">
      <x:c r="A730" s="2"/>
      <x:c r="B730" s="2"/>
      <x:c r="C730" s="2" t="str">
        <x:v>2022</x:v>
      </x:c>
      <x:c r="D730" s="5" t="n">
        <x:v>44825</x:v>
      </x:c>
      <x:c r="E730" s="2" t="str">
        <x:v>constrained</x:v>
      </x:c>
      <x:c r="F730" s="37" t="n">
        <x:v>13196986.861182375</x:v>
      </x:c>
      <x:c r="G730" s="37" t="n">
        <x:v>-61673.909011550495</x:v>
      </x:c>
      <x:c r="H730" s="37" t="n">
        <x:v>-18682.57122613205</x:v>
      </x:c>
      <x:c r="I730" s="37" t="n">
        <x:v>-42991.337785418444</x:v>
      </x:c>
      <x:c r="J730" s="37" t="n">
        <x:v>10482968.969053216</x:v>
      </x:c>
      <x:c r="K730" s="37" t="n">
        <x:v>10544642.878064767</x:v>
      </x:c>
      <x:c r="L730" s="37" t="n">
        <x:v>13135312.952170825</x:v>
      </x:c>
      <x:c r="M730" s="37" t="n">
        <x:v>0</x:v>
      </x:c>
      <x:c r="N730" s="37" t="n">
        <x:v>0</x:v>
      </x:c>
      <x:c r="O730" s="37" t="n">
        <x:v>723.0829467512667</x:v>
      </x:c>
      <x:c r="P730" s="37" t="n">
        <x:v>0</x:v>
      </x:c>
      <x:c r="Q730" s="37" t="n">
        <x:v>0</x:v>
      </x:c>
      <x:c r="R730" s="37" t="n">
        <x:v>0</x:v>
      </x:c>
      <x:c r="S730" s="37" t="n">
        <x:v>0</x:v>
      </x:c>
      <x:c r="T730" s="37" t="n">
        <x:v>0</x:v>
      </x:c>
      <x:c r="U730" s="37" t="n">
        <x:v>30770.55116020547</x:v>
      </x:c>
      <x:c r="V730" s="37" t="n">
        <x:v>0</x:v>
      </x:c>
      <x:c r="W730" s="37" t="n">
        <x:v>187477.59702163935</x:v>
      </x:c>
      <x:c r="X730" s="37" t="n">
        <x:v>0</x:v>
      </x:c>
      <x:c r="Y730" s="37" t="n">
        <x:v>2388.5134762951375</x:v>
      </x:c>
      <x:c r="Z730" s="37" t="n">
        <x:v>10755535.735626062</x:v>
      </x:c>
      <x:c r="AA730" s="37" t="n">
        <x:v>0</x:v>
      </x:c>
      <x:c r="AB730" s="37" t="n">
        <x:v>10755535.735626062</x:v>
      </x:c>
      <x:c r="AC730" s="37" t="n">
        <x:v>2441451.1255563125</x:v>
      </x:c>
      <x:c r="AD730" s="37" t="n">
        <x:v>0</x:v>
      </x:c>
      <x:c r="AE730" s="37" t="n">
        <x:v>0</x:v>
      </x:c>
      <x:c r="AF730" s="47" t="b">
        <x:v>0</x:v>
      </x:c>
      <x:c r="AG730" s="47" t="b">
        <x:v>0</x:v>
      </x:c>
      <x:c r="AH730" s="48" t="n">
        <x:v>0</x:v>
      </x:c>
      <x:c r="AI730" s="48" t="n">
        <x:v>1.1920928955078125e-7</x:v>
      </x:c>
      <x:c r="AJ730" s="37" t="str">
        <x:v>passed</x:v>
      </x:c>
    </x:row>
    <x:row r="731" ht="21" customHeight="1">
      <x:c r="A731" s="2"/>
      <x:c r="B731" s="2"/>
      <x:c r="C731" s="2" t="str">
        <x:v>2022</x:v>
      </x:c>
      <x:c r="D731" s="5" t="n">
        <x:v>44826</x:v>
      </x:c>
      <x:c r="E731" s="2" t="str">
        <x:v>unhedged</x:v>
      </x:c>
      <x:c r="F731" s="37" t="n">
        <x:v>1318146.8140312675</x:v>
      </x:c>
      <x:c r="G731" s="37" t="n">
        <x:v>10364609.779724808</x:v>
      </x:c>
      <x:c r="H731" s="37" t="n">
        <x:v>28430.70652173913</x:v>
      </x:c>
      <x:c r="I731" s="37" t="n">
        <x:v>10336179.07320307</x:v>
      </x:c>
      <x:c r="J731" s="37" t="n">
        <x:v>10364609.779724808</x:v>
      </x:c>
      <x:c r="K731" s="37" t="n">
        <x:v>0</x:v>
      </x:c>
      <x:c r="L731" s="37" t="n">
        <x:v>11682756.593756076</x:v>
      </x:c>
      <x:c r="M731" s="37" t="n">
        <x:v>0</x:v>
      </x:c>
      <x:c r="N731" s="37" t="n">
        <x:v>0</x:v>
      </x:c>
      <x:c r="O731" s="37" t="n">
        <x:v>72.22326524765231</x:v>
      </x:c>
      <x:c r="P731" s="37" t="n">
        <x:v>0</x:v>
      </x:c>
      <x:c r="Q731" s="37" t="n">
        <x:v>0</x:v>
      </x:c>
      <x:c r="R731" s="37" t="n">
        <x:v>0</x:v>
      </x:c>
      <x:c r="S731" s="37" t="n">
        <x:v>0</x:v>
      </x:c>
      <x:c r="T731" s="37" t="n">
        <x:v>0</x:v>
      </x:c>
      <x:c r="U731" s="37" t="n">
        <x:v>101250</x:v>
      </x:c>
      <x:c r="V731" s="37" t="n">
        <x:v>0</x:v>
      </x:c>
      <x:c r="W731" s="37" t="n">
        <x:v>18071.533347993158</x:v>
      </x:c>
      <x:c r="X731" s="37" t="n">
        <x:v>0</x:v>
      </x:c>
      <x:c r="Y731" s="37" t="n">
        <x:v>1174.7193167256753</x:v>
      </x:c>
      <x:c r="Z731" s="37" t="n">
        <x:v>0</x:v>
      </x:c>
      <x:c r="AA731" s="37" t="n">
        <x:v>0</x:v>
      </x:c>
      <x:c r="AB731" s="37" t="n">
        <x:v>0</x:v>
      </x:c>
      <x:c r="AC731" s="37" t="n">
        <x:v>1318146.8140312675</x:v>
      </x:c>
      <x:c r="AD731" s="37" t="n">
        <x:v>0</x:v>
      </x:c>
      <x:c r="AE731" s="37" t="n">
        <x:v>0</x:v>
      </x:c>
      <x:c r="AF731" s="47" t="b">
        <x:v>0</x:v>
      </x:c>
      <x:c r="AG731" s="47" t="b">
        <x:v>0</x:v>
      </x:c>
      <x:c r="AH731" s="48" t="n">
        <x:v>0</x:v>
      </x:c>
      <x:c r="AI731" s="48" t="n">
        <x:v>1.1920928955078125e-7</x:v>
      </x:c>
      <x:c r="AJ731" s="37" t="str">
        <x:v>passed</x:v>
      </x:c>
    </x:row>
    <x:row r="732" ht="21" customHeight="1">
      <x:c r="A732" s="2"/>
      <x:c r="B732" s="2"/>
      <x:c r="C732" s="2" t="str">
        <x:v>2022</x:v>
      </x:c>
      <x:c r="D732" s="5" t="n">
        <x:v>44826</x:v>
      </x:c>
      <x:c r="E732" s="2" t="str">
        <x:v>duration</x:v>
      </x:c>
      <x:c r="F732" s="37" t="n">
        <x:v>9315085.753003836</x:v>
      </x:c>
      <x:c r="G732" s="37" t="n">
        <x:v>3682327.043121093</x:v>
      </x:c>
      <x:c r="H732" s="37" t="n">
        <x:v>-11207.360440919903</x:v>
      </x:c>
      <x:c r="I732" s="37" t="n">
        <x:v>3693534.403562013</x:v>
      </x:c>
      <x:c r="J732" s="37" t="n">
        <x:v>10364609.779724808</x:v>
      </x:c>
      <x:c r="K732" s="37" t="n">
        <x:v>6682282.736603715</x:v>
      </x:c>
      <x:c r="L732" s="37" t="n">
        <x:v>12997412.796124928</x:v>
      </x:c>
      <x:c r="M732" s="37" t="n">
        <x:v>0</x:v>
      </x:c>
      <x:c r="N732" s="37" t="n">
        <x:v>0</x:v>
      </x:c>
      <x:c r="O732" s="37" t="n">
        <x:v>510.3876912519336</x:v>
      </x:c>
      <x:c r="P732" s="37" t="n">
        <x:v>0</x:v>
      </x:c>
      <x:c r="Q732" s="37" t="n">
        <x:v>0</x:v>
      </x:c>
      <x:c r="R732" s="37" t="n">
        <x:v>0</x:v>
      </x:c>
      <x:c r="S732" s="37" t="n">
        <x:v>0</x:v>
      </x:c>
      <x:c r="T732" s="37" t="n">
        <x:v>0</x:v>
      </x:c>
      <x:c r="U732" s="37" t="n">
        <x:v>44145.09825237111</x:v>
      </x:c>
      <x:c r="V732" s="37" t="n">
        <x:v>0</x:v>
      </x:c>
      <x:c r="W732" s="37" t="n">
        <x:v>133612.06642994843</x:v>
      </x:c>
      <x:c r="X732" s="37" t="n">
        <x:v>0</x:v>
      </x:c>
      <x:c r="Y732" s="37" t="n">
        <x:v>2005.432733623629</x:v>
      </x:c>
      <x:c r="Z732" s="37" t="n">
        <x:v>6815928.39133579</x:v>
      </x:c>
      <x:c r="AA732" s="37" t="n">
        <x:v>0</x:v>
      </x:c>
      <x:c r="AB732" s="37" t="n">
        <x:v>6815928.39133579</x:v>
      </x:c>
      <x:c r="AC732" s="37" t="n">
        <x:v>2499157.3616680456</x:v>
      </x:c>
      <x:c r="AD732" s="37" t="n">
        <x:v>0</x:v>
      </x:c>
      <x:c r="AE732" s="37" t="n">
        <x:v>0</x:v>
      </x:c>
      <x:c r="AF732" s="47" t="b">
        <x:v>0</x:v>
      </x:c>
      <x:c r="AG732" s="47" t="b">
        <x:v>0</x:v>
      </x:c>
      <x:c r="AH732" s="48" t="n">
        <x:v>0</x:v>
      </x:c>
      <x:c r="AI732" s="48" t="n">
        <x:v>1.1920928955078125e-7</x:v>
      </x:c>
      <x:c r="AJ732" s="37" t="str">
        <x:v>passed</x:v>
      </x:c>
    </x:row>
    <x:row r="733" ht="21" customHeight="1">
      <x:c r="A733" s="2"/>
      <x:c r="B733" s="2"/>
      <x:c r="C733" s="2" t="str">
        <x:v>2022</x:v>
      </x:c>
      <x:c r="D733" s="5" t="n">
        <x:v>44826</x:v>
      </x:c>
      <x:c r="E733" s="2" t="str">
        <x:v>unweighted</x:v>
      </x:c>
      <x:c r="F733" s="37" t="n">
        <x:v>12540657.50105111</x:v>
      </x:c>
      <x:c r="G733" s="37" t="n">
        <x:v>502334.0134488804</x:v>
      </x:c>
      <x:c r="H733" s="37" t="n">
        <x:v>-16266.052986632136</x:v>
      </x:c>
      <x:c r="I733" s="37" t="n">
        <x:v>518600.06643551256</x:v>
      </x:c>
      <x:c r="J733" s="37" t="n">
        <x:v>10377722.74592344</x:v>
      </x:c>
      <x:c r="K733" s="37" t="n">
        <x:v>9875388.73247456</x:v>
      </x:c>
      <x:c r="L733" s="37" t="n">
        <x:v>13042991.51449999</x:v>
      </x:c>
      <x:c r="M733" s="37" t="n">
        <x:v>0</x:v>
      </x:c>
      <x:c r="N733" s="37" t="n">
        <x:v>0</x:v>
      </x:c>
      <x:c r="O733" s="37" t="n">
        <x:v>687.1216646246612</x:v>
      </x:c>
      <x:c r="P733" s="37" t="n">
        <x:v>0</x:v>
      </x:c>
      <x:c r="Q733" s="37" t="n">
        <x:v>0</x:v>
      </x:c>
      <x:c r="R733" s="37" t="n">
        <x:v>0</x:v>
      </x:c>
      <x:c r="S733" s="37" t="n">
        <x:v>0</x:v>
      </x:c>
      <x:c r="T733" s="37" t="n">
        <x:v>0</x:v>
      </x:c>
      <x:c r="U733" s="37" t="n">
        <x:v>35631.30899120559</x:v>
      </x:c>
      <x:c r="V733" s="37" t="n">
        <x:v>0</x:v>
      </x:c>
      <x:c r="W733" s="37" t="n">
        <x:v>175242.46369623207</x:v>
      </x:c>
      <x:c r="X733" s="37" t="n">
        <x:v>0</x:v>
      </x:c>
      <x:c r="Y733" s="37" t="n">
        <x:v>2292.037834981838</x:v>
      </x:c>
      <x:c r="Z733" s="37" t="n">
        <x:v>10072896.507124051</x:v>
      </x:c>
      <x:c r="AA733" s="37" t="n">
        <x:v>0</x:v>
      </x:c>
      <x:c r="AB733" s="37" t="n">
        <x:v>10072896.507124051</x:v>
      </x:c>
      <x:c r="AC733" s="37" t="n">
        <x:v>2467760.993927058</x:v>
      </x:c>
      <x:c r="AD733" s="37" t="n">
        <x:v>0</x:v>
      </x:c>
      <x:c r="AE733" s="37" t="n">
        <x:v>0</x:v>
      </x:c>
      <x:c r="AF733" s="47" t="b">
        <x:v>0</x:v>
      </x:c>
      <x:c r="AG733" s="47" t="b">
        <x:v>0</x:v>
      </x:c>
      <x:c r="AH733" s="48" t="n">
        <x:v>0</x:v>
      </x:c>
      <x:c r="AI733" s="48" t="n">
        <x:v>1.1920928955078125e-7</x:v>
      </x:c>
      <x:c r="AJ733" s="37" t="str">
        <x:v>passed</x:v>
      </x:c>
    </x:row>
    <x:row r="734" ht="21" customHeight="1">
      <x:c r="A734" s="2"/>
      <x:c r="B734" s="2"/>
      <x:c r="C734" s="2" t="str">
        <x:v>2022</x:v>
      </x:c>
      <x:c r="D734" s="5" t="n">
        <x:v>44826</x:v>
      </x:c>
      <x:c r="E734" s="2" t="str">
        <x:v>constrained</x:v>
      </x:c>
      <x:c r="F734" s="37" t="n">
        <x:v>13197709.983750112</x:v>
      </x:c>
      <x:c r="G734" s="37" t="n">
        <x:v>-62116.95014739666</x:v>
      </x:c>
      <x:c r="H734" s="37" t="n">
        <x:v>-18720.16525818016</x:v>
      </x:c>
      <x:c r="I734" s="37" t="n">
        <x:v>-43396.7848892165</x:v>
      </x:c>
      <x:c r="J734" s="37" t="n">
        <x:v>10381015.630857386</x:v>
      </x:c>
      <x:c r="K734" s="37" t="n">
        <x:v>10443132.581004782</x:v>
      </x:c>
      <x:c r="L734" s="37" t="n">
        <x:v>13135593.033602716</x:v>
      </x:c>
      <x:c r="M734" s="37" t="n">
        <x:v>0</x:v>
      </x:c>
      <x:c r="N734" s="37" t="n">
        <x:v>0</x:v>
      </x:c>
      <x:c r="O734" s="37" t="n">
        <x:v>723.122567737475</x:v>
      </x:c>
      <x:c r="P734" s="37" t="n">
        <x:v>0</x:v>
      </x:c>
      <x:c r="Q734" s="37" t="n">
        <x:v>0</x:v>
      </x:c>
      <x:c r="R734" s="37" t="n">
        <x:v>0</x:v>
      </x:c>
      <x:c r="S734" s="37" t="n">
        <x:v>0</x:v>
      </x:c>
      <x:c r="T734" s="37" t="n">
        <x:v>0</x:v>
      </x:c>
      <x:c r="U734" s="37" t="n">
        <x:v>30770.55116020547</x:v>
      </x:c>
      <x:c r="V734" s="37" t="n">
        <x:v>0</x:v>
      </x:c>
      <x:c r="W734" s="37" t="n">
        <x:v>188200.71958937682</x:v>
      </x:c>
      <x:c r="X734" s="37" t="n">
        <x:v>0</x:v>
      </x:c>
      <x:c r="Y734" s="37" t="n">
        <x:v>2388.5134762951375</x:v>
      </x:c>
      <x:c r="Z734" s="37" t="n">
        <x:v>10651995.232624877</x:v>
      </x:c>
      <x:c r="AA734" s="37" t="n">
        <x:v>0</x:v>
      </x:c>
      <x:c r="AB734" s="37" t="n">
        <x:v>10651995.232624877</x:v>
      </x:c>
      <x:c r="AC734" s="37" t="n">
        <x:v>2545714.751125235</x:v>
      </x:c>
      <x:c r="AD734" s="37" t="n">
        <x:v>0</x:v>
      </x:c>
      <x:c r="AE734" s="37" t="n">
        <x:v>0</x:v>
      </x:c>
      <x:c r="AF734" s="47" t="b">
        <x:v>0</x:v>
      </x:c>
      <x:c r="AG734" s="47" t="b">
        <x:v>0</x:v>
      </x:c>
      <x:c r="AH734" s="48" t="n">
        <x:v>0</x:v>
      </x:c>
      <x:c r="AI734" s="48" t="n">
        <x:v>1.1920928955078125e-7</x:v>
      </x:c>
      <x:c r="AJ734" s="37" t="str">
        <x:v>passed</x:v>
      </x:c>
    </x:row>
    <x:row r="735" ht="21" customHeight="1">
      <x:c r="A735" s="2"/>
      <x:c r="B735" s="2"/>
      <x:c r="C735" s="2" t="str">
        <x:v>2022</x:v>
      </x:c>
      <x:c r="D735" s="5" t="n">
        <x:v>44827</x:v>
      </x:c>
      <x:c r="E735" s="2" t="str">
        <x:v>unhedged</x:v>
      </x:c>
      <x:c r="F735" s="37" t="n">
        <x:v>1318219.0412539544</x:v>
      </x:c>
      <x:c r="G735" s="37" t="n">
        <x:v>10368828.048815923</x:v>
      </x:c>
      <x:c r="H735" s="37" t="n">
        <x:v>28777.173913043476</x:v>
      </x:c>
      <x:c r="I735" s="37" t="n">
        <x:v>10340050.87490288</x:v>
      </x:c>
      <x:c r="J735" s="37" t="n">
        <x:v>10368828.048815923</x:v>
      </x:c>
      <x:c r="K735" s="37" t="n">
        <x:v>0</x:v>
      </x:c>
      <x:c r="L735" s="37" t="n">
        <x:v>11687047.090069877</x:v>
      </x:c>
      <x:c r="M735" s="37" t="n">
        <x:v>0</x:v>
      </x:c>
      <x:c r="N735" s="37" t="n">
        <x:v>0</x:v>
      </x:c>
      <x:c r="O735" s="37" t="n">
        <x:v>72.2272226868663</x:v>
      </x:c>
      <x:c r="P735" s="37" t="n">
        <x:v>0</x:v>
      </x:c>
      <x:c r="Q735" s="37" t="n">
        <x:v>0</x:v>
      </x:c>
      <x:c r="R735" s="37" t="n">
        <x:v>0</x:v>
      </x:c>
      <x:c r="S735" s="37" t="n">
        <x:v>0</x:v>
      </x:c>
      <x:c r="T735" s="37" t="n">
        <x:v>0</x:v>
      </x:c>
      <x:c r="U735" s="37" t="n">
        <x:v>101250</x:v>
      </x:c>
      <x:c r="V735" s="37" t="n">
        <x:v>0</x:v>
      </x:c>
      <x:c r="W735" s="37" t="n">
        <x:v>18143.760570680024</x:v>
      </x:c>
      <x:c r="X735" s="37" t="n">
        <x:v>0</x:v>
      </x:c>
      <x:c r="Y735" s="37" t="n">
        <x:v>1174.7193167256753</x:v>
      </x:c>
      <x:c r="Z735" s="37" t="n">
        <x:v>0</x:v>
      </x:c>
      <x:c r="AA735" s="37" t="n">
        <x:v>0</x:v>
      </x:c>
      <x:c r="AB735" s="37" t="n">
        <x:v>0</x:v>
      </x:c>
      <x:c r="AC735" s="37" t="n">
        <x:v>1318219.0412539544</x:v>
      </x:c>
      <x:c r="AD735" s="37" t="n">
        <x:v>0</x:v>
      </x:c>
      <x:c r="AE735" s="37" t="n">
        <x:v>0</x:v>
      </x:c>
      <x:c r="AF735" s="47" t="b">
        <x:v>0</x:v>
      </x:c>
      <x:c r="AG735" s="47" t="b">
        <x:v>0</x:v>
      </x:c>
      <x:c r="AH735" s="48" t="n">
        <x:v>0</x:v>
      </x:c>
      <x:c r="AI735" s="48" t="n">
        <x:v>1.1920928955078125e-7</x:v>
      </x:c>
      <x:c r="AJ735" s="37" t="str">
        <x:v>passed</x:v>
      </x:c>
    </x:row>
    <x:row r="736" ht="21" customHeight="1">
      <x:c r="A736" s="2"/>
      <x:c r="B736" s="2"/>
      <x:c r="C736" s="2" t="str">
        <x:v>2022</x:v>
      </x:c>
      <x:c r="D736" s="5" t="n">
        <x:v>44827</x:v>
      </x:c>
      <x:c r="E736" s="2" t="str">
        <x:v>duration</x:v>
      </x:c>
      <x:c r="F736" s="37" t="n">
        <x:v>9315596.168661535</x:v>
      </x:c>
      <x:c r="G736" s="37" t="n">
        <x:v>3662790.23943221</x:v>
      </x:c>
      <x:c r="H736" s="37" t="n">
        <x:v>-11165.80125702063</x:v>
      </x:c>
      <x:c r="I736" s="37" t="n">
        <x:v>3673956.040689231</x:v>
      </x:c>
      <x:c r="J736" s="37" t="n">
        <x:v>10368828.048815923</x:v>
      </x:c>
      <x:c r="K736" s="37" t="n">
        <x:v>6706037.809383713</x:v>
      </x:c>
      <x:c r="L736" s="37" t="n">
        <x:v>12978386.408093745</x:v>
      </x:c>
      <x:c r="M736" s="37" t="n">
        <x:v>0</x:v>
      </x:c>
      <x:c r="N736" s="37" t="n">
        <x:v>0</x:v>
      </x:c>
      <x:c r="O736" s="37" t="n">
        <x:v>510.4156576991081</x:v>
      </x:c>
      <x:c r="P736" s="37" t="n">
        <x:v>0</x:v>
      </x:c>
      <x:c r="Q736" s="37" t="n">
        <x:v>0</x:v>
      </x:c>
      <x:c r="R736" s="37" t="n">
        <x:v>0</x:v>
      </x:c>
      <x:c r="S736" s="37" t="n">
        <x:v>0</x:v>
      </x:c>
      <x:c r="T736" s="37" t="n">
        <x:v>0</x:v>
      </x:c>
      <x:c r="U736" s="37" t="n">
        <x:v>44145.09825237111</x:v>
      </x:c>
      <x:c r="V736" s="37" t="n">
        <x:v>0</x:v>
      </x:c>
      <x:c r="W736" s="37" t="n">
        <x:v>134122.48208764754</x:v>
      </x:c>
      <x:c r="X736" s="37" t="n">
        <x:v>0</x:v>
      </x:c>
      <x:c r="Y736" s="37" t="n">
        <x:v>2005.432733623629</x:v>
      </x:c>
      <x:c r="Z736" s="37" t="n">
        <x:v>6840158.565571387</x:v>
      </x:c>
      <x:c r="AA736" s="37" t="n">
        <x:v>0</x:v>
      </x:c>
      <x:c r="AB736" s="37" t="n">
        <x:v>6840158.565571387</x:v>
      </x:c>
      <x:c r="AC736" s="37" t="n">
        <x:v>2475437.6030901475</x:v>
      </x:c>
      <x:c r="AD736" s="37" t="n">
        <x:v>0</x:v>
      </x:c>
      <x:c r="AE736" s="37" t="n">
        <x:v>0</x:v>
      </x:c>
      <x:c r="AF736" s="47" t="b">
        <x:v>0</x:v>
      </x:c>
      <x:c r="AG736" s="47" t="b">
        <x:v>0</x:v>
      </x:c>
      <x:c r="AH736" s="48" t="n">
        <x:v>0</x:v>
      </x:c>
      <x:c r="AI736" s="48" t="n">
        <x:v>1.1920928955078125e-7</x:v>
      </x:c>
      <x:c r="AJ736" s="37" t="str">
        <x:v>passed</x:v>
      </x:c>
    </x:row>
    <x:row r="737" ht="21" customHeight="1">
      <x:c r="A737" s="2"/>
      <x:c r="B737" s="2"/>
      <x:c r="C737" s="2" t="str">
        <x:v>2022</x:v>
      </x:c>
      <x:c r="D737" s="5" t="n">
        <x:v>44827</x:v>
      </x:c>
      <x:c r="E737" s="2" t="str">
        <x:v>unweighted</x:v>
      </x:c>
      <x:c r="F737" s="37" t="n">
        <x:v>12541344.660366235</x:v>
      </x:c>
      <x:c r="G737" s="37" t="n">
        <x:v>502148.68391733896</x:v>
      </x:c>
      <x:c r="H737" s="37" t="n">
        <x:v>-16282.977539615362</x:v>
      </x:c>
      <x:c r="I737" s="37" t="n">
        <x:v>518431.6614569543</x:v>
      </x:c>
      <x:c r="J737" s="37" t="n">
        <x:v>10382009.65709013</x:v>
      </x:c>
      <x:c r="K737" s="37" t="n">
        <x:v>9879860.97317279</x:v>
      </x:c>
      <x:c r="L737" s="37" t="n">
        <x:v>13043493.344283573</x:v>
      </x:c>
      <x:c r="M737" s="37" t="n">
        <x:v>0</x:v>
      </x:c>
      <x:c r="N737" s="37" t="n">
        <x:v>0</x:v>
      </x:c>
      <x:c r="O737" s="37" t="n">
        <x:v>687.1593151260167</x:v>
      </x:c>
      <x:c r="P737" s="37" t="n">
        <x:v>0</x:v>
      </x:c>
      <x:c r="Q737" s="37" t="n">
        <x:v>0</x:v>
      </x:c>
      <x:c r="R737" s="37" t="n">
        <x:v>0</x:v>
      </x:c>
      <x:c r="S737" s="37" t="n">
        <x:v>0</x:v>
      </x:c>
      <x:c r="T737" s="37" t="n">
        <x:v>0</x:v>
      </x:c>
      <x:c r="U737" s="37" t="n">
        <x:v>35631.30899120559</x:v>
      </x:c>
      <x:c r="V737" s="37" t="n">
        <x:v>0</x:v>
      </x:c>
      <x:c r="W737" s="37" t="n">
        <x:v>175929.62301135808</x:v>
      </x:c>
      <x:c r="X737" s="37" t="n">
        <x:v>0</x:v>
      </x:c>
      <x:c r="Y737" s="37" t="n">
        <x:v>2292.037834981838</x:v>
      </x:c>
      <x:c r="Z737" s="37" t="n">
        <x:v>10077458.192636246</x:v>
      </x:c>
      <x:c r="AA737" s="37" t="n">
        <x:v>0</x:v>
      </x:c>
      <x:c r="AB737" s="37" t="n">
        <x:v>10077458.192636246</x:v>
      </x:c>
      <x:c r="AC737" s="37" t="n">
        <x:v>2463886.4677299894</x:v>
      </x:c>
      <x:c r="AD737" s="37" t="n">
        <x:v>0</x:v>
      </x:c>
      <x:c r="AE737" s="37" t="n">
        <x:v>0</x:v>
      </x:c>
      <x:c r="AF737" s="47" t="b">
        <x:v>0</x:v>
      </x:c>
      <x:c r="AG737" s="47" t="b">
        <x:v>0</x:v>
      </x:c>
      <x:c r="AH737" s="48" t="n">
        <x:v>0</x:v>
      </x:c>
      <x:c r="AI737" s="48" t="n">
        <x:v>1.1920928955078125e-7</x:v>
      </x:c>
      <x:c r="AJ737" s="37" t="str">
        <x:v>passed</x:v>
      </x:c>
    </x:row>
    <x:row r="738" ht="21" customHeight="1">
      <x:c r="A738" s="2"/>
      <x:c r="B738" s="2"/>
      <x:c r="C738" s="2" t="str">
        <x:v>2022</x:v>
      </x:c>
      <x:c r="D738" s="5" t="n">
        <x:v>44827</x:v>
      </x:c>
      <x:c r="E738" s="2" t="str">
        <x:v>constrained</x:v>
      </x:c>
      <x:c r="F738" s="37" t="n">
        <x:v>13198433.145941002</x:v>
      </x:c>
      <x:c r="G738" s="37" t="n">
        <x:v>-61677.619610848946</x:v>
      </x:c>
      <x:c r="H738" s="37" t="n">
        <x:v>-18757.759290228278</x:v>
      </x:c>
      <x:c r="I738" s="37" t="n">
        <x:v>-42919.86032062067</x:v>
      </x:c>
      <x:c r="J738" s="37" t="n">
        <x:v>10385319.73331516</x:v>
      </x:c>
      <x:c r="K738" s="37" t="n">
        <x:v>10446997.35292601</x:v>
      </x:c>
      <x:c r="L738" s="37" t="n">
        <x:v>13136755.526330153</x:v>
      </x:c>
      <x:c r="M738" s="37" t="n">
        <x:v>0</x:v>
      </x:c>
      <x:c r="N738" s="37" t="n">
        <x:v>0</x:v>
      </x:c>
      <x:c r="O738" s="37" t="n">
        <x:v>723.1621908899397</x:v>
      </x:c>
      <x:c r="P738" s="37" t="n">
        <x:v>0</x:v>
      </x:c>
      <x:c r="Q738" s="37" t="n">
        <x:v>0</x:v>
      </x:c>
      <x:c r="R738" s="37" t="n">
        <x:v>0</x:v>
      </x:c>
      <x:c r="S738" s="37" t="n">
        <x:v>0</x:v>
      </x:c>
      <x:c r="T738" s="37" t="n">
        <x:v>0</x:v>
      </x:c>
      <x:c r="U738" s="37" t="n">
        <x:v>30770.55116020547</x:v>
      </x:c>
      <x:c r="V738" s="37" t="n">
        <x:v>0</x:v>
      </x:c>
      <x:c r="W738" s="37" t="n">
        <x:v>188923.88178026676</x:v>
      </x:c>
      <x:c r="X738" s="37" t="n">
        <x:v>0</x:v>
      </x:c>
      <x:c r="Y738" s="37" t="n">
        <x:v>2388.5134762951375</x:v>
      </x:c>
      <x:c r="Z738" s="37" t="n">
        <x:v>10655937.299984531</x:v>
      </x:c>
      <x:c r="AA738" s="37" t="n">
        <x:v>0</x:v>
      </x:c>
      <x:c r="AB738" s="37" t="n">
        <x:v>10655937.299984531</x:v>
      </x:c>
      <x:c r="AC738" s="37" t="n">
        <x:v>2542495.845956471</x:v>
      </x:c>
      <x:c r="AD738" s="37" t="n">
        <x:v>0</x:v>
      </x:c>
      <x:c r="AE738" s="37" t="n">
        <x:v>0</x:v>
      </x:c>
      <x:c r="AF738" s="47" t="b">
        <x:v>0</x:v>
      </x:c>
      <x:c r="AG738" s="47" t="b">
        <x:v>0</x:v>
      </x:c>
      <x:c r="AH738" s="48" t="n">
        <x:v>0</x:v>
      </x:c>
      <x:c r="AI738" s="48" t="n">
        <x:v>1.1920928955078125e-7</x:v>
      </x:c>
      <x:c r="AJ738" s="37" t="str">
        <x:v>passed</x:v>
      </x:c>
    </x:row>
    <x:row r="739" ht="21" customHeight="1">
      <x:c r="A739" s="2"/>
      <x:c r="B739" s="2"/>
      <x:c r="C739" s="2" t="str">
        <x:v>2022</x:v>
      </x:c>
      <x:c r="D739" s="5" t="n">
        <x:v>44830</x:v>
      </x:c>
      <x:c r="E739" s="2" t="str">
        <x:v>unhedged</x:v>
      </x:c>
      <x:c r="F739" s="37" t="n">
        <x:v>1318435.746668818</x:v>
      </x:c>
      <x:c r="G739" s="37" t="n">
        <x:v>10264188.276169077</x:v>
      </x:c>
      <x:c r="H739" s="37" t="n">
        <x:v>29816.57608695652</x:v>
      </x:c>
      <x:c r="I739" s="37" t="n">
        <x:v>10234371.70008212</x:v>
      </x:c>
      <x:c r="J739" s="37" t="n">
        <x:v>10264188.276169077</x:v>
      </x:c>
      <x:c r="K739" s="37" t="n">
        <x:v>0</x:v>
      </x:c>
      <x:c r="L739" s="37" t="n">
        <x:v>11582624.022837894</x:v>
      </x:c>
      <x:c r="M739" s="37" t="n">
        <x:v>0</x:v>
      </x:c>
      <x:c r="N739" s="37" t="n">
        <x:v>0</x:v>
      </x:c>
      <x:c r="O739" s="37" t="n">
        <x:v>216.70541486353613</x:v>
      </x:c>
      <x:c r="P739" s="37" t="n">
        <x:v>0</x:v>
      </x:c>
      <x:c r="Q739" s="37" t="n">
        <x:v>0</x:v>
      </x:c>
      <x:c r="R739" s="37" t="n">
        <x:v>0</x:v>
      </x:c>
      <x:c r="S739" s="37" t="n">
        <x:v>0</x:v>
      </x:c>
      <x:c r="T739" s="37" t="n">
        <x:v>0</x:v>
      </x:c>
      <x:c r="U739" s="37" t="n">
        <x:v>101250</x:v>
      </x:c>
      <x:c r="V739" s="37" t="n">
        <x:v>0</x:v>
      </x:c>
      <x:c r="W739" s="37" t="n">
        <x:v>18360.46598554356</x:v>
      </x:c>
      <x:c r="X739" s="37" t="n">
        <x:v>0</x:v>
      </x:c>
      <x:c r="Y739" s="37" t="n">
        <x:v>1174.7193167256753</x:v>
      </x:c>
      <x:c r="Z739" s="37" t="n">
        <x:v>0</x:v>
      </x:c>
      <x:c r="AA739" s="37" t="n">
        <x:v>0</x:v>
      </x:c>
      <x:c r="AB739" s="37" t="n">
        <x:v>0</x:v>
      </x:c>
      <x:c r="AC739" s="37" t="n">
        <x:v>1318435.746668818</x:v>
      </x:c>
      <x:c r="AD739" s="37" t="n">
        <x:v>0</x:v>
      </x:c>
      <x:c r="AE739" s="37" t="n">
        <x:v>0</x:v>
      </x:c>
      <x:c r="AF739" s="47" t="b">
        <x:v>0</x:v>
      </x:c>
      <x:c r="AG739" s="47" t="b">
        <x:v>0</x:v>
      </x:c>
      <x:c r="AH739" s="48" t="n">
        <x:v>0</x:v>
      </x:c>
      <x:c r="AI739" s="48" t="n">
        <x:v>1.1920928955078125e-7</x:v>
      </x:c>
      <x:c r="AJ739" s="37" t="str">
        <x:v>passed</x:v>
      </x:c>
    </x:row>
    <x:row r="740" ht="21" customHeight="1">
      <x:c r="A740" s="2"/>
      <x:c r="B740" s="2"/>
      <x:c r="C740" s="2" t="str">
        <x:v>2022</x:v>
      </x:c>
      <x:c r="D740" s="5" t="n">
        <x:v>44830</x:v>
      </x:c>
      <x:c r="E740" s="2" t="str">
        <x:v>duration</x:v>
      </x:c>
      <x:c r="F740" s="37" t="n">
        <x:v>9317127.58344865</x:v>
      </x:c>
      <x:c r="G740" s="37" t="n">
        <x:v>3669071.7594795013</x:v>
      </x:c>
      <x:c r="H740" s="37" t="n">
        <x:v>-11041.123705322789</x:v>
      </x:c>
      <x:c r="I740" s="37" t="n">
        <x:v>3680112.883184824</x:v>
      </x:c>
      <x:c r="J740" s="37" t="n">
        <x:v>10264188.276169077</x:v>
      </x:c>
      <x:c r="K740" s="37" t="n">
        <x:v>6595116.516689574</x:v>
      </x:c>
      <x:c r="L740" s="37" t="n">
        <x:v>12986199.342928153</x:v>
      </x:c>
      <x:c r="M740" s="37" t="n">
        <x:v>0</x:v>
      </x:c>
      <x:c r="N740" s="37" t="n">
        <x:v>0</x:v>
      </x:c>
      <x:c r="O740" s="37" t="n">
        <x:v>1531.4147871155292</x:v>
      </x:c>
      <x:c r="P740" s="37" t="n">
        <x:v>0</x:v>
      </x:c>
      <x:c r="Q740" s="37" t="n">
        <x:v>0</x:v>
      </x:c>
      <x:c r="R740" s="37" t="n">
        <x:v>0</x:v>
      </x:c>
      <x:c r="S740" s="37" t="n">
        <x:v>0</x:v>
      </x:c>
      <x:c r="T740" s="37" t="n">
        <x:v>0</x:v>
      </x:c>
      <x:c r="U740" s="37" t="n">
        <x:v>44145.09825237111</x:v>
      </x:c>
      <x:c r="V740" s="37" t="n">
        <x:v>0</x:v>
      </x:c>
      <x:c r="W740" s="37" t="n">
        <x:v>135653.89687476307</x:v>
      </x:c>
      <x:c r="X740" s="37" t="n">
        <x:v>0</x:v>
      </x:c>
      <x:c r="Y740" s="37" t="n">
        <x:v>2005.432733623629</x:v>
      </x:c>
      <x:c r="Z740" s="37" t="n">
        <x:v>6727018.847023366</x:v>
      </x:c>
      <x:c r="AA740" s="37" t="n">
        <x:v>0</x:v>
      </x:c>
      <x:c r="AB740" s="37" t="n">
        <x:v>6727018.847023366</x:v>
      </x:c>
      <x:c r="AC740" s="37" t="n">
        <x:v>2590108.7364252843</x:v>
      </x:c>
      <x:c r="AD740" s="37" t="n">
        <x:v>0</x:v>
      </x:c>
      <x:c r="AE740" s="37" t="n">
        <x:v>0</x:v>
      </x:c>
      <x:c r="AF740" s="47" t="b">
        <x:v>0</x:v>
      </x:c>
      <x:c r="AG740" s="47" t="b">
        <x:v>0</x:v>
      </x:c>
      <x:c r="AH740" s="48" t="n">
        <x:v>0</x:v>
      </x:c>
      <x:c r="AI740" s="48" t="n">
        <x:v>1.1920928955078125e-7</x:v>
      </x:c>
      <x:c r="AJ740" s="37" t="str">
        <x:v>passed</x:v>
      </x:c>
    </x:row>
    <x:row r="741" ht="21" customHeight="1">
      <x:c r="A741" s="2"/>
      <x:c r="B741" s="2"/>
      <x:c r="C741" s="2" t="str">
        <x:v>2022</x:v>
      </x:c>
      <x:c r="D741" s="5" t="n">
        <x:v>44830</x:v>
      </x:c>
      <x:c r="E741" s="2" t="str">
        <x:v>unweighted</x:v>
      </x:c>
      <x:c r="F741" s="37" t="n">
        <x:v>12543406.364235261</x:v>
      </x:c>
      <x:c r="G741" s="37" t="n">
        <x:v>496768.6412116874</x:v>
      </x:c>
      <x:c r="H741" s="37" t="n">
        <x:v>-16333.751198565042</x:v>
      </x:c>
      <x:c r="I741" s="37" t="n">
        <x:v>513102.3924102525</x:v>
      </x:c>
      <x:c r="J741" s="37" t="n">
        <x:v>10277117.176197024</x:v>
      </x:c>
      <x:c r="K741" s="37" t="n">
        <x:v>9780348.534985336</x:v>
      </x:c>
      <x:c r="L741" s="37" t="n">
        <x:v>13040175.005446948</x:v>
      </x:c>
      <x:c r="M741" s="37" t="n">
        <x:v>0</x:v>
      </x:c>
      <x:c r="N741" s="37" t="n">
        <x:v>0</x:v>
      </x:c>
      <x:c r="O741" s="37" t="n">
        <x:v>2061.7038690261543</x:v>
      </x:c>
      <x:c r="P741" s="37" t="n">
        <x:v>0</x:v>
      </x:c>
      <x:c r="Q741" s="37" t="n">
        <x:v>0</x:v>
      </x:c>
      <x:c r="R741" s="37" t="n">
        <x:v>0</x:v>
      </x:c>
      <x:c r="S741" s="37" t="n">
        <x:v>0</x:v>
      </x:c>
      <x:c r="T741" s="37" t="n">
        <x:v>0</x:v>
      </x:c>
      <x:c r="U741" s="37" t="n">
        <x:v>35631.30899120559</x:v>
      </x:c>
      <x:c r="V741" s="37" t="n">
        <x:v>0</x:v>
      </x:c>
      <x:c r="W741" s="37" t="n">
        <x:v>177991.32688038424</x:v>
      </x:c>
      <x:c r="X741" s="37" t="n">
        <x:v>0</x:v>
      </x:c>
      <x:c r="Y741" s="37" t="n">
        <x:v>2292.037834981838</x:v>
      </x:c>
      <x:c r="Z741" s="37" t="n">
        <x:v>9975955.505685043</x:v>
      </x:c>
      <x:c r="AA741" s="37" t="n">
        <x:v>0</x:v>
      </x:c>
      <x:c r="AB741" s="37" t="n">
        <x:v>9975955.505685043</x:v>
      </x:c>
      <x:c r="AC741" s="37" t="n">
        <x:v>2567450.858550219</x:v>
      </x:c>
      <x:c r="AD741" s="37" t="n">
        <x:v>0</x:v>
      </x:c>
      <x:c r="AE741" s="37" t="n">
        <x:v>0</x:v>
      </x:c>
      <x:c r="AF741" s="47" t="b">
        <x:v>0</x:v>
      </x:c>
      <x:c r="AG741" s="47" t="b">
        <x:v>0</x:v>
      </x:c>
      <x:c r="AH741" s="48" t="n">
        <x:v>0</x:v>
      </x:c>
      <x:c r="AI741" s="48" t="n">
        <x:v>1.1920928955078125e-7</x:v>
      </x:c>
      <x:c r="AJ741" s="37" t="str">
        <x:v>passed</x:v>
      </x:c>
    </x:row>
    <x:row r="742" ht="21" customHeight="1">
      <x:c r="A742" s="2"/>
      <x:c r="B742" s="2"/>
      <x:c r="C742" s="2" t="str">
        <x:v>2022</x:v>
      </x:c>
      <x:c r="D742" s="5" t="n">
        <x:v>44830</x:v>
      </x:c>
      <x:c r="E742" s="2" t="str">
        <x:v>constrained</x:v>
      </x:c>
      <x:c r="F742" s="37" t="n">
        <x:v>13200602.870274317</x:v>
      </x:c>
      <x:c r="G742" s="37" t="n">
        <x:v>-62369.83205558749</x:v>
      </x:c>
      <x:c r="H742" s="37" t="n">
        <x:v>-18870.541386372617</x:v>
      </x:c>
      <x:c r="I742" s="37" t="n">
        <x:v>-43499.29066921487</x:v>
      </x:c>
      <x:c r="J742" s="37" t="n">
        <x:v>10280363.636551399</x:v>
      </x:c>
      <x:c r="K742" s="37" t="n">
        <x:v>10342733.468606986</x:v>
      </x:c>
      <x:c r="L742" s="37" t="n">
        <x:v>13138233.03821873</x:v>
      </x:c>
      <x:c r="M742" s="37" t="n">
        <x:v>0</x:v>
      </x:c>
      <x:c r="N742" s="37" t="n">
        <x:v>0</x:v>
      </x:c>
      <x:c r="O742" s="37" t="n">
        <x:v>2169.724333314225</x:v>
      </x:c>
      <x:c r="P742" s="37" t="n">
        <x:v>0</x:v>
      </x:c>
      <x:c r="Q742" s="37" t="n">
        <x:v>0</x:v>
      </x:c>
      <x:c r="R742" s="37" t="n">
        <x:v>0</x:v>
      </x:c>
      <x:c r="S742" s="37" t="n">
        <x:v>0</x:v>
      </x:c>
      <x:c r="T742" s="37" t="n">
        <x:v>0</x:v>
      </x:c>
      <x:c r="U742" s="37" t="n">
        <x:v>30770.55116020547</x:v>
      </x:c>
      <x:c r="V742" s="37" t="n">
        <x:v>0</x:v>
      </x:c>
      <x:c r="W742" s="37" t="n">
        <x:v>191093.606113581</x:v>
      </x:c>
      <x:c r="X742" s="37" t="n">
        <x:v>0</x:v>
      </x:c>
      <x:c r="Y742" s="37" t="n">
        <x:v>2388.5134762951375</x:v>
      </x:c>
      <x:c r="Z742" s="37" t="n">
        <x:v>10549588.137979126</x:v>
      </x:c>
      <x:c r="AA742" s="37" t="n">
        <x:v>0</x:v>
      </x:c>
      <x:c r="AB742" s="37" t="n">
        <x:v>10549588.137979126</x:v>
      </x:c>
      <x:c r="AC742" s="37" t="n">
        <x:v>2651014.732295191</x:v>
      </x:c>
      <x:c r="AD742" s="37" t="n">
        <x:v>0</x:v>
      </x:c>
      <x:c r="AE742" s="37" t="n">
        <x:v>0</x:v>
      </x:c>
      <x:c r="AF742" s="47" t="b">
        <x:v>0</x:v>
      </x:c>
      <x:c r="AG742" s="47" t="b">
        <x:v>0</x:v>
      </x:c>
      <x:c r="AH742" s="48" t="n">
        <x:v>0</x:v>
      </x:c>
      <x:c r="AI742" s="48" t="n">
        <x:v>1.1920928955078125e-7</x:v>
      </x:c>
      <x:c r="AJ742" s="37" t="str">
        <x:v>passed</x:v>
      </x:c>
    </x:row>
    <x:row r="743" ht="21" customHeight="1">
      <x:c r="A743" s="2"/>
      <x:c r="B743" s="2"/>
      <x:c r="C743" s="2" t="str">
        <x:v>2022</x:v>
      </x:c>
      <x:c r="D743" s="5" t="n">
        <x:v>44831</x:v>
      </x:c>
      <x:c r="E743" s="2" t="str">
        <x:v>unhedged</x:v>
      </x:c>
      <x:c r="F743" s="37" t="n">
        <x:v>1318507.98972343</x:v>
      </x:c>
      <x:c r="G743" s="37" t="n">
        <x:v>10220443.756218534</x:v>
      </x:c>
      <x:c r="H743" s="37" t="n">
        <x:v>30163.04347826087</x:v>
      </x:c>
      <x:c r="I743" s="37" t="n">
        <x:v>10190280.712740272</x:v>
      </x:c>
      <x:c r="J743" s="37" t="n">
        <x:v>10220443.756218534</x:v>
      </x:c>
      <x:c r="K743" s="37" t="n">
        <x:v>0</x:v>
      </x:c>
      <x:c r="L743" s="37" t="n">
        <x:v>11538951.745941963</x:v>
      </x:c>
      <x:c r="M743" s="37" t="n">
        <x:v>0</x:v>
      </x:c>
      <x:c r="N743" s="37" t="n">
        <x:v>0</x:v>
      </x:c>
      <x:c r="O743" s="37" t="n">
        <x:v>72.24305461207405</x:v>
      </x:c>
      <x:c r="P743" s="37" t="n">
        <x:v>0</x:v>
      </x:c>
      <x:c r="Q743" s="37" t="n">
        <x:v>0</x:v>
      </x:c>
      <x:c r="R743" s="37" t="n">
        <x:v>0</x:v>
      </x:c>
      <x:c r="S743" s="37" t="n">
        <x:v>0</x:v>
      </x:c>
      <x:c r="T743" s="37" t="n">
        <x:v>0</x:v>
      </x:c>
      <x:c r="U743" s="37" t="n">
        <x:v>101250</x:v>
      </x:c>
      <x:c r="V743" s="37" t="n">
        <x:v>0</x:v>
      </x:c>
      <x:c r="W743" s="37" t="n">
        <x:v>18432.709040155634</x:v>
      </x:c>
      <x:c r="X743" s="37" t="n">
        <x:v>0</x:v>
      </x:c>
      <x:c r="Y743" s="37" t="n">
        <x:v>1174.7193167256753</x:v>
      </x:c>
      <x:c r="Z743" s="37" t="n">
        <x:v>0</x:v>
      </x:c>
      <x:c r="AA743" s="37" t="n">
        <x:v>0</x:v>
      </x:c>
      <x:c r="AB743" s="37" t="n">
        <x:v>0</x:v>
      </x:c>
      <x:c r="AC743" s="37" t="n">
        <x:v>1318507.98972343</x:v>
      </x:c>
      <x:c r="AD743" s="37" t="n">
        <x:v>0</x:v>
      </x:c>
      <x:c r="AE743" s="37" t="n">
        <x:v>0</x:v>
      </x:c>
      <x:c r="AF743" s="47" t="b">
        <x:v>0</x:v>
      </x:c>
      <x:c r="AG743" s="47" t="b">
        <x:v>0</x:v>
      </x:c>
      <x:c r="AH743" s="48" t="n">
        <x:v>0</x:v>
      </x:c>
      <x:c r="AI743" s="48" t="n">
        <x:v>1.1920928955078125e-7</x:v>
      </x:c>
      <x:c r="AJ743" s="37" t="str">
        <x:v>passed</x:v>
      </x:c>
    </x:row>
    <x:row r="744" ht="21" customHeight="1">
      <x:c r="A744" s="2"/>
      <x:c r="B744" s="2"/>
      <x:c r="C744" s="2" t="str">
        <x:v>2022</x:v>
      </x:c>
      <x:c r="D744" s="5" t="n">
        <x:v>44831</x:v>
      </x:c>
      <x:c r="E744" s="2" t="str">
        <x:v>duration</x:v>
      </x:c>
      <x:c r="F744" s="37" t="n">
        <x:v>9317638.110987471</x:v>
      </x:c>
      <x:c r="G744" s="37" t="n">
        <x:v>3679247.0646558274</x:v>
      </x:c>
      <x:c r="H744" s="37" t="n">
        <x:v>-10999.564521423514</x:v>
      </x:c>
      <x:c r="I744" s="37" t="n">
        <x:v>3690246.629177251</x:v>
      </x:c>
      <x:c r="J744" s="37" t="n">
        <x:v>10220443.756218534</x:v>
      </x:c>
      <x:c r="K744" s="37" t="n">
        <x:v>6541196.691562707</x:v>
      </x:c>
      <x:c r="L744" s="37" t="n">
        <x:v>12996885.175643299</x:v>
      </x:c>
      <x:c r="M744" s="37" t="n">
        <x:v>0</x:v>
      </x:c>
      <x:c r="N744" s="37" t="n">
        <x:v>0</x:v>
      </x:c>
      <x:c r="O744" s="37" t="n">
        <x:v>510.5275388211012</x:v>
      </x:c>
      <x:c r="P744" s="37" t="n">
        <x:v>0</x:v>
      </x:c>
      <x:c r="Q744" s="37" t="n">
        <x:v>0</x:v>
      </x:c>
      <x:c r="R744" s="37" t="n">
        <x:v>0</x:v>
      </x:c>
      <x:c r="S744" s="37" t="n">
        <x:v>0</x:v>
      </x:c>
      <x:c r="T744" s="37" t="n">
        <x:v>0</x:v>
      </x:c>
      <x:c r="U744" s="37" t="n">
        <x:v>44145.09825237111</x:v>
      </x:c>
      <x:c r="V744" s="37" t="n">
        <x:v>0</x:v>
      </x:c>
      <x:c r="W744" s="37" t="n">
        <x:v>136164.42441358417</x:v>
      </x:c>
      <x:c r="X744" s="37" t="n">
        <x:v>0</x:v>
      </x:c>
      <x:c r="Y744" s="37" t="n">
        <x:v>2005.432733623629</x:v>
      </x:c>
      <x:c r="Z744" s="37" t="n">
        <x:v>6672020.625393961</x:v>
      </x:c>
      <x:c r="AA744" s="37" t="n">
        <x:v>0</x:v>
      </x:c>
      <x:c r="AB744" s="37" t="n">
        <x:v>6672020.625393961</x:v>
      </x:c>
      <x:c r="AC744" s="37" t="n">
        <x:v>2645617.485593511</x:v>
      </x:c>
      <x:c r="AD744" s="37" t="n">
        <x:v>0</x:v>
      </x:c>
      <x:c r="AE744" s="37" t="n">
        <x:v>0</x:v>
      </x:c>
      <x:c r="AF744" s="47" t="b">
        <x:v>0</x:v>
      </x:c>
      <x:c r="AG744" s="47" t="b">
        <x:v>0</x:v>
      </x:c>
      <x:c r="AH744" s="48" t="n">
        <x:v>0</x:v>
      </x:c>
      <x:c r="AI744" s="48" t="n">
        <x:v>1.1920928955078125e-7</x:v>
      </x:c>
      <x:c r="AJ744" s="37" t="str">
        <x:v>passed</x:v>
      </x:c>
    </x:row>
    <x:row r="745" ht="21" customHeight="1">
      <x:c r="A745" s="2"/>
      <x:c r="B745" s="2"/>
      <x:c r="C745" s="2" t="str">
        <x:v>2022</x:v>
      </x:c>
      <x:c r="D745" s="5" t="n">
        <x:v>44831</x:v>
      </x:c>
      <x:c r="E745" s="2" t="str">
        <x:v>unweighted</x:v>
      </x:c>
      <x:c r="F745" s="37" t="n">
        <x:v>12544093.674173031</x:v>
      </x:c>
      <x:c r="G745" s="37" t="n">
        <x:v>494969.85341863305</x:v>
      </x:c>
      <x:c r="H745" s="37" t="n">
        <x:v>-16350.675751548266</x:v>
      </x:c>
      <x:c r="I745" s="37" t="n">
        <x:v>511320.5291701813</x:v>
      </x:c>
      <x:c r="J745" s="37" t="n">
        <x:v>10233099.738436963</x:v>
      </x:c>
      <x:c r="K745" s="37" t="n">
        <x:v>9738129.88501833</x:v>
      </x:c>
      <x:c r="L745" s="37" t="n">
        <x:v>13039063.527591664</x:v>
      </x:c>
      <x:c r="M745" s="37" t="n">
        <x:v>0</x:v>
      </x:c>
      <x:c r="N745" s="37" t="n">
        <x:v>0</x:v>
      </x:c>
      <x:c r="O745" s="37" t="n">
        <x:v>687.3099377695471</x:v>
      </x:c>
      <x:c r="P745" s="37" t="n">
        <x:v>0</x:v>
      </x:c>
      <x:c r="Q745" s="37" t="n">
        <x:v>0</x:v>
      </x:c>
      <x:c r="R745" s="37" t="n">
        <x:v>0</x:v>
      </x:c>
      <x:c r="S745" s="37" t="n">
        <x:v>0</x:v>
      </x:c>
      <x:c r="T745" s="37" t="n">
        <x:v>0</x:v>
      </x:c>
      <x:c r="U745" s="37" t="n">
        <x:v>35631.30899120559</x:v>
      </x:c>
      <x:c r="V745" s="37" t="n">
        <x:v>0</x:v>
      </x:c>
      <x:c r="W745" s="37" t="n">
        <x:v>178678.63681815378</x:v>
      </x:c>
      <x:c r="X745" s="37" t="n">
        <x:v>0</x:v>
      </x:c>
      <x:c r="Y745" s="37" t="n">
        <x:v>2292.037834981838</x:v>
      </x:c>
      <x:c r="Z745" s="37" t="n">
        <x:v>9932892.482718697</x:v>
      </x:c>
      <x:c r="AA745" s="37" t="n">
        <x:v>0</x:v>
      </x:c>
      <x:c r="AB745" s="37" t="n">
        <x:v>9932892.482718697</x:v>
      </x:c>
      <x:c r="AC745" s="37" t="n">
        <x:v>2611201.191454334</x:v>
      </x:c>
      <x:c r="AD745" s="37" t="n">
        <x:v>0</x:v>
      </x:c>
      <x:c r="AE745" s="37" t="n">
        <x:v>0</x:v>
      </x:c>
      <x:c r="AF745" s="47" t="b">
        <x:v>0</x:v>
      </x:c>
      <x:c r="AG745" s="47" t="b">
        <x:v>0</x:v>
      </x:c>
      <x:c r="AH745" s="48" t="n">
        <x:v>0</x:v>
      </x:c>
      <x:c r="AI745" s="48" t="n">
        <x:v>1.1920928955078125e-7</x:v>
      </x:c>
      <x:c r="AJ745" s="37" t="str">
        <x:v>passed</x:v>
      </x:c>
    </x:row>
    <x:row r="746" ht="21" customHeight="1">
      <x:c r="A746" s="2"/>
      <x:c r="B746" s="2"/>
      <x:c r="C746" s="2" t="str">
        <x:v>2022</x:v>
      </x:c>
      <x:c r="D746" s="5" t="n">
        <x:v>44831</x:v>
      </x:c>
      <x:c r="E746" s="2" t="str">
        <x:v>constrained</x:v>
      </x:c>
      <x:c r="F746" s="37" t="n">
        <x:v>13201326.190979538</x:v>
      </x:c>
      <x:c r="G746" s="37" t="n">
        <x:v>-62473.67324024959</x:v>
      </x:c>
      <x:c r="H746" s="37" t="n">
        <x:v>-18908.13541842073</x:v>
      </x:c>
      <x:c r="I746" s="37" t="n">
        <x:v>-43565.53782182886</x:v>
      </x:c>
      <x:c r="J746" s="37" t="n">
        <x:v>10236278.747467844</x:v>
      </x:c>
      <x:c r="K746" s="37" t="n">
        <x:v>10298752.420708094</x:v>
      </x:c>
      <x:c r="L746" s="37" t="n">
        <x:v>13138852.517739289</x:v>
      </x:c>
      <x:c r="M746" s="37" t="n">
        <x:v>0</x:v>
      </x:c>
      <x:c r="N746" s="37" t="n">
        <x:v>0</x:v>
      </x:c>
      <x:c r="O746" s="37" t="n">
        <x:v>723.3207052219659</x:v>
      </x:c>
      <x:c r="P746" s="37" t="n">
        <x:v>0</x:v>
      </x:c>
      <x:c r="Q746" s="37" t="n">
        <x:v>0</x:v>
      </x:c>
      <x:c r="R746" s="37" t="n">
        <x:v>0</x:v>
      </x:c>
      <x:c r="S746" s="37" t="n">
        <x:v>0</x:v>
      </x:c>
      <x:c r="T746" s="37" t="n">
        <x:v>0</x:v>
      </x:c>
      <x:c r="U746" s="37" t="n">
        <x:v>30770.55116020547</x:v>
      </x:c>
      <x:c r="V746" s="37" t="n">
        <x:v>0</x:v>
      </x:c>
      <x:c r="W746" s="37" t="n">
        <x:v>191816.92681880295</x:v>
      </x:c>
      <x:c r="X746" s="37" t="n">
        <x:v>0</x:v>
      </x:c>
      <x:c r="Y746" s="37" t="n">
        <x:v>2388.5134762951375</x:v>
      </x:c>
      <x:c r="Z746" s="37" t="n">
        <x:v>10504727.469122255</x:v>
      </x:c>
      <x:c r="AA746" s="37" t="n">
        <x:v>0</x:v>
      </x:c>
      <x:c r="AB746" s="37" t="n">
        <x:v>10504727.469122255</x:v>
      </x:c>
      <x:c r="AC746" s="37" t="n">
        <x:v>2696598.7218572833</x:v>
      </x:c>
      <x:c r="AD746" s="37" t="n">
        <x:v>0</x:v>
      </x:c>
      <x:c r="AE746" s="37" t="n">
        <x:v>0</x:v>
      </x:c>
      <x:c r="AF746" s="47" t="b">
        <x:v>0</x:v>
      </x:c>
      <x:c r="AG746" s="47" t="b">
        <x:v>0</x:v>
      </x:c>
      <x:c r="AH746" s="48" t="n">
        <x:v>0</x:v>
      </x:c>
      <x:c r="AI746" s="48" t="n">
        <x:v>1.1920928955078125e-7</x:v>
      </x:c>
      <x:c r="AJ746" s="37" t="str">
        <x:v>passed</x:v>
      </x:c>
    </x:row>
    <x:row r="747" ht="21" customHeight="1">
      <x:c r="A747" s="2"/>
      <x:c r="B747" s="2"/>
      <x:c r="C747" s="2" t="str">
        <x:v>2022</x:v>
      </x:c>
      <x:c r="D747" s="5" t="n">
        <x:v>44832</x:v>
      </x:c>
      <x:c r="E747" s="2" t="str">
        <x:v>unhedged</x:v>
      </x:c>
      <x:c r="F747" s="37" t="n">
        <x:v>1318580.236736566</x:v>
      </x:c>
      <x:c r="G747" s="37" t="n">
        <x:v>10365231.001761338</x:v>
      </x:c>
      <x:c r="H747" s="37" t="n">
        <x:v>30509.51086956522</x:v>
      </x:c>
      <x:c r="I747" s="37" t="n">
        <x:v>10334721.490891773</x:v>
      </x:c>
      <x:c r="J747" s="37" t="n">
        <x:v>10365231.001761338</x:v>
      </x:c>
      <x:c r="K747" s="37" t="n">
        <x:v>0</x:v>
      </x:c>
      <x:c r="L747" s="37" t="n">
        <x:v>11683811.238497904</x:v>
      </x:c>
      <x:c r="M747" s="37" t="n">
        <x:v>0</x:v>
      </x:c>
      <x:c r="N747" s="37" t="n">
        <x:v>0</x:v>
      </x:c>
      <x:c r="O747" s="37" t="n">
        <x:v>72.24701313604601</x:v>
      </x:c>
      <x:c r="P747" s="37" t="n">
        <x:v>0</x:v>
      </x:c>
      <x:c r="Q747" s="37" t="n">
        <x:v>0</x:v>
      </x:c>
      <x:c r="R747" s="37" t="n">
        <x:v>0</x:v>
      </x:c>
      <x:c r="S747" s="37" t="n">
        <x:v>0</x:v>
      </x:c>
      <x:c r="T747" s="37" t="n">
        <x:v>0</x:v>
      </x:c>
      <x:c r="U747" s="37" t="n">
        <x:v>101250</x:v>
      </x:c>
      <x:c r="V747" s="37" t="n">
        <x:v>0</x:v>
      </x:c>
      <x:c r="W747" s="37" t="n">
        <x:v>18504.95605329168</x:v>
      </x:c>
      <x:c r="X747" s="37" t="n">
        <x:v>0</x:v>
      </x:c>
      <x:c r="Y747" s="37" t="n">
        <x:v>1174.7193167256753</x:v>
      </x:c>
      <x:c r="Z747" s="37" t="n">
        <x:v>0</x:v>
      </x:c>
      <x:c r="AA747" s="37" t="n">
        <x:v>0</x:v>
      </x:c>
      <x:c r="AB747" s="37" t="n">
        <x:v>0</x:v>
      </x:c>
      <x:c r="AC747" s="37" t="n">
        <x:v>1318580.236736566</x:v>
      </x:c>
      <x:c r="AD747" s="37" t="n">
        <x:v>0</x:v>
      </x:c>
      <x:c r="AE747" s="37" t="n">
        <x:v>0</x:v>
      </x:c>
      <x:c r="AF747" s="47" t="b">
        <x:v>0</x:v>
      </x:c>
      <x:c r="AG747" s="47" t="b">
        <x:v>0</x:v>
      </x:c>
      <x:c r="AH747" s="48" t="n">
        <x:v>0</x:v>
      </x:c>
      <x:c r="AI747" s="48" t="n">
        <x:v>1.1920928955078125e-7</x:v>
      </x:c>
      <x:c r="AJ747" s="37" t="str">
        <x:v>passed</x:v>
      </x:c>
    </x:row>
    <x:row r="748" ht="21" customHeight="1">
      <x:c r="A748" s="2"/>
      <x:c r="B748" s="2"/>
      <x:c r="C748" s="2" t="str">
        <x:v>2022</x:v>
      </x:c>
      <x:c r="D748" s="5" t="n">
        <x:v>44832</x:v>
      </x:c>
      <x:c r="E748" s="2" t="str">
        <x:v>duration</x:v>
      </x:c>
      <x:c r="F748" s="37" t="n">
        <x:v>9318148.666500403</x:v>
      </x:c>
      <x:c r="G748" s="37" t="n">
        <x:v>3685278.514382287</x:v>
      </x:c>
      <x:c r="H748" s="37" t="n">
        <x:v>-10958.005337524231</x:v>
      </x:c>
      <x:c r="I748" s="37" t="n">
        <x:v>3696236.519719811</x:v>
      </x:c>
      <x:c r="J748" s="37" t="n">
        <x:v>10365231.001761338</x:v>
      </x:c>
      <x:c r="K748" s="37" t="n">
        <x:v>6679952.487379052</x:v>
      </x:c>
      <x:c r="L748" s="37" t="n">
        <x:v>13003427.180882689</x:v>
      </x:c>
      <x:c r="M748" s="37" t="n">
        <x:v>0</x:v>
      </x:c>
      <x:c r="N748" s="37" t="n">
        <x:v>0</x:v>
      </x:c>
      <x:c r="O748" s="37" t="n">
        <x:v>510.5555129311979</x:v>
      </x:c>
      <x:c r="P748" s="37" t="n">
        <x:v>0</x:v>
      </x:c>
      <x:c r="Q748" s="37" t="n">
        <x:v>0</x:v>
      </x:c>
      <x:c r="R748" s="37" t="n">
        <x:v>0</x:v>
      </x:c>
      <x:c r="S748" s="37" t="n">
        <x:v>0</x:v>
      </x:c>
      <x:c r="T748" s="37" t="n">
        <x:v>0</x:v>
      </x:c>
      <x:c r="U748" s="37" t="n">
        <x:v>44145.09825237111</x:v>
      </x:c>
      <x:c r="V748" s="37" t="n">
        <x:v>0</x:v>
      </x:c>
      <x:c r="W748" s="37" t="n">
        <x:v>136674.97992651537</x:v>
      </x:c>
      <x:c r="X748" s="37" t="n">
        <x:v>0</x:v>
      </x:c>
      <x:c r="Y748" s="37" t="n">
        <x:v>2005.432733623629</x:v>
      </x:c>
      <x:c r="Z748" s="37" t="n">
        <x:v>6813551.537126633</x:v>
      </x:c>
      <x:c r="AA748" s="37" t="n">
        <x:v>0</x:v>
      </x:c>
      <x:c r="AB748" s="37" t="n">
        <x:v>6813551.537126633</x:v>
      </x:c>
      <x:c r="AC748" s="37" t="n">
        <x:v>2504597.1293737693</x:v>
      </x:c>
      <x:c r="AD748" s="37" t="n">
        <x:v>0</x:v>
      </x:c>
      <x:c r="AE748" s="37" t="n">
        <x:v>0</x:v>
      </x:c>
      <x:c r="AF748" s="47" t="b">
        <x:v>0</x:v>
      </x:c>
      <x:c r="AG748" s="47" t="b">
        <x:v>0</x:v>
      </x:c>
      <x:c r="AH748" s="48" t="n">
        <x:v>0</x:v>
      </x:c>
      <x:c r="AI748" s="48" t="n">
        <x:v>1.1920928955078125e-7</x:v>
      </x:c>
      <x:c r="AJ748" s="37" t="str">
        <x:v>passed</x:v>
      </x:c>
    </x:row>
    <x:row r="749" ht="21" customHeight="1">
      <x:c r="A749" s="2"/>
      <x:c r="B749" s="2"/>
      <x:c r="C749" s="2" t="str">
        <x:v>2022</x:v>
      </x:c>
      <x:c r="D749" s="5" t="n">
        <x:v>44832</x:v>
      </x:c>
      <x:c r="E749" s="2" t="str">
        <x:v>unweighted</x:v>
      </x:c>
      <x:c r="F749" s="37" t="n">
        <x:v>12544781.021771615</x:v>
      </x:c>
      <x:c r="G749" s="37" t="n">
        <x:v>502577.36297107727</x:v>
      </x:c>
      <x:c r="H749" s="37" t="n">
        <x:v>-16367.600304531494</x:v>
      </x:c>
      <x:c r="I749" s="37" t="n">
        <x:v>518944.9632756088</x:v>
      </x:c>
      <x:c r="J749" s="37" t="n">
        <x:v>10378226.636779228</x:v>
      </x:c>
      <x:c r="K749" s="37" t="n">
        <x:v>9875649.273808151</x:v>
      </x:c>
      <x:c r="L749" s="37" t="n">
        <x:v>13047358.384742692</x:v>
      </x:c>
      <x:c r="M749" s="37" t="n">
        <x:v>0</x:v>
      </x:c>
      <x:c r="N749" s="37" t="n">
        <x:v>0</x:v>
      </x:c>
      <x:c r="O749" s="37" t="n">
        <x:v>687.3475985843688</x:v>
      </x:c>
      <x:c r="P749" s="37" t="n">
        <x:v>0</x:v>
      </x:c>
      <x:c r="Q749" s="37" t="n">
        <x:v>0</x:v>
      </x:c>
      <x:c r="R749" s="37" t="n">
        <x:v>0</x:v>
      </x:c>
      <x:c r="S749" s="37" t="n">
        <x:v>0</x:v>
      </x:c>
      <x:c r="T749" s="37" t="n">
        <x:v>0</x:v>
      </x:c>
      <x:c r="U749" s="37" t="n">
        <x:v>35631.30899120559</x:v>
      </x:c>
      <x:c r="V749" s="37" t="n">
        <x:v>0</x:v>
      </x:c>
      <x:c r="W749" s="37" t="n">
        <x:v>179365.98441673815</x:v>
      </x:c>
      <x:c r="X749" s="37" t="n">
        <x:v>0</x:v>
      </x:c>
      <x:c r="Y749" s="37" t="n">
        <x:v>2292.037834981838</x:v>
      </x:c>
      <x:c r="Z749" s="37" t="n">
        <x:v>10073162.259284314</x:v>
      </x:c>
      <x:c r="AA749" s="37" t="n">
        <x:v>0</x:v>
      </x:c>
      <x:c r="AB749" s="37" t="n">
        <x:v>10073162.259284314</x:v>
      </x:c>
      <x:c r="AC749" s="37" t="n">
        <x:v>2471618.7624873016</x:v>
      </x:c>
      <x:c r="AD749" s="37" t="n">
        <x:v>0</x:v>
      </x:c>
      <x:c r="AE749" s="37" t="n">
        <x:v>0</x:v>
      </x:c>
      <x:c r="AF749" s="47" t="b">
        <x:v>0</x:v>
      </x:c>
      <x:c r="AG749" s="47" t="b">
        <x:v>0</x:v>
      </x:c>
      <x:c r="AH749" s="48" t="n">
        <x:v>0</x:v>
      </x:c>
      <x:c r="AI749" s="48" t="n">
        <x:v>1.1920928955078125e-7</x:v>
      </x:c>
      <x:c r="AJ749" s="37" t="str">
        <x:v>passed</x:v>
      </x:c>
    </x:row>
    <x:row r="750" ht="21" customHeight="1">
      <x:c r="A750" s="2"/>
      <x:c r="B750" s="2"/>
      <x:c r="C750" s="2" t="str">
        <x:v>2022</x:v>
      </x:c>
      <x:c r="D750" s="5" t="n">
        <x:v>44832</x:v>
      </x:c>
      <x:c r="E750" s="2" t="str">
        <x:v>constrained</x:v>
      </x:c>
      <x:c r="F750" s="37" t="n">
        <x:v>13202049.551318772</x:v>
      </x:c>
      <x:c r="G750" s="37" t="n">
        <x:v>-61949.96882849767</x:v>
      </x:c>
      <x:c r="H750" s="37" t="n">
        <x:v>-18945.729450468847</x:v>
      </x:c>
      <x:c r="I750" s="37" t="n">
        <x:v>-43004.239378028826</x:v>
      </x:c>
      <x:c r="J750" s="37" t="n">
        <x:v>10381490.627988698</x:v>
      </x:c>
      <x:c r="K750" s="37" t="n">
        <x:v>10443440.596817195</x:v>
      </x:c>
      <x:c r="L750" s="37" t="n">
        <x:v>13140099.582490275</x:v>
      </x:c>
      <x:c r="M750" s="37" t="n">
        <x:v>0</x:v>
      </x:c>
      <x:c r="N750" s="37" t="n">
        <x:v>0</x:v>
      </x:c>
      <x:c r="O750" s="37" t="n">
        <x:v>723.3603392336518</x:v>
      </x:c>
      <x:c r="P750" s="37" t="n">
        <x:v>0</x:v>
      </x:c>
      <x:c r="Q750" s="37" t="n">
        <x:v>0</x:v>
      </x:c>
      <x:c r="R750" s="37" t="n">
        <x:v>0</x:v>
      </x:c>
      <x:c r="S750" s="37" t="n">
        <x:v>0</x:v>
      </x:c>
      <x:c r="T750" s="37" t="n">
        <x:v>0</x:v>
      </x:c>
      <x:c r="U750" s="37" t="n">
        <x:v>30770.55116020547</x:v>
      </x:c>
      <x:c r="V750" s="37" t="n">
        <x:v>0</x:v>
      </x:c>
      <x:c r="W750" s="37" t="n">
        <x:v>192540.2871580366</x:v>
      </x:c>
      <x:c r="X750" s="37" t="n">
        <x:v>0</x:v>
      </x:c>
      <x:c r="Y750" s="37" t="n">
        <x:v>2388.5134762951375</x:v>
      </x:c>
      <x:c r="Z750" s="37" t="n">
        <x:v>10652309.40875354</x:v>
      </x:c>
      <x:c r="AA750" s="37" t="n">
        <x:v>0</x:v>
      </x:c>
      <x:c r="AB750" s="37" t="n">
        <x:v>10652309.40875354</x:v>
      </x:c>
      <x:c r="AC750" s="37" t="n">
        <x:v>2549740.142565232</x:v>
      </x:c>
      <x:c r="AD750" s="37" t="n">
        <x:v>0</x:v>
      </x:c>
      <x:c r="AE750" s="37" t="n">
        <x:v>0</x:v>
      </x:c>
      <x:c r="AF750" s="47" t="b">
        <x:v>0</x:v>
      </x:c>
      <x:c r="AG750" s="47" t="b">
        <x:v>0</x:v>
      </x:c>
      <x:c r="AH750" s="48" t="n">
        <x:v>0</x:v>
      </x:c>
      <x:c r="AI750" s="48" t="n">
        <x:v>1.1920928955078125e-7</x:v>
      </x:c>
      <x:c r="AJ750" s="37" t="str">
        <x:v>passed</x:v>
      </x:c>
    </x:row>
    <x:row r="751" ht="21" customHeight="1">
      <x:c r="A751" s="2"/>
      <x:c r="B751" s="2"/>
      <x:c r="C751" s="2" t="str">
        <x:v>2022</x:v>
      </x:c>
      <x:c r="D751" s="5" t="n">
        <x:v>44833</x:v>
      </x:c>
      <x:c r="E751" s="2" t="str">
        <x:v>unhedged</x:v>
      </x:c>
      <x:c r="F751" s="37" t="n">
        <x:v>1318652.487708442</x:v>
      </x:c>
      <x:c r="G751" s="37" t="n">
        <x:v>10337482.99656713</x:v>
      </x:c>
      <x:c r="H751" s="37" t="n">
        <x:v>30855.978260869564</x:v>
      </x:c>
      <x:c r="I751" s="37" t="n">
        <x:v>10306627.01830626</x:v>
      </x:c>
      <x:c r="J751" s="37" t="n">
        <x:v>10337482.99656713</x:v>
      </x:c>
      <x:c r="K751" s="37" t="n">
        <x:v>0</x:v>
      </x:c>
      <x:c r="L751" s="37" t="n">
        <x:v>11656135.484275572</x:v>
      </x:c>
      <x:c r="M751" s="37" t="n">
        <x:v>0</x:v>
      </x:c>
      <x:c r="N751" s="37" t="n">
        <x:v>0</x:v>
      </x:c>
      <x:c r="O751" s="37" t="n">
        <x:v>72.25097187585197</x:v>
      </x:c>
      <x:c r="P751" s="37" t="n">
        <x:v>0</x:v>
      </x:c>
      <x:c r="Q751" s="37" t="n">
        <x:v>0</x:v>
      </x:c>
      <x:c r="R751" s="37" t="n">
        <x:v>0</x:v>
      </x:c>
      <x:c r="S751" s="37" t="n">
        <x:v>0</x:v>
      </x:c>
      <x:c r="T751" s="37" t="n">
        <x:v>0</x:v>
      </x:c>
      <x:c r="U751" s="37" t="n">
        <x:v>101250</x:v>
      </x:c>
      <x:c r="V751" s="37" t="n">
        <x:v>0</x:v>
      </x:c>
      <x:c r="W751" s="37" t="n">
        <x:v>18577.207025167532</x:v>
      </x:c>
      <x:c r="X751" s="37" t="n">
        <x:v>0</x:v>
      </x:c>
      <x:c r="Y751" s="37" t="n">
        <x:v>1174.7193167256753</x:v>
      </x:c>
      <x:c r="Z751" s="37" t="n">
        <x:v>0</x:v>
      </x:c>
      <x:c r="AA751" s="37" t="n">
        <x:v>0</x:v>
      </x:c>
      <x:c r="AB751" s="37" t="n">
        <x:v>0</x:v>
      </x:c>
      <x:c r="AC751" s="37" t="n">
        <x:v>1318652.487708442</x:v>
      </x:c>
      <x:c r="AD751" s="37" t="n">
        <x:v>0</x:v>
      </x:c>
      <x:c r="AE751" s="37" t="n">
        <x:v>0</x:v>
      </x:c>
      <x:c r="AF751" s="47" t="b">
        <x:v>0</x:v>
      </x:c>
      <x:c r="AG751" s="47" t="b">
        <x:v>0</x:v>
      </x:c>
      <x:c r="AH751" s="48" t="n">
        <x:v>0</x:v>
      </x:c>
      <x:c r="AI751" s="48" t="n">
        <x:v>1.1920928955078125e-7</x:v>
      </x:c>
      <x:c r="AJ751" s="37" t="str">
        <x:v>passed</x:v>
      </x:c>
    </x:row>
    <x:row r="752" ht="21" customHeight="1">
      <x:c r="A752" s="2"/>
      <x:c r="B752" s="2"/>
      <x:c r="C752" s="2" t="str">
        <x:v>2022</x:v>
      </x:c>
      <x:c r="D752" s="5" t="n">
        <x:v>44833</x:v>
      </x:c>
      <x:c r="E752" s="2" t="str">
        <x:v>duration</x:v>
      </x:c>
      <x:c r="F752" s="37" t="n">
        <x:v>9318659.249988977</x:v>
      </x:c>
      <x:c r="G752" s="37" t="n">
        <x:v>3682814.582128563</x:v>
      </x:c>
      <x:c r="H752" s="37" t="n">
        <x:v>-10916.446153624953</x:v>
      </x:c>
      <x:c r="I752" s="37" t="n">
        <x:v>3693731.028282188</x:v>
      </x:c>
      <x:c r="J752" s="37" t="n">
        <x:v>10337482.99656713</x:v>
      </x:c>
      <x:c r="K752" s="37" t="n">
        <x:v>6654668.414438566</x:v>
      </x:c>
      <x:c r="L752" s="37" t="n">
        <x:v>13001473.832117539</x:v>
      </x:c>
      <x:c r="M752" s="37" t="n">
        <x:v>0</x:v>
      </x:c>
      <x:c r="N752" s="37" t="n">
        <x:v>0</x:v>
      </x:c>
      <x:c r="O752" s="37" t="n">
        <x:v>510.58348857425153</x:v>
      </x:c>
      <x:c r="P752" s="37" t="n">
        <x:v>0</x:v>
      </x:c>
      <x:c r="Q752" s="37" t="n">
        <x:v>0</x:v>
      </x:c>
      <x:c r="R752" s="37" t="n">
        <x:v>0</x:v>
      </x:c>
      <x:c r="S752" s="37" t="n">
        <x:v>0</x:v>
      </x:c>
      <x:c r="T752" s="37" t="n">
        <x:v>0</x:v>
      </x:c>
      <x:c r="U752" s="37" t="n">
        <x:v>44145.09825237111</x:v>
      </x:c>
      <x:c r="V752" s="37" t="n">
        <x:v>0</x:v>
      </x:c>
      <x:c r="W752" s="37" t="n">
        <x:v>137185.56341508962</x:v>
      </x:c>
      <x:c r="X752" s="37" t="n">
        <x:v>0</x:v>
      </x:c>
      <x:c r="Y752" s="37" t="n">
        <x:v>2005.432733623629</x:v>
      </x:c>
      <x:c r="Z752" s="37" t="n">
        <x:v>6787761.782727337</x:v>
      </x:c>
      <x:c r="AA752" s="37" t="n">
        <x:v>0</x:v>
      </x:c>
      <x:c r="AB752" s="37" t="n">
        <x:v>6787761.782727337</x:v>
      </x:c>
      <x:c r="AC752" s="37" t="n">
        <x:v>2530897.4672616394</x:v>
      </x:c>
      <x:c r="AD752" s="37" t="n">
        <x:v>0</x:v>
      </x:c>
      <x:c r="AE752" s="37" t="n">
        <x:v>0</x:v>
      </x:c>
      <x:c r="AF752" s="47" t="b">
        <x:v>0</x:v>
      </x:c>
      <x:c r="AG752" s="47" t="b">
        <x:v>0</x:v>
      </x:c>
      <x:c r="AH752" s="48" t="n">
        <x:v>0</x:v>
      </x:c>
      <x:c r="AI752" s="48" t="n">
        <x:v>1.1920928955078125e-7</x:v>
      </x:c>
      <x:c r="AJ752" s="37" t="str">
        <x:v>passed</x:v>
      </x:c>
    </x:row>
    <x:row r="753" ht="21" customHeight="1">
      <x:c r="A753" s="2"/>
      <x:c r="B753" s="2"/>
      <x:c r="C753" s="2" t="str">
        <x:v>2022</x:v>
      </x:c>
      <x:c r="D753" s="5" t="n">
        <x:v>44833</x:v>
      </x:c>
      <x:c r="E753" s="2" t="str">
        <x:v>unweighted</x:v>
      </x:c>
      <x:c r="F753" s="37" t="n">
        <x:v>12545468.407033082</x:v>
      </x:c>
      <x:c r="G753" s="37" t="n">
        <x:v>501249.64814579574</x:v>
      </x:c>
      <x:c r="H753" s="37" t="n">
        <x:v>-16384.524857514723</x:v>
      </x:c>
      <x:c r="I753" s="37" t="n">
        <x:v>517634.17300331045</x:v>
      </x:c>
      <x:c r="J753" s="37" t="n">
        <x:v>10350435.976393556</x:v>
      </x:c>
      <x:c r="K753" s="37" t="n">
        <x:v>9849186.32824776</x:v>
      </x:c>
      <x:c r="L753" s="37" t="n">
        <x:v>13046718.055178877</x:v>
      </x:c>
      <x:c r="M753" s="37" t="n">
        <x:v>0</x:v>
      </x:c>
      <x:c r="N753" s="37" t="n">
        <x:v>0</x:v>
      </x:c>
      <x:c r="O753" s="37" t="n">
        <x:v>687.3852614667267</x:v>
      </x:c>
      <x:c r="P753" s="37" t="n">
        <x:v>0</x:v>
      </x:c>
      <x:c r="Q753" s="37" t="n">
        <x:v>0</x:v>
      </x:c>
      <x:c r="R753" s="37" t="n">
        <x:v>0</x:v>
      </x:c>
      <x:c r="S753" s="37" t="n">
        <x:v>0</x:v>
      </x:c>
      <x:c r="T753" s="37" t="n">
        <x:v>0</x:v>
      </x:c>
      <x:c r="U753" s="37" t="n">
        <x:v>35631.30899120559</x:v>
      </x:c>
      <x:c r="V753" s="37" t="n">
        <x:v>0</x:v>
      </x:c>
      <x:c r="W753" s="37" t="n">
        <x:v>180053.36967820488</x:v>
      </x:c>
      <x:c r="X753" s="37" t="n">
        <x:v>0</x:v>
      </x:c>
      <x:c r="Y753" s="37" t="n">
        <x:v>2292.037834981838</x:v>
      </x:c>
      <x:c r="Z753" s="37" t="n">
        <x:v>10046170.054812714</x:v>
      </x:c>
      <x:c r="AA753" s="37" t="n">
        <x:v>0</x:v>
      </x:c>
      <x:c r="AB753" s="37" t="n">
        <x:v>10046170.054812714</x:v>
      </x:c>
      <x:c r="AC753" s="37" t="n">
        <x:v>2499298.3522203676</x:v>
      </x:c>
      <x:c r="AD753" s="37" t="n">
        <x:v>0</x:v>
      </x:c>
      <x:c r="AE753" s="37" t="n">
        <x:v>0</x:v>
      </x:c>
      <x:c r="AF753" s="47" t="b">
        <x:v>0</x:v>
      </x:c>
      <x:c r="AG753" s="47" t="b">
        <x:v>0</x:v>
      </x:c>
      <x:c r="AH753" s="48" t="n">
        <x:v>0</x:v>
      </x:c>
      <x:c r="AI753" s="48" t="n">
        <x:v>1.1920928955078125e-7</x:v>
      </x:c>
      <x:c r="AJ753" s="37" t="str">
        <x:v>passed</x:v>
      </x:c>
    </x:row>
    <x:row r="754" ht="21" customHeight="1">
      <x:c r="A754" s="2"/>
      <x:c r="B754" s="2"/>
      <x:c r="C754" s="2" t="str">
        <x:v>2022</x:v>
      </x:c>
      <x:c r="D754" s="5" t="n">
        <x:v>44833</x:v>
      </x:c>
      <x:c r="E754" s="2" t="str">
        <x:v>constrained</x:v>
      </x:c>
      <x:c r="F754" s="37" t="n">
        <x:v>13202772.951294186</x:v>
      </x:c>
      <x:c r="G754" s="37" t="n">
        <x:v>-61871.481991476234</x:v>
      </x:c>
      <x:c r="H754" s="37" t="n">
        <x:v>-18983.323482516957</x:v>
      </x:c>
      <x:c r="I754" s="37" t="n">
        <x:v>-42888.15850895928</x:v>
      </x:c>
      <x:c r="J754" s="37" t="n">
        <x:v>10353689.027873527</x:v>
      </x:c>
      <x:c r="K754" s="37" t="n">
        <x:v>10415560.509865003</x:v>
      </x:c>
      <x:c r="L754" s="37" t="n">
        <x:v>13140901.46930271</x:v>
      </x:c>
      <x:c r="M754" s="37" t="n">
        <x:v>0</x:v>
      </x:c>
      <x:c r="N754" s="37" t="n">
        <x:v>0</x:v>
      </x:c>
      <x:c r="O754" s="37" t="n">
        <x:v>723.3999754134566</x:v>
      </x:c>
      <x:c r="P754" s="37" t="n">
        <x:v>0</x:v>
      </x:c>
      <x:c r="Q754" s="37" t="n">
        <x:v>0</x:v>
      </x:c>
      <x:c r="R754" s="37" t="n">
        <x:v>0</x:v>
      </x:c>
      <x:c r="S754" s="37" t="n">
        <x:v>0</x:v>
      </x:c>
      <x:c r="T754" s="37" t="n">
        <x:v>0</x:v>
      </x:c>
      <x:c r="U754" s="37" t="n">
        <x:v>30770.55116020547</x:v>
      </x:c>
      <x:c r="V754" s="37" t="n">
        <x:v>0</x:v>
      </x:c>
      <x:c r="W754" s="37" t="n">
        <x:v>193263.68713345006</x:v>
      </x:c>
      <x:c r="X754" s="37" t="n">
        <x:v>0</x:v>
      </x:c>
      <x:c r="Y754" s="37" t="n">
        <x:v>2388.5134762951375</x:v>
      </x:c>
      <x:c r="Z754" s="37" t="n">
        <x:v>10623871.720062302</x:v>
      </x:c>
      <x:c r="AA754" s="37" t="n">
        <x:v>0</x:v>
      </x:c>
      <x:c r="AB754" s="37" t="n">
        <x:v>10623871.720062302</x:v>
      </x:c>
      <x:c r="AC754" s="37" t="n">
        <x:v>2578901.231231883</x:v>
      </x:c>
      <x:c r="AD754" s="37" t="n">
        <x:v>0</x:v>
      </x:c>
      <x:c r="AE754" s="37" t="n">
        <x:v>0</x:v>
      </x:c>
      <x:c r="AF754" s="47" t="b">
        <x:v>0</x:v>
      </x:c>
      <x:c r="AG754" s="47" t="b">
        <x:v>0</x:v>
      </x:c>
      <x:c r="AH754" s="48" t="n">
        <x:v>0</x:v>
      </x:c>
      <x:c r="AI754" s="48" t="n">
        <x:v>1.1920928955078125e-7</x:v>
      </x:c>
      <x:c r="AJ754" s="37" t="str">
        <x:v>passed</x:v>
      </x:c>
    </x:row>
    <x:row r="755" ht="21" customHeight="1">
      <x:c r="A755" s="2"/>
      <x:c r="B755" s="2"/>
      <x:c r="C755" s="2" t="str">
        <x:v>2022</x:v>
      </x:c>
      <x:c r="D755" s="5" t="n">
        <x:v>44834</x:v>
      </x:c>
      <x:c r="E755" s="2" t="str">
        <x:v>unhedged</x:v>
      </x:c>
      <x:c r="F755" s="37" t="n">
        <x:v>1318724.7426392753</x:v>
      </x:c>
      <x:c r="G755" s="37" t="n">
        <x:v>10297677.230153294</x:v>
      </x:c>
      <x:c r="H755" s="37" t="n">
        <x:v>31202.445652173912</x:v>
      </x:c>
      <x:c r="I755" s="37" t="n">
        <x:v>10266474.78450112</x:v>
      </x:c>
      <x:c r="J755" s="37" t="n">
        <x:v>10297677.230153294</x:v>
      </x:c>
      <x:c r="K755" s="37" t="n">
        <x:v>0</x:v>
      </x:c>
      <x:c r="L755" s="37" t="n">
        <x:v>11616401.97279257</x:v>
      </x:c>
      <x:c r="M755" s="37" t="n">
        <x:v>0</x:v>
      </x:c>
      <x:c r="N755" s="37" t="n">
        <x:v>0</x:v>
      </x:c>
      <x:c r="O755" s="37" t="n">
        <x:v>72.25493083335459</x:v>
      </x:c>
      <x:c r="P755" s="37" t="n">
        <x:v>0</x:v>
      </x:c>
      <x:c r="Q755" s="37" t="n">
        <x:v>0</x:v>
      </x:c>
      <x:c r="R755" s="37" t="n">
        <x:v>0</x:v>
      </x:c>
      <x:c r="S755" s="37" t="n">
        <x:v>0</x:v>
      </x:c>
      <x:c r="T755" s="37" t="n">
        <x:v>0</x:v>
      </x:c>
      <x:c r="U755" s="37" t="n">
        <x:v>101250</x:v>
      </x:c>
      <x:c r="V755" s="37" t="n">
        <x:v>0</x:v>
      </x:c>
      <x:c r="W755" s="37" t="n">
        <x:v>18649.461956000887</x:v>
      </x:c>
      <x:c r="X755" s="37" t="n">
        <x:v>0</x:v>
      </x:c>
      <x:c r="Y755" s="37" t="n">
        <x:v>1174.7193167256753</x:v>
      </x:c>
      <x:c r="Z755" s="37" t="n">
        <x:v>0</x:v>
      </x:c>
      <x:c r="AA755" s="37" t="n">
        <x:v>0</x:v>
      </x:c>
      <x:c r="AB755" s="37" t="n">
        <x:v>0</x:v>
      </x:c>
      <x:c r="AC755" s="37" t="n">
        <x:v>1318724.7426392753</x:v>
      </x:c>
      <x:c r="AD755" s="37" t="n">
        <x:v>0</x:v>
      </x:c>
      <x:c r="AE755" s="37" t="n">
        <x:v>0</x:v>
      </x:c>
      <x:c r="AF755" s="47" t="b">
        <x:v>0</x:v>
      </x:c>
      <x:c r="AG755" s="47" t="b">
        <x:v>0</x:v>
      </x:c>
      <x:c r="AH755" s="48" t="n">
        <x:v>0</x:v>
      </x:c>
      <x:c r="AI755" s="48" t="n">
        <x:v>1.1920928955078125e-7</x:v>
      </x:c>
      <x:c r="AJ755" s="37" t="str">
        <x:v>passed</x:v>
      </x:c>
    </x:row>
    <x:row r="756" ht="21" customHeight="1">
      <x:c r="A756" s="2"/>
      <x:c r="B756" s="2"/>
      <x:c r="C756" s="2" t="str">
        <x:v>2022</x:v>
      </x:c>
      <x:c r="D756" s="5" t="n">
        <x:v>44834</x:v>
      </x:c>
      <x:c r="E756" s="2" t="str">
        <x:v>duration</x:v>
      </x:c>
      <x:c r="F756" s="37" t="n">
        <x:v>9319169.86145473</x:v>
      </x:c>
      <x:c r="G756" s="37" t="n">
        <x:v>3683401.919490501</x:v>
      </x:c>
      <x:c r="H756" s="37" t="n">
        <x:v>-10874.88696972568</x:v>
      </x:c>
      <x:c r="I756" s="37" t="n">
        <x:v>3694276.8064602264</x:v>
      </x:c>
      <x:c r="J756" s="37" t="n">
        <x:v>10297677.230153294</x:v>
      </x:c>
      <x:c r="K756" s="37" t="n">
        <x:v>6614275.310662794</x:v>
      </x:c>
      <x:c r="L756" s="37" t="n">
        <x:v>13002571.780945232</x:v>
      </x:c>
      <x:c r="M756" s="37" t="n">
        <x:v>0</x:v>
      </x:c>
      <x:c r="N756" s="37" t="n">
        <x:v>0</x:v>
      </x:c>
      <x:c r="O756" s="37" t="n">
        <x:v>510.61146575398743</x:v>
      </x:c>
      <x:c r="P756" s="37" t="n">
        <x:v>0</x:v>
      </x:c>
      <x:c r="Q756" s="37" t="n">
        <x:v>0</x:v>
      </x:c>
      <x:c r="R756" s="37" t="n">
        <x:v>0</x:v>
      </x:c>
      <x:c r="S756" s="37" t="n">
        <x:v>0</x:v>
      </x:c>
      <x:c r="T756" s="37" t="n">
        <x:v>0</x:v>
      </x:c>
      <x:c r="U756" s="37" t="n">
        <x:v>44145.09825237111</x:v>
      </x:c>
      <x:c r="V756" s="37" t="n">
        <x:v>0</x:v>
      </x:c>
      <x:c r="W756" s="37" t="n">
        <x:v>137696.1748808436</x:v>
      </x:c>
      <x:c r="X756" s="37" t="n">
        <x:v>0</x:v>
      </x:c>
      <x:c r="Y756" s="37" t="n">
        <x:v>2005.432733623629</x:v>
      </x:c>
      <x:c r="Z756" s="37" t="n">
        <x:v>6746560.81687605</x:v>
      </x:c>
      <x:c r="AA756" s="37" t="n">
        <x:v>0</x:v>
      </x:c>
      <x:c r="AB756" s="37" t="n">
        <x:v>6746560.81687605</x:v>
      </x:c>
      <x:c r="AC756" s="37" t="n">
        <x:v>2572609.044578681</x:v>
      </x:c>
      <x:c r="AD756" s="37" t="n">
        <x:v>0</x:v>
      </x:c>
      <x:c r="AE756" s="37" t="n">
        <x:v>0</x:v>
      </x:c>
      <x:c r="AF756" s="47" t="b">
        <x:v>0</x:v>
      </x:c>
      <x:c r="AG756" s="47" t="b">
        <x:v>0</x:v>
      </x:c>
      <x:c r="AH756" s="48" t="n">
        <x:v>0</x:v>
      </x:c>
      <x:c r="AI756" s="48" t="n">
        <x:v>1.1920928955078125e-7</x:v>
      </x:c>
      <x:c r="AJ756" s="37" t="str">
        <x:v>passed</x:v>
      </x:c>
    </x:row>
    <x:row r="757" ht="21" customHeight="1">
      <x:c r="A757" s="2"/>
      <x:c r="B757" s="2"/>
      <x:c r="C757" s="2" t="str">
        <x:v>2022</x:v>
      </x:c>
      <x:c r="D757" s="5" t="n">
        <x:v>44834</x:v>
      </x:c>
      <x:c r="E757" s="2" t="str">
        <x:v>unweighted</x:v>
      </x:c>
      <x:c r="F757" s="37" t="n">
        <x:v>12546155.829959495</x:v>
      </x:c>
      <x:c r="G757" s="37" t="n">
        <x:v>499239.317605011</x:v>
      </x:c>
      <x:c r="H757" s="37" t="n">
        <x:v>-16401.44941049795</x:v>
      </x:c>
      <x:c r="I757" s="37" t="n">
        <x:v>515640.76701550896</x:v>
      </x:c>
      <x:c r="J757" s="37" t="n">
        <x:v>10310489.938441835</x:v>
      </x:c>
      <x:c r="K757" s="37" t="n">
        <x:v>9811250.620836824</x:v>
      </x:c>
      <x:c r="L757" s="37" t="n">
        <x:v>13045395.147564506</x:v>
      </x:c>
      <x:c r="M757" s="37" t="n">
        <x:v>0</x:v>
      </x:c>
      <x:c r="N757" s="37" t="n">
        <x:v>0</x:v>
      </x:c>
      <x:c r="O757" s="37" t="n">
        <x:v>687.4229264128953</x:v>
      </x:c>
      <x:c r="P757" s="37" t="n">
        <x:v>0</x:v>
      </x:c>
      <x:c r="Q757" s="37" t="n">
        <x:v>0</x:v>
      </x:c>
      <x:c r="R757" s="37" t="n">
        <x:v>0</x:v>
      </x:c>
      <x:c r="S757" s="37" t="n">
        <x:v>0</x:v>
      </x:c>
      <x:c r="T757" s="37" t="n">
        <x:v>0</x:v>
      </x:c>
      <x:c r="U757" s="37" t="n">
        <x:v>35631.30899120559</x:v>
      </x:c>
      <x:c r="V757" s="37" t="n">
        <x:v>0</x:v>
      </x:c>
      <x:c r="W757" s="37" t="n">
        <x:v>180740.79260461777</x:v>
      </x:c>
      <x:c r="X757" s="37" t="n">
        <x:v>0</x:v>
      </x:c>
      <x:c r="Y757" s="37" t="n">
        <x:v>2292.037834981838</x:v>
      </x:c>
      <x:c r="Z757" s="37" t="n">
        <x:v>10007475.633253561</x:v>
      </x:c>
      <x:c r="AA757" s="37" t="n">
        <x:v>0</x:v>
      </x:c>
      <x:c r="AB757" s="37" t="n">
        <x:v>10007475.633253561</x:v>
      </x:c>
      <x:c r="AC757" s="37" t="n">
        <x:v>2538680.1967059337</x:v>
      </x:c>
      <x:c r="AD757" s="37" t="n">
        <x:v>0</x:v>
      </x:c>
      <x:c r="AE757" s="37" t="n">
        <x:v>0</x:v>
      </x:c>
      <x:c r="AF757" s="47" t="b">
        <x:v>0</x:v>
      </x:c>
      <x:c r="AG757" s="47" t="b">
        <x:v>0</x:v>
      </x:c>
      <x:c r="AH757" s="48" t="n">
        <x:v>0</x:v>
      </x:c>
      <x:c r="AI757" s="48" t="n">
        <x:v>1.1920928955078125e-7</x:v>
      </x:c>
      <x:c r="AJ757" s="37" t="str">
        <x:v>passed</x:v>
      </x:c>
    </x:row>
    <x:row r="758" ht="21" customHeight="1">
      <x:c r="A758" s="2"/>
      <x:c r="B758" s="2"/>
      <x:c r="C758" s="2" t="str">
        <x:v>2022</x:v>
      </x:c>
      <x:c r="D758" s="5" t="n">
        <x:v>44834</x:v>
      </x:c>
      <x:c r="E758" s="2" t="str">
        <x:v>constrained</x:v>
      </x:c>
      <x:c r="F758" s="37" t="n">
        <x:v>13203496.390907956</x:v>
      </x:c>
      <x:c r="G758" s="37" t="n">
        <x:v>-62016.75932534355</x:v>
      </x:c>
      <x:c r="H758" s="37" t="n">
        <x:v>-19020.917514565077</x:v>
      </x:c>
      <x:c r="I758" s="37" t="n">
        <x:v>-42995.84181077847</x:v>
      </x:c>
      <x:c r="J758" s="37" t="n">
        <x:v>10313708.245004129</x:v>
      </x:c>
      <x:c r="K758" s="37" t="n">
        <x:v>10375725.00432947</x:v>
      </x:c>
      <x:c r="L758" s="37" t="n">
        <x:v>13141479.631582612</x:v>
      </x:c>
      <x:c r="M758" s="37" t="n">
        <x:v>0</x:v>
      </x:c>
      <x:c r="N758" s="37" t="n">
        <x:v>0</x:v>
      </x:c>
      <x:c r="O758" s="37" t="n">
        <x:v>723.4396137706935</x:v>
      </x:c>
      <x:c r="P758" s="37" t="n">
        <x:v>0</x:v>
      </x:c>
      <x:c r="Q758" s="37" t="n">
        <x:v>0</x:v>
      </x:c>
      <x:c r="R758" s="37" t="n">
        <x:v>0</x:v>
      </x:c>
      <x:c r="S758" s="37" t="n">
        <x:v>0</x:v>
      </x:c>
      <x:c r="T758" s="37" t="n">
        <x:v>0</x:v>
      </x:c>
      <x:c r="U758" s="37" t="n">
        <x:v>30770.55116020547</x:v>
      </x:c>
      <x:c r="V758" s="37" t="n">
        <x:v>0</x:v>
      </x:c>
      <x:c r="W758" s="37" t="n">
        <x:v>193987.12674722075</x:v>
      </x:c>
      <x:c r="X758" s="37" t="n">
        <x:v>0</x:v>
      </x:c>
      <x:c r="Y758" s="37" t="n">
        <x:v>2388.5134762951375</x:v>
      </x:c>
      <x:c r="Z758" s="37" t="n">
        <x:v>10583239.50441606</x:v>
      </x:c>
      <x:c r="AA758" s="37" t="n">
        <x:v>0</x:v>
      </x:c>
      <x:c r="AB758" s="37" t="n">
        <x:v>10583239.50441606</x:v>
      </x:c>
      <x:c r="AC758" s="37" t="n">
        <x:v>2620256.8864918966</x:v>
      </x:c>
      <x:c r="AD758" s="37" t="n">
        <x:v>0</x:v>
      </x:c>
      <x:c r="AE758" s="37" t="n">
        <x:v>0</x:v>
      </x:c>
      <x:c r="AF758" s="47" t="b">
        <x:v>0</x:v>
      </x:c>
      <x:c r="AG758" s="47" t="b">
        <x:v>0</x:v>
      </x:c>
      <x:c r="AH758" s="48" t="n">
        <x:v>0</x:v>
      </x:c>
      <x:c r="AI758" s="48" t="n">
        <x:v>1.1920928955078125e-7</x:v>
      </x:c>
      <x:c r="AJ758" s="37" t="str">
        <x:v>passed</x:v>
      </x:c>
    </x:row>
    <x:row r="759" ht="21" customHeight="1">
      <x:c r="A759" s="2"/>
      <x:c r="B759" s="2"/>
      <x:c r="C759" s="2" t="str">
        <x:v>2022</x:v>
      </x:c>
      <x:c r="D759" s="5" t="n">
        <x:v>44837</x:v>
      </x:c>
      <x:c r="E759" s="2" t="str">
        <x:v>unhedged</x:v>
      </x:c>
      <x:c r="F759" s="37" t="n">
        <x:v>1318941.5311876892</x:v>
      </x:c>
      <x:c r="G759" s="37" t="n">
        <x:v>10390712.37424134</x:v>
      </x:c>
      <x:c r="H759" s="37" t="n">
        <x:v>32241.84782608696</x:v>
      </x:c>
      <x:c r="I759" s="37" t="n">
        <x:v>10358470.526415253</x:v>
      </x:c>
      <x:c r="J759" s="37" t="n">
        <x:v>10390712.37424134</x:v>
      </x:c>
      <x:c r="K759" s="37" t="n">
        <x:v>0</x:v>
      </x:c>
      <x:c r="L759" s="37" t="n">
        <x:v>11709653.90542903</x:v>
      </x:c>
      <x:c r="M759" s="37" t="n">
        <x:v>0</x:v>
      </x:c>
      <x:c r="N759" s="37" t="n">
        <x:v>0</x:v>
      </x:c>
      <x:c r="O759" s="37" t="n">
        <x:v>216.78854841389693</x:v>
      </x:c>
      <x:c r="P759" s="37" t="n">
        <x:v>0</x:v>
      </x:c>
      <x:c r="Q759" s="37" t="n">
        <x:v>0</x:v>
      </x:c>
      <x:c r="R759" s="37" t="n">
        <x:v>0</x:v>
      </x:c>
      <x:c r="S759" s="37" t="n">
        <x:v>0</x:v>
      </x:c>
      <x:c r="T759" s="37" t="n">
        <x:v>0</x:v>
      </x:c>
      <x:c r="U759" s="37" t="n">
        <x:v>101250</x:v>
      </x:c>
      <x:c r="V759" s="37" t="n">
        <x:v>0</x:v>
      </x:c>
      <x:c r="W759" s="37" t="n">
        <x:v>18866.250504414784</x:v>
      </x:c>
      <x:c r="X759" s="37" t="n">
        <x:v>0</x:v>
      </x:c>
      <x:c r="Y759" s="37" t="n">
        <x:v>1174.7193167256753</x:v>
      </x:c>
      <x:c r="Z759" s="37" t="n">
        <x:v>0</x:v>
      </x:c>
      <x:c r="AA759" s="37" t="n">
        <x:v>0</x:v>
      </x:c>
      <x:c r="AB759" s="37" t="n">
        <x:v>0</x:v>
      </x:c>
      <x:c r="AC759" s="37" t="n">
        <x:v>1318941.5311876892</x:v>
      </x:c>
      <x:c r="AD759" s="37" t="n">
        <x:v>0</x:v>
      </x:c>
      <x:c r="AE759" s="37" t="n">
        <x:v>0</x:v>
      </x:c>
      <x:c r="AF759" s="47" t="b">
        <x:v>0</x:v>
      </x:c>
      <x:c r="AG759" s="47" t="b">
        <x:v>0</x:v>
      </x:c>
      <x:c r="AH759" s="48" t="n">
        <x:v>0</x:v>
      </x:c>
      <x:c r="AI759" s="48" t="n">
        <x:v>1.1920928955078125e-7</x:v>
      </x:c>
      <x:c r="AJ759" s="37" t="str">
        <x:v>passed</x:v>
      </x:c>
    </x:row>
    <x:row r="760" ht="21" customHeight="1">
      <x:c r="A760" s="2"/>
      <x:c r="B760" s="2"/>
      <x:c r="C760" s="2" t="str">
        <x:v>2022</x:v>
      </x:c>
      <x:c r="D760" s="5" t="n">
        <x:v>44837</x:v>
      </x:c>
      <x:c r="E760" s="2" t="str">
        <x:v>duration</x:v>
      </x:c>
      <x:c r="F760" s="37" t="n">
        <x:v>9354612.18224444</x:v>
      </x:c>
      <x:c r="G760" s="37" t="n">
        <x:v>3646521.1641503004</x:v>
      </x:c>
      <x:c r="H760" s="37" t="n">
        <x:v>-10967.49106646837</x:v>
      </x:c>
      <x:c r="I760" s="37" t="n">
        <x:v>3657488.655216769</x:v>
      </x:c>
      <x:c r="J760" s="37" t="n">
        <x:v>10390712.37424134</x:v>
      </x:c>
      <x:c r="K760" s="37" t="n">
        <x:v>6744191.21009104</x:v>
      </x:c>
      <x:c r="L760" s="37" t="n">
        <x:v>13001133.34639474</x:v>
      </x:c>
      <x:c r="M760" s="37" t="n">
        <x:v>0</x:v>
      </x:c>
      <x:c r="N760" s="37" t="n">
        <x:v>0</x:v>
      </x:c>
      <x:c r="O760" s="37" t="n">
        <x:v>1532.002275655046</x:v>
      </x:c>
      <x:c r="P760" s="37" t="n">
        <x:v>0</x:v>
      </x:c>
      <x:c r="Q760" s="37" t="n">
        <x:v>3.391370988504464</x:v>
      </x:c>
      <x:c r="R760" s="37" t="n">
        <x:v>33913.709885044635</x:v>
      </x:c>
      <x:c r="S760" s="37" t="n">
        <x:v>33913.709885044635</x:v>
      </x:c>
      <x:c r="T760" s="37" t="n">
        <x:v>0</x:v>
      </x:c>
      <x:c r="U760" s="37" t="n">
        <x:v>44145.09825237111</x:v>
      </x:c>
      <x:c r="V760" s="37" t="n">
        <x:v>0</x:v>
      </x:c>
      <x:c r="W760" s="37" t="n">
        <x:v>139228.17715649866</x:v>
      </x:c>
      <x:c r="X760" s="37" t="n">
        <x:v>0</x:v>
      </x:c>
      <x:c r="Y760" s="37" t="n">
        <x:v>2008.8241046121334</x:v>
      </x:c>
      <x:c r="Z760" s="37" t="n">
        <x:v>6879075.034292861</x:v>
      </x:c>
      <x:c r="AA760" s="37" t="n">
        <x:v>0</x:v>
      </x:c>
      <x:c r="AB760" s="37" t="n">
        <x:v>6879075.034292861</x:v>
      </x:c>
      <x:c r="AC760" s="37" t="n">
        <x:v>2475537.1479515797</x:v>
      </x:c>
      <x:c r="AD760" s="37" t="n">
        <x:v>0</x:v>
      </x:c>
      <x:c r="AE760" s="37" t="n">
        <x:v>0</x:v>
      </x:c>
      <x:c r="AF760" s="47" t="b">
        <x:v>0</x:v>
      </x:c>
      <x:c r="AG760" s="47" t="b">
        <x:v>0</x:v>
      </x:c>
      <x:c r="AH760" s="48" t="n">
        <x:v>-1.488983603081806e-9</x:v>
      </x:c>
      <x:c r="AI760" s="48" t="n">
        <x:v>1.1920928955078125e-7</x:v>
      </x:c>
      <x:c r="AJ760" s="37" t="str">
        <x:v>passed</x:v>
      </x:c>
    </x:row>
    <x:row r="761" ht="21" customHeight="1">
      <x:c r="A761" s="2"/>
      <x:c r="B761" s="2"/>
      <x:c r="C761" s="2" t="str">
        <x:v>2022</x:v>
      </x:c>
      <x:c r="D761" s="5" t="n">
        <x:v>44837</x:v>
      </x:c>
      <x:c r="E761" s="2" t="str">
        <x:v>unweighted</x:v>
      </x:c>
      <x:c r="F761" s="37" t="n">
        <x:v>12606065.800992187</x:v>
      </x:c>
      <x:c r="G761" s="37" t="n">
        <x:v>446077.0139794514</x:v>
      </x:c>
      <x:c r="H761" s="37" t="n">
        <x:v>-16725.400050136413</x:v>
      </x:c>
      <x:c r="I761" s="37" t="n">
        <x:v>462802.4140295878</x:v>
      </x:c>
      <x:c r="J761" s="37" t="n">
        <x:v>10409289.364752943</x:v>
      </x:c>
      <x:c r="K761" s="37" t="n">
        <x:v>9963212.350773493</x:v>
      </x:c>
      <x:c r="L761" s="37" t="n">
        <x:v>13052142.814971639</x:v>
      </x:c>
      <x:c r="M761" s="37" t="n">
        <x:v>0</x:v>
      </x:c>
      <x:c r="N761" s="37" t="n">
        <x:v>0</x:v>
      </x:c>
      <x:c r="O761" s="37" t="n">
        <x:v>2062.494789555669</x:v>
      </x:c>
      <x:c r="P761" s="37" t="n">
        <x:v>0</x:v>
      </x:c>
      <x:c r="Q761" s="37" t="n">
        <x:v>6.901463822752126</x:v>
      </x:c>
      <x:c r="R761" s="37" t="n">
        <x:v>57854.37770696052</x:v>
      </x:c>
      <x:c r="S761" s="37" t="n">
        <x:v>69014.63822752125</x:v>
      </x:c>
      <x:c r="T761" s="37" t="n">
        <x:v>0</x:v>
      </x:c>
      <x:c r="U761" s="37" t="n">
        <x:v>35631.30899120559</x:v>
      </x:c>
      <x:c r="V761" s="37" t="n">
        <x:v>0</x:v>
      </x:c>
      <x:c r="W761" s="37" t="n">
        <x:v>182803.28739417344</x:v>
      </x:c>
      <x:c r="X761" s="37" t="n">
        <x:v>0</x:v>
      </x:c>
      <x:c r="Y761" s="37" t="n">
        <x:v>2298.93929880459</x:v>
      </x:c>
      <x:c r="Z761" s="37" t="n">
        <x:v>10162476.597788963</x:v>
      </x:c>
      <x:c r="AA761" s="37" t="n">
        <x:v>0</x:v>
      </x:c>
      <x:c r="AB761" s="37" t="n">
        <x:v>10162476.597788963</x:v>
      </x:c>
      <x:c r="AC761" s="37" t="n">
        <x:v>2443589.2032032236</x:v>
      </x:c>
      <x:c r="AD761" s="37" t="n">
        <x:v>0</x:v>
      </x:c>
      <x:c r="AE761" s="37" t="n">
        <x:v>0</x:v>
      </x:c>
      <x:c r="AF761" s="47" t="b">
        <x:v>0</x:v>
      </x:c>
      <x:c r="AG761" s="47" t="b">
        <x:v>0</x:v>
      </x:c>
      <x:c r="AH761" s="48" t="n">
        <x:v>-1.3175256441400052e-9</x:v>
      </x:c>
      <x:c r="AI761" s="48" t="n">
        <x:v>1.1920928955078125e-7</x:v>
      </x:c>
      <x:c r="AJ761" s="37" t="str">
        <x:v>passed</x:v>
      </x:c>
    </x:row>
    <x:row r="762" ht="21" customHeight="1">
      <x:c r="A762" s="2"/>
      <x:c r="B762" s="2"/>
      <x:c r="C762" s="2" t="str">
        <x:v>2022</x:v>
      </x:c>
      <x:c r="D762" s="5" t="n">
        <x:v>44837</x:v>
      </x:c>
      <x:c r="E762" s="2" t="str">
        <x:v>constrained</x:v>
      </x:c>
      <x:c r="F762" s="37" t="n">
        <x:v>13165876.651330967</x:v>
      </x:c>
      <x:c r="G762" s="37" t="n">
        <x:v>-21775.61513008229</x:v>
      </x:c>
      <x:c r="H762" s="37" t="n">
        <x:v>-19088.596238529928</x:v>
      </x:c>
      <x:c r="I762" s="37" t="n">
        <x:v>-2687.0188915523613</x:v>
      </x:c>
      <x:c r="J762" s="37" t="n">
        <x:v>10416005.714185784</x:v>
      </x:c>
      <x:c r="K762" s="37" t="n">
        <x:v>10437781.329315865</x:v>
      </x:c>
      <x:c r="L762" s="37" t="n">
        <x:v>13144101.036200885</x:v>
      </x:c>
      <x:c r="M762" s="37" t="n">
        <x:v>0</x:v>
      </x:c>
      <x:c r="N762" s="37" t="n">
        <x:v>0</x:v>
      </x:c>
      <x:c r="O762" s="37" t="n">
        <x:v>2170.5566931609064</x:v>
      </x:c>
      <x:c r="P762" s="37" t="n">
        <x:v>0</x:v>
      </x:c>
      <x:c r="Q762" s="37" t="n">
        <x:v>9.469605534837303</x:v>
      </x:c>
      <x:c r="R762" s="37" t="n">
        <x:v>-39780.82666461597</x:v>
      </x:c>
      <x:c r="S762" s="37" t="n">
        <x:v>94696.05534837302</x:v>
      </x:c>
      <x:c r="T762" s="37" t="n">
        <x:v>0</x:v>
      </x:c>
      <x:c r="U762" s="37" t="n">
        <x:v>30770.55116020547</x:v>
      </x:c>
      <x:c r="V762" s="37" t="n">
        <x:v>0</x:v>
      </x:c>
      <x:c r="W762" s="37" t="n">
        <x:v>196157.68344038166</x:v>
      </x:c>
      <x:c r="X762" s="37" t="n">
        <x:v>0</x:v>
      </x:c>
      <x:c r="Y762" s="37" t="n">
        <x:v>2397.9830818299747</x:v>
      </x:c>
      <x:c r="Z762" s="37" t="n">
        <x:v>10646536.955902183</x:v>
      </x:c>
      <x:c r="AA762" s="37" t="n">
        <x:v>0</x:v>
      </x:c>
      <x:c r="AB762" s="37" t="n">
        <x:v>10646536.955902183</x:v>
      </x:c>
      <x:c r="AC762" s="37" t="n">
        <x:v>2519339.695428783</x:v>
      </x:c>
      <x:c r="AD762" s="37" t="n">
        <x:v>0</x:v>
      </x:c>
      <x:c r="AE762" s="37" t="n">
        <x:v>0</x:v>
      </x:c>
      <x:c r="AF762" s="47" t="b">
        <x:v>0</x:v>
      </x:c>
      <x:c r="AG762" s="47" t="b">
        <x:v>0</x:v>
      </x:c>
      <x:c r="AH762" s="48" t="n">
        <x:v>1.142161920597573e-10</x:v>
      </x:c>
      <x:c r="AI762" s="48" t="n">
        <x:v>1.1920928955078125e-7</x:v>
      </x:c>
      <x:c r="AJ762" s="37" t="str">
        <x:v>passed</x:v>
      </x:c>
    </x:row>
    <x:row r="763" ht="21" customHeight="1">
      <x:c r="A763" s="2"/>
      <x:c r="B763" s="2"/>
      <x:c r="C763" s="2" t="str">
        <x:v>2022</x:v>
      </x:c>
      <x:c r="D763" s="5" t="n">
        <x:v>44838</x:v>
      </x:c>
      <x:c r="E763" s="2" t="str">
        <x:v>unhedged</x:v>
      </x:c>
      <x:c r="F763" s="37" t="n">
        <x:v>1319013.8019565213</x:v>
      </x:c>
      <x:c r="G763" s="37" t="n">
        <x:v>10422890.954488251</x:v>
      </x:c>
      <x:c r="H763" s="37" t="n">
        <x:v>32588.315217391304</x:v>
      </x:c>
      <x:c r="I763" s="37" t="n">
        <x:v>10390302.63927086</x:v>
      </x:c>
      <x:c r="J763" s="37" t="n">
        <x:v>10422890.954488251</x:v>
      </x:c>
      <x:c r="K763" s="37" t="n">
        <x:v>0</x:v>
      </x:c>
      <x:c r="L763" s="37" t="n">
        <x:v>11741904.756444773</x:v>
      </x:c>
      <x:c r="M763" s="37" t="n">
        <x:v>0</x:v>
      </x:c>
      <x:c r="N763" s="37" t="n">
        <x:v>0</x:v>
      </x:c>
      <x:c r="O763" s="37" t="n">
        <x:v>72.27076883218251</x:v>
      </x:c>
      <x:c r="P763" s="37" t="n">
        <x:v>0</x:v>
      </x:c>
      <x:c r="Q763" s="37" t="n">
        <x:v>0</x:v>
      </x:c>
      <x:c r="R763" s="37" t="n">
        <x:v>0</x:v>
      </x:c>
      <x:c r="S763" s="37" t="n">
        <x:v>0</x:v>
      </x:c>
      <x:c r="T763" s="37" t="n">
        <x:v>0</x:v>
      </x:c>
      <x:c r="U763" s="37" t="n">
        <x:v>101250</x:v>
      </x:c>
      <x:c r="V763" s="37" t="n">
        <x:v>0</x:v>
      </x:c>
      <x:c r="W763" s="37" t="n">
        <x:v>18938.521273246966</x:v>
      </x:c>
      <x:c r="X763" s="37" t="n">
        <x:v>0</x:v>
      </x:c>
      <x:c r="Y763" s="37" t="n">
        <x:v>1174.7193167256753</x:v>
      </x:c>
      <x:c r="Z763" s="37" t="n">
        <x:v>0</x:v>
      </x:c>
      <x:c r="AA763" s="37" t="n">
        <x:v>0</x:v>
      </x:c>
      <x:c r="AB763" s="37" t="n">
        <x:v>0</x:v>
      </x:c>
      <x:c r="AC763" s="37" t="n">
        <x:v>1319013.8019565213</x:v>
      </x:c>
      <x:c r="AD763" s="37" t="n">
        <x:v>0</x:v>
      </x:c>
      <x:c r="AE763" s="37" t="n">
        <x:v>0</x:v>
      </x:c>
      <x:c r="AF763" s="47" t="b">
        <x:v>0</x:v>
      </x:c>
      <x:c r="AG763" s="47" t="b">
        <x:v>0</x:v>
      </x:c>
      <x:c r="AH763" s="48" t="n">
        <x:v>0</x:v>
      </x:c>
      <x:c r="AI763" s="48" t="n">
        <x:v>1.1920928955078125e-7</x:v>
      </x:c>
      <x:c r="AJ763" s="37" t="str">
        <x:v>passed</x:v>
      </x:c>
    </x:row>
    <x:row r="764" ht="21" customHeight="1">
      <x:c r="A764" s="2"/>
      <x:c r="B764" s="2"/>
      <x:c r="C764" s="2" t="str">
        <x:v>2022</x:v>
      </x:c>
      <x:c r="D764" s="5" t="n">
        <x:v>44838</x:v>
      </x:c>
      <x:c r="E764" s="2" t="str">
        <x:v>duration</x:v>
      </x:c>
      <x:c r="F764" s="37" t="n">
        <x:v>9355124.763733879</x:v>
      </x:c>
      <x:c r="G764" s="37" t="n">
        <x:v>3645511.2630552184</x:v>
      </x:c>
      <x:c r="H764" s="37" t="n">
        <x:v>-10927.472887167967</x:v>
      </x:c>
      <x:c r="I764" s="37" t="n">
        <x:v>3656438.7359423866</x:v>
      </x:c>
      <x:c r="J764" s="37" t="n">
        <x:v>10422890.954488251</x:v>
      </x:c>
      <x:c r="K764" s="37" t="n">
        <x:v>6777379.691433032</x:v>
      </x:c>
      <x:c r="L764" s="37" t="n">
        <x:v>13000636.026789097</x:v>
      </x:c>
      <x:c r="M764" s="37" t="n">
        <x:v>0</x:v>
      </x:c>
      <x:c r="N764" s="37" t="n">
        <x:v>0</x:v>
      </x:c>
      <x:c r="O764" s="37" t="n">
        <x:v>512.581489438191</x:v>
      </x:c>
      <x:c r="P764" s="37" t="n">
        <x:v>0</x:v>
      </x:c>
      <x:c r="Q764" s="37" t="n">
        <x:v>0</x:v>
      </x:c>
      <x:c r="R764" s="37" t="n">
        <x:v>0</x:v>
      </x:c>
      <x:c r="S764" s="37" t="n">
        <x:v>0</x:v>
      </x:c>
      <x:c r="T764" s="37" t="n">
        <x:v>0</x:v>
      </x:c>
      <x:c r="U764" s="37" t="n">
        <x:v>44145.09825237111</x:v>
      </x:c>
      <x:c r="V764" s="37" t="n">
        <x:v>0</x:v>
      </x:c>
      <x:c r="W764" s="37" t="n">
        <x:v>139740.75864593685</x:v>
      </x:c>
      <x:c r="X764" s="37" t="n">
        <x:v>0</x:v>
      </x:c>
      <x:c r="Y764" s="37" t="n">
        <x:v>2008.8241046121334</x:v>
      </x:c>
      <x:c r="Z764" s="37" t="n">
        <x:v>6912927.2852616925</x:v>
      </x:c>
      <x:c r="AA764" s="37" t="n">
        <x:v>0</x:v>
      </x:c>
      <x:c r="AB764" s="37" t="n">
        <x:v>6912927.2852616925</x:v>
      </x:c>
      <x:c r="AC764" s="37" t="n">
        <x:v>2442197.4784721863</x:v>
      </x:c>
      <x:c r="AD764" s="37" t="n">
        <x:v>0</x:v>
      </x:c>
      <x:c r="AE764" s="37" t="n">
        <x:v>0</x:v>
      </x:c>
      <x:c r="AF764" s="47" t="b">
        <x:v>0</x:v>
      </x:c>
      <x:c r="AG764" s="47" t="b">
        <x:v>0</x:v>
      </x:c>
      <x:c r="AH764" s="48" t="n">
        <x:v>0</x:v>
      </x:c>
      <x:c r="AI764" s="48" t="n">
        <x:v>1.1920928955078125e-7</x:v>
      </x:c>
      <x:c r="AJ764" s="37" t="str">
        <x:v>passed</x:v>
      </x:c>
    </x:row>
    <x:row r="765" ht="21" customHeight="1">
      <x:c r="A765" s="2"/>
      <x:c r="B765" s="2"/>
      <x:c r="C765" s="2" t="str">
        <x:v>2022</x:v>
      </x:c>
      <x:c r="D765" s="5" t="n">
        <x:v>44838</x:v>
      </x:c>
      <x:c r="E765" s="2" t="str">
        <x:v>unweighted</x:v>
      </x:c>
      <x:c r="F765" s="37" t="n">
        <x:v>12606756.54432375</x:v>
      </x:c>
      <x:c r="G765" s="37" t="n">
        <x:v>447756.92476711265</x:v>
      </x:c>
      <x:c r="H765" s="37" t="n">
        <x:v>-16744.36092922238</x:v>
      </x:c>
      <x:c r="I765" s="37" t="n">
        <x:v>464501.285696335</x:v>
      </x:c>
      <x:c r="J765" s="37" t="n">
        <x:v>10441566.156194374</x:v>
      </x:c>
      <x:c r="K765" s="37" t="n">
        <x:v>9993809.231427262</x:v>
      </x:c>
      <x:c r="L765" s="37" t="n">
        <x:v>13054513.469090862</x:v>
      </x:c>
      <x:c r="M765" s="37" t="n">
        <x:v>0</x:v>
      </x:c>
      <x:c r="N765" s="37" t="n">
        <x:v>0</x:v>
      </x:c>
      <x:c r="O765" s="37" t="n">
        <x:v>690.7433315627277</x:v>
      </x:c>
      <x:c r="P765" s="37" t="n">
        <x:v>0</x:v>
      </x:c>
      <x:c r="Q765" s="37" t="n">
        <x:v>0</x:v>
      </x:c>
      <x:c r="R765" s="37" t="n">
        <x:v>0</x:v>
      </x:c>
      <x:c r="S765" s="37" t="n">
        <x:v>0</x:v>
      </x:c>
      <x:c r="T765" s="37" t="n">
        <x:v>0</x:v>
      </x:c>
      <x:c r="U765" s="37" t="n">
        <x:v>35631.30899120559</x:v>
      </x:c>
      <x:c r="V765" s="37" t="n">
        <x:v>0</x:v>
      </x:c>
      <x:c r="W765" s="37" t="n">
        <x:v>183494.03072573617</x:v>
      </x:c>
      <x:c r="X765" s="37" t="n">
        <x:v>0</x:v>
      </x:c>
      <x:c r="Y765" s="37" t="n">
        <x:v>2298.93929880459</x:v>
      </x:c>
      <x:c r="Z765" s="37" t="n">
        <x:v>10193685.416055808</x:v>
      </x:c>
      <x:c r="AA765" s="37" t="n">
        <x:v>0</x:v>
      </x:c>
      <x:c r="AB765" s="37" t="n">
        <x:v>10193685.416055808</x:v>
      </x:c>
      <x:c r="AC765" s="37" t="n">
        <x:v>2413071.128267942</x:v>
      </x:c>
      <x:c r="AD765" s="37" t="n">
        <x:v>0</x:v>
      </x:c>
      <x:c r="AE765" s="37" t="n">
        <x:v>0</x:v>
      </x:c>
      <x:c r="AF765" s="47" t="b">
        <x:v>0</x:v>
      </x:c>
      <x:c r="AG765" s="47" t="b">
        <x:v>0</x:v>
      </x:c>
      <x:c r="AH765" s="48" t="n">
        <x:v>0</x:v>
      </x:c>
      <x:c r="AI765" s="48" t="n">
        <x:v>1.1920928955078125e-7</x:v>
      </x:c>
      <x:c r="AJ765" s="37" t="str">
        <x:v>passed</x:v>
      </x:c>
    </x:row>
    <x:row r="766" ht="21" customHeight="1">
      <x:c r="A766" s="2"/>
      <x:c r="B766" s="2"/>
      <x:c r="C766" s="2" t="str">
        <x:v>2022</x:v>
      </x:c>
      <x:c r="D766" s="5" t="n">
        <x:v>44838</x:v>
      </x:c>
      <x:c r="E766" s="2" t="str">
        <x:v>constrained</x:v>
      </x:c>
      <x:c r="F766" s="37" t="n">
        <x:v>13166598.06922967</x:v>
      </x:c>
      <x:c r="G766" s="37" t="n">
        <x:v>-21443.833328935</x:v>
      </x:c>
      <x:c r="H766" s="37" t="n">
        <x:v>-19125.74635168634</x:v>
      </x:c>
      <x:c r="I766" s="37" t="n">
        <x:v>-2318.086977248662</x:v>
      </x:c>
      <x:c r="J766" s="37" t="n">
        <x:v>10448317.454713339</x:v>
      </x:c>
      <x:c r="K766" s="37" t="n">
        <x:v>10469761.288042275</x:v>
      </x:c>
      <x:c r="L766" s="37" t="n">
        <x:v>13145154.235900735</x:v>
      </x:c>
      <x:c r="M766" s="37" t="n">
        <x:v>0</x:v>
      </x:c>
      <x:c r="N766" s="37" t="n">
        <x:v>0</x:v>
      </x:c>
      <x:c r="O766" s="37" t="n">
        <x:v>721.4178987033665</x:v>
      </x:c>
      <x:c r="P766" s="37" t="n">
        <x:v>0</x:v>
      </x:c>
      <x:c r="Q766" s="37" t="n">
        <x:v>0</x:v>
      </x:c>
      <x:c r="R766" s="37" t="n">
        <x:v>0</x:v>
      </x:c>
      <x:c r="S766" s="37" t="n">
        <x:v>0</x:v>
      </x:c>
      <x:c r="T766" s="37" t="n">
        <x:v>0</x:v>
      </x:c>
      <x:c r="U766" s="37" t="n">
        <x:v>30770.55116020547</x:v>
      </x:c>
      <x:c r="V766" s="37" t="n">
        <x:v>0</x:v>
      </x:c>
      <x:c r="W766" s="37" t="n">
        <x:v>196879.10133908503</x:v>
      </x:c>
      <x:c r="X766" s="37" t="n">
        <x:v>0</x:v>
      </x:c>
      <x:c r="Y766" s="37" t="n">
        <x:v>2397.9830818299747</x:v>
      </x:c>
      <x:c r="Z766" s="37" t="n">
        <x:v>10679156.51380312</x:v>
      </x:c>
      <x:c r="AA766" s="37" t="n">
        <x:v>0</x:v>
      </x:c>
      <x:c r="AB766" s="37" t="n">
        <x:v>10679156.51380312</x:v>
      </x:c>
      <x:c r="AC766" s="37" t="n">
        <x:v>2487441.555426549</x:v>
      </x:c>
      <x:c r="AD766" s="37" t="n">
        <x:v>0</x:v>
      </x:c>
      <x:c r="AE766" s="37" t="n">
        <x:v>0</x:v>
      </x:c>
      <x:c r="AF766" s="47" t="b">
        <x:v>0</x:v>
      </x:c>
      <x:c r="AG766" s="47" t="b">
        <x:v>0</x:v>
      </x:c>
      <x:c r="AH766" s="48" t="n">
        <x:v>0</x:v>
      </x:c>
      <x:c r="AI766" s="48" t="n">
        <x:v>1.1920928955078125e-7</x:v>
      </x:c>
      <x:c r="AJ766" s="37" t="str">
        <x:v>passed</x:v>
      </x:c>
    </x:row>
    <x:row r="767" ht="21" customHeight="1">
      <x:c r="A767" s="2"/>
      <x:c r="B767" s="2"/>
      <x:c r="C767" s="2" t="str">
        <x:v>2022</x:v>
      </x:c>
      <x:c r="D767" s="5" t="n">
        <x:v>44839</x:v>
      </x:c>
      <x:c r="E767" s="2" t="str">
        <x:v>unhedged</x:v>
      </x:c>
      <x:c r="F767" s="37" t="n">
        <x:v>1319086.076685396</x:v>
      </x:c>
      <x:c r="G767" s="37" t="n">
        <x:v>10340442.139816064</x:v>
      </x:c>
      <x:c r="H767" s="37" t="n">
        <x:v>32934.782608695656</x:v>
      </x:c>
      <x:c r="I767" s="37" t="n">
        <x:v>10307507.357207369</x:v>
      </x:c>
      <x:c r="J767" s="37" t="n">
        <x:v>10340442.139816064</x:v>
      </x:c>
      <x:c r="K767" s="37" t="n">
        <x:v>0</x:v>
      </x:c>
      <x:c r="L767" s="37" t="n">
        <x:v>11659528.21650146</x:v>
      </x:c>
      <x:c r="M767" s="37" t="n">
        <x:v>0</x:v>
      </x:c>
      <x:c r="N767" s="37" t="n">
        <x:v>0</x:v>
      </x:c>
      <x:c r="O767" s="37" t="n">
        <x:v>72.27472887467593</x:v>
      </x:c>
      <x:c r="P767" s="37" t="n">
        <x:v>0</x:v>
      </x:c>
      <x:c r="Q767" s="37" t="n">
        <x:v>0</x:v>
      </x:c>
      <x:c r="R767" s="37" t="n">
        <x:v>0</x:v>
      </x:c>
      <x:c r="S767" s="37" t="n">
        <x:v>0</x:v>
      </x:c>
      <x:c r="T767" s="37" t="n">
        <x:v>0</x:v>
      </x:c>
      <x:c r="U767" s="37" t="n">
        <x:v>101250</x:v>
      </x:c>
      <x:c r="V767" s="37" t="n">
        <x:v>0</x:v>
      </x:c>
      <x:c r="W767" s="37" t="n">
        <x:v>19010.796002121642</x:v>
      </x:c>
      <x:c r="X767" s="37" t="n">
        <x:v>0</x:v>
      </x:c>
      <x:c r="Y767" s="37" t="n">
        <x:v>1174.7193167256753</x:v>
      </x:c>
      <x:c r="Z767" s="37" t="n">
        <x:v>0</x:v>
      </x:c>
      <x:c r="AA767" s="37" t="n">
        <x:v>0</x:v>
      </x:c>
      <x:c r="AB767" s="37" t="n">
        <x:v>0</x:v>
      </x:c>
      <x:c r="AC767" s="37" t="n">
        <x:v>1319086.076685396</x:v>
      </x:c>
      <x:c r="AD767" s="37" t="n">
        <x:v>0</x:v>
      </x:c>
      <x:c r="AE767" s="37" t="n">
        <x:v>0</x:v>
      </x:c>
      <x:c r="AF767" s="47" t="b">
        <x:v>0</x:v>
      </x:c>
      <x:c r="AG767" s="47" t="b">
        <x:v>0</x:v>
      </x:c>
      <x:c r="AH767" s="48" t="n">
        <x:v>0</x:v>
      </x:c>
      <x:c r="AI767" s="48" t="n">
        <x:v>1.1920928955078125e-7</x:v>
      </x:c>
      <x:c r="AJ767" s="37" t="str">
        <x:v>passed</x:v>
      </x:c>
    </x:row>
    <x:row r="768" ht="21" customHeight="1">
      <x:c r="A768" s="2"/>
      <x:c r="B768" s="2"/>
      <x:c r="C768" s="2" t="str">
        <x:v>2022</x:v>
      </x:c>
      <x:c r="D768" s="5" t="n">
        <x:v>44839</x:v>
      </x:c>
      <x:c r="E768" s="2" t="str">
        <x:v>duration</x:v>
      </x:c>
      <x:c r="F768" s="37" t="n">
        <x:v>9355637.373309974</x:v>
      </x:c>
      <x:c r="G768" s="37" t="n">
        <x:v>3657041.582436341</x:v>
      </x:c>
      <x:c r="H768" s="37" t="n">
        <x:v>-10887.454707867555</x:v>
      </x:c>
      <x:c r="I768" s="37" t="n">
        <x:v>3667929.0371442083</x:v>
      </x:c>
      <x:c r="J768" s="37" t="n">
        <x:v>10340442.139816064</x:v>
      </x:c>
      <x:c r="K768" s="37" t="n">
        <x:v>6683400.5573797235</x:v>
      </x:c>
      <x:c r="L768" s="37" t="n">
        <x:v>13012678.955746315</x:v>
      </x:c>
      <x:c r="M768" s="37" t="n">
        <x:v>0</x:v>
      </x:c>
      <x:c r="N768" s="37" t="n">
        <x:v>0</x:v>
      </x:c>
      <x:c r="O768" s="37" t="n">
        <x:v>512.6095760948956</x:v>
      </x:c>
      <x:c r="P768" s="37" t="n">
        <x:v>0</x:v>
      </x:c>
      <x:c r="Q768" s="37" t="n">
        <x:v>0</x:v>
      </x:c>
      <x:c r="R768" s="37" t="n">
        <x:v>0</x:v>
      </x:c>
      <x:c r="S768" s="37" t="n">
        <x:v>0</x:v>
      </x:c>
      <x:c r="T768" s="37" t="n">
        <x:v>0</x:v>
      </x:c>
      <x:c r="U768" s="37" t="n">
        <x:v>44145.09825237111</x:v>
      </x:c>
      <x:c r="V768" s="37" t="n">
        <x:v>0</x:v>
      </x:c>
      <x:c r="W768" s="37" t="n">
        <x:v>140253.36822203174</x:v>
      </x:c>
      <x:c r="X768" s="37" t="n">
        <x:v>0</x:v>
      </x:c>
      <x:c r="Y768" s="37" t="n">
        <x:v>2008.8241046121334</x:v>
      </x:c>
      <x:c r="Z768" s="37" t="n">
        <x:v>6817068.568527319</x:v>
      </x:c>
      <x:c r="AA768" s="37" t="n">
        <x:v>0</x:v>
      </x:c>
      <x:c r="AB768" s="37" t="n">
        <x:v>6817068.568527319</x:v>
      </x:c>
      <x:c r="AC768" s="37" t="n">
        <x:v>2538568.804782655</x:v>
      </x:c>
      <x:c r="AD768" s="37" t="n">
        <x:v>0</x:v>
      </x:c>
      <x:c r="AE768" s="37" t="n">
        <x:v>0</x:v>
      </x:c>
      <x:c r="AF768" s="47" t="b">
        <x:v>0</x:v>
      </x:c>
      <x:c r="AG768" s="47" t="b">
        <x:v>0</x:v>
      </x:c>
      <x:c r="AH768" s="48" t="n">
        <x:v>0</x:v>
      </x:c>
      <x:c r="AI768" s="48" t="n">
        <x:v>1.1920928955078125e-7</x:v>
      </x:c>
      <x:c r="AJ768" s="37" t="str">
        <x:v>passed</x:v>
      </x:c>
    </x:row>
    <x:row r="769" ht="21" customHeight="1">
      <x:c r="A769" s="2"/>
      <x:c r="B769" s="2"/>
      <x:c r="C769" s="2" t="str">
        <x:v>2022</x:v>
      </x:c>
      <x:c r="D769" s="5" t="n">
        <x:v>44839</x:v>
      </x:c>
      <x:c r="E769" s="2" t="str">
        <x:v>unweighted</x:v>
      </x:c>
      <x:c r="F769" s="37" t="n">
        <x:v>12607447.32550426</x:v>
      </x:c>
      <x:c r="G769" s="37" t="n">
        <x:v>443464.6555994164</x:v>
      </x:c>
      <x:c r="H769" s="37" t="n">
        <x:v>-16763.321808308345</x:v>
      </x:c>
      <x:c r="I769" s="37" t="n">
        <x:v>460227.9774077248</x:v>
      </x:c>
      <x:c r="J769" s="37" t="n">
        <x:v>10358888.782399355</x:v>
      </x:c>
      <x:c r="K769" s="37" t="n">
        <x:v>9915424.12679994</x:v>
      </x:c>
      <x:c r="L769" s="37" t="n">
        <x:v>13050911.981103677</x:v>
      </x:c>
      <x:c r="M769" s="37" t="n">
        <x:v>0</x:v>
      </x:c>
      <x:c r="N769" s="37" t="n">
        <x:v>0</x:v>
      </x:c>
      <x:c r="O769" s="37" t="n">
        <x:v>690.7811805102974</x:v>
      </x:c>
      <x:c r="P769" s="37" t="n">
        <x:v>0</x:v>
      </x:c>
      <x:c r="Q769" s="37" t="n">
        <x:v>0</x:v>
      </x:c>
      <x:c r="R769" s="37" t="n">
        <x:v>0</x:v>
      </x:c>
      <x:c r="S769" s="37" t="n">
        <x:v>0</x:v>
      </x:c>
      <x:c r="T769" s="37" t="n">
        <x:v>0</x:v>
      </x:c>
      <x:c r="U769" s="37" t="n">
        <x:v>35631.30899120559</x:v>
      </x:c>
      <x:c r="V769" s="37" t="n">
        <x:v>0</x:v>
      </x:c>
      <x:c r="W769" s="37" t="n">
        <x:v>184184.81190624647</x:v>
      </x:c>
      <x:c r="X769" s="37" t="n">
        <x:v>0</x:v>
      </x:c>
      <x:c r="Y769" s="37" t="n">
        <x:v>2298.93929880459</x:v>
      </x:c>
      <x:c r="Z769" s="37" t="n">
        <x:v>10113732.609335938</x:v>
      </x:c>
      <x:c r="AA769" s="37" t="n">
        <x:v>0</x:v>
      </x:c>
      <x:c r="AB769" s="37" t="n">
        <x:v>10113732.609335938</x:v>
      </x:c>
      <x:c r="AC769" s="37" t="n">
        <x:v>2493714.7161683217</x:v>
      </x:c>
      <x:c r="AD769" s="37" t="n">
        <x:v>0</x:v>
      </x:c>
      <x:c r="AE769" s="37" t="n">
        <x:v>0</x:v>
      </x:c>
      <x:c r="AF769" s="47" t="b">
        <x:v>0</x:v>
      </x:c>
      <x:c r="AG769" s="47" t="b">
        <x:v>0</x:v>
      </x:c>
      <x:c r="AH769" s="48" t="n">
        <x:v>0</x:v>
      </x:c>
      <x:c r="AI769" s="48" t="n">
        <x:v>1.1920928955078125e-7</x:v>
      </x:c>
      <x:c r="AJ769" s="37" t="str">
        <x:v>passed</x:v>
      </x:c>
    </x:row>
    <x:row r="770" ht="21" customHeight="1">
      <x:c r="A770" s="2"/>
      <x:c r="B770" s="2"/>
      <x:c r="C770" s="2" t="str">
        <x:v>2022</x:v>
      </x:c>
      <x:c r="D770" s="5" t="n">
        <x:v>44839</x:v>
      </x:c>
      <x:c r="E770" s="2" t="str">
        <x:v>constrained</x:v>
      </x:c>
      <x:c r="F770" s="37" t="n">
        <x:v>13167319.526658121</x:v>
      </x:c>
      <x:c r="G770" s="37" t="n">
        <x:v>-22687.262011000497</x:v>
      </x:c>
      <x:c r="H770" s="37" t="n">
        <x:v>-19162.89646484275</x:v>
      </x:c>
      <x:c r="I770" s="37" t="n">
        <x:v>-3524.3655461577473</x:v>
      </x:c>
      <x:c r="J770" s="37" t="n">
        <x:v>10365563.580847684</x:v>
      </x:c>
      <x:c r="K770" s="37" t="n">
        <x:v>10388250.842858685</x:v>
      </x:c>
      <x:c r="L770" s="37" t="n">
        <x:v>13144632.26464712</x:v>
      </x:c>
      <x:c r="M770" s="37" t="n">
        <x:v>0</x:v>
      </x:c>
      <x:c r="N770" s="37" t="n">
        <x:v>0</x:v>
      </x:c>
      <x:c r="O770" s="37" t="n">
        <x:v>721.4574284516275</x:v>
      </x:c>
      <x:c r="P770" s="37" t="n">
        <x:v>0</x:v>
      </x:c>
      <x:c r="Q770" s="37" t="n">
        <x:v>0</x:v>
      </x:c>
      <x:c r="R770" s="37" t="n">
        <x:v>0</x:v>
      </x:c>
      <x:c r="S770" s="37" t="n">
        <x:v>0</x:v>
      </x:c>
      <x:c r="T770" s="37" t="n">
        <x:v>0</x:v>
      </x:c>
      <x:c r="U770" s="37" t="n">
        <x:v>30770.55116020547</x:v>
      </x:c>
      <x:c r="V770" s="37" t="n">
        <x:v>0</x:v>
      </x:c>
      <x:c r="W770" s="37" t="n">
        <x:v>197600.55876753666</x:v>
      </x:c>
      <x:c r="X770" s="37" t="n">
        <x:v>0</x:v>
      </x:c>
      <x:c r="Y770" s="37" t="n">
        <x:v>2397.9830818299747</x:v>
      </x:c>
      <x:c r="Z770" s="37" t="n">
        <x:v>10596015.859715858</x:v>
      </x:c>
      <x:c r="AA770" s="37" t="n">
        <x:v>0</x:v>
      </x:c>
      <x:c r="AB770" s="37" t="n">
        <x:v>10596015.859715858</x:v>
      </x:c>
      <x:c r="AC770" s="37" t="n">
        <x:v>2571303.666942263</x:v>
      </x:c>
      <x:c r="AD770" s="37" t="n">
        <x:v>0</x:v>
      </x:c>
      <x:c r="AE770" s="37" t="n">
        <x:v>0</x:v>
      </x:c>
      <x:c r="AF770" s="47" t="b">
        <x:v>0</x:v>
      </x:c>
      <x:c r="AG770" s="47" t="b">
        <x:v>0</x:v>
      </x:c>
      <x:c r="AH770" s="48" t="n">
        <x:v>0</x:v>
      </x:c>
      <x:c r="AI770" s="48" t="n">
        <x:v>1.1920928955078125e-7</x:v>
      </x:c>
      <x:c r="AJ770" s="37" t="str">
        <x:v>passed</x:v>
      </x:c>
    </x:row>
    <x:row r="771" ht="21" customHeight="1">
      <x:c r="A771" s="2"/>
      <x:c r="B771" s="2"/>
      <x:c r="C771" s="2" t="str">
        <x:v>2022</x:v>
      </x:c>
      <x:c r="D771" s="5" t="n">
        <x:v>44840</x:v>
      </x:c>
      <x:c r="E771" s="2" t="str">
        <x:v>unhedged</x:v>
      </x:c>
      <x:c r="F771" s="37" t="n">
        <x:v>1319158.3553745293</x:v>
      </x:c>
      <x:c r="G771" s="37" t="n">
        <x:v>10302068.32930158</x:v>
      </x:c>
      <x:c r="H771" s="37" t="n">
        <x:v>33281.25</x:v>
      </x:c>
      <x:c r="I771" s="37" t="n">
        <x:v>10268787.07930158</x:v>
      </x:c>
      <x:c r="J771" s="37" t="n">
        <x:v>10302068.32930158</x:v>
      </x:c>
      <x:c r="K771" s="37" t="n">
        <x:v>0</x:v>
      </x:c>
      <x:c r="L771" s="37" t="n">
        <x:v>11621226.68467611</x:v>
      </x:c>
      <x:c r="M771" s="37" t="n">
        <x:v>0</x:v>
      </x:c>
      <x:c r="N771" s="37" t="n">
        <x:v>0</x:v>
      </x:c>
      <x:c r="O771" s="37" t="n">
        <x:v>72.27868913323618</x:v>
      </x:c>
      <x:c r="P771" s="37" t="n">
        <x:v>0</x:v>
      </x:c>
      <x:c r="Q771" s="37" t="n">
        <x:v>0</x:v>
      </x:c>
      <x:c r="R771" s="37" t="n">
        <x:v>0</x:v>
      </x:c>
      <x:c r="S771" s="37" t="n">
        <x:v>0</x:v>
      </x:c>
      <x:c r="T771" s="37" t="n">
        <x:v>0</x:v>
      </x:c>
      <x:c r="U771" s="37" t="n">
        <x:v>101250</x:v>
      </x:c>
      <x:c r="V771" s="37" t="n">
        <x:v>0</x:v>
      </x:c>
      <x:c r="W771" s="37" t="n">
        <x:v>19083.07469125488</x:v>
      </x:c>
      <x:c r="X771" s="37" t="n">
        <x:v>0</x:v>
      </x:c>
      <x:c r="Y771" s="37" t="n">
        <x:v>1174.7193167256753</x:v>
      </x:c>
      <x:c r="Z771" s="37" t="n">
        <x:v>0</x:v>
      </x:c>
      <x:c r="AA771" s="37" t="n">
        <x:v>0</x:v>
      </x:c>
      <x:c r="AB771" s="37" t="n">
        <x:v>0</x:v>
      </x:c>
      <x:c r="AC771" s="37" t="n">
        <x:v>1319158.3553745293</x:v>
      </x:c>
      <x:c r="AD771" s="37" t="n">
        <x:v>0</x:v>
      </x:c>
      <x:c r="AE771" s="37" t="n">
        <x:v>0</x:v>
      </x:c>
      <x:c r="AF771" s="47" t="b">
        <x:v>0</x:v>
      </x:c>
      <x:c r="AG771" s="47" t="b">
        <x:v>0</x:v>
      </x:c>
      <x:c r="AH771" s="48" t="n">
        <x:v>0</x:v>
      </x:c>
      <x:c r="AI771" s="48" t="n">
        <x:v>1.1920928955078125e-7</x:v>
      </x:c>
      <x:c r="AJ771" s="37" t="str">
        <x:v>passed</x:v>
      </x:c>
    </x:row>
    <x:row r="772" ht="21" customHeight="1">
      <x:c r="A772" s="2"/>
      <x:c r="B772" s="2"/>
      <x:c r="C772" s="2" t="str">
        <x:v>2022</x:v>
      </x:c>
      <x:c r="D772" s="5" t="n">
        <x:v>44840</x:v>
      </x:c>
      <x:c r="E772" s="2" t="str">
        <x:v>duration</x:v>
      </x:c>
      <x:c r="F772" s="37" t="n">
        <x:v>9356150.010974267</x:v>
      </x:c>
      <x:c r="G772" s="37" t="n">
        <x:v>3656203.9511833712</x:v>
      </x:c>
      <x:c r="H772" s="37" t="n">
        <x:v>-10847.436528567137</x:v>
      </x:c>
      <x:c r="I772" s="37" t="n">
        <x:v>3667051.3877119385</x:v>
      </x:c>
      <x:c r="J772" s="37" t="n">
        <x:v>10302068.32930158</x:v>
      </x:c>
      <x:c r="K772" s="37" t="n">
        <x:v>6645864.378118209</x:v>
      </x:c>
      <x:c r="L772" s="37" t="n">
        <x:v>13012353.962157639</x:v>
      </x:c>
      <x:c r="M772" s="37" t="n">
        <x:v>0</x:v>
      </x:c>
      <x:c r="N772" s="37" t="n">
        <x:v>0</x:v>
      </x:c>
      <x:c r="O772" s="37" t="n">
        <x:v>512.6376642938703</x:v>
      </x:c>
      <x:c r="P772" s="37" t="n">
        <x:v>0</x:v>
      </x:c>
      <x:c r="Q772" s="37" t="n">
        <x:v>0</x:v>
      </x:c>
      <x:c r="R772" s="37" t="n">
        <x:v>0</x:v>
      </x:c>
      <x:c r="S772" s="37" t="n">
        <x:v>0</x:v>
      </x:c>
      <x:c r="T772" s="37" t="n">
        <x:v>0</x:v>
      </x:c>
      <x:c r="U772" s="37" t="n">
        <x:v>44145.09825237111</x:v>
      </x:c>
      <x:c r="V772" s="37" t="n">
        <x:v>0</x:v>
      </x:c>
      <x:c r="W772" s="37" t="n">
        <x:v>140766.0058863256</x:v>
      </x:c>
      <x:c r="X772" s="37" t="n">
        <x:v>0</x:v>
      </x:c>
      <x:c r="Y772" s="37" t="n">
        <x:v>2008.8241046121334</x:v>
      </x:c>
      <x:c r="Z772" s="37" t="n">
        <x:v>6778781.665680573</x:v>
      </x:c>
      <x:c r="AA772" s="37" t="n">
        <x:v>0</x:v>
      </x:c>
      <x:c r="AB772" s="37" t="n">
        <x:v>6778781.665680573</x:v>
      </x:c>
      <x:c r="AC772" s="37" t="n">
        <x:v>2577368.345293694</x:v>
      </x:c>
      <x:c r="AD772" s="37" t="n">
        <x:v>0</x:v>
      </x:c>
      <x:c r="AE772" s="37" t="n">
        <x:v>0</x:v>
      </x:c>
      <x:c r="AF772" s="47" t="b">
        <x:v>0</x:v>
      </x:c>
      <x:c r="AG772" s="47" t="b">
        <x:v>0</x:v>
      </x:c>
      <x:c r="AH772" s="48" t="n">
        <x:v>0</x:v>
      </x:c>
      <x:c r="AI772" s="48" t="n">
        <x:v>1.1920928955078125e-7</x:v>
      </x:c>
      <x:c r="AJ772" s="37" t="str">
        <x:v>passed</x:v>
      </x:c>
    </x:row>
    <x:row r="773" ht="21" customHeight="1">
      <x:c r="A773" s="2"/>
      <x:c r="B773" s="2"/>
      <x:c r="C773" s="2" t="str">
        <x:v>2022</x:v>
      </x:c>
      <x:c r="D773" s="5" t="n">
        <x:v>44840</x:v>
      </x:c>
      <x:c r="E773" s="2" t="str">
        <x:v>unweighted</x:v>
      </x:c>
      <x:c r="F773" s="37" t="n">
        <x:v>12608138.144535797</x:v>
      </x:c>
      <x:c r="G773" s="37" t="n">
        <x:v>441776.93046105065</x:v>
      </x:c>
      <x:c r="H773" s="37" t="n">
        <x:v>-16782.282687394305</x:v>
      </x:c>
      <x:c r="I773" s="37" t="n">
        <x:v>458559.21314844495</x:v>
      </x:c>
      <x:c r="J773" s="37" t="n">
        <x:v>10320433.741676021</x:v>
      </x:c>
      <x:c r="K773" s="37" t="n">
        <x:v>9878656.81121497</x:v>
      </x:c>
      <x:c r="L773" s="37" t="n">
        <x:v>13049915.074996848</x:v>
      </x:c>
      <x:c r="M773" s="37" t="n">
        <x:v>0</x:v>
      </x:c>
      <x:c r="N773" s="37" t="n">
        <x:v>0</x:v>
      </x:c>
      <x:c r="O773" s="37" t="n">
        <x:v>690.8190315365791</x:v>
      </x:c>
      <x:c r="P773" s="37" t="n">
        <x:v>0</x:v>
      </x:c>
      <x:c r="Q773" s="37" t="n">
        <x:v>0</x:v>
      </x:c>
      <x:c r="R773" s="37" t="n">
        <x:v>0</x:v>
      </x:c>
      <x:c r="S773" s="37" t="n">
        <x:v>0</x:v>
      </x:c>
      <x:c r="T773" s="37" t="n">
        <x:v>0</x:v>
      </x:c>
      <x:c r="U773" s="37" t="n">
        <x:v>35631.30899120559</x:v>
      </x:c>
      <x:c r="V773" s="37" t="n">
        <x:v>0</x:v>
      </x:c>
      <x:c r="W773" s="37" t="n">
        <x:v>184875.63093778305</x:v>
      </x:c>
      <x:c r="X773" s="37" t="n">
        <x:v>0</x:v>
      </x:c>
      <x:c r="Y773" s="37" t="n">
        <x:v>2298.93929880459</x:v>
      </x:c>
      <x:c r="Z773" s="37" t="n">
        <x:v>10076229.94743927</x:v>
      </x:c>
      <x:c r="AA773" s="37" t="n">
        <x:v>0</x:v>
      </x:c>
      <x:c r="AB773" s="37" t="n">
        <x:v>10076229.94743927</x:v>
      </x:c>
      <x:c r="AC773" s="37" t="n">
        <x:v>2531908.1970965266</x:v>
      </x:c>
      <x:c r="AD773" s="37" t="n">
        <x:v>0</x:v>
      </x:c>
      <x:c r="AE773" s="37" t="n">
        <x:v>0</x:v>
      </x:c>
      <x:c r="AF773" s="47" t="b">
        <x:v>0</x:v>
      </x:c>
      <x:c r="AG773" s="47" t="b">
        <x:v>0</x:v>
      </x:c>
      <x:c r="AH773" s="48" t="n">
        <x:v>0</x:v>
      </x:c>
      <x:c r="AI773" s="48" t="n">
        <x:v>1.1920928955078125e-7</x:v>
      </x:c>
      <x:c r="AJ773" s="37" t="str">
        <x:v>passed</x:v>
      </x:c>
    </x:row>
    <x:row r="774" ht="21" customHeight="1">
      <x:c r="A774" s="2"/>
      <x:c r="B774" s="2"/>
      <x:c r="C774" s="2" t="str">
        <x:v>2022</x:v>
      </x:c>
      <x:c r="D774" s="5" t="n">
        <x:v>44840</x:v>
      </x:c>
      <x:c r="E774" s="2" t="str">
        <x:v>constrained</x:v>
      </x:c>
      <x:c r="F774" s="37" t="n">
        <x:v>13168041.023618488</x:v>
      </x:c>
      <x:c r="G774" s="37" t="n">
        <x:v>-22709.62855640095</x:v>
      </x:c>
      <x:c r="H774" s="37" t="n">
        <x:v>-19200.046577999154</x:v>
      </x:c>
      <x:c r="I774" s="37" t="n">
        <x:v>-3509.581978401795</x:v>
      </x:c>
      <x:c r="J774" s="37" t="n">
        <x:v>10327077.594792668</x:v>
      </x:c>
      <x:c r="K774" s="37" t="n">
        <x:v>10349787.223349068</x:v>
      </x:c>
      <x:c r="L774" s="37" t="n">
        <x:v>13145331.395062087</x:v>
      </x:c>
      <x:c r="M774" s="37" t="n">
        <x:v>0</x:v>
      </x:c>
      <x:c r="N774" s="37" t="n">
        <x:v>0</x:v>
      </x:c>
      <x:c r="O774" s="37" t="n">
        <x:v>721.4969603661448</x:v>
      </x:c>
      <x:c r="P774" s="37" t="n">
        <x:v>0</x:v>
      </x:c>
      <x:c r="Q774" s="37" t="n">
        <x:v>0</x:v>
      </x:c>
      <x:c r="R774" s="37" t="n">
        <x:v>0</x:v>
      </x:c>
      <x:c r="S774" s="37" t="n">
        <x:v>0</x:v>
      </x:c>
      <x:c r="T774" s="37" t="n">
        <x:v>0</x:v>
      </x:c>
      <x:c r="U774" s="37" t="n">
        <x:v>30770.55116020547</x:v>
      </x:c>
      <x:c r="V774" s="37" t="n">
        <x:v>0</x:v>
      </x:c>
      <x:c r="W774" s="37" t="n">
        <x:v>198322.0557279028</x:v>
      </x:c>
      <x:c r="X774" s="37" t="n">
        <x:v>0</x:v>
      </x:c>
      <x:c r="Y774" s="37" t="n">
        <x:v>2397.9830818299747</x:v>
      </x:c>
      <x:c r="Z774" s="37" t="n">
        <x:v>10556782.96781605</x:v>
      </x:c>
      <x:c r="AA774" s="37" t="n">
        <x:v>0</x:v>
      </x:c>
      <x:c r="AB774" s="37" t="n">
        <x:v>10556782.96781605</x:v>
      </x:c>
      <x:c r="AC774" s="37" t="n">
        <x:v>2611258.0558024384</x:v>
      </x:c>
      <x:c r="AD774" s="37" t="n">
        <x:v>0</x:v>
      </x:c>
      <x:c r="AE774" s="37" t="n">
        <x:v>0</x:v>
      </x:c>
      <x:c r="AF774" s="47" t="b">
        <x:v>0</x:v>
      </x:c>
      <x:c r="AG774" s="47" t="b">
        <x:v>0</x:v>
      </x:c>
      <x:c r="AH774" s="48" t="n">
        <x:v>0</x:v>
      </x:c>
      <x:c r="AI774" s="48" t="n">
        <x:v>1.1920928955078125e-7</x:v>
      </x:c>
      <x:c r="AJ774" s="37" t="str">
        <x:v>passed</x:v>
      </x:c>
    </x:row>
    <x:row r="775" ht="21" customHeight="1">
      <x:c r="A775" s="2"/>
      <x:c r="B775" s="2"/>
      <x:c r="C775" s="2" t="str">
        <x:v>2022</x:v>
      </x:c>
      <x:c r="D775" s="5" t="n">
        <x:v>44841</x:v>
      </x:c>
      <x:c r="E775" s="2" t="str">
        <x:v>unhedged</x:v>
      </x:c>
      <x:c r="F775" s="37" t="n">
        <x:v>1319230.638024139</x:v>
      </x:c>
      <x:c r="G775" s="37" t="n">
        <x:v>10273806.381914444</x:v>
      </x:c>
      <x:c r="H775" s="37" t="n">
        <x:v>33627.71739130435</x:v>
      </x:c>
      <x:c r="I775" s="37" t="n">
        <x:v>10240178.66452314</x:v>
      </x:c>
      <x:c r="J775" s="37" t="n">
        <x:v>10273806.381914444</x:v>
      </x:c>
      <x:c r="K775" s="37" t="n">
        <x:v>0</x:v>
      </x:c>
      <x:c r="L775" s="37" t="n">
        <x:v>11593037.019938583</x:v>
      </x:c>
      <x:c r="M775" s="37" t="n">
        <x:v>0</x:v>
      </x:c>
      <x:c r="N775" s="37" t="n">
        <x:v>0</x:v>
      </x:c>
      <x:c r="O775" s="37" t="n">
        <x:v>72.28264960972592</x:v>
      </x:c>
      <x:c r="P775" s="37" t="n">
        <x:v>0</x:v>
      </x:c>
      <x:c r="Q775" s="37" t="n">
        <x:v>0</x:v>
      </x:c>
      <x:c r="R775" s="37" t="n">
        <x:v>0</x:v>
      </x:c>
      <x:c r="S775" s="37" t="n">
        <x:v>0</x:v>
      </x:c>
      <x:c r="T775" s="37" t="n">
        <x:v>0</x:v>
      </x:c>
      <x:c r="U775" s="37" t="n">
        <x:v>101250</x:v>
      </x:c>
      <x:c r="V775" s="37" t="n">
        <x:v>0</x:v>
      </x:c>
      <x:c r="W775" s="37" t="n">
        <x:v>19155.357340864604</x:v>
      </x:c>
      <x:c r="X775" s="37" t="n">
        <x:v>0</x:v>
      </x:c>
      <x:c r="Y775" s="37" t="n">
        <x:v>1174.7193167256753</x:v>
      </x:c>
      <x:c r="Z775" s="37" t="n">
        <x:v>0</x:v>
      </x:c>
      <x:c r="AA775" s="37" t="n">
        <x:v>0</x:v>
      </x:c>
      <x:c r="AB775" s="37" t="n">
        <x:v>0</x:v>
      </x:c>
      <x:c r="AC775" s="37" t="n">
        <x:v>1319230.638024139</x:v>
      </x:c>
      <x:c r="AD775" s="37" t="n">
        <x:v>0</x:v>
      </x:c>
      <x:c r="AE775" s="37" t="n">
        <x:v>0</x:v>
      </x:c>
      <x:c r="AF775" s="47" t="b">
        <x:v>0</x:v>
      </x:c>
      <x:c r="AG775" s="47" t="b">
        <x:v>0</x:v>
      </x:c>
      <x:c r="AH775" s="48" t="n">
        <x:v>0</x:v>
      </x:c>
      <x:c r="AI775" s="48" t="n">
        <x:v>1.1920928955078125e-7</x:v>
      </x:c>
      <x:c r="AJ775" s="37" t="str">
        <x:v>passed</x:v>
      </x:c>
    </x:row>
    <x:row r="776" ht="21" customHeight="1">
      <x:c r="A776" s="2"/>
      <x:c r="B776" s="2"/>
      <x:c r="C776" s="2" t="str">
        <x:v>2022</x:v>
      </x:c>
      <x:c r="D776" s="5" t="n">
        <x:v>44841</x:v>
      </x:c>
      <x:c r="E776" s="2" t="str">
        <x:v>duration</x:v>
      </x:c>
      <x:c r="F776" s="37" t="n">
        <x:v>9356662.676728293</x:v>
      </x:c>
      <x:c r="G776" s="37" t="n">
        <x:v>3647303.058527332</x:v>
      </x:c>
      <x:c r="H776" s="37" t="n">
        <x:v>-10807.41834926673</x:v>
      </x:c>
      <x:c r="I776" s="37" t="n">
        <x:v>3658110.4768765983</x:v>
      </x:c>
      <x:c r="J776" s="37" t="n">
        <x:v>10273806.381914444</x:v>
      </x:c>
      <x:c r="K776" s="37" t="n">
        <x:v>6626503.3233871125</x:v>
      </x:c>
      <x:c r="L776" s="37" t="n">
        <x:v>13003965.735255625</x:v>
      </x:c>
      <x:c r="M776" s="37" t="n">
        <x:v>0</x:v>
      </x:c>
      <x:c r="N776" s="37" t="n">
        <x:v>0</x:v>
      </x:c>
      <x:c r="O776" s="37" t="n">
        <x:v>512.665754025802</x:v>
      </x:c>
      <x:c r="P776" s="37" t="n">
        <x:v>0</x:v>
      </x:c>
      <x:c r="Q776" s="37" t="n">
        <x:v>0</x:v>
      </x:c>
      <x:c r="R776" s="37" t="n">
        <x:v>0</x:v>
      </x:c>
      <x:c r="S776" s="37" t="n">
        <x:v>0</x:v>
      </x:c>
      <x:c r="T776" s="37" t="n">
        <x:v>0</x:v>
      </x:c>
      <x:c r="U776" s="37" t="n">
        <x:v>44145.09825237111</x:v>
      </x:c>
      <x:c r="V776" s="37" t="n">
        <x:v>0</x:v>
      </x:c>
      <x:c r="W776" s="37" t="n">
        <x:v>141278.67164035141</x:v>
      </x:c>
      <x:c r="X776" s="37" t="n">
        <x:v>0</x:v>
      </x:c>
      <x:c r="Y776" s="37" t="n">
        <x:v>2008.8241046121334</x:v>
      </x:c>
      <x:c r="Z776" s="37" t="n">
        <x:v>6759033.389854855</x:v>
      </x:c>
      <x:c r="AA776" s="37" t="n">
        <x:v>0</x:v>
      </x:c>
      <x:c r="AB776" s="37" t="n">
        <x:v>6759033.389854855</x:v>
      </x:c>
      <x:c r="AC776" s="37" t="n">
        <x:v>2597629.2868734384</x:v>
      </x:c>
      <x:c r="AD776" s="37" t="n">
        <x:v>0</x:v>
      </x:c>
      <x:c r="AE776" s="37" t="n">
        <x:v>0</x:v>
      </x:c>
      <x:c r="AF776" s="47" t="b">
        <x:v>0</x:v>
      </x:c>
      <x:c r="AG776" s="47" t="b">
        <x:v>0</x:v>
      </x:c>
      <x:c r="AH776" s="48" t="n">
        <x:v>0</x:v>
      </x:c>
      <x:c r="AI776" s="48" t="n">
        <x:v>1.1920928955078125e-7</x:v>
      </x:c>
      <x:c r="AJ776" s="37" t="str">
        <x:v>passed</x:v>
      </x:c>
    </x:row>
    <x:row r="777" ht="21" customHeight="1">
      <x:c r="A777" s="2"/>
      <x:c r="B777" s="2"/>
      <x:c r="C777" s="2" t="str">
        <x:v>2022</x:v>
      </x:c>
      <x:c r="D777" s="5" t="n">
        <x:v>44841</x:v>
      </x:c>
      <x:c r="E777" s="2" t="str">
        <x:v>unweighted</x:v>
      </x:c>
      <x:c r="F777" s="37" t="n">
        <x:v>12608829.00142043</x:v>
      </x:c>
      <x:c r="G777" s="37" t="n">
        <x:v>440807.39093028015</x:v>
      </x:c>
      <x:c r="H777" s="37" t="n">
        <x:v>-16801.243566480272</x:v>
      </x:c>
      <x:c r="I777" s="37" t="n">
        <x:v>457608.63449676044</x:v>
      </x:c>
      <x:c r="J777" s="37" t="n">
        <x:v>10291973.359694099</x:v>
      </x:c>
      <x:c r="K777" s="37" t="n">
        <x:v>9851165.968763819</x:v>
      </x:c>
      <x:c r="L777" s="37" t="n">
        <x:v>13049636.39235071</x:v>
      </x:c>
      <x:c r="M777" s="37" t="n">
        <x:v>0</x:v>
      </x:c>
      <x:c r="N777" s="37" t="n">
        <x:v>0</x:v>
      </x:c>
      <x:c r="O777" s="37" t="n">
        <x:v>690.8568846341223</x:v>
      </x:c>
      <x:c r="P777" s="37" t="n">
        <x:v>0</x:v>
      </x:c>
      <x:c r="Q777" s="37" t="n">
        <x:v>0</x:v>
      </x:c>
      <x:c r="R777" s="37" t="n">
        <x:v>0</x:v>
      </x:c>
      <x:c r="S777" s="37" t="n">
        <x:v>0</x:v>
      </x:c>
      <x:c r="T777" s="37" t="n">
        <x:v>0</x:v>
      </x:c>
      <x:c r="U777" s="37" t="n">
        <x:v>35631.30899120559</x:v>
      </x:c>
      <x:c r="V777" s="37" t="n">
        <x:v>0</x:v>
      </x:c>
      <x:c r="W777" s="37" t="n">
        <x:v>185566.48782241717</x:v>
      </x:c>
      <x:c r="X777" s="37" t="n">
        <x:v>0</x:v>
      </x:c>
      <x:c r="Y777" s="37" t="n">
        <x:v>2298.93929880459</x:v>
      </x:c>
      <x:c r="Z777" s="37" t="n">
        <x:v>10048189.288139096</x:v>
      </x:c>
      <x:c r="AA777" s="37" t="n">
        <x:v>0</x:v>
      </x:c>
      <x:c r="AB777" s="37" t="n">
        <x:v>10048189.288139096</x:v>
      </x:c>
      <x:c r="AC777" s="37" t="n">
        <x:v>2560639.7132813353</x:v>
      </x:c>
      <x:c r="AD777" s="37" t="n">
        <x:v>0</x:v>
      </x:c>
      <x:c r="AE777" s="37" t="n">
        <x:v>0</x:v>
      </x:c>
      <x:c r="AF777" s="47" t="b">
        <x:v>0</x:v>
      </x:c>
      <x:c r="AG777" s="47" t="b">
        <x:v>0</x:v>
      </x:c>
      <x:c r="AH777" s="48" t="n">
        <x:v>0</x:v>
      </x:c>
      <x:c r="AI777" s="48" t="n">
        <x:v>1.1920928955078125e-7</x:v>
      </x:c>
      <x:c r="AJ777" s="37" t="str">
        <x:v>passed</x:v>
      </x:c>
    </x:row>
    <x:row r="778" ht="21" customHeight="1">
      <x:c r="A778" s="2"/>
      <x:c r="B778" s="2"/>
      <x:c r="C778" s="2" t="str">
        <x:v>2022</x:v>
      </x:c>
      <x:c r="D778" s="5" t="n">
        <x:v>44841</x:v>
      </x:c>
      <x:c r="E778" s="2" t="str">
        <x:v>constrained</x:v>
      </x:c>
      <x:c r="F778" s="37" t="n">
        <x:v>13168762.560112935</x:v>
      </x:c>
      <x:c r="G778" s="37" t="n">
        <x:v>-22036.269209476963</x:v>
      </x:c>
      <x:c r="H778" s="37" t="n">
        <x:v>-19237.196691155565</x:v>
      </x:c>
      <x:c r="I778" s="37" t="n">
        <x:v>-2799.072518321398</x:v>
      </x:c>
      <x:c r="J778" s="37" t="n">
        <x:v>10298541.711441372</x:v>
      </x:c>
      <x:c r="K778" s="37" t="n">
        <x:v>10320577.980650848</x:v>
      </x:c>
      <x:c r="L778" s="37" t="n">
        <x:v>13146726.290903458</x:v>
      </x:c>
      <x:c r="M778" s="37" t="n">
        <x:v>0</x:v>
      </x:c>
      <x:c r="N778" s="37" t="n">
        <x:v>0</x:v>
      </x:c>
      <x:c r="O778" s="37" t="n">
        <x:v>721.5364944469184</x:v>
      </x:c>
      <x:c r="P778" s="37" t="n">
        <x:v>0</x:v>
      </x:c>
      <x:c r="Q778" s="37" t="n">
        <x:v>0</x:v>
      </x:c>
      <x:c r="R778" s="37" t="n">
        <x:v>0</x:v>
      </x:c>
      <x:c r="S778" s="37" t="n">
        <x:v>0</x:v>
      </x:c>
      <x:c r="T778" s="37" t="n">
        <x:v>0</x:v>
      </x:c>
      <x:c r="U778" s="37" t="n">
        <x:v>30770.55116020547</x:v>
      </x:c>
      <x:c r="V778" s="37" t="n">
        <x:v>0</x:v>
      </x:c>
      <x:c r="W778" s="37" t="n">
        <x:v>199043.59222234972</x:v>
      </x:c>
      <x:c r="X778" s="37" t="n">
        <x:v>0</x:v>
      </x:c>
      <x:c r="Y778" s="37" t="n">
        <x:v>2397.9830818299747</x:v>
      </x:c>
      <x:c r="Z778" s="37" t="n">
        <x:v>10526989.540263865</x:v>
      </x:c>
      <x:c r="AA778" s="37" t="n">
        <x:v>0</x:v>
      </x:c>
      <x:c r="AB778" s="37" t="n">
        <x:v>10526989.540263865</x:v>
      </x:c>
      <x:c r="AC778" s="37" t="n">
        <x:v>2641773.0198490694</x:v>
      </x:c>
      <x:c r="AD778" s="37" t="n">
        <x:v>0</x:v>
      </x:c>
      <x:c r="AE778" s="37" t="n">
        <x:v>0</x:v>
      </x:c>
      <x:c r="AF778" s="47" t="b">
        <x:v>0</x:v>
      </x:c>
      <x:c r="AG778" s="47" t="b">
        <x:v>0</x:v>
      </x:c>
      <x:c r="AH778" s="48" t="n">
        <x:v>0</x:v>
      </x:c>
      <x:c r="AI778" s="48" t="n">
        <x:v>1.1920928955078125e-7</x:v>
      </x:c>
      <x:c r="AJ778" s="37" t="str">
        <x:v>passed</x:v>
      </x:c>
    </x:row>
    <x:row r="779" ht="21" customHeight="1">
      <x:c r="A779" s="2"/>
      <x:c r="B779" s="2"/>
      <x:c r="C779" s="2" t="str">
        <x:v>2022</x:v>
      </x:c>
      <x:c r="D779" s="5" t="n">
        <x:v>44845</x:v>
      </x:c>
      <x:c r="E779" s="2" t="str">
        <x:v>unhedged</x:v>
      </x:c>
      <x:c r="F779" s="37" t="n">
        <x:v>1319519.8082316793</x:v>
      </x:c>
      <x:c r="G779" s="37" t="n">
        <x:v>10249881.75888116</x:v>
      </x:c>
      <x:c r="H779" s="37" t="n">
        <x:v>35013.58695652174</x:v>
      </x:c>
      <x:c r="I779" s="37" t="n">
        <x:v>10214868.171924638</x:v>
      </x:c>
      <x:c r="J779" s="37" t="n">
        <x:v>10249881.75888116</x:v>
      </x:c>
      <x:c r="K779" s="37" t="n">
        <x:v>0</x:v>
      </x:c>
      <x:c r="L779" s="37" t="n">
        <x:v>11569401.567112839</x:v>
      </x:c>
      <x:c r="M779" s="37" t="n">
        <x:v>0</x:v>
      </x:c>
      <x:c r="N779" s="37" t="n">
        <x:v>0</x:v>
      </x:c>
      <x:c r="O779" s="37" t="n">
        <x:v>289.1702075402718</x:v>
      </x:c>
      <x:c r="P779" s="37" t="n">
        <x:v>0</x:v>
      </x:c>
      <x:c r="Q779" s="37" t="n">
        <x:v>0</x:v>
      </x:c>
      <x:c r="R779" s="37" t="n">
        <x:v>0</x:v>
      </x:c>
      <x:c r="S779" s="37" t="n">
        <x:v>0</x:v>
      </x:c>
      <x:c r="T779" s="37" t="n">
        <x:v>0</x:v>
      </x:c>
      <x:c r="U779" s="37" t="n">
        <x:v>101250</x:v>
      </x:c>
      <x:c r="V779" s="37" t="n">
        <x:v>0</x:v>
      </x:c>
      <x:c r="W779" s="37" t="n">
        <x:v>19444.527548404876</x:v>
      </x:c>
      <x:c r="X779" s="37" t="n">
        <x:v>0</x:v>
      </x:c>
      <x:c r="Y779" s="37" t="n">
        <x:v>1174.7193167256753</x:v>
      </x:c>
      <x:c r="Z779" s="37" t="n">
        <x:v>0</x:v>
      </x:c>
      <x:c r="AA779" s="37" t="n">
        <x:v>0</x:v>
      </x:c>
      <x:c r="AB779" s="37" t="n">
        <x:v>0</x:v>
      </x:c>
      <x:c r="AC779" s="37" t="n">
        <x:v>1319519.8082316793</x:v>
      </x:c>
      <x:c r="AD779" s="37" t="n">
        <x:v>0</x:v>
      </x:c>
      <x:c r="AE779" s="37" t="n">
        <x:v>0</x:v>
      </x:c>
      <x:c r="AF779" s="47" t="b">
        <x:v>0</x:v>
      </x:c>
      <x:c r="AG779" s="47" t="b">
        <x:v>0</x:v>
      </x:c>
      <x:c r="AH779" s="48" t="n">
        <x:v>0</x:v>
      </x:c>
      <x:c r="AI779" s="48" t="n">
        <x:v>1.1920928955078125e-7</x:v>
      </x:c>
      <x:c r="AJ779" s="37" t="str">
        <x:v>passed</x:v>
      </x:c>
    </x:row>
    <x:row r="780" ht="21" customHeight="1">
      <x:c r="A780" s="2"/>
      <x:c r="B780" s="2"/>
      <x:c r="C780" s="2" t="str">
        <x:v>2022</x:v>
      </x:c>
      <x:c r="D780" s="5" t="n">
        <x:v>44845</x:v>
      </x:c>
      <x:c r="E780" s="2" t="str">
        <x:v>duration</x:v>
      </x:c>
      <x:c r="F780" s="37" t="n">
        <x:v>9358713.620672535</x:v>
      </x:c>
      <x:c r="G780" s="37" t="n">
        <x:v>3661170.65911532</x:v>
      </x:c>
      <x:c r="H780" s="37" t="n">
        <x:v>-10647.345632065095</x:v>
      </x:c>
      <x:c r="I780" s="37" t="n">
        <x:v>3671818.004747385</x:v>
      </x:c>
      <x:c r="J780" s="37" t="n">
        <x:v>10249881.75888116</x:v>
      </x:c>
      <x:c r="K780" s="37" t="n">
        <x:v>6588711.09976584</x:v>
      </x:c>
      <x:c r="L780" s="37" t="n">
        <x:v>13019884.279787855</x:v>
      </x:c>
      <x:c r="M780" s="37" t="n">
        <x:v>0</x:v>
      </x:c>
      <x:c r="N780" s="37" t="n">
        <x:v>0</x:v>
      </x:c>
      <x:c r="O780" s="37" t="n">
        <x:v>2050.9439442418516</x:v>
      </x:c>
      <x:c r="P780" s="37" t="n">
        <x:v>0</x:v>
      </x:c>
      <x:c r="Q780" s="37" t="n">
        <x:v>0</x:v>
      </x:c>
      <x:c r="R780" s="37" t="n">
        <x:v>0</x:v>
      </x:c>
      <x:c r="S780" s="37" t="n">
        <x:v>0</x:v>
      </x:c>
      <x:c r="T780" s="37" t="n">
        <x:v>0</x:v>
      </x:c>
      <x:c r="U780" s="37" t="n">
        <x:v>44145.09825237111</x:v>
      </x:c>
      <x:c r="V780" s="37" t="n">
        <x:v>0</x:v>
      </x:c>
      <x:c r="W780" s="37" t="n">
        <x:v>143329.61558459327</x:v>
      </x:c>
      <x:c r="X780" s="37" t="n">
        <x:v>0</x:v>
      </x:c>
      <x:c r="Y780" s="37" t="n">
        <x:v>2008.8241046121334</x:v>
      </x:c>
      <x:c r="Z780" s="37" t="n">
        <x:v>6720485.321761157</x:v>
      </x:c>
      <x:c r="AA780" s="37" t="n">
        <x:v>0</x:v>
      </x:c>
      <x:c r="AB780" s="37" t="n">
        <x:v>6720485.321761157</x:v>
      </x:c>
      <x:c r="AC780" s="37" t="n">
        <x:v>2638228.298911378</x:v>
      </x:c>
      <x:c r="AD780" s="37" t="n">
        <x:v>0</x:v>
      </x:c>
      <x:c r="AE780" s="37" t="n">
        <x:v>0</x:v>
      </x:c>
      <x:c r="AF780" s="47" t="b">
        <x:v>0</x:v>
      </x:c>
      <x:c r="AG780" s="47" t="b">
        <x:v>0</x:v>
      </x:c>
      <x:c r="AH780" s="48" t="n">
        <x:v>0</x:v>
      </x:c>
      <x:c r="AI780" s="48" t="n">
        <x:v>1.1920928955078125e-7</x:v>
      </x:c>
      <x:c r="AJ780" s="37" t="str">
        <x:v>passed</x:v>
      </x:c>
    </x:row>
    <x:row r="781" ht="21" customHeight="1">
      <x:c r="A781" s="2"/>
      <x:c r="B781" s="2"/>
      <x:c r="C781" s="2" t="str">
        <x:v>2022</x:v>
      </x:c>
      <x:c r="D781" s="5" t="n">
        <x:v>44845</x:v>
      </x:c>
      <x:c r="E781" s="2" t="str">
        <x:v>unweighted</x:v>
      </x:c>
      <x:c r="F781" s="37" t="n">
        <x:v>12611592.807531424</x:v>
      </x:c>
      <x:c r="G781" s="37" t="n">
        <x:v>439547.72921957576</x:v>
      </x:c>
      <x:c r="H781" s="37" t="n">
        <x:v>-16877.087082824128</x:v>
      </x:c>
      <x:c r="I781" s="37" t="n">
        <x:v>456424.8163023999</x:v>
      </x:c>
      <x:c r="J781" s="37" t="n">
        <x:v>10267944.251201002</x:v>
      </x:c>
      <x:c r="K781" s="37" t="n">
        <x:v>9828396.521981426</x:v>
      </x:c>
      <x:c r="L781" s="37" t="n">
        <x:v>13051140.536751</x:v>
      </x:c>
      <x:c r="M781" s="37" t="n">
        <x:v>0</x:v>
      </x:c>
      <x:c r="N781" s="37" t="n">
        <x:v>0</x:v>
      </x:c>
      <x:c r="O781" s="37" t="n">
        <x:v>2763.8061109930277</x:v>
      </x:c>
      <x:c r="P781" s="37" t="n">
        <x:v>0</x:v>
      </x:c>
      <x:c r="Q781" s="37" t="n">
        <x:v>0</x:v>
      </x:c>
      <x:c r="R781" s="37" t="n">
        <x:v>0</x:v>
      </x:c>
      <x:c r="S781" s="37" t="n">
        <x:v>0</x:v>
      </x:c>
      <x:c r="T781" s="37" t="n">
        <x:v>0</x:v>
      </x:c>
      <x:c r="U781" s="37" t="n">
        <x:v>35631.30899120559</x:v>
      </x:c>
      <x:c r="V781" s="37" t="n">
        <x:v>0</x:v>
      </x:c>
      <x:c r="W781" s="37" t="n">
        <x:v>188330.2939334102</x:v>
      </x:c>
      <x:c r="X781" s="37" t="n">
        <x:v>0</x:v>
      </x:c>
      <x:c r="Y781" s="37" t="n">
        <x:v>2298.93929880459</x:v>
      </x:c>
      <x:c r="Z781" s="37" t="n">
        <x:v>10024964.452421054</x:v>
      </x:c>
      <x:c r="AA781" s="37" t="n">
        <x:v>0</x:v>
      </x:c>
      <x:c r="AB781" s="37" t="n">
        <x:v>10024964.452421054</x:v>
      </x:c>
      <x:c r="AC781" s="37" t="n">
        <x:v>2586628.3551103696</x:v>
      </x:c>
      <x:c r="AD781" s="37" t="n">
        <x:v>0</x:v>
      </x:c>
      <x:c r="AE781" s="37" t="n">
        <x:v>0</x:v>
      </x:c>
      <x:c r="AF781" s="47" t="b">
        <x:v>0</x:v>
      </x:c>
      <x:c r="AG781" s="47" t="b">
        <x:v>0</x:v>
      </x:c>
      <x:c r="AH781" s="48" t="n">
        <x:v>0</x:v>
      </x:c>
      <x:c r="AI781" s="48" t="n">
        <x:v>1.1920928955078125e-7</x:v>
      </x:c>
      <x:c r="AJ781" s="37" t="str">
        <x:v>passed</x:v>
      </x:c>
    </x:row>
    <x:row r="782" ht="21" customHeight="1">
      <x:c r="A782" s="2"/>
      <x:c r="B782" s="2"/>
      <x:c r="C782" s="2" t="str">
        <x:v>2022</x:v>
      </x:c>
      <x:c r="D782" s="5" t="n">
        <x:v>44845</x:v>
      </x:c>
      <x:c r="E782" s="2" t="str">
        <x:v>constrained</x:v>
      </x:c>
      <x:c r="F782" s="37" t="n">
        <x:v>13171649.101474846</x:v>
      </x:c>
      <x:c r="G782" s="37" t="n">
        <x:v>-22835.62262863289</x:v>
      </x:c>
      <x:c r="H782" s="37" t="n">
        <x:v>-19385.797143781205</x:v>
      </x:c>
      <x:c r="I782" s="37" t="n">
        <x:v>-3449.8254848516845</x:v>
      </x:c>
      <x:c r="J782" s="37" t="n">
        <x:v>10274481.81528854</x:v>
      </x:c>
      <x:c r="K782" s="37" t="n">
        <x:v>10297317.437917173</x:v>
      </x:c>
      <x:c r="L782" s="37" t="n">
        <x:v>13148813.478846213</x:v>
      </x:c>
      <x:c r="M782" s="37" t="n">
        <x:v>0</x:v>
      </x:c>
      <x:c r="N782" s="37" t="n">
        <x:v>0</x:v>
      </x:c>
      <x:c r="O782" s="37" t="n">
        <x:v>2886.5413619112223</x:v>
      </x:c>
      <x:c r="P782" s="37" t="n">
        <x:v>0</x:v>
      </x:c>
      <x:c r="Q782" s="37" t="n">
        <x:v>0</x:v>
      </x:c>
      <x:c r="R782" s="37" t="n">
        <x:v>0</x:v>
      </x:c>
      <x:c r="S782" s="37" t="n">
        <x:v>0</x:v>
      </x:c>
      <x:c r="T782" s="37" t="n">
        <x:v>0</x:v>
      </x:c>
      <x:c r="U782" s="37" t="n">
        <x:v>30770.55116020547</x:v>
      </x:c>
      <x:c r="V782" s="37" t="n">
        <x:v>0</x:v>
      </x:c>
      <x:c r="W782" s="37" t="n">
        <x:v>201930.13358426094</x:v>
      </x:c>
      <x:c r="X782" s="37" t="n">
        <x:v>0</x:v>
      </x:c>
      <x:c r="Y782" s="37" t="n">
        <x:v>2397.9830818299747</x:v>
      </x:c>
      <x:c r="Z782" s="37" t="n">
        <x:v>10503263.786675517</x:v>
      </x:c>
      <x:c r="AA782" s="37" t="n">
        <x:v>0</x:v>
      </x:c>
      <x:c r="AB782" s="37" t="n">
        <x:v>10503263.786675517</x:v>
      </x:c>
      <x:c r="AC782" s="37" t="n">
        <x:v>2668385.3147993293</x:v>
      </x:c>
      <x:c r="AD782" s="37" t="n">
        <x:v>0</x:v>
      </x:c>
      <x:c r="AE782" s="37" t="n">
        <x:v>0</x:v>
      </x:c>
      <x:c r="AF782" s="47" t="b">
        <x:v>0</x:v>
      </x:c>
      <x:c r="AG782" s="47" t="b">
        <x:v>0</x:v>
      </x:c>
      <x:c r="AH782" s="48" t="n">
        <x:v>0</x:v>
      </x:c>
      <x:c r="AI782" s="48" t="n">
        <x:v>1.1920928955078125e-7</x:v>
      </x:c>
      <x:c r="AJ782" s="37" t="str">
        <x:v>passed</x:v>
      </x:c>
    </x:row>
    <x:row r="783" ht="21" customHeight="1">
      <x:c r="A783" s="2"/>
      <x:c r="B783" s="2"/>
      <x:c r="C783" s="2" t="str">
        <x:v>2022</x:v>
      </x:c>
      <x:c r="D783" s="5" t="n">
        <x:v>44846</x:v>
      </x:c>
      <x:c r="E783" s="2" t="str">
        <x:v>unhedged</x:v>
      </x:c>
      <x:c r="F783" s="37" t="n">
        <x:v>1319592.1106869248</x:v>
      </x:c>
      <x:c r="G783" s="37" t="n">
        <x:v>10265236.363047402</x:v>
      </x:c>
      <x:c r="H783" s="37" t="n">
        <x:v>35360.05434782609</x:v>
      </x:c>
      <x:c r="I783" s="37" t="n">
        <x:v>10229876.308699576</x:v>
      </x:c>
      <x:c r="J783" s="37" t="n">
        <x:v>10265236.363047402</x:v>
      </x:c>
      <x:c r="K783" s="37" t="n">
        <x:v>0</x:v>
      </x:c>
      <x:c r="L783" s="37" t="n">
        <x:v>11584828.473734327</x:v>
      </x:c>
      <x:c r="M783" s="37" t="n">
        <x:v>0</x:v>
      </x:c>
      <x:c r="N783" s="37" t="n">
        <x:v>0</x:v>
      </x:c>
      <x:c r="O783" s="37" t="n">
        <x:v>72.3024552455172</x:v>
      </x:c>
      <x:c r="P783" s="37" t="n">
        <x:v>0</x:v>
      </x:c>
      <x:c r="Q783" s="37" t="n">
        <x:v>0</x:v>
      </x:c>
      <x:c r="R783" s="37" t="n">
        <x:v>0</x:v>
      </x:c>
      <x:c r="S783" s="37" t="n">
        <x:v>0</x:v>
      </x:c>
      <x:c r="T783" s="37" t="n">
        <x:v>0</x:v>
      </x:c>
      <x:c r="U783" s="37" t="n">
        <x:v>101250</x:v>
      </x:c>
      <x:c r="V783" s="37" t="n">
        <x:v>0</x:v>
      </x:c>
      <x:c r="W783" s="37" t="n">
        <x:v>19516.830003650393</x:v>
      </x:c>
      <x:c r="X783" s="37" t="n">
        <x:v>0</x:v>
      </x:c>
      <x:c r="Y783" s="37" t="n">
        <x:v>1174.7193167256753</x:v>
      </x:c>
      <x:c r="Z783" s="37" t="n">
        <x:v>0</x:v>
      </x:c>
      <x:c r="AA783" s="37" t="n">
        <x:v>0</x:v>
      </x:c>
      <x:c r="AB783" s="37" t="n">
        <x:v>0</x:v>
      </x:c>
      <x:c r="AC783" s="37" t="n">
        <x:v>1319592.1106869248</x:v>
      </x:c>
      <x:c r="AD783" s="37" t="n">
        <x:v>0</x:v>
      </x:c>
      <x:c r="AE783" s="37" t="n">
        <x:v>0</x:v>
      </x:c>
      <x:c r="AF783" s="47" t="b">
        <x:v>0</x:v>
      </x:c>
      <x:c r="AG783" s="47" t="b">
        <x:v>0</x:v>
      </x:c>
      <x:c r="AH783" s="48" t="n">
        <x:v>0</x:v>
      </x:c>
      <x:c r="AI783" s="48" t="n">
        <x:v>1.1920928955078125e-7</x:v>
      </x:c>
      <x:c r="AJ783" s="37" t="str">
        <x:v>passed</x:v>
      </x:c>
    </x:row>
    <x:row r="784" ht="21" customHeight="1">
      <x:c r="A784" s="2"/>
      <x:c r="B784" s="2"/>
      <x:c r="C784" s="2" t="str">
        <x:v>2022</x:v>
      </x:c>
      <x:c r="D784" s="5" t="n">
        <x:v>44846</x:v>
      </x:c>
      <x:c r="E784" s="2" t="str">
        <x:v>duration</x:v>
      </x:c>
      <x:c r="F784" s="37" t="n">
        <x:v>9359226.426898325</x:v>
      </x:c>
      <x:c r="G784" s="37" t="n">
        <x:v>3661538.0582351247</x:v>
      </x:c>
      <x:c r="H784" s="37" t="n">
        <x:v>-10607.32745276469</x:v>
      </x:c>
      <x:c r="I784" s="37" t="n">
        <x:v>3672145.3856878895</x:v>
      </x:c>
      <x:c r="J784" s="37" t="n">
        <x:v>10265236.363047402</x:v>
      </x:c>
      <x:c r="K784" s="37" t="n">
        <x:v>6603698.304812279</x:v>
      </x:c>
      <x:c r="L784" s="37" t="n">
        <x:v>13020764.48513345</x:v>
      </x:c>
      <x:c r="M784" s="37" t="n">
        <x:v>0</x:v>
      </x:c>
      <x:c r="N784" s="37" t="n">
        <x:v>0</x:v>
      </x:c>
      <x:c r="O784" s="37" t="n">
        <x:v>512.8062257897109</x:v>
      </x:c>
      <x:c r="P784" s="37" t="n">
        <x:v>0</x:v>
      </x:c>
      <x:c r="Q784" s="37" t="n">
        <x:v>0</x:v>
      </x:c>
      <x:c r="R784" s="37" t="n">
        <x:v>0</x:v>
      </x:c>
      <x:c r="S784" s="37" t="n">
        <x:v>0</x:v>
      </x:c>
      <x:c r="T784" s="37" t="n">
        <x:v>0</x:v>
      </x:c>
      <x:c r="U784" s="37" t="n">
        <x:v>44145.09825237111</x:v>
      </x:c>
      <x:c r="V784" s="37" t="n">
        <x:v>0</x:v>
      </x:c>
      <x:c r="W784" s="37" t="n">
        <x:v>143842.42181038298</x:v>
      </x:c>
      <x:c r="X784" s="37" t="n">
        <x:v>0</x:v>
      </x:c>
      <x:c r="Y784" s="37" t="n">
        <x:v>2008.8241046121334</x:v>
      </x:c>
      <x:c r="Z784" s="37" t="n">
        <x:v>6735772.270908524</x:v>
      </x:c>
      <x:c r="AA784" s="37" t="n">
        <x:v>0</x:v>
      </x:c>
      <x:c r="AB784" s="37" t="n">
        <x:v>6735772.270908524</x:v>
      </x:c>
      <x:c r="AC784" s="37" t="n">
        <x:v>2623454.1559898006</x:v>
      </x:c>
      <x:c r="AD784" s="37" t="n">
        <x:v>0</x:v>
      </x:c>
      <x:c r="AE784" s="37" t="n">
        <x:v>0</x:v>
      </x:c>
      <x:c r="AF784" s="47" t="b">
        <x:v>0</x:v>
      </x:c>
      <x:c r="AG784" s="47" t="b">
        <x:v>0</x:v>
      </x:c>
      <x:c r="AH784" s="48" t="n">
        <x:v>0</x:v>
      </x:c>
      <x:c r="AI784" s="48" t="n">
        <x:v>1.1920928955078125e-7</x:v>
      </x:c>
      <x:c r="AJ784" s="37" t="str">
        <x:v>passed</x:v>
      </x:c>
    </x:row>
    <x:row r="785" ht="21" customHeight="1">
      <x:c r="A785" s="2"/>
      <x:c r="B785" s="2"/>
      <x:c r="C785" s="2" t="str">
        <x:v>2022</x:v>
      </x:c>
      <x:c r="D785" s="5" t="n">
        <x:v>44846</x:v>
      </x:c>
      <x:c r="E785" s="2" t="str">
        <x:v>unweighted</x:v>
      </x:c>
      <x:c r="F785" s="37" t="n">
        <x:v>12612283.853712657</x:v>
      </x:c>
      <x:c r="G785" s="37" t="n">
        <x:v>440286.82658671186</x:v>
      </x:c>
      <x:c r="H785" s="37" t="n">
        <x:v>-16896.047961910106</x:v>
      </x:c>
      <x:c r="I785" s="37" t="n">
        <x:v>457182.87454862194</x:v>
      </x:c>
      <x:c r="J785" s="37" t="n">
        <x:v>10283343.101942133</x:v>
      </x:c>
      <x:c r="K785" s="37" t="n">
        <x:v>9843056.275355421</x:v>
      </x:c>
      <x:c r="L785" s="37" t="n">
        <x:v>13052570.68029937</x:v>
      </x:c>
      <x:c r="M785" s="37" t="n">
        <x:v>0</x:v>
      </x:c>
      <x:c r="N785" s="37" t="n">
        <x:v>0</x:v>
      </x:c>
      <x:c r="O785" s="37" t="n">
        <x:v>691.0461812335998</x:v>
      </x:c>
      <x:c r="P785" s="37" t="n">
        <x:v>0</x:v>
      </x:c>
      <x:c r="Q785" s="37" t="n">
        <x:v>0</x:v>
      </x:c>
      <x:c r="R785" s="37" t="n">
        <x:v>0</x:v>
      </x:c>
      <x:c r="S785" s="37" t="n">
        <x:v>0</x:v>
      </x:c>
      <x:c r="T785" s="37" t="n">
        <x:v>0</x:v>
      </x:c>
      <x:c r="U785" s="37" t="n">
        <x:v>35631.30899120559</x:v>
      </x:c>
      <x:c r="V785" s="37" t="n">
        <x:v>0</x:v>
      </x:c>
      <x:c r="W785" s="37" t="n">
        <x:v>189021.3401146438</x:v>
      </x:c>
      <x:c r="X785" s="37" t="n">
        <x:v>0</x:v>
      </x:c>
      <x:c r="Y785" s="37" t="n">
        <x:v>2298.93929880459</x:v>
      </x:c>
      <x:c r="Z785" s="37" t="n">
        <x:v>10039917.40086253</x:v>
      </x:c>
      <x:c r="AA785" s="37" t="n">
        <x:v>0</x:v>
      </x:c>
      <x:c r="AB785" s="37" t="n">
        <x:v>10039917.40086253</x:v>
      </x:c>
      <x:c r="AC785" s="37" t="n">
        <x:v>2572366.4528501276</x:v>
      </x:c>
      <x:c r="AD785" s="37" t="n">
        <x:v>0</x:v>
      </x:c>
      <x:c r="AE785" s="37" t="n">
        <x:v>0</x:v>
      </x:c>
      <x:c r="AF785" s="47" t="b">
        <x:v>0</x:v>
      </x:c>
      <x:c r="AG785" s="47" t="b">
        <x:v>0</x:v>
      </x:c>
      <x:c r="AH785" s="48" t="n">
        <x:v>0</x:v>
      </x:c>
      <x:c r="AI785" s="48" t="n">
        <x:v>1.1920928955078125e-7</x:v>
      </x:c>
      <x:c r="AJ785" s="37" t="str">
        <x:v>passed</x:v>
      </x:c>
    </x:row>
    <x:row r="786" ht="21" customHeight="1">
      <x:c r="A786" s="2"/>
      <x:c r="B786" s="2"/>
      <x:c r="C786" s="2" t="str">
        <x:v>2022</x:v>
      </x:c>
      <x:c r="D786" s="5" t="n">
        <x:v>44846</x:v>
      </x:c>
      <x:c r="E786" s="2" t="str">
        <x:v>constrained</x:v>
      </x:c>
      <x:c r="F786" s="37" t="n">
        <x:v>13172370.835672185</x:v>
      </x:c>
      <x:c r="G786" s="37" t="n">
        <x:v>-22740.201452702324</x:v>
      </x:c>
      <x:c r="H786" s="37" t="n">
        <x:v>-19422.947256937623</x:v>
      </x:c>
      <x:c r="I786" s="37" t="n">
        <x:v>-3317.254195764701</x:v>
      </x:c>
      <x:c r="J786" s="37" t="n">
        <x:v>10289896.642924448</x:v>
      </x:c>
      <x:c r="K786" s="37" t="n">
        <x:v>10312636.84437715</x:v>
      </x:c>
      <x:c r="L786" s="37" t="n">
        <x:v>13149630.634219483</x:v>
      </x:c>
      <x:c r="M786" s="37" t="n">
        <x:v>0</x:v>
      </x:c>
      <x:c r="N786" s="37" t="n">
        <x:v>0</x:v>
      </x:c>
      <x:c r="O786" s="37" t="n">
        <x:v>721.734197339043</x:v>
      </x:c>
      <x:c r="P786" s="37" t="n">
        <x:v>0</x:v>
      </x:c>
      <x:c r="Q786" s="37" t="n">
        <x:v>0</x:v>
      </x:c>
      <x:c r="R786" s="37" t="n">
        <x:v>0</x:v>
      </x:c>
      <x:c r="S786" s="37" t="n">
        <x:v>0</x:v>
      </x:c>
      <x:c r="T786" s="37" t="n">
        <x:v>0</x:v>
      </x:c>
      <x:c r="U786" s="37" t="n">
        <x:v>30770.55116020547</x:v>
      </x:c>
      <x:c r="V786" s="37" t="n">
        <x:v>0</x:v>
      </x:c>
      <x:c r="W786" s="37" t="n">
        <x:v>202651.86778159998</x:v>
      </x:c>
      <x:c r="X786" s="37" t="n">
        <x:v>0</x:v>
      </x:c>
      <x:c r="Y786" s="37" t="n">
        <x:v>2397.9830818299747</x:v>
      </x:c>
      <x:c r="Z786" s="37" t="n">
        <x:v>10518889.581264693</x:v>
      </x:c>
      <x:c r="AA786" s="37" t="n">
        <x:v>0</x:v>
      </x:c>
      <x:c r="AB786" s="37" t="n">
        <x:v>10518889.581264693</x:v>
      </x:c>
      <x:c r="AC786" s="37" t="n">
        <x:v>2653481.2544074915</x:v>
      </x:c>
      <x:c r="AD786" s="37" t="n">
        <x:v>0</x:v>
      </x:c>
      <x:c r="AE786" s="37" t="n">
        <x:v>0</x:v>
      </x:c>
      <x:c r="AF786" s="47" t="b">
        <x:v>0</x:v>
      </x:c>
      <x:c r="AG786" s="47" t="b">
        <x:v>0</x:v>
      </x:c>
      <x:c r="AH786" s="48" t="n">
        <x:v>0</x:v>
      </x:c>
      <x:c r="AI786" s="48" t="n">
        <x:v>1.1920928955078125e-7</x:v>
      </x:c>
      <x:c r="AJ786" s="37" t="str">
        <x:v>passed</x:v>
      </x:c>
    </x:row>
    <x:row r="787" ht="21" customHeight="1">
      <x:c r="A787" s="2"/>
      <x:c r="B787" s="2"/>
      <x:c r="C787" s="2" t="str">
        <x:v>2022</x:v>
      </x:c>
      <x:c r="D787" s="5" t="n">
        <x:v>44847</x:v>
      </x:c>
      <x:c r="E787" s="2" t="str">
        <x:v>unhedged</x:v>
      </x:c>
      <x:c r="F787" s="37" t="n">
        <x:v>1319664.417103949</x:v>
      </x:c>
      <x:c r="G787" s="37" t="n">
        <x:v>10222711.026782624</x:v>
      </x:c>
      <x:c r="H787" s="37" t="n">
        <x:v>35706.52173913043</x:v>
      </x:c>
      <x:c r="I787" s="37" t="n">
        <x:v>10187004.505043494</x:v>
      </x:c>
      <x:c r="J787" s="37" t="n">
        <x:v>10222711.026782624</x:v>
      </x:c>
      <x:c r="K787" s="37" t="n">
        <x:v>0</x:v>
      </x:c>
      <x:c r="L787" s="37" t="n">
        <x:v>11542375.443886574</x:v>
      </x:c>
      <x:c r="M787" s="37" t="n">
        <x:v>0</x:v>
      </x:c>
      <x:c r="N787" s="37" t="n">
        <x:v>0</x:v>
      </x:c>
      <x:c r="O787" s="37" t="n">
        <x:v>72.30641702422872</x:v>
      </x:c>
      <x:c r="P787" s="37" t="n">
        <x:v>0</x:v>
      </x:c>
      <x:c r="Q787" s="37" t="n">
        <x:v>0</x:v>
      </x:c>
      <x:c r="R787" s="37" t="n">
        <x:v>0</x:v>
      </x:c>
      <x:c r="S787" s="37" t="n">
        <x:v>0</x:v>
      </x:c>
      <x:c r="T787" s="37" t="n">
        <x:v>0</x:v>
      </x:c>
      <x:c r="U787" s="37" t="n">
        <x:v>101250</x:v>
      </x:c>
      <x:c r="V787" s="37" t="n">
        <x:v>0</x:v>
      </x:c>
      <x:c r="W787" s="37" t="n">
        <x:v>19589.136420674622</x:v>
      </x:c>
      <x:c r="X787" s="37" t="n">
        <x:v>0</x:v>
      </x:c>
      <x:c r="Y787" s="37" t="n">
        <x:v>1174.7193167256753</x:v>
      </x:c>
      <x:c r="Z787" s="37" t="n">
        <x:v>0</x:v>
      </x:c>
      <x:c r="AA787" s="37" t="n">
        <x:v>0</x:v>
      </x:c>
      <x:c r="AB787" s="37" t="n">
        <x:v>0</x:v>
      </x:c>
      <x:c r="AC787" s="37" t="n">
        <x:v>1319664.417103949</x:v>
      </x:c>
      <x:c r="AD787" s="37" t="n">
        <x:v>0</x:v>
      </x:c>
      <x:c r="AE787" s="37" t="n">
        <x:v>0</x:v>
      </x:c>
      <x:c r="AF787" s="47" t="b">
        <x:v>0</x:v>
      </x:c>
      <x:c r="AG787" s="47" t="b">
        <x:v>0</x:v>
      </x:c>
      <x:c r="AH787" s="48" t="n">
        <x:v>0</x:v>
      </x:c>
      <x:c r="AI787" s="48" t="n">
        <x:v>1.1920928955078125e-7</x:v>
      </x:c>
      <x:c r="AJ787" s="37" t="str">
        <x:v>passed</x:v>
      </x:c>
    </x:row>
    <x:row r="788" ht="21" customHeight="1">
      <x:c r="A788" s="2"/>
      <x:c r="B788" s="2"/>
      <x:c r="C788" s="2" t="str">
        <x:v>2022</x:v>
      </x:c>
      <x:c r="D788" s="5" t="n">
        <x:v>44847</x:v>
      </x:c>
      <x:c r="E788" s="2" t="str">
        <x:v>duration</x:v>
      </x:c>
      <x:c r="F788" s="37" t="n">
        <x:v>9359739.261223089</x:v>
      </x:c>
      <x:c r="G788" s="37" t="n">
        <x:v>3651289.358965598</x:v>
      </x:c>
      <x:c r="H788" s="37" t="n">
        <x:v>-10567.309273464285</x:v>
      </x:c>
      <x:c r="I788" s="37" t="n">
        <x:v>3661856.668239062</x:v>
      </x:c>
      <x:c r="J788" s="37" t="n">
        <x:v>10222711.026782624</x:v>
      </x:c>
      <x:c r="K788" s="37" t="n">
        <x:v>6571421.667817025</x:v>
      </x:c>
      <x:c r="L788" s="37" t="n">
        <x:v>13011028.620188687</x:v>
      </x:c>
      <x:c r="M788" s="37" t="n">
        <x:v>0</x:v>
      </x:c>
      <x:c r="N788" s="37" t="n">
        <x:v>0</x:v>
      </x:c>
      <x:c r="O788" s="37" t="n">
        <x:v>512.8343247640878</x:v>
      </x:c>
      <x:c r="P788" s="37" t="n">
        <x:v>0</x:v>
      </x:c>
      <x:c r="Q788" s="37" t="n">
        <x:v>0</x:v>
      </x:c>
      <x:c r="R788" s="37" t="n">
        <x:v>0</x:v>
      </x:c>
      <x:c r="S788" s="37" t="n">
        <x:v>0</x:v>
      </x:c>
      <x:c r="T788" s="37" t="n">
        <x:v>0</x:v>
      </x:c>
      <x:c r="U788" s="37" t="n">
        <x:v>44145.09825237111</x:v>
      </x:c>
      <x:c r="V788" s="37" t="n">
        <x:v>0</x:v>
      </x:c>
      <x:c r="W788" s="37" t="n">
        <x:v>144355.25613514706</x:v>
      </x:c>
      <x:c r="X788" s="37" t="n">
        <x:v>0</x:v>
      </x:c>
      <x:c r="Y788" s="37" t="n">
        <x:v>2008.8241046121334</x:v>
      </x:c>
      <x:c r="Z788" s="37" t="n">
        <x:v>6702850.101173366</x:v>
      </x:c>
      <x:c r="AA788" s="37" t="n">
        <x:v>0</x:v>
      </x:c>
      <x:c r="AB788" s="37" t="n">
        <x:v>6702850.101173366</x:v>
      </x:c>
      <x:c r="AC788" s="37" t="n">
        <x:v>2656889.1600497225</x:v>
      </x:c>
      <x:c r="AD788" s="37" t="n">
        <x:v>0</x:v>
      </x:c>
      <x:c r="AE788" s="37" t="n">
        <x:v>0</x:v>
      </x:c>
      <x:c r="AF788" s="47" t="b">
        <x:v>0</x:v>
      </x:c>
      <x:c r="AG788" s="47" t="b">
        <x:v>0</x:v>
      </x:c>
      <x:c r="AH788" s="48" t="n">
        <x:v>0</x:v>
      </x:c>
      <x:c r="AI788" s="48" t="n">
        <x:v>1.1920928955078125e-7</x:v>
      </x:c>
      <x:c r="AJ788" s="37" t="str">
        <x:v>passed</x:v>
      </x:c>
    </x:row>
    <x:row r="789" ht="21" customHeight="1">
      <x:c r="A789" s="2"/>
      <x:c r="B789" s="2"/>
      <x:c r="C789" s="2" t="str">
        <x:v>2022</x:v>
      </x:c>
      <x:c r="D789" s="5" t="n">
        <x:v>44847</x:v>
      </x:c>
      <x:c r="E789" s="2" t="str">
        <x:v>unweighted</x:v>
      </x:c>
      <x:c r="F789" s="37" t="n">
        <x:v>12612974.937759439</x:v>
      </x:c>
      <x:c r="G789" s="37" t="n">
        <x:v>438406.48093202437</x:v>
      </x:c>
      <x:c r="H789" s="37" t="n">
        <x:v>-16915.00884099607</x:v>
      </x:c>
      <x:c r="I789" s="37" t="n">
        <x:v>455321.48977302044</x:v>
      </x:c>
      <x:c r="J789" s="37" t="n">
        <x:v>10240666.353013242</x:v>
      </x:c>
      <x:c r="K789" s="37" t="n">
        <x:v>9802259.872081216</x:v>
      </x:c>
      <x:c r="L789" s="37" t="n">
        <x:v>13051381.418691464</x:v>
      </x:c>
      <x:c r="M789" s="37" t="n">
        <x:v>0</x:v>
      </x:c>
      <x:c r="N789" s="37" t="n">
        <x:v>0</x:v>
      </x:c>
      <x:c r="O789" s="37" t="n">
        <x:v>691.0840467810631</x:v>
      </x:c>
      <x:c r="P789" s="37" t="n">
        <x:v>0</x:v>
      </x:c>
      <x:c r="Q789" s="37" t="n">
        <x:v>0</x:v>
      </x:c>
      <x:c r="R789" s="37" t="n">
        <x:v>0</x:v>
      </x:c>
      <x:c r="S789" s="37" t="n">
        <x:v>0</x:v>
      </x:c>
      <x:c r="T789" s="37" t="n">
        <x:v>0</x:v>
      </x:c>
      <x:c r="U789" s="37" t="n">
        <x:v>35631.30899120559</x:v>
      </x:c>
      <x:c r="V789" s="37" t="n">
        <x:v>0</x:v>
      </x:c>
      <x:c r="W789" s="37" t="n">
        <x:v>189712.42416142486</x:v>
      </x:c>
      <x:c r="X789" s="37" t="n">
        <x:v>0</x:v>
      </x:c>
      <x:c r="Y789" s="37" t="n">
        <x:v>2298.93929880459</x:v>
      </x:c>
      <x:c r="Z789" s="37" t="n">
        <x:v>9998305.06952284</x:v>
      </x:c>
      <x:c r="AA789" s="37" t="n">
        <x:v>0</x:v>
      </x:c>
      <x:c r="AB789" s="37" t="n">
        <x:v>9998305.06952284</x:v>
      </x:c>
      <x:c r="AC789" s="37" t="n">
        <x:v>2614669.8682365976</x:v>
      </x:c>
      <x:c r="AD789" s="37" t="n">
        <x:v>0</x:v>
      </x:c>
      <x:c r="AE789" s="37" t="n">
        <x:v>0</x:v>
      </x:c>
      <x:c r="AF789" s="47" t="b">
        <x:v>0</x:v>
      </x:c>
      <x:c r="AG789" s="47" t="b">
        <x:v>0</x:v>
      </x:c>
      <x:c r="AH789" s="48" t="n">
        <x:v>0</x:v>
      </x:c>
      <x:c r="AI789" s="48" t="n">
        <x:v>1.1920928955078125e-7</x:v>
      </x:c>
      <x:c r="AJ789" s="37" t="str">
        <x:v>passed</x:v>
      </x:c>
    </x:row>
    <x:row r="790" ht="21" customHeight="1">
      <x:c r="A790" s="2"/>
      <x:c r="B790" s="2"/>
      <x:c r="C790" s="2" t="str">
        <x:v>2022</x:v>
      </x:c>
      <x:c r="D790" s="5" t="n">
        <x:v>44847</x:v>
      </x:c>
      <x:c r="E790" s="2" t="str">
        <x:v>constrained</x:v>
      </x:c>
      <x:c r="F790" s="37" t="n">
        <x:v>13173092.609416608</x:v>
      </x:c>
      <x:c r="G790" s="37" t="n">
        <x:v>-22491.043945504007</x:v>
      </x:c>
      <x:c r="H790" s="37" t="n">
        <x:v>-19460.097370094034</x:v>
      </x:c>
      <x:c r="I790" s="37" t="n">
        <x:v>-3030.946575409973</x:v>
      </x:c>
      <x:c r="J790" s="37" t="n">
        <x:v>10247169.342322676</x:v>
      </x:c>
      <x:c r="K790" s="37" t="n">
        <x:v>10269660.38626818</x:v>
      </x:c>
      <x:c r="L790" s="37" t="n">
        <x:v>13150601.565471103</x:v>
      </x:c>
      <x:c r="M790" s="37" t="n">
        <x:v>0</x:v>
      </x:c>
      <x:c r="N790" s="37" t="n">
        <x:v>0</x:v>
      </x:c>
      <x:c r="O790" s="37" t="n">
        <x:v>721.7737444229424</x:v>
      </x:c>
      <x:c r="P790" s="37" t="n">
        <x:v>0</x:v>
      </x:c>
      <x:c r="Q790" s="37" t="n">
        <x:v>0</x:v>
      </x:c>
      <x:c r="R790" s="37" t="n">
        <x:v>0</x:v>
      </x:c>
      <x:c r="S790" s="37" t="n">
        <x:v>0</x:v>
      </x:c>
      <x:c r="T790" s="37" t="n">
        <x:v>0</x:v>
      </x:c>
      <x:c r="U790" s="37" t="n">
        <x:v>30770.55116020547</x:v>
      </x:c>
      <x:c r="V790" s="37" t="n">
        <x:v>0</x:v>
      </x:c>
      <x:c r="W790" s="37" t="n">
        <x:v>203373.64152602293</x:v>
      </x:c>
      <x:c r="X790" s="37" t="n">
        <x:v>0</x:v>
      </x:c>
      <x:c r="Y790" s="37" t="n">
        <x:v>2397.9830818299747</x:v>
      </x:c>
      <x:c r="Z790" s="37" t="n">
        <x:v>10475053.593993543</x:v>
      </x:c>
      <x:c r="AA790" s="37" t="n">
        <x:v>0</x:v>
      </x:c>
      <x:c r="AB790" s="37" t="n">
        <x:v>10475053.593993543</x:v>
      </x:c>
      <x:c r="AC790" s="37" t="n">
        <x:v>2698039.015423065</x:v>
      </x:c>
      <x:c r="AD790" s="37" t="n">
        <x:v>0</x:v>
      </x:c>
      <x:c r="AE790" s="37" t="n">
        <x:v>0</x:v>
      </x:c>
      <x:c r="AF790" s="47" t="b">
        <x:v>0</x:v>
      </x:c>
      <x:c r="AG790" s="47" t="b">
        <x:v>0</x:v>
      </x:c>
      <x:c r="AH790" s="48" t="n">
        <x:v>0</x:v>
      </x:c>
      <x:c r="AI790" s="48" t="n">
        <x:v>1.1920928955078125e-7</x:v>
      </x:c>
      <x:c r="AJ790" s="37" t="str">
        <x:v>passed</x:v>
      </x:c>
    </x:row>
    <x:row r="791" ht="21" customHeight="1">
      <x:c r="A791" s="2"/>
      <x:c r="B791" s="2"/>
      <x:c r="C791" s="2" t="str">
        <x:v>2022</x:v>
      </x:c>
      <x:c r="D791" s="5" t="n">
        <x:v>44848</x:v>
      </x:c>
      <x:c r="E791" s="2" t="str">
        <x:v>unhedged</x:v>
      </x:c>
      <x:c r="F791" s="37" t="n">
        <x:v>1319736.7274829685</x:v>
      </x:c>
      <x:c r="G791" s="37" t="n">
        <x:v>10203251.123112807</x:v>
      </x:c>
      <x:c r="H791" s="37" t="n">
        <x:v>36052.989130434784</x:v>
      </x:c>
      <x:c r="I791" s="37" t="n">
        <x:v>10167198.133982372</x:v>
      </x:c>
      <x:c r="J791" s="37" t="n">
        <x:v>10203251.123112807</x:v>
      </x:c>
      <x:c r="K791" s="37" t="n">
        <x:v>0</x:v>
      </x:c>
      <x:c r="L791" s="37" t="n">
        <x:v>11522987.850595776</x:v>
      </x:c>
      <x:c r="M791" s="37" t="n">
        <x:v>0</x:v>
      </x:c>
      <x:c r="N791" s="37" t="n">
        <x:v>0</x:v>
      </x:c>
      <x:c r="O791" s="37" t="n">
        <x:v>72.31037901947275</x:v>
      </x:c>
      <x:c r="P791" s="37" t="n">
        <x:v>0</x:v>
      </x:c>
      <x:c r="Q791" s="37" t="n">
        <x:v>0</x:v>
      </x:c>
      <x:c r="R791" s="37" t="n">
        <x:v>0</x:v>
      </x:c>
      <x:c r="S791" s="37" t="n">
        <x:v>0</x:v>
      </x:c>
      <x:c r="T791" s="37" t="n">
        <x:v>0</x:v>
      </x:c>
      <x:c r="U791" s="37" t="n">
        <x:v>101250</x:v>
      </x:c>
      <x:c r="V791" s="37" t="n">
        <x:v>0</x:v>
      </x:c>
      <x:c r="W791" s="37" t="n">
        <x:v>19661.446799694095</x:v>
      </x:c>
      <x:c r="X791" s="37" t="n">
        <x:v>0</x:v>
      </x:c>
      <x:c r="Y791" s="37" t="n">
        <x:v>1174.7193167256753</x:v>
      </x:c>
      <x:c r="Z791" s="37" t="n">
        <x:v>0</x:v>
      </x:c>
      <x:c r="AA791" s="37" t="n">
        <x:v>0</x:v>
      </x:c>
      <x:c r="AB791" s="37" t="n">
        <x:v>0</x:v>
      </x:c>
      <x:c r="AC791" s="37" t="n">
        <x:v>1319736.7274829685</x:v>
      </x:c>
      <x:c r="AD791" s="37" t="n">
        <x:v>0</x:v>
      </x:c>
      <x:c r="AE791" s="37" t="n">
        <x:v>0</x:v>
      </x:c>
      <x:c r="AF791" s="47" t="b">
        <x:v>0</x:v>
      </x:c>
      <x:c r="AG791" s="47" t="b">
        <x:v>0</x:v>
      </x:c>
      <x:c r="AH791" s="48" t="n">
        <x:v>0</x:v>
      </x:c>
      <x:c r="AI791" s="48" t="n">
        <x:v>1.1920928955078125e-7</x:v>
      </x:c>
      <x:c r="AJ791" s="37" t="str">
        <x:v>passed</x:v>
      </x:c>
    </x:row>
    <x:row r="792" ht="21" customHeight="1">
      <x:c r="A792" s="2"/>
      <x:c r="B792" s="2"/>
      <x:c r="C792" s="2" t="str">
        <x:v>2022</x:v>
      </x:c>
      <x:c r="D792" s="5" t="n">
        <x:v>44848</x:v>
      </x:c>
      <x:c r="E792" s="2" t="str">
        <x:v>duration</x:v>
      </x:c>
      <x:c r="F792" s="37" t="n">
        <x:v>9360252.12364836</x:v>
      </x:c>
      <x:c r="G792" s="37" t="n">
        <x:v>3651713.2063859063</x:v>
      </x:c>
      <x:c r="H792" s="37" t="n">
        <x:v>-10527.291094163873</x:v>
      </x:c>
      <x:c r="I792" s="37" t="n">
        <x:v>3662240.49748007</x:v>
      </x:c>
      <x:c r="J792" s="37" t="n">
        <x:v>10203251.123112807</x:v>
      </x:c>
      <x:c r="K792" s="37" t="n">
        <x:v>6551537.916726901</x:v>
      </x:c>
      <x:c r="L792" s="37" t="n">
        <x:v>13011965.330034267</x:v>
      </x:c>
      <x:c r="M792" s="37" t="n">
        <x:v>0</x:v>
      </x:c>
      <x:c r="N792" s="37" t="n">
        <x:v>0</x:v>
      </x:c>
      <x:c r="O792" s="37" t="n">
        <x:v>512.8624252714217</x:v>
      </x:c>
      <x:c r="P792" s="37" t="n">
        <x:v>0</x:v>
      </x:c>
      <x:c r="Q792" s="37" t="n">
        <x:v>0</x:v>
      </x:c>
      <x:c r="R792" s="37" t="n">
        <x:v>0</x:v>
      </x:c>
      <x:c r="S792" s="37" t="n">
        <x:v>0</x:v>
      </x:c>
      <x:c r="T792" s="37" t="n">
        <x:v>0</x:v>
      </x:c>
      <x:c r="U792" s="37" t="n">
        <x:v>44145.09825237111</x:v>
      </x:c>
      <x:c r="V792" s="37" t="n">
        <x:v>0</x:v>
      </x:c>
      <x:c r="W792" s="37" t="n">
        <x:v>144868.1185604185</x:v>
      </x:c>
      <x:c r="X792" s="37" t="n">
        <x:v>0</x:v>
      </x:c>
      <x:c r="Y792" s="37" t="n">
        <x:v>2008.8241046121334</x:v>
      </x:c>
      <x:c r="Z792" s="37" t="n">
        <x:v>6682568.675061439</x:v>
      </x:c>
      <x:c r="AA792" s="37" t="n">
        <x:v>0</x:v>
      </x:c>
      <x:c r="AB792" s="37" t="n">
        <x:v>6682568.675061439</x:v>
      </x:c>
      <x:c r="AC792" s="37" t="n">
        <x:v>2677683.448586921</x:v>
      </x:c>
      <x:c r="AD792" s="37" t="n">
        <x:v>0</x:v>
      </x:c>
      <x:c r="AE792" s="37" t="n">
        <x:v>0</x:v>
      </x:c>
      <x:c r="AF792" s="47" t="b">
        <x:v>0</x:v>
      </x:c>
      <x:c r="AG792" s="47" t="b">
        <x:v>0</x:v>
      </x:c>
      <x:c r="AH792" s="48" t="n">
        <x:v>0</x:v>
      </x:c>
      <x:c r="AI792" s="48" t="n">
        <x:v>1.1920928955078125e-7</x:v>
      </x:c>
      <x:c r="AJ792" s="37" t="str">
        <x:v>passed</x:v>
      </x:c>
    </x:row>
    <x:row r="793" ht="21" customHeight="1">
      <x:c r="A793" s="2"/>
      <x:c r="B793" s="2"/>
      <x:c r="C793" s="2" t="str">
        <x:v>2022</x:v>
      </x:c>
      <x:c r="D793" s="5" t="n">
        <x:v>44848</x:v>
      </x:c>
      <x:c r="E793" s="2" t="str">
        <x:v>unweighted</x:v>
      </x:c>
      <x:c r="F793" s="37" t="n">
        <x:v>12613666.059673835</x:v>
      </x:c>
      <x:c r="G793" s="37" t="n">
        <x:v>437505.5300384451</x:v>
      </x:c>
      <x:c r="H793" s="37" t="n">
        <x:v>-16933.969720082034</x:v>
      </x:c>
      <x:c r="I793" s="37" t="n">
        <x:v>454439.4997585271</x:v>
      </x:c>
      <x:c r="J793" s="37" t="n">
        <x:v>10221149.664153265</x:v>
      </x:c>
      <x:c r="K793" s="37" t="n">
        <x:v>9783644.134114819</x:v>
      </x:c>
      <x:c r="L793" s="37" t="n">
        <x:v>13051171.589712279</x:v>
      </x:c>
      <x:c r="M793" s="37" t="n">
        <x:v>0</x:v>
      </x:c>
      <x:c r="N793" s="37" t="n">
        <x:v>0</x:v>
      </x:c>
      <x:c r="O793" s="37" t="n">
        <x:v>691.1219143960625</x:v>
      </x:c>
      <x:c r="P793" s="37" t="n">
        <x:v>0</x:v>
      </x:c>
      <x:c r="Q793" s="37" t="n">
        <x:v>0</x:v>
      </x:c>
      <x:c r="R793" s="37" t="n">
        <x:v>0</x:v>
      </x:c>
      <x:c r="S793" s="37" t="n">
        <x:v>0</x:v>
      </x:c>
      <x:c r="T793" s="37" t="n">
        <x:v>0</x:v>
      </x:c>
      <x:c r="U793" s="37" t="n">
        <x:v>35631.30899120559</x:v>
      </x:c>
      <x:c r="V793" s="37" t="n">
        <x:v>0</x:v>
      </x:c>
      <x:c r="W793" s="37" t="n">
        <x:v>190403.54607582092</x:v>
      </x:c>
      <x:c r="X793" s="37" t="n">
        <x:v>0</x:v>
      </x:c>
      <x:c r="Y793" s="37" t="n">
        <x:v>2298.93929880459</x:v>
      </x:c>
      <x:c r="Z793" s="37" t="n">
        <x:v>9979317.016797116</x:v>
      </x:c>
      <x:c r="AA793" s="37" t="n">
        <x:v>0</x:v>
      </x:c>
      <x:c r="AB793" s="37" t="n">
        <x:v>9979317.016797116</x:v>
      </x:c>
      <x:c r="AC793" s="37" t="n">
        <x:v>2634349.0428767186</x:v>
      </x:c>
      <x:c r="AD793" s="37" t="n">
        <x:v>0</x:v>
      </x:c>
      <x:c r="AE793" s="37" t="n">
        <x:v>0</x:v>
      </x:c>
      <x:c r="AF793" s="47" t="b">
        <x:v>0</x:v>
      </x:c>
      <x:c r="AG793" s="47" t="b">
        <x:v>0</x:v>
      </x:c>
      <x:c r="AH793" s="48" t="n">
        <x:v>0</x:v>
      </x:c>
      <x:c r="AI793" s="48" t="n">
        <x:v>1.1920928955078125e-7</x:v>
      </x:c>
      <x:c r="AJ793" s="37" t="str">
        <x:v>passed</x:v>
      </x:c>
    </x:row>
    <x:row r="794" ht="21" customHeight="1">
      <x:c r="A794" s="2"/>
      <x:c r="B794" s="2"/>
      <x:c r="C794" s="2" t="str">
        <x:v>2022</x:v>
      </x:c>
      <x:c r="D794" s="5" t="n">
        <x:v>44848</x:v>
      </x:c>
      <x:c r="E794" s="2" t="str">
        <x:v>constrained</x:v>
      </x:c>
      <x:c r="F794" s="37" t="n">
        <x:v>13173814.422710273</x:v>
      </x:c>
      <x:c r="G794" s="37" t="n">
        <x:v>-22577.86168759346</x:v>
      </x:c>
      <x:c r="H794" s="37" t="n">
        <x:v>-19497.247483250445</x:v>
      </x:c>
      <x:c r="I794" s="37" t="n">
        <x:v>-3080.6142043430154</x:v>
      </x:c>
      <x:c r="J794" s="37" t="n">
        <x:v>10227631.758538619</x:v>
      </x:c>
      <x:c r="K794" s="37" t="n">
        <x:v>10250209.620226212</x:v>
      </x:c>
      <x:c r="L794" s="37" t="n">
        <x:v>13151236.56102268</x:v>
      </x:c>
      <x:c r="M794" s="37" t="n">
        <x:v>0</x:v>
      </x:c>
      <x:c r="N794" s="37" t="n">
        <x:v>0</x:v>
      </x:c>
      <x:c r="O794" s="37" t="n">
        <x:v>721.8132936656475</x:v>
      </x:c>
      <x:c r="P794" s="37" t="n">
        <x:v>0</x:v>
      </x:c>
      <x:c r="Q794" s="37" t="n">
        <x:v>0</x:v>
      </x:c>
      <x:c r="R794" s="37" t="n">
        <x:v>0</x:v>
      </x:c>
      <x:c r="S794" s="37" t="n">
        <x:v>0</x:v>
      </x:c>
      <x:c r="T794" s="37" t="n">
        <x:v>0</x:v>
      </x:c>
      <x:c r="U794" s="37" t="n">
        <x:v>30770.55116020547</x:v>
      </x:c>
      <x:c r="V794" s="37" t="n">
        <x:v>0</x:v>
      </x:c>
      <x:c r="W794" s="37" t="n">
        <x:v>204095.45481968857</x:v>
      </x:c>
      <x:c r="X794" s="37" t="n">
        <x:v>0</x:v>
      </x:c>
      <x:c r="Y794" s="37" t="n">
        <x:v>2397.9830818299747</x:v>
      </x:c>
      <x:c r="Z794" s="37" t="n">
        <x:v>10455213.812630735</x:v>
      </x:c>
      <x:c r="AA794" s="37" t="n">
        <x:v>0</x:v>
      </x:c>
      <x:c r="AB794" s="37" t="n">
        <x:v>10455213.812630735</x:v>
      </x:c>
      <x:c r="AC794" s="37" t="n">
        <x:v>2718600.610079538</x:v>
      </x:c>
      <x:c r="AD794" s="37" t="n">
        <x:v>0</x:v>
      </x:c>
      <x:c r="AE794" s="37" t="n">
        <x:v>0</x:v>
      </x:c>
      <x:c r="AF794" s="47" t="b">
        <x:v>0</x:v>
      </x:c>
      <x:c r="AG794" s="47" t="b">
        <x:v>0</x:v>
      </x:c>
      <x:c r="AH794" s="48" t="n">
        <x:v>0</x:v>
      </x:c>
      <x:c r="AI794" s="48" t="n">
        <x:v>1.1920928955078125e-7</x:v>
      </x:c>
      <x:c r="AJ794" s="37" t="str">
        <x:v>passed</x:v>
      </x:c>
    </x:row>
    <x:row r="795" ht="21" customHeight="1">
      <x:c r="A795" s="2"/>
      <x:c r="B795" s="2"/>
      <x:c r="C795" s="2" t="str">
        <x:v>2022</x:v>
      </x:c>
      <x:c r="D795" s="5" t="n">
        <x:v>44851</x:v>
      </x:c>
      <x:c r="E795" s="2" t="str">
        <x:v>unhedged</x:v>
      </x:c>
      <x:c r="F795" s="37" t="n">
        <x:v>1319953.6823941707</x:v>
      </x:c>
      <x:c r="G795" s="37" t="n">
        <x:v>10207241.083264759</x:v>
      </x:c>
      <x:c r="H795" s="37" t="n">
        <x:v>37092.391304347824</x:v>
      </x:c>
      <x:c r="I795" s="37" t="n">
        <x:v>10170148.691960411</x:v>
      </x:c>
      <x:c r="J795" s="37" t="n">
        <x:v>10207241.083264759</x:v>
      </x:c>
      <x:c r="K795" s="37" t="n">
        <x:v>0</x:v>
      </x:c>
      <x:c r="L795" s="37" t="n">
        <x:v>11527194.76565893</x:v>
      </x:c>
      <x:c r="M795" s="37" t="n">
        <x:v>0</x:v>
      </x:c>
      <x:c r="N795" s="37" t="n">
        <x:v>0</x:v>
      </x:c>
      <x:c r="O795" s="37" t="n">
        <x:v>216.9549112021923</x:v>
      </x:c>
      <x:c r="P795" s="37" t="n">
        <x:v>0</x:v>
      </x:c>
      <x:c r="Q795" s="37" t="n">
        <x:v>0</x:v>
      </x:c>
      <x:c r="R795" s="37" t="n">
        <x:v>0</x:v>
      </x:c>
      <x:c r="S795" s="37" t="n">
        <x:v>0</x:v>
      </x:c>
      <x:c r="T795" s="37" t="n">
        <x:v>0</x:v>
      </x:c>
      <x:c r="U795" s="37" t="n">
        <x:v>101250</x:v>
      </x:c>
      <x:c r="V795" s="37" t="n">
        <x:v>0</x:v>
      </x:c>
      <x:c r="W795" s="37" t="n">
        <x:v>19878.401710896287</x:v>
      </x:c>
      <x:c r="X795" s="37" t="n">
        <x:v>0</x:v>
      </x:c>
      <x:c r="Y795" s="37" t="n">
        <x:v>1174.7193167256753</x:v>
      </x:c>
      <x:c r="Z795" s="37" t="n">
        <x:v>0</x:v>
      </x:c>
      <x:c r="AA795" s="37" t="n">
        <x:v>0</x:v>
      </x:c>
      <x:c r="AB795" s="37" t="n">
        <x:v>0</x:v>
      </x:c>
      <x:c r="AC795" s="37" t="n">
        <x:v>1319953.6823941707</x:v>
      </x:c>
      <x:c r="AD795" s="37" t="n">
        <x:v>0</x:v>
      </x:c>
      <x:c r="AE795" s="37" t="n">
        <x:v>0</x:v>
      </x:c>
      <x:c r="AF795" s="47" t="b">
        <x:v>0</x:v>
      </x:c>
      <x:c r="AG795" s="47" t="b">
        <x:v>0</x:v>
      </x:c>
      <x:c r="AH795" s="48" t="n">
        <x:v>0</x:v>
      </x:c>
      <x:c r="AI795" s="48" t="n">
        <x:v>1.1920928955078125e-7</x:v>
      </x:c>
      <x:c r="AJ795" s="37" t="str">
        <x:v>passed</x:v>
      </x:c>
    </x:row>
    <x:row r="796" ht="21" customHeight="1">
      <x:c r="A796" s="2"/>
      <x:c r="B796" s="2"/>
      <x:c r="C796" s="2" t="str">
        <x:v>2022</x:v>
      </x:c>
      <x:c r="D796" s="5" t="n">
        <x:v>44851</x:v>
      </x:c>
      <x:c r="E796" s="2" t="str">
        <x:v>duration</x:v>
      </x:c>
      <x:c r="F796" s="37" t="n">
        <x:v>9361790.879542645</x:v>
      </x:c>
      <x:c r="G796" s="37" t="n">
        <x:v>3658934.191823229</x:v>
      </x:c>
      <x:c r="H796" s="37" t="n">
        <x:v>-10407.236556262651</x:v>
      </x:c>
      <x:c r="I796" s="37" t="n">
        <x:v>3669341.428379492</x:v>
      </x:c>
      <x:c r="J796" s="37" t="n">
        <x:v>10207241.083264759</x:v>
      </x:c>
      <x:c r="K796" s="37" t="n">
        <x:v>6548306.89144153</x:v>
      </x:c>
      <x:c r="L796" s="37" t="n">
        <x:v>13020725.071365874</x:v>
      </x:c>
      <x:c r="M796" s="37" t="n">
        <x:v>0</x:v>
      </x:c>
      <x:c r="N796" s="37" t="n">
        <x:v>0</x:v>
      </x:c>
      <x:c r="O796" s="37" t="n">
        <x:v>1538.7558942846954</x:v>
      </x:c>
      <x:c r="P796" s="37" t="n">
        <x:v>0</x:v>
      </x:c>
      <x:c r="Q796" s="37" t="n">
        <x:v>0</x:v>
      </x:c>
      <x:c r="R796" s="37" t="n">
        <x:v>0</x:v>
      </x:c>
      <x:c r="S796" s="37" t="n">
        <x:v>0</x:v>
      </x:c>
      <x:c r="T796" s="37" t="n">
        <x:v>0</x:v>
      </x:c>
      <x:c r="U796" s="37" t="n">
        <x:v>44145.09825237111</x:v>
      </x:c>
      <x:c r="V796" s="37" t="n">
        <x:v>0</x:v>
      </x:c>
      <x:c r="W796" s="37" t="n">
        <x:v>146406.87445470318</x:v>
      </x:c>
      <x:c r="X796" s="37" t="n">
        <x:v>0</x:v>
      </x:c>
      <x:c r="Y796" s="37" t="n">
        <x:v>2008.8241046121334</x:v>
      </x:c>
      <x:c r="Z796" s="37" t="n">
        <x:v>6679273.02927036</x:v>
      </x:c>
      <x:c r="AA796" s="37" t="n">
        <x:v>0</x:v>
      </x:c>
      <x:c r="AB796" s="37" t="n">
        <x:v>6679273.02927036</x:v>
      </x:c>
      <x:c r="AC796" s="37" t="n">
        <x:v>2682517.850272285</x:v>
      </x:c>
      <x:c r="AD796" s="37" t="n">
        <x:v>0</x:v>
      </x:c>
      <x:c r="AE796" s="37" t="n">
        <x:v>0</x:v>
      </x:c>
      <x:c r="AF796" s="47" t="b">
        <x:v>0</x:v>
      </x:c>
      <x:c r="AG796" s="47" t="b">
        <x:v>0</x:v>
      </x:c>
      <x:c r="AH796" s="48" t="n">
        <x:v>0</x:v>
      </x:c>
      <x:c r="AI796" s="48" t="n">
        <x:v>1.1920928955078125e-7</x:v>
      </x:c>
      <x:c r="AJ796" s="37" t="str">
        <x:v>passed</x:v>
      </x:c>
    </x:row>
    <x:row r="797" ht="21" customHeight="1">
      <x:c r="A797" s="2"/>
      <x:c r="B797" s="2"/>
      <x:c r="C797" s="2" t="str">
        <x:v>2022</x:v>
      </x:c>
      <x:c r="D797" s="5" t="n">
        <x:v>44851</x:v>
      </x:c>
      <x:c r="E797" s="2" t="str">
        <x:v>unweighted</x:v>
      </x:c>
      <x:c r="F797" s="37" t="n">
        <x:v>12615739.652643496</x:v>
      </x:c>
      <x:c r="G797" s="37" t="n">
        <x:v>437817.86740335746</x:v>
      </x:c>
      <x:c r="H797" s="37" t="n">
        <x:v>-16990.85235733993</x:v>
      </x:c>
      <x:c r="I797" s="37" t="n">
        <x:v>454808.7197606974</x:v>
      </x:c>
      <x:c r="J797" s="37" t="n">
        <x:v>10225047.689498564</x:v>
      </x:c>
      <x:c r="K797" s="37" t="n">
        <x:v>9787229.822095206</x:v>
      </x:c>
      <x:c r="L797" s="37" t="n">
        <x:v>13053557.520046854</x:v>
      </x:c>
      <x:c r="M797" s="37" t="n">
        <x:v>0</x:v>
      </x:c>
      <x:c r="N797" s="37" t="n">
        <x:v>0</x:v>
      </x:c>
      <x:c r="O797" s="37" t="n">
        <x:v>2073.5929696615785</x:v>
      </x:c>
      <x:c r="P797" s="37" t="n">
        <x:v>0</x:v>
      </x:c>
      <x:c r="Q797" s="37" t="n">
        <x:v>0</x:v>
      </x:c>
      <x:c r="R797" s="37" t="n">
        <x:v>0</x:v>
      </x:c>
      <x:c r="S797" s="37" t="n">
        <x:v>0</x:v>
      </x:c>
      <x:c r="T797" s="37" t="n">
        <x:v>0</x:v>
      </x:c>
      <x:c r="U797" s="37" t="n">
        <x:v>35631.30899120559</x:v>
      </x:c>
      <x:c r="V797" s="37" t="n">
        <x:v>0</x:v>
      </x:c>
      <x:c r="W797" s="37" t="n">
        <x:v>192477.1390454825</x:v>
      </x:c>
      <x:c r="X797" s="37" t="n">
        <x:v>0</x:v>
      </x:c>
      <x:c r="Y797" s="37" t="n">
        <x:v>2298.93929880459</x:v>
      </x:c>
      <x:c r="Z797" s="37" t="n">
        <x:v>9982974.41853711</x:v>
      </x:c>
      <x:c r="AA797" s="37" t="n">
        <x:v>0</x:v>
      </x:c>
      <x:c r="AB797" s="37" t="n">
        <x:v>9982974.41853711</x:v>
      </x:c>
      <x:c r="AC797" s="37" t="n">
        <x:v>2632765.234106386</x:v>
      </x:c>
      <x:c r="AD797" s="37" t="n">
        <x:v>0</x:v>
      </x:c>
      <x:c r="AE797" s="37" t="n">
        <x:v>0</x:v>
      </x:c>
      <x:c r="AF797" s="47" t="b">
        <x:v>0</x:v>
      </x:c>
      <x:c r="AG797" s="47" t="b">
        <x:v>0</x:v>
      </x:c>
      <x:c r="AH797" s="48" t="n">
        <x:v>0</x:v>
      </x:c>
      <x:c r="AI797" s="48" t="n">
        <x:v>1.1920928955078125e-7</x:v>
      </x:c>
      <x:c r="AJ797" s="37" t="str">
        <x:v>passed</x:v>
      </x:c>
    </x:row>
    <x:row r="798" ht="21" customHeight="1">
      <x:c r="A798" s="2"/>
      <x:c r="B798" s="2"/>
      <x:c r="C798" s="2" t="str">
        <x:v>2022</x:v>
      </x:c>
      <x:c r="D798" s="5" t="n">
        <x:v>44851</x:v>
      </x:c>
      <x:c r="E798" s="2" t="str">
        <x:v>constrained</x:v>
      </x:c>
      <x:c r="F798" s="37" t="n">
        <x:v>13175980.099908428</x:v>
      </x:c>
      <x:c r="G798" s="37" t="n">
        <x:v>-22621.98941026428</x:v>
      </x:c>
      <x:c r="H798" s="37" t="n">
        <x:v>-19608.697822719678</x:v>
      </x:c>
      <x:c r="I798" s="37" t="n">
        <x:v>-3013.2915875446015</x:v>
      </x:c>
      <x:c r="J798" s="37" t="n">
        <x:v>10231497.720340392</x:v>
      </x:c>
      <x:c r="K798" s="37" t="n">
        <x:v>10254119.709750656</x:v>
      </x:c>
      <x:c r="L798" s="37" t="n">
        <x:v>13153358.110498164</x:v>
      </x:c>
      <x:c r="M798" s="37" t="n">
        <x:v>0</x:v>
      </x:c>
      <x:c r="N798" s="37" t="n">
        <x:v>0</x:v>
      </x:c>
      <x:c r="O798" s="37" t="n">
        <x:v>2165.677198154852</x:v>
      </x:c>
      <x:c r="P798" s="37" t="n">
        <x:v>0</x:v>
      </x:c>
      <x:c r="Q798" s="37" t="n">
        <x:v>0</x:v>
      </x:c>
      <x:c r="R798" s="37" t="n">
        <x:v>0</x:v>
      </x:c>
      <x:c r="S798" s="37" t="n">
        <x:v>0</x:v>
      </x:c>
      <x:c r="T798" s="37" t="n">
        <x:v>0</x:v>
      </x:c>
      <x:c r="U798" s="37" t="n">
        <x:v>30770.55116020547</x:v>
      </x:c>
      <x:c r="V798" s="37" t="n">
        <x:v>0</x:v>
      </x:c>
      <x:c r="W798" s="37" t="n">
        <x:v>206261.13201784343</x:v>
      </x:c>
      <x:c r="X798" s="37" t="n">
        <x:v>0</x:v>
      </x:c>
      <x:c r="Y798" s="37" t="n">
        <x:v>2397.9830818299747</x:v>
      </x:c>
      <x:c r="Z798" s="37" t="n">
        <x:v>10459202.103945669</x:v>
      </x:c>
      <x:c r="AA798" s="37" t="n">
        <x:v>0</x:v>
      </x:c>
      <x:c r="AB798" s="37" t="n">
        <x:v>10459202.103945669</x:v>
      </x:c>
      <x:c r="AC798" s="37" t="n">
        <x:v>2716777.9959627595</x:v>
      </x:c>
      <x:c r="AD798" s="37" t="n">
        <x:v>0</x:v>
      </x:c>
      <x:c r="AE798" s="37" t="n">
        <x:v>0</x:v>
      </x:c>
      <x:c r="AF798" s="47" t="b">
        <x:v>0</x:v>
      </x:c>
      <x:c r="AG798" s="47" t="b">
        <x:v>0</x:v>
      </x:c>
      <x:c r="AH798" s="48" t="n">
        <x:v>0</x:v>
      </x:c>
      <x:c r="AI798" s="48" t="n">
        <x:v>1.1920928955078125e-7</x:v>
      </x:c>
      <x:c r="AJ798" s="37" t="str">
        <x:v>passed</x:v>
      </x:c>
    </x:row>
    <x:row r="799" ht="21" customHeight="1">
      <x:c r="A799" s="2"/>
      <x:c r="B799" s="2"/>
      <x:c r="C799" s="2" t="str">
        <x:v>2022</x:v>
      </x:c>
      <x:c r="D799" s="5" t="n">
        <x:v>44852</x:v>
      </x:c>
      <x:c r="E799" s="2" t="str">
        <x:v>unhedged</x:v>
      </x:c>
      <x:c r="F799" s="37" t="n">
        <x:v>1320026.008623343</x:v>
      </x:c>
      <x:c r="G799" s="37" t="n">
        <x:v>10223460.44768392</x:v>
      </x:c>
      <x:c r="H799" s="37" t="n">
        <x:v>37438.858695652176</x:v>
      </x:c>
      <x:c r="I799" s="37" t="n">
        <x:v>10186021.588988267</x:v>
      </x:c>
      <x:c r="J799" s="37" t="n">
        <x:v>10223460.44768392</x:v>
      </x:c>
      <x:c r="K799" s="37" t="n">
        <x:v>0</x:v>
      </x:c>
      <x:c r="L799" s="37" t="n">
        <x:v>11543486.456307262</x:v>
      </x:c>
      <x:c r="M799" s="37" t="n">
        <x:v>0</x:v>
      </x:c>
      <x:c r="N799" s="37" t="n">
        <x:v>0</x:v>
      </x:c>
      <x:c r="O799" s="37" t="n">
        <x:v>72.3262291722931</x:v>
      </x:c>
      <x:c r="P799" s="37" t="n">
        <x:v>0</x:v>
      </x:c>
      <x:c r="Q799" s="37" t="n">
        <x:v>0</x:v>
      </x:c>
      <x:c r="R799" s="37" t="n">
        <x:v>0</x:v>
      </x:c>
      <x:c r="S799" s="37" t="n">
        <x:v>0</x:v>
      </x:c>
      <x:c r="T799" s="37" t="n">
        <x:v>0</x:v>
      </x:c>
      <x:c r="U799" s="37" t="n">
        <x:v>101250</x:v>
      </x:c>
      <x:c r="V799" s="37" t="n">
        <x:v>0</x:v>
      </x:c>
      <x:c r="W799" s="37" t="n">
        <x:v>19950.72794006858</x:v>
      </x:c>
      <x:c r="X799" s="37" t="n">
        <x:v>0</x:v>
      </x:c>
      <x:c r="Y799" s="37" t="n">
        <x:v>1174.7193167256753</x:v>
      </x:c>
      <x:c r="Z799" s="37" t="n">
        <x:v>0</x:v>
      </x:c>
      <x:c r="AA799" s="37" t="n">
        <x:v>0</x:v>
      </x:c>
      <x:c r="AB799" s="37" t="n">
        <x:v>0</x:v>
      </x:c>
      <x:c r="AC799" s="37" t="n">
        <x:v>1320026.008623343</x:v>
      </x:c>
      <x:c r="AD799" s="37" t="n">
        <x:v>0</x:v>
      </x:c>
      <x:c r="AE799" s="37" t="n">
        <x:v>0</x:v>
      </x:c>
      <x:c r="AF799" s="47" t="b">
        <x:v>0</x:v>
      </x:c>
      <x:c r="AG799" s="47" t="b">
        <x:v>0</x:v>
      </x:c>
      <x:c r="AH799" s="48" t="n">
        <x:v>0</x:v>
      </x:c>
      <x:c r="AI799" s="48" t="n">
        <x:v>1.1920928955078125e-7</x:v>
      </x:c>
      <x:c r="AJ799" s="37" t="str">
        <x:v>passed</x:v>
      </x:c>
    </x:row>
    <x:row r="800" ht="21" customHeight="1">
      <x:c r="A800" s="2"/>
      <x:c r="B800" s="2"/>
      <x:c r="C800" s="2" t="str">
        <x:v>2022</x:v>
      </x:c>
      <x:c r="D800" s="5" t="n">
        <x:v>44852</x:v>
      </x:c>
      <x:c r="E800" s="2" t="str">
        <x:v>duration</x:v>
      </x:c>
      <x:c r="F800" s="37" t="n">
        <x:v>9362303.85438536</x:v>
      </x:c>
      <x:c r="G800" s="37" t="n">
        <x:v>3659349.027276586</x:v>
      </x:c>
      <x:c r="H800" s="37" t="n">
        <x:v>-10367.218376962228</x:v>
      </x:c>
      <x:c r="I800" s="37" t="n">
        <x:v>3669716.245653548</x:v>
      </x:c>
      <x:c r="J800" s="37" t="n">
        <x:v>10223460.44768392</x:v>
      </x:c>
      <x:c r="K800" s="37" t="n">
        <x:v>6564111.4204073325</x:v>
      </x:c>
      <x:c r="L800" s="37" t="n">
        <x:v>13021652.881661944</x:v>
      </x:c>
      <x:c r="M800" s="37" t="n">
        <x:v>0</x:v>
      </x:c>
      <x:c r="N800" s="37" t="n">
        <x:v>0</x:v>
      </x:c>
      <x:c r="O800" s="37" t="n">
        <x:v>512.9748427141458</x:v>
      </x:c>
      <x:c r="P800" s="37" t="n">
        <x:v>0</x:v>
      </x:c>
      <x:c r="Q800" s="37" t="n">
        <x:v>0</x:v>
      </x:c>
      <x:c r="R800" s="37" t="n">
        <x:v>0</x:v>
      </x:c>
      <x:c r="S800" s="37" t="n">
        <x:v>0</x:v>
      </x:c>
      <x:c r="T800" s="37" t="n">
        <x:v>0</x:v>
      </x:c>
      <x:c r="U800" s="37" t="n">
        <x:v>44145.09825237111</x:v>
      </x:c>
      <x:c r="V800" s="37" t="n">
        <x:v>0</x:v>
      </x:c>
      <x:c r="W800" s="37" t="n">
        <x:v>146919.84929741733</x:v>
      </x:c>
      <x:c r="X800" s="37" t="n">
        <x:v>0</x:v>
      </x:c>
      <x:c r="Y800" s="37" t="n">
        <x:v>2008.8241046121334</x:v>
      </x:c>
      <x:c r="Z800" s="37" t="n">
        <x:v>6695393.648815479</x:v>
      </x:c>
      <x:c r="AA800" s="37" t="n">
        <x:v>0</x:v>
      </x:c>
      <x:c r="AB800" s="37" t="n">
        <x:v>6695393.648815479</x:v>
      </x:c>
      <x:c r="AC800" s="37" t="n">
        <x:v>2666910.20556988</x:v>
      </x:c>
      <x:c r="AD800" s="37" t="n">
        <x:v>0</x:v>
      </x:c>
      <x:c r="AE800" s="37" t="n">
        <x:v>0</x:v>
      </x:c>
      <x:c r="AF800" s="47" t="b">
        <x:v>0</x:v>
      </x:c>
      <x:c r="AG800" s="47" t="b">
        <x:v>0</x:v>
      </x:c>
      <x:c r="AH800" s="48" t="n">
        <x:v>0</x:v>
      </x:c>
      <x:c r="AI800" s="48" t="n">
        <x:v>1.1920928955078125e-7</x:v>
      </x:c>
      <x:c r="AJ800" s="37" t="str">
        <x:v>passed</x:v>
      </x:c>
    </x:row>
    <x:row r="801" ht="21" customHeight="1">
      <x:c r="A801" s="2"/>
      <x:c r="B801" s="2"/>
      <x:c r="C801" s="2" t="str">
        <x:v>2022</x:v>
      </x:c>
      <x:c r="D801" s="5" t="n">
        <x:v>44852</x:v>
      </x:c>
      <x:c r="E801" s="2" t="str">
        <x:v>unweighted</x:v>
      </x:c>
      <x:c r="F801" s="37" t="n">
        <x:v>12616430.926049123</x:v>
      </x:c>
      <x:c r="G801" s="37" t="n">
        <x:v>438543.06360844336</x:v>
      </x:c>
      <x:c r="H801" s="37" t="n">
        <x:v>-17009.813236425885</x:v>
      </x:c>
      <x:c r="I801" s="37" t="n">
        <x:v>455552.8768448692</x:v>
      </x:c>
      <x:c r="J801" s="37" t="n">
        <x:v>10241296.07125622</x:v>
      </x:c>
      <x:c r="K801" s="37" t="n">
        <x:v>9802753.007647777</x:v>
      </x:c>
      <x:c r="L801" s="37" t="n">
        <x:v>13054973.989657566</x:v>
      </x:c>
      <x:c r="M801" s="37" t="n">
        <x:v>0</x:v>
      </x:c>
      <x:c r="N801" s="37" t="n">
        <x:v>0</x:v>
      </x:c>
      <x:c r="O801" s="37" t="n">
        <x:v>691.2734056264162</x:v>
      </x:c>
      <x:c r="P801" s="37" t="n">
        <x:v>0</x:v>
      </x:c>
      <x:c r="Q801" s="37" t="n">
        <x:v>0</x:v>
      </x:c>
      <x:c r="R801" s="37" t="n">
        <x:v>0</x:v>
      </x:c>
      <x:c r="S801" s="37" t="n">
        <x:v>0</x:v>
      </x:c>
      <x:c r="T801" s="37" t="n">
        <x:v>0</x:v>
      </x:c>
      <x:c r="U801" s="37" t="n">
        <x:v>35631.30899120559</x:v>
      </x:c>
      <x:c r="V801" s="37" t="n">
        <x:v>0</x:v>
      </x:c>
      <x:c r="W801" s="37" t="n">
        <x:v>193168.41245110892</x:v>
      </x:c>
      <x:c r="X801" s="37" t="n">
        <x:v>0</x:v>
      </x:c>
      <x:c r="Y801" s="37" t="n">
        <x:v>2298.93929880459</x:v>
      </x:c>
      <x:c r="Z801" s="37" t="n">
        <x:v>9998808.067800732</x:v>
      </x:c>
      <x:c r="AA801" s="37" t="n">
        <x:v>0</x:v>
      </x:c>
      <x:c r="AB801" s="37" t="n">
        <x:v>9998808.067800732</x:v>
      </x:c>
      <x:c r="AC801" s="37" t="n">
        <x:v>2617622.8582483903</x:v>
      </x:c>
      <x:c r="AD801" s="37" t="n">
        <x:v>0</x:v>
      </x:c>
      <x:c r="AE801" s="37" t="n">
        <x:v>0</x:v>
      </x:c>
      <x:c r="AF801" s="47" t="b">
        <x:v>0</x:v>
      </x:c>
      <x:c r="AG801" s="47" t="b">
        <x:v>0</x:v>
      </x:c>
      <x:c r="AH801" s="48" t="n">
        <x:v>0</x:v>
      </x:c>
      <x:c r="AI801" s="48" t="n">
        <x:v>1.1920928955078125e-7</x:v>
      </x:c>
      <x:c r="AJ801" s="37" t="str">
        <x:v>passed</x:v>
      </x:c>
    </x:row>
    <x:row r="802" ht="21" customHeight="1">
      <x:c r="A802" s="2"/>
      <x:c r="B802" s="2"/>
      <x:c r="C802" s="2" t="str">
        <x:v>2022</x:v>
      </x:c>
      <x:c r="D802" s="5" t="n">
        <x:v>44852</x:v>
      </x:c>
      <x:c r="E802" s="2" t="str">
        <x:v>constrained</x:v>
      </x:c>
      <x:c r="F802" s="37" t="n">
        <x:v>13176702.071420752</x:v>
      </x:c>
      <x:c r="G802" s="37" t="n">
        <x:v>-22586.976143008877</x:v>
      </x:c>
      <x:c r="H802" s="37" t="n">
        <x:v>-19645.847935876074</x:v>
      </x:c>
      <x:c r="I802" s="37" t="n">
        <x:v>-2941.1282071328023</x:v>
      </x:c>
      <x:c r="J802" s="37" t="n">
        <x:v>10247757.57514572</x:v>
      </x:c>
      <x:c r="K802" s="37" t="n">
        <x:v>10270344.551288728</x:v>
      </x:c>
      <x:c r="L802" s="37" t="n">
        <x:v>13154115.095277743</x:v>
      </x:c>
      <x:c r="M802" s="37" t="n">
        <x:v>0</x:v>
      </x:c>
      <x:c r="N802" s="37" t="n">
        <x:v>0</x:v>
      </x:c>
      <x:c r="O802" s="37" t="n">
        <x:v>721.9715123232454</x:v>
      </x:c>
      <x:c r="P802" s="37" t="n">
        <x:v>0</x:v>
      </x:c>
      <x:c r="Q802" s="37" t="n">
        <x:v>0</x:v>
      </x:c>
      <x:c r="R802" s="37" t="n">
        <x:v>0</x:v>
      </x:c>
      <x:c r="S802" s="37" t="n">
        <x:v>0</x:v>
      </x:c>
      <x:c r="T802" s="37" t="n">
        <x:v>0</x:v>
      </x:c>
      <x:c r="U802" s="37" t="n">
        <x:v>30770.55116020547</x:v>
      </x:c>
      <x:c r="V802" s="37" t="n">
        <x:v>0</x:v>
      </x:c>
      <x:c r="W802" s="37" t="n">
        <x:v>206983.10353016667</x:v>
      </x:c>
      <x:c r="X802" s="37" t="n">
        <x:v>0</x:v>
      </x:c>
      <x:c r="Y802" s="37" t="n">
        <x:v>2397.9830818299747</x:v>
      </x:c>
      <x:c r="Z802" s="37" t="n">
        <x:v>10475751.442314502</x:v>
      </x:c>
      <x:c r="AA802" s="37" t="n">
        <x:v>0</x:v>
      </x:c>
      <x:c r="AB802" s="37" t="n">
        <x:v>10475751.442314502</x:v>
      </x:c>
      <x:c r="AC802" s="37" t="n">
        <x:v>2700950.6291062497</x:v>
      </x:c>
      <x:c r="AD802" s="37" t="n">
        <x:v>0</x:v>
      </x:c>
      <x:c r="AE802" s="37" t="n">
        <x:v>0</x:v>
      </x:c>
      <x:c r="AF802" s="47" t="b">
        <x:v>0</x:v>
      </x:c>
      <x:c r="AG802" s="47" t="b">
        <x:v>0</x:v>
      </x:c>
      <x:c r="AH802" s="48" t="n">
        <x:v>0</x:v>
      </x:c>
      <x:c r="AI802" s="48" t="n">
        <x:v>1.1920928955078125e-7</x:v>
      </x:c>
      <x:c r="AJ802" s="37" t="str">
        <x:v>passed</x:v>
      </x:c>
    </x:row>
    <x:row r="803" ht="21" customHeight="1">
      <x:c r="A803" s="2"/>
      <x:c r="B803" s="2"/>
      <x:c r="C803" s="2" t="str">
        <x:v>2022</x:v>
      </x:c>
      <x:c r="D803" s="5" t="n">
        <x:v>44853</x:v>
      </x:c>
      <x:c r="E803" s="2" t="str">
        <x:v>unhedged</x:v>
      </x:c>
      <x:c r="F803" s="37" t="n">
        <x:v>1320098.3388155967</x:v>
      </x:c>
      <x:c r="G803" s="37" t="n">
        <x:v>10158272.016219793</x:v>
      </x:c>
      <x:c r="H803" s="37" t="n">
        <x:v>37785.32608695652</x:v>
      </x:c>
      <x:c r="I803" s="37" t="n">
        <x:v>10120486.690132836</x:v>
      </x:c>
      <x:c r="J803" s="37" t="n">
        <x:v>10158272.016219793</x:v>
      </x:c>
      <x:c r="K803" s="37" t="n">
        <x:v>0</x:v>
      </x:c>
      <x:c r="L803" s="37" t="n">
        <x:v>11478370.355035389</x:v>
      </x:c>
      <x:c r="M803" s="37" t="n">
        <x:v>0</x:v>
      </x:c>
      <x:c r="N803" s="37" t="n">
        <x:v>0</x:v>
      </x:c>
      <x:c r="O803" s="37" t="n">
        <x:v>72.33019225369208</x:v>
      </x:c>
      <x:c r="P803" s="37" t="n">
        <x:v>0</x:v>
      </x:c>
      <x:c r="Q803" s="37" t="n">
        <x:v>0</x:v>
      </x:c>
      <x:c r="R803" s="37" t="n">
        <x:v>0</x:v>
      </x:c>
      <x:c r="S803" s="37" t="n">
        <x:v>0</x:v>
      </x:c>
      <x:c r="T803" s="37" t="n">
        <x:v>0</x:v>
      </x:c>
      <x:c r="U803" s="37" t="n">
        <x:v>101250</x:v>
      </x:c>
      <x:c r="V803" s="37" t="n">
        <x:v>0</x:v>
      </x:c>
      <x:c r="W803" s="37" t="n">
        <x:v>20023.058132322272</x:v>
      </x:c>
      <x:c r="X803" s="37" t="n">
        <x:v>0</x:v>
      </x:c>
      <x:c r="Y803" s="37" t="n">
        <x:v>1174.7193167256753</x:v>
      </x:c>
      <x:c r="Z803" s="37" t="n">
        <x:v>0</x:v>
      </x:c>
      <x:c r="AA803" s="37" t="n">
        <x:v>0</x:v>
      </x:c>
      <x:c r="AB803" s="37" t="n">
        <x:v>0</x:v>
      </x:c>
      <x:c r="AC803" s="37" t="n">
        <x:v>1320098.3388155967</x:v>
      </x:c>
      <x:c r="AD803" s="37" t="n">
        <x:v>0</x:v>
      </x:c>
      <x:c r="AE803" s="37" t="n">
        <x:v>0</x:v>
      </x:c>
      <x:c r="AF803" s="47" t="b">
        <x:v>0</x:v>
      </x:c>
      <x:c r="AG803" s="47" t="b">
        <x:v>0</x:v>
      </x:c>
      <x:c r="AH803" s="48" t="n">
        <x:v>0</x:v>
      </x:c>
      <x:c r="AI803" s="48" t="n">
        <x:v>1.1920928955078125e-7</x:v>
      </x:c>
      <x:c r="AJ803" s="37" t="str">
        <x:v>passed</x:v>
      </x:c>
    </x:row>
    <x:row r="804" ht="21" customHeight="1">
      <x:c r="A804" s="2"/>
      <x:c r="B804" s="2"/>
      <x:c r="C804" s="2" t="str">
        <x:v>2022</x:v>
      </x:c>
      <x:c r="D804" s="5" t="n">
        <x:v>44853</x:v>
      </x:c>
      <x:c r="E804" s="2" t="str">
        <x:v>duration</x:v>
      </x:c>
      <x:c r="F804" s="37" t="n">
        <x:v>9362816.857336286</x:v>
      </x:c>
      <x:c r="G804" s="37" t="n">
        <x:v>3658136.641019644</x:v>
      </x:c>
      <x:c r="H804" s="37" t="n">
        <x:v>-10327.20019766182</x:v>
      </x:c>
      <x:c r="I804" s="37" t="n">
        <x:v>3668463.841217306</x:v>
      </x:c>
      <x:c r="J804" s="37" t="n">
        <x:v>10158272.016219793</x:v>
      </x:c>
      <x:c r="K804" s="37" t="n">
        <x:v>6500135.37520015</x:v>
      </x:c>
      <x:c r="L804" s="37" t="n">
        <x:v>13020953.49835593</x:v>
      </x:c>
      <x:c r="M804" s="37" t="n">
        <x:v>0</x:v>
      </x:c>
      <x:c r="N804" s="37" t="n">
        <x:v>0</x:v>
      </x:c>
      <x:c r="O804" s="37" t="n">
        <x:v>513.0029509272426</x:v>
      </x:c>
      <x:c r="P804" s="37" t="n">
        <x:v>0</x:v>
      </x:c>
      <x:c r="Q804" s="37" t="n">
        <x:v>0</x:v>
      </x:c>
      <x:c r="R804" s="37" t="n">
        <x:v>0</x:v>
      </x:c>
      <x:c r="S804" s="37" t="n">
        <x:v>0</x:v>
      </x:c>
      <x:c r="T804" s="37" t="n">
        <x:v>0</x:v>
      </x:c>
      <x:c r="U804" s="37" t="n">
        <x:v>44145.09825237111</x:v>
      </x:c>
      <x:c r="V804" s="37" t="n">
        <x:v>0</x:v>
      </x:c>
      <x:c r="W804" s="37" t="n">
        <x:v>147432.85224834457</x:v>
      </x:c>
      <x:c r="X804" s="37" t="n">
        <x:v>0</x:v>
      </x:c>
      <x:c r="Y804" s="37" t="n">
        <x:v>2008.8241046121334</x:v>
      </x:c>
      <x:c r="Z804" s="37" t="n">
        <x:v>6630138.082704153</x:v>
      </x:c>
      <x:c r="AA804" s="37" t="n">
        <x:v>0</x:v>
      </x:c>
      <x:c r="AB804" s="37" t="n">
        <x:v>6630138.082704153</x:v>
      </x:c>
      <x:c r="AC804" s="37" t="n">
        <x:v>2732678.7746321335</x:v>
      </x:c>
      <x:c r="AD804" s="37" t="n">
        <x:v>0</x:v>
      </x:c>
      <x:c r="AE804" s="37" t="n">
        <x:v>0</x:v>
      </x:c>
      <x:c r="AF804" s="47" t="b">
        <x:v>0</x:v>
      </x:c>
      <x:c r="AG804" s="47" t="b">
        <x:v>0</x:v>
      </x:c>
      <x:c r="AH804" s="48" t="n">
        <x:v>0</x:v>
      </x:c>
      <x:c r="AI804" s="48" t="n">
        <x:v>1.1920928955078125e-7</x:v>
      </x:c>
      <x:c r="AJ804" s="37" t="str">
        <x:v>passed</x:v>
      </x:c>
    </x:row>
    <x:row r="805" ht="21" customHeight="1">
      <x:c r="A805" s="2"/>
      <x:c r="B805" s="2"/>
      <x:c r="C805" s="2" t="str">
        <x:v>2022</x:v>
      </x:c>
      <x:c r="D805" s="5" t="n">
        <x:v>44853</x:v>
      </x:c>
      <x:c r="E805" s="2" t="str">
        <x:v>unweighted</x:v>
      </x:c>
      <x:c r="F805" s="37" t="n">
        <x:v>12617122.237332743</x:v>
      </x:c>
      <x:c r="G805" s="37" t="n">
        <x:v>436111.2302288426</x:v>
      </x:c>
      <x:c r="H805" s="37" t="n">
        <x:v>-17028.774115511857</x:v>
      </x:c>
      <x:c r="I805" s="37" t="n">
        <x:v>453140.00434435444</x:v>
      </x:c>
      <x:c r="J805" s="37" t="n">
        <x:v>10175772.41486117</x:v>
      </x:c>
      <x:c r="K805" s="37" t="n">
        <x:v>9739661.184632327</x:v>
      </x:c>
      <x:c r="L805" s="37" t="n">
        <x:v>13053233.467561586</x:v>
      </x:c>
      <x:c r="M805" s="37" t="n">
        <x:v>0</x:v>
      </x:c>
      <x:c r="N805" s="37" t="n">
        <x:v>0</x:v>
      </x:c>
      <x:c r="O805" s="37" t="n">
        <x:v>691.3112836200744</x:v>
      </x:c>
      <x:c r="P805" s="37" t="n">
        <x:v>0</x:v>
      </x:c>
      <x:c r="Q805" s="37" t="n">
        <x:v>0</x:v>
      </x:c>
      <x:c r="R805" s="37" t="n">
        <x:v>0</x:v>
      </x:c>
      <x:c r="S805" s="37" t="n">
        <x:v>0</x:v>
      </x:c>
      <x:c r="T805" s="37" t="n">
        <x:v>0</x:v>
      </x:c>
      <x:c r="U805" s="37" t="n">
        <x:v>35631.30899120559</x:v>
      </x:c>
      <x:c r="V805" s="37" t="n">
        <x:v>0</x:v>
      </x:c>
      <x:c r="W805" s="37" t="n">
        <x:v>193859.723734729</x:v>
      </x:c>
      <x:c r="X805" s="37" t="n">
        <x:v>0</x:v>
      </x:c>
      <x:c r="Y805" s="37" t="n">
        <x:v>2298.93929880459</x:v>
      </x:c>
      <x:c r="Z805" s="37" t="n">
        <x:v>9934454.408324974</x:v>
      </x:c>
      <x:c r="AA805" s="37" t="n">
        <x:v>0</x:v>
      </x:c>
      <x:c r="AB805" s="37" t="n">
        <x:v>9934454.408324974</x:v>
      </x:c>
      <x:c r="AC805" s="37" t="n">
        <x:v>2682667.829007769</x:v>
      </x:c>
      <x:c r="AD805" s="37" t="n">
        <x:v>0</x:v>
      </x:c>
      <x:c r="AE805" s="37" t="n">
        <x:v>0</x:v>
      </x:c>
      <x:c r="AF805" s="47" t="b">
        <x:v>0</x:v>
      </x:c>
      <x:c r="AG805" s="47" t="b">
        <x:v>0</x:v>
      </x:c>
      <x:c r="AH805" s="48" t="n">
        <x:v>0</x:v>
      </x:c>
      <x:c r="AI805" s="48" t="n">
        <x:v>1.1920928955078125e-7</x:v>
      </x:c>
      <x:c r="AJ805" s="37" t="str">
        <x:v>passed</x:v>
      </x:c>
    </x:row>
    <x:row r="806" ht="21" customHeight="1">
      <x:c r="A806" s="2"/>
      <x:c r="B806" s="2"/>
      <x:c r="C806" s="2" t="str">
        <x:v>2022</x:v>
      </x:c>
      <x:c r="D806" s="5" t="n">
        <x:v>44853</x:v>
      </x:c>
      <x:c r="E806" s="2" t="str">
        <x:v>constrained</x:v>
      </x:c>
      <x:c r="F806" s="37" t="n">
        <x:v>13177424.08249316</x:v>
      </x:c>
      <x:c r="G806" s="37" t="n">
        <x:v>-22128.380839161833</x:v>
      </x:c>
      <x:c r="H806" s="37" t="n">
        <x:v>-19682.998049032492</x:v>
      </x:c>
      <x:c r="I806" s="37" t="n">
        <x:v>-2445.3827901293407</x:v>
      </x:c>
      <x:c r="J806" s="37" t="n">
        <x:v>10182108.837932207</x:v>
      </x:c>
      <x:c r="K806" s="37" t="n">
        <x:v>10204237.218771368</x:v>
      </x:c>
      <x:c r="L806" s="37" t="n">
        <x:v>13155295.701653998</x:v>
      </x:c>
      <x:c r="M806" s="37" t="n">
        <x:v>0</x:v>
      </x:c>
      <x:c r="N806" s="37" t="n">
        <x:v>0</x:v>
      </x:c>
      <x:c r="O806" s="37" t="n">
        <x:v>722.0110724084079</x:v>
      </x:c>
      <x:c r="P806" s="37" t="n">
        <x:v>0</x:v>
      </x:c>
      <x:c r="Q806" s="37" t="n">
        <x:v>0</x:v>
      </x:c>
      <x:c r="R806" s="37" t="n">
        <x:v>0</x:v>
      </x:c>
      <x:c r="S806" s="37" t="n">
        <x:v>0</x:v>
      </x:c>
      <x:c r="T806" s="37" t="n">
        <x:v>0</x:v>
      </x:c>
      <x:c r="U806" s="37" t="n">
        <x:v>30770.55116020547</x:v>
      </x:c>
      <x:c r="V806" s="37" t="n">
        <x:v>0</x:v>
      </x:c>
      <x:c r="W806" s="37" t="n">
        <x:v>207705.11460257508</x:v>
      </x:c>
      <x:c r="X806" s="37" t="n">
        <x:v>0</x:v>
      </x:c>
      <x:c r="Y806" s="37" t="n">
        <x:v>2397.9830818299747</x:v>
      </x:c>
      <x:c r="Z806" s="37" t="n">
        <x:v>10408321.963146796</x:v>
      </x:c>
      <x:c r="AA806" s="37" t="n">
        <x:v>0</x:v>
      </x:c>
      <x:c r="AB806" s="37" t="n">
        <x:v>10408321.963146796</x:v>
      </x:c>
      <x:c r="AC806" s="37" t="n">
        <x:v>2769102.1193463635</x:v>
      </x:c>
      <x:c r="AD806" s="37" t="n">
        <x:v>0</x:v>
      </x:c>
      <x:c r="AE806" s="37" t="n">
        <x:v>0</x:v>
      </x:c>
      <x:c r="AF806" s="47" t="b">
        <x:v>0</x:v>
      </x:c>
      <x:c r="AG806" s="47" t="b">
        <x:v>0</x:v>
      </x:c>
      <x:c r="AH806" s="48" t="n">
        <x:v>0</x:v>
      </x:c>
      <x:c r="AI806" s="48" t="n">
        <x:v>1.1920928955078125e-7</x:v>
      </x:c>
      <x:c r="AJ806" s="37" t="str">
        <x:v>passed</x:v>
      </x:c>
    </x:row>
    <x:row r="807" ht="21" customHeight="1">
      <x:c r="A807" s="2"/>
      <x:c r="B807" s="2"/>
      <x:c r="C807" s="2" t="str">
        <x:v>2022</x:v>
      </x:c>
      <x:c r="D807" s="5" t="n">
        <x:v>44854</x:v>
      </x:c>
      <x:c r="E807" s="2" t="str">
        <x:v>unhedged</x:v>
      </x:c>
      <x:c r="F807" s="37" t="n">
        <x:v>1320170.672971148</x:v>
      </x:c>
      <x:c r="G807" s="37" t="n">
        <x:v>10111115.27757475</x:v>
      </x:c>
      <x:c r="H807" s="37" t="n">
        <x:v>38131.79347826087</x:v>
      </x:c>
      <x:c r="I807" s="37" t="n">
        <x:v>10072983.484096488</x:v>
      </x:c>
      <x:c r="J807" s="37" t="n">
        <x:v>10111115.27757475</x:v>
      </x:c>
      <x:c r="K807" s="37" t="n">
        <x:v>0</x:v>
      </x:c>
      <x:c r="L807" s="37" t="n">
        <x:v>11431285.950545898</x:v>
      </x:c>
      <x:c r="M807" s="37" t="n">
        <x:v>0</x:v>
      </x:c>
      <x:c r="N807" s="37" t="n">
        <x:v>0</x:v>
      </x:c>
      <x:c r="O807" s="37" t="n">
        <x:v>72.33415555139072</x:v>
      </x:c>
      <x:c r="P807" s="37" t="n">
        <x:v>0</x:v>
      </x:c>
      <x:c r="Q807" s="37" t="n">
        <x:v>0</x:v>
      </x:c>
      <x:c r="R807" s="37" t="n">
        <x:v>0</x:v>
      </x:c>
      <x:c r="S807" s="37" t="n">
        <x:v>0</x:v>
      </x:c>
      <x:c r="T807" s="37" t="n">
        <x:v>0</x:v>
      </x:c>
      <x:c r="U807" s="37" t="n">
        <x:v>101250</x:v>
      </x:c>
      <x:c r="V807" s="37" t="n">
        <x:v>0</x:v>
      </x:c>
      <x:c r="W807" s="37" t="n">
        <x:v>20095.392287873663</x:v>
      </x:c>
      <x:c r="X807" s="37" t="n">
        <x:v>0</x:v>
      </x:c>
      <x:c r="Y807" s="37" t="n">
        <x:v>1174.7193167256753</x:v>
      </x:c>
      <x:c r="Z807" s="37" t="n">
        <x:v>0</x:v>
      </x:c>
      <x:c r="AA807" s="37" t="n">
        <x:v>0</x:v>
      </x:c>
      <x:c r="AB807" s="37" t="n">
        <x:v>0</x:v>
      </x:c>
      <x:c r="AC807" s="37" t="n">
        <x:v>1320170.672971148</x:v>
      </x:c>
      <x:c r="AD807" s="37" t="n">
        <x:v>0</x:v>
      </x:c>
      <x:c r="AE807" s="37" t="n">
        <x:v>0</x:v>
      </x:c>
      <x:c r="AF807" s="47" t="b">
        <x:v>0</x:v>
      </x:c>
      <x:c r="AG807" s="47" t="b">
        <x:v>0</x:v>
      </x:c>
      <x:c r="AH807" s="48" t="n">
        <x:v>0</x:v>
      </x:c>
      <x:c r="AI807" s="48" t="n">
        <x:v>1.1920928955078125e-7</x:v>
      </x:c>
      <x:c r="AJ807" s="37" t="str">
        <x:v>passed</x:v>
      </x:c>
    </x:row>
    <x:row r="808" ht="21" customHeight="1">
      <x:c r="A808" s="2"/>
      <x:c r="B808" s="2"/>
      <x:c r="C808" s="2" t="str">
        <x:v>2022</x:v>
      </x:c>
      <x:c r="D808" s="5" t="n">
        <x:v>44854</x:v>
      </x:c>
      <x:c r="E808" s="2" t="str">
        <x:v>duration</x:v>
      </x:c>
      <x:c r="F808" s="37" t="n">
        <x:v>9363329.888396962</x:v>
      </x:c>
      <x:c r="G808" s="37" t="n">
        <x:v>3656800.2095767157</x:v>
      </x:c>
      <x:c r="H808" s="37" t="n">
        <x:v>-10287.182018361413</x:v>
      </x:c>
      <x:c r="I808" s="37" t="n">
        <x:v>3667087.3915950772</x:v>
      </x:c>
      <x:c r="J808" s="37" t="n">
        <x:v>10111115.27757475</x:v>
      </x:c>
      <x:c r="K808" s="37" t="n">
        <x:v>6454315.067998033</x:v>
      </x:c>
      <x:c r="L808" s="37" t="n">
        <x:v>13020130.097973678</x:v>
      </x:c>
      <x:c r="M808" s="37" t="n">
        <x:v>0</x:v>
      </x:c>
      <x:c r="N808" s="37" t="n">
        <x:v>0</x:v>
      </x:c>
      <x:c r="O808" s="37" t="n">
        <x:v>513.0310606751591</x:v>
      </x:c>
      <x:c r="P808" s="37" t="n">
        <x:v>0</x:v>
      </x:c>
      <x:c r="Q808" s="37" t="n">
        <x:v>0</x:v>
      </x:c>
      <x:c r="R808" s="37" t="n">
        <x:v>0</x:v>
      </x:c>
      <x:c r="S808" s="37" t="n">
        <x:v>0</x:v>
      </x:c>
      <x:c r="T808" s="37" t="n">
        <x:v>0</x:v>
      </x:c>
      <x:c r="U808" s="37" t="n">
        <x:v>44145.09825237111</x:v>
      </x:c>
      <x:c r="V808" s="37" t="n">
        <x:v>0</x:v>
      </x:c>
      <x:c r="W808" s="37" t="n">
        <x:v>147945.88330901973</x:v>
      </x:c>
      <x:c r="X808" s="37" t="n">
        <x:v>0</x:v>
      </x:c>
      <x:c r="Y808" s="37" t="n">
        <x:v>2008.8241046121334</x:v>
      </x:c>
      <x:c r="Z808" s="37" t="n">
        <x:v>6583401.369357994</x:v>
      </x:c>
      <x:c r="AA808" s="37" t="n">
        <x:v>0</x:v>
      </x:c>
      <x:c r="AB808" s="37" t="n">
        <x:v>6583401.369357994</x:v>
      </x:c>
      <x:c r="AC808" s="37" t="n">
        <x:v>2779928.519038968</x:v>
      </x:c>
      <x:c r="AD808" s="37" t="n">
        <x:v>0</x:v>
      </x:c>
      <x:c r="AE808" s="37" t="n">
        <x:v>0</x:v>
      </x:c>
      <x:c r="AF808" s="47" t="b">
        <x:v>0</x:v>
      </x:c>
      <x:c r="AG808" s="47" t="b">
        <x:v>0</x:v>
      </x:c>
      <x:c r="AH808" s="48" t="n">
        <x:v>0</x:v>
      </x:c>
      <x:c r="AI808" s="48" t="n">
        <x:v>1.1920928955078125e-7</x:v>
      </x:c>
      <x:c r="AJ808" s="37" t="str">
        <x:v>passed</x:v>
      </x:c>
    </x:row>
    <x:row r="809" ht="21" customHeight="1">
      <x:c r="A809" s="2"/>
      <x:c r="B809" s="2"/>
      <x:c r="C809" s="2" t="str">
        <x:v>2022</x:v>
      </x:c>
      <x:c r="D809" s="5" t="n">
        <x:v>44854</x:v>
      </x:c>
      <x:c r="E809" s="2" t="str">
        <x:v>unweighted</x:v>
      </x:c>
      <x:c r="F809" s="37" t="n">
        <x:v>12617813.586496431</x:v>
      </x:c>
      <x:c r="G809" s="37" t="n">
        <x:v>434021.898214517</x:v>
      </x:c>
      <x:c r="H809" s="37" t="n">
        <x:v>-17047.734994597817</x:v>
      </x:c>
      <x:c r="I809" s="37" t="n">
        <x:v>451069.6332091148</x:v>
      </x:c>
      <x:c r="J809" s="37" t="n">
        <x:v>10128371.459227983</x:v>
      </x:c>
      <x:c r="K809" s="37" t="n">
        <x:v>9694349.561013466</x:v>
      </x:c>
      <x:c r="L809" s="37" t="n">
        <x:v>13051835.484710949</x:v>
      </x:c>
      <x:c r="M809" s="37" t="n">
        <x:v>0</x:v>
      </x:c>
      <x:c r="N809" s="37" t="n">
        <x:v>0</x:v>
      </x:c>
      <x:c r="O809" s="37" t="n">
        <x:v>691.3491636887193</x:v>
      </x:c>
      <x:c r="P809" s="37" t="n">
        <x:v>0</x:v>
      </x:c>
      <x:c r="Q809" s="37" t="n">
        <x:v>0</x:v>
      </x:c>
      <x:c r="R809" s="37" t="n">
        <x:v>0</x:v>
      </x:c>
      <x:c r="S809" s="37" t="n">
        <x:v>0</x:v>
      </x:c>
      <x:c r="T809" s="37" t="n">
        <x:v>0</x:v>
      </x:c>
      <x:c r="U809" s="37" t="n">
        <x:v>35631.30899120559</x:v>
      </x:c>
      <x:c r="V809" s="37" t="n">
        <x:v>0</x:v>
      </x:c>
      <x:c r="W809" s="37" t="n">
        <x:v>194551.0728984177</x:v>
      </x:c>
      <x:c r="X809" s="37" t="n">
        <x:v>0</x:v>
      </x:c>
      <x:c r="Y809" s="37" t="n">
        <x:v>2298.93929880459</x:v>
      </x:c>
      <x:c r="Z809" s="37" t="n">
        <x:v>9888236.552233735</x:v>
      </x:c>
      <x:c r="AA809" s="37" t="n">
        <x:v>0</x:v>
      </x:c>
      <x:c r="AB809" s="37" t="n">
        <x:v>9888236.552233735</x:v>
      </x:c>
      <x:c r="AC809" s="37" t="n">
        <x:v>2729577.0342626963</x:v>
      </x:c>
      <x:c r="AD809" s="37" t="n">
        <x:v>0</x:v>
      </x:c>
      <x:c r="AE809" s="37" t="n">
        <x:v>0</x:v>
      </x:c>
      <x:c r="AF809" s="47" t="b">
        <x:v>0</x:v>
      </x:c>
      <x:c r="AG809" s="47" t="b">
        <x:v>0</x:v>
      </x:c>
      <x:c r="AH809" s="48" t="n">
        <x:v>0</x:v>
      </x:c>
      <x:c r="AI809" s="48" t="n">
        <x:v>1.1920928955078125e-7</x:v>
      </x:c>
      <x:c r="AJ809" s="37" t="str">
        <x:v>passed</x:v>
      </x:c>
    </x:row>
    <x:row r="810" ht="21" customHeight="1">
      <x:c r="A810" s="2"/>
      <x:c r="B810" s="2"/>
      <x:c r="C810" s="2" t="str">
        <x:v>2022</x:v>
      </x:c>
      <x:c r="D810" s="5" t="n">
        <x:v>44854</x:v>
      </x:c>
      <x:c r="E810" s="2" t="str">
        <x:v>constrained</x:v>
      </x:c>
      <x:c r="F810" s="37" t="n">
        <x:v>13178146.133127816</x:v>
      </x:c>
      <x:c r="G810" s="37" t="n">
        <x:v>-22083.2912799834</x:v>
      </x:c>
      <x:c r="H810" s="37" t="n">
        <x:v>-19720.148162188896</x:v>
      </x:c>
      <x:c r="I810" s="37" t="n">
        <x:v>-2363.143117794505</x:v>
      </x:c>
      <x:c r="J810" s="37" t="n">
        <x:v>10134621.078101868</x:v>
      </x:c>
      <x:c r="K810" s="37" t="n">
        <x:v>10156704.369381852</x:v>
      </x:c>
      <x:c r="L810" s="37" t="n">
        <x:v>13156062.841847833</x:v>
      </x:c>
      <x:c r="M810" s="37" t="n">
        <x:v>0</x:v>
      </x:c>
      <x:c r="N810" s="37" t="n">
        <x:v>0</x:v>
      </x:c>
      <x:c r="O810" s="37" t="n">
        <x:v>722.0506346561015</x:v>
      </x:c>
      <x:c r="P810" s="37" t="n">
        <x:v>0</x:v>
      </x:c>
      <x:c r="Q810" s="37" t="n">
        <x:v>0</x:v>
      </x:c>
      <x:c r="R810" s="37" t="n">
        <x:v>0</x:v>
      </x:c>
      <x:c r="S810" s="37" t="n">
        <x:v>0</x:v>
      </x:c>
      <x:c r="T810" s="37" t="n">
        <x:v>0</x:v>
      </x:c>
      <x:c r="U810" s="37" t="n">
        <x:v>30770.55116020547</x:v>
      </x:c>
      <x:c r="V810" s="37" t="n">
        <x:v>0</x:v>
      </x:c>
      <x:c r="W810" s="37" t="n">
        <x:v>208427.16523723118</x:v>
      </x:c>
      <x:c r="X810" s="37" t="n">
        <x:v>0</x:v>
      </x:c>
      <x:c r="Y810" s="37" t="n">
        <x:v>2397.9830818299747</x:v>
      </x:c>
      <x:c r="Z810" s="37" t="n">
        <x:v>10359838.456769489</x:v>
      </x:c>
      <x:c r="AA810" s="37" t="n">
        <x:v>0</x:v>
      </x:c>
      <x:c r="AB810" s="37" t="n">
        <x:v>10359838.456769489</x:v>
      </x:c>
      <x:c r="AC810" s="37" t="n">
        <x:v>2818307.6763583273</x:v>
      </x:c>
      <x:c r="AD810" s="37" t="n">
        <x:v>0</x:v>
      </x:c>
      <x:c r="AE810" s="37" t="n">
        <x:v>0</x:v>
      </x:c>
      <x:c r="AF810" s="47" t="b">
        <x:v>0</x:v>
      </x:c>
      <x:c r="AG810" s="47" t="b">
        <x:v>0</x:v>
      </x:c>
      <x:c r="AH810" s="48" t="n">
        <x:v>0</x:v>
      </x:c>
      <x:c r="AI810" s="48" t="n">
        <x:v>1.1920928955078125e-7</x:v>
      </x:c>
      <x:c r="AJ810" s="37" t="str">
        <x:v>passed</x:v>
      </x:c>
    </x:row>
    <x:row r="811" ht="21" customHeight="1">
      <x:c r="A811" s="2"/>
      <x:c r="B811" s="2"/>
      <x:c r="C811" s="2" t="str">
        <x:v>2022</x:v>
      </x:c>
      <x:c r="D811" s="5" t="n">
        <x:v>44855</x:v>
      </x:c>
      <x:c r="E811" s="2" t="str">
        <x:v>unhedged</x:v>
      </x:c>
      <x:c r="F811" s="37" t="n">
        <x:v>1320243.011090215</x:v>
      </x:c>
      <x:c r="G811" s="37" t="n">
        <x:v>10139380.344384223</x:v>
      </x:c>
      <x:c r="H811" s="37" t="n">
        <x:v>38478.260869565216</x:v>
      </x:c>
      <x:c r="I811" s="37" t="n">
        <x:v>10100902.083514659</x:v>
      </x:c>
      <x:c r="J811" s="37" t="n">
        <x:v>10139380.344384223</x:v>
      </x:c>
      <x:c r="K811" s="37" t="n">
        <x:v>0</x:v>
      </x:c>
      <x:c r="L811" s="37" t="n">
        <x:v>11459623.355474439</x:v>
      </x:c>
      <x:c r="M811" s="37" t="n">
        <x:v>0</x:v>
      </x:c>
      <x:c r="N811" s="37" t="n">
        <x:v>0</x:v>
      </x:c>
      <x:c r="O811" s="37" t="n">
        <x:v>72.33811906701885</x:v>
      </x:c>
      <x:c r="P811" s="37" t="n">
        <x:v>0</x:v>
      </x:c>
      <x:c r="Q811" s="37" t="n">
        <x:v>0</x:v>
      </x:c>
      <x:c r="R811" s="37" t="n">
        <x:v>0</x:v>
      </x:c>
      <x:c r="S811" s="37" t="n">
        <x:v>0</x:v>
      </x:c>
      <x:c r="T811" s="37" t="n">
        <x:v>0</x:v>
      </x:c>
      <x:c r="U811" s="37" t="n">
        <x:v>101250</x:v>
      </x:c>
      <x:c r="V811" s="37" t="n">
        <x:v>0</x:v>
      </x:c>
      <x:c r="W811" s="37" t="n">
        <x:v>20167.730406940682</x:v>
      </x:c>
      <x:c r="X811" s="37" t="n">
        <x:v>0</x:v>
      </x:c>
      <x:c r="Y811" s="37" t="n">
        <x:v>1174.7193167256753</x:v>
      </x:c>
      <x:c r="Z811" s="37" t="n">
        <x:v>0</x:v>
      </x:c>
      <x:c r="AA811" s="37" t="n">
        <x:v>0</x:v>
      </x:c>
      <x:c r="AB811" s="37" t="n">
        <x:v>0</x:v>
      </x:c>
      <x:c r="AC811" s="37" t="n">
        <x:v>1320243.011090215</x:v>
      </x:c>
      <x:c r="AD811" s="37" t="n">
        <x:v>0</x:v>
      </x:c>
      <x:c r="AE811" s="37" t="n">
        <x:v>0</x:v>
      </x:c>
      <x:c r="AF811" s="47" t="b">
        <x:v>0</x:v>
      </x:c>
      <x:c r="AG811" s="47" t="b">
        <x:v>0</x:v>
      </x:c>
      <x:c r="AH811" s="48" t="n">
        <x:v>0</x:v>
      </x:c>
      <x:c r="AI811" s="48" t="n">
        <x:v>1.1920928955078125e-7</x:v>
      </x:c>
      <x:c r="AJ811" s="37" t="str">
        <x:v>passed</x:v>
      </x:c>
    </x:row>
    <x:row r="812" ht="21" customHeight="1">
      <x:c r="A812" s="2"/>
      <x:c r="B812" s="2"/>
      <x:c r="C812" s="2" t="str">
        <x:v>2022</x:v>
      </x:c>
      <x:c r="D812" s="5" t="n">
        <x:v>44855</x:v>
      </x:c>
      <x:c r="E812" s="2" t="str">
        <x:v>duration</x:v>
      </x:c>
      <x:c r="F812" s="37" t="n">
        <x:v>9363842.94756893</x:v>
      </x:c>
      <x:c r="G812" s="37" t="n">
        <x:v>3677005.798452448</x:v>
      </x:c>
      <x:c r="H812" s="37" t="n">
        <x:v>-10247.163839061002</x:v>
      </x:c>
      <x:c r="I812" s="37" t="n">
        <x:v>3687252.962291509</x:v>
      </x:c>
      <x:c r="J812" s="37" t="n">
        <x:v>10139380.344384223</x:v>
      </x:c>
      <x:c r="K812" s="37" t="n">
        <x:v>6462374.545931774</x:v>
      </x:c>
      <x:c r="L812" s="37" t="n">
        <x:v>13040848.746021379</x:v>
      </x:c>
      <x:c r="M812" s="37" t="n">
        <x:v>0</x:v>
      </x:c>
      <x:c r="N812" s="37" t="n">
        <x:v>0</x:v>
      </x:c>
      <x:c r="O812" s="37" t="n">
        <x:v>513.059171969071</x:v>
      </x:c>
      <x:c r="P812" s="37" t="n">
        <x:v>0</x:v>
      </x:c>
      <x:c r="Q812" s="37" t="n">
        <x:v>0</x:v>
      </x:c>
      <x:c r="R812" s="37" t="n">
        <x:v>0</x:v>
      </x:c>
      <x:c r="S812" s="37" t="n">
        <x:v>0</x:v>
      </x:c>
      <x:c r="T812" s="37" t="n">
        <x:v>0</x:v>
      </x:c>
      <x:c r="U812" s="37" t="n">
        <x:v>44145.09825237111</x:v>
      </x:c>
      <x:c r="V812" s="37" t="n">
        <x:v>0</x:v>
      </x:c>
      <x:c r="W812" s="37" t="n">
        <x:v>148458.9424809888</x:v>
      </x:c>
      <x:c r="X812" s="37" t="n">
        <x:v>0</x:v>
      </x:c>
      <x:c r="Y812" s="37" t="n">
        <x:v>2008.8241046121334</x:v>
      </x:c>
      <x:c r="Z812" s="37" t="n">
        <x:v>6591622.03685041</x:v>
      </x:c>
      <x:c r="AA812" s="37" t="n">
        <x:v>0</x:v>
      </x:c>
      <x:c r="AB812" s="37" t="n">
        <x:v>6591622.03685041</x:v>
      </x:c>
      <x:c r="AC812" s="37" t="n">
        <x:v>2772220.910718521</x:v>
      </x:c>
      <x:c r="AD812" s="37" t="n">
        <x:v>0</x:v>
      </x:c>
      <x:c r="AE812" s="37" t="n">
        <x:v>0</x:v>
      </x:c>
      <x:c r="AF812" s="47" t="b">
        <x:v>0</x:v>
      </x:c>
      <x:c r="AG812" s="47" t="b">
        <x:v>0</x:v>
      </x:c>
      <x:c r="AH812" s="48" t="n">
        <x:v>0</x:v>
      </x:c>
      <x:c r="AI812" s="48" t="n">
        <x:v>1.1920928955078125e-7</x:v>
      </x:c>
      <x:c r="AJ812" s="37" t="str">
        <x:v>passed</x:v>
      </x:c>
    </x:row>
    <x:row r="813" ht="21" customHeight="1">
      <x:c r="A813" s="2"/>
      <x:c r="B813" s="2"/>
      <x:c r="C813" s="2" t="str">
        <x:v>2022</x:v>
      </x:c>
      <x:c r="D813" s="5" t="n">
        <x:v>44855</x:v>
      </x:c>
      <x:c r="E813" s="2" t="str">
        <x:v>unweighted</x:v>
      </x:c>
      <x:c r="F813" s="37" t="n">
        <x:v>12618504.97354227</x:v>
      </x:c>
      <x:c r="G813" s="37" t="n">
        <x:v>436154.2508051449</x:v>
      </x:c>
      <x:c r="H813" s="37" t="n">
        <x:v>-17066.695873683784</x:v>
      </x:c>
      <x:c r="I813" s="37" t="n">
        <x:v>453220.9466788287</x:v>
      </x:c>
      <x:c r="J813" s="37" t="n">
        <x:v>10156424.334465228</x:v>
      </x:c>
      <x:c r="K813" s="37" t="n">
        <x:v>9720270.083660085</x:v>
      </x:c>
      <x:c r="L813" s="37" t="n">
        <x:v>13054659.224347414</x:v>
      </x:c>
      <x:c r="M813" s="37" t="n">
        <x:v>0</x:v>
      </x:c>
      <x:c r="N813" s="37" t="n">
        <x:v>0</x:v>
      </x:c>
      <x:c r="O813" s="37" t="n">
        <x:v>691.3870458379388</x:v>
      </x:c>
      <x:c r="P813" s="37" t="n">
        <x:v>0</x:v>
      </x:c>
      <x:c r="Q813" s="37" t="n">
        <x:v>0</x:v>
      </x:c>
      <x:c r="R813" s="37" t="n">
        <x:v>0</x:v>
      </x:c>
      <x:c r="S813" s="37" t="n">
        <x:v>0</x:v>
      </x:c>
      <x:c r="T813" s="37" t="n">
        <x:v>0</x:v>
      </x:c>
      <x:c r="U813" s="37" t="n">
        <x:v>35631.30899120559</x:v>
      </x:c>
      <x:c r="V813" s="37" t="n">
        <x:v>0</x:v>
      </x:c>
      <x:c r="W813" s="37" t="n">
        <x:v>195242.45994425565</x:v>
      </x:c>
      <x:c r="X813" s="37" t="n">
        <x:v>0</x:v>
      </x:c>
      <x:c r="Y813" s="37" t="n">
        <x:v>2298.93929880459</x:v>
      </x:c>
      <x:c r="Z813" s="37" t="n">
        <x:v>9914675.485333286</x:v>
      </x:c>
      <x:c r="AA813" s="37" t="n">
        <x:v>0</x:v>
      </x:c>
      <x:c r="AB813" s="37" t="n">
        <x:v>9914675.485333286</x:v>
      </x:c>
      <x:c r="AC813" s="37" t="n">
        <x:v>2703829.488208983</x:v>
      </x:c>
      <x:c r="AD813" s="37" t="n">
        <x:v>0</x:v>
      </x:c>
      <x:c r="AE813" s="37" t="n">
        <x:v>0</x:v>
      </x:c>
      <x:c r="AF813" s="47" t="b">
        <x:v>0</x:v>
      </x:c>
      <x:c r="AG813" s="47" t="b">
        <x:v>0</x:v>
      </x:c>
      <x:c r="AH813" s="48" t="n">
        <x:v>0</x:v>
      </x:c>
      <x:c r="AI813" s="48" t="n">
        <x:v>1.1920928955078125e-7</x:v>
      </x:c>
      <x:c r="AJ813" s="37" t="str">
        <x:v>passed</x:v>
      </x:c>
    </x:row>
    <x:row r="814" ht="21" customHeight="1">
      <x:c r="A814" s="2"/>
      <x:c r="B814" s="2"/>
      <x:c r="C814" s="2" t="str">
        <x:v>2022</x:v>
      </x:c>
      <x:c r="D814" s="5" t="n">
        <x:v>44855</x:v>
      </x:c>
      <x:c r="E814" s="2" t="str">
        <x:v>constrained</x:v>
      </x:c>
      <x:c r="F814" s="37" t="n">
        <x:v>13178868.223326895</x:v>
      </x:c>
      <x:c r="G814" s="37" t="n">
        <x:v>-21862.29798659622</x:v>
      </x:c>
      <x:c r="H814" s="37" t="n">
        <x:v>-19757.298275345314</x:v>
      </x:c>
      <x:c r="I814" s="37" t="n">
        <x:v>-2104.9997112509045</x:v>
      </x:c>
      <x:c r="J814" s="37" t="n">
        <x:v>10162601.826471504</x:v>
      </x:c>
      <x:c r="K814" s="37" t="n">
        <x:v>10184464.124458099</x:v>
      </x:c>
      <x:c r="L814" s="37" t="n">
        <x:v>13157005.925340299</x:v>
      </x:c>
      <x:c r="M814" s="37" t="n">
        <x:v>0</x:v>
      </x:c>
      <x:c r="N814" s="37" t="n">
        <x:v>0</x:v>
      </x:c>
      <x:c r="O814" s="37" t="n">
        <x:v>722.0901990793645</x:v>
      </x:c>
      <x:c r="P814" s="37" t="n">
        <x:v>0</x:v>
      </x:c>
      <x:c r="Q814" s="37" t="n">
        <x:v>0</x:v>
      </x:c>
      <x:c r="R814" s="37" t="n">
        <x:v>0</x:v>
      </x:c>
      <x:c r="S814" s="37" t="n">
        <x:v>0</x:v>
      </x:c>
      <x:c r="T814" s="37" t="n">
        <x:v>0</x:v>
      </x:c>
      <x:c r="U814" s="37" t="n">
        <x:v>30770.55116020547</x:v>
      </x:c>
      <x:c r="V814" s="37" t="n">
        <x:v>0</x:v>
      </x:c>
      <x:c r="W814" s="37" t="n">
        <x:v>209149.25543631054</x:v>
      </x:c>
      <x:c r="X814" s="37" t="n">
        <x:v>0</x:v>
      </x:c>
      <x:c r="Y814" s="37" t="n">
        <x:v>2397.9830818299747</x:v>
      </x:c>
      <x:c r="Z814" s="37" t="n">
        <x:v>10388153.40694726</x:v>
      </x:c>
      <x:c r="AA814" s="37" t="n">
        <x:v>0</x:v>
      </x:c>
      <x:c r="AB814" s="37" t="n">
        <x:v>10388153.40694726</x:v>
      </x:c>
      <x:c r="AC814" s="37" t="n">
        <x:v>2790714.8163796347</x:v>
      </x:c>
      <x:c r="AD814" s="37" t="n">
        <x:v>0</x:v>
      </x:c>
      <x:c r="AE814" s="37" t="n">
        <x:v>0</x:v>
      </x:c>
      <x:c r="AF814" s="47" t="b">
        <x:v>0</x:v>
      </x:c>
      <x:c r="AG814" s="47" t="b">
        <x:v>0</x:v>
      </x:c>
      <x:c r="AH814" s="48" t="n">
        <x:v>0</x:v>
      </x:c>
      <x:c r="AI814" s="48" t="n">
        <x:v>1.1920928955078125e-7</x:v>
      </x:c>
      <x:c r="AJ814" s="37" t="str">
        <x:v>passed</x:v>
      </x:c>
    </x:row>
    <x:row r="815" ht="21" customHeight="1">
      <x:c r="A815" s="2"/>
      <x:c r="B815" s="2"/>
      <x:c r="C815" s="2" t="str">
        <x:v>2022</x:v>
      </x:c>
      <x:c r="D815" s="5" t="n">
        <x:v>44858</x:v>
      </x:c>
      <x:c r="E815" s="2" t="str">
        <x:v>unhedged</x:v>
      </x:c>
      <x:c r="F815" s="37" t="n">
        <x:v>1320460.0492306803</x:v>
      </x:c>
      <x:c r="G815" s="37" t="n">
        <x:v>10124376.903476495</x:v>
      </x:c>
      <x:c r="H815" s="37" t="n">
        <x:v>39517.663043478264</x:v>
      </x:c>
      <x:c r="I815" s="37" t="n">
        <x:v>10084859.240433017</x:v>
      </x:c>
      <x:c r="J815" s="37" t="n">
        <x:v>10124376.903476495</x:v>
      </x:c>
      <x:c r="K815" s="37" t="n">
        <x:v>0</x:v>
      </x:c>
      <x:c r="L815" s="37" t="n">
        <x:v>11444836.952707175</x:v>
      </x:c>
      <x:c r="M815" s="37" t="n">
        <x:v>0</x:v>
      </x:c>
      <x:c r="N815" s="37" t="n">
        <x:v>0</x:v>
      </x:c>
      <x:c r="O815" s="37" t="n">
        <x:v>217.0381404652726</x:v>
      </x:c>
      <x:c r="P815" s="37" t="n">
        <x:v>0</x:v>
      </x:c>
      <x:c r="Q815" s="37" t="n">
        <x:v>0</x:v>
      </x:c>
      <x:c r="R815" s="37" t="n">
        <x:v>0</x:v>
      </x:c>
      <x:c r="S815" s="37" t="n">
        <x:v>0</x:v>
      </x:c>
      <x:c r="T815" s="37" t="n">
        <x:v>0</x:v>
      </x:c>
      <x:c r="U815" s="37" t="n">
        <x:v>101250</x:v>
      </x:c>
      <x:c r="V815" s="37" t="n">
        <x:v>0</x:v>
      </x:c>
      <x:c r="W815" s="37" t="n">
        <x:v>20384.768547405954</x:v>
      </x:c>
      <x:c r="X815" s="37" t="n">
        <x:v>0</x:v>
      </x:c>
      <x:c r="Y815" s="37" t="n">
        <x:v>1174.7193167256753</x:v>
      </x:c>
      <x:c r="Z815" s="37" t="n">
        <x:v>0</x:v>
      </x:c>
      <x:c r="AA815" s="37" t="n">
        <x:v>0</x:v>
      </x:c>
      <x:c r="AB815" s="37" t="n">
        <x:v>0</x:v>
      </x:c>
      <x:c r="AC815" s="37" t="n">
        <x:v>1320460.0492306803</x:v>
      </x:c>
      <x:c r="AD815" s="37" t="n">
        <x:v>0</x:v>
      </x:c>
      <x:c r="AE815" s="37" t="n">
        <x:v>0</x:v>
      </x:c>
      <x:c r="AF815" s="47" t="b">
        <x:v>0</x:v>
      </x:c>
      <x:c r="AG815" s="47" t="b">
        <x:v>0</x:v>
      </x:c>
      <x:c r="AH815" s="48" t="n">
        <x:v>0</x:v>
      </x:c>
      <x:c r="AI815" s="48" t="n">
        <x:v>1.1920928955078125e-7</x:v>
      </x:c>
      <x:c r="AJ815" s="37" t="str">
        <x:v>passed</x:v>
      </x:c>
    </x:row>
    <x:row r="816" ht="21" customHeight="1">
      <x:c r="A816" s="2"/>
      <x:c r="B816" s="2"/>
      <x:c r="C816" s="2" t="str">
        <x:v>2022</x:v>
      </x:c>
      <x:c r="D816" s="5" t="n">
        <x:v>44858</x:v>
      </x:c>
      <x:c r="E816" s="2" t="str">
        <x:v>duration</x:v>
      </x:c>
      <x:c r="F816" s="37" t="n">
        <x:v>9365382.293767983</x:v>
      </x:c>
      <x:c r="G816" s="37" t="n">
        <x:v>3683747.4419868654</x:v>
      </x:c>
      <x:c r="H816" s="37" t="n">
        <x:v>-10127.109301159777</x:v>
      </x:c>
      <x:c r="I816" s="37" t="n">
        <x:v>3693874.551288025</x:v>
      </x:c>
      <x:c r="J816" s="37" t="n">
        <x:v>10124376.903476495</x:v>
      </x:c>
      <x:c r="K816" s="37" t="n">
        <x:v>6440629.461489631</x:v>
      </x:c>
      <x:c r="L816" s="37" t="n">
        <x:v>13049129.735754848</x:v>
      </x:c>
      <x:c r="M816" s="37" t="n">
        <x:v>0</x:v>
      </x:c>
      <x:c r="N816" s="37" t="n">
        <x:v>0</x:v>
      </x:c>
      <x:c r="O816" s="37" t="n">
        <x:v>1539.3461990524083</x:v>
      </x:c>
      <x:c r="P816" s="37" t="n">
        <x:v>0</x:v>
      </x:c>
      <x:c r="Q816" s="37" t="n">
        <x:v>0</x:v>
      </x:c>
      <x:c r="R816" s="37" t="n">
        <x:v>0</x:v>
      </x:c>
      <x:c r="S816" s="37" t="n">
        <x:v>0</x:v>
      </x:c>
      <x:c r="T816" s="37" t="n">
        <x:v>0</x:v>
      </x:c>
      <x:c r="U816" s="37" t="n">
        <x:v>44145.09825237111</x:v>
      </x:c>
      <x:c r="V816" s="37" t="n">
        <x:v>0</x:v>
      </x:c>
      <x:c r="W816" s="37" t="n">
        <x:v>149998.2886800412</x:v>
      </x:c>
      <x:c r="X816" s="37" t="n">
        <x:v>0</x:v>
      </x:c>
      <x:c r="Y816" s="37" t="n">
        <x:v>2008.8241046121334</x:v>
      </x:c>
      <x:c r="Z816" s="37" t="n">
        <x:v>6569442.050719423</x:v>
      </x:c>
      <x:c r="AA816" s="37" t="n">
        <x:v>0</x:v>
      </x:c>
      <x:c r="AB816" s="37" t="n">
        <x:v>6569442.050719423</x:v>
      </x:c>
      <x:c r="AC816" s="37" t="n">
        <x:v>2795940.24304856</x:v>
      </x:c>
      <x:c r="AD816" s="37" t="n">
        <x:v>0</x:v>
      </x:c>
      <x:c r="AE816" s="37" t="n">
        <x:v>0</x:v>
      </x:c>
      <x:c r="AF816" s="47" t="b">
        <x:v>0</x:v>
      </x:c>
      <x:c r="AG816" s="47" t="b">
        <x:v>0</x:v>
      </x:c>
      <x:c r="AH816" s="48" t="n">
        <x:v>0</x:v>
      </x:c>
      <x:c r="AI816" s="48" t="n">
        <x:v>1.1920928955078125e-7</x:v>
      </x:c>
      <x:c r="AJ816" s="37" t="str">
        <x:v>passed</x:v>
      </x:c>
    </x:row>
    <x:row r="817" ht="21" customHeight="1">
      <x:c r="A817" s="2"/>
      <x:c r="B817" s="2"/>
      <x:c r="C817" s="2" t="str">
        <x:v>2022</x:v>
      </x:c>
      <x:c r="D817" s="5" t="n">
        <x:v>44858</x:v>
      </x:c>
      <x:c r="E817" s="2" t="str">
        <x:v>unweighted</x:v>
      </x:c>
      <x:c r="F817" s="37" t="n">
        <x:v>12620579.36199341</x:v>
      </x:c>
      <x:c r="G817" s="37" t="n">
        <x:v>435765.5121048629</x:v>
      </x:c>
      <x:c r="H817" s="37" t="n">
        <x:v>-17123.57851094168</x:v>
      </x:c>
      <x:c r="I817" s="37" t="n">
        <x:v>452889.0906158046</x:v>
      </x:c>
      <x:c r="J817" s="37" t="n">
        <x:v>10141266.80622</x:v>
      </x:c>
      <x:c r="K817" s="37" t="n">
        <x:v>9705501.294115137</x:v>
      </x:c>
      <x:c r="L817" s="37" t="n">
        <x:v>13056344.874098273</x:v>
      </x:c>
      <x:c r="M817" s="37" t="n">
        <x:v>0</x:v>
      </x:c>
      <x:c r="N817" s="37" t="n">
        <x:v>0</x:v>
      </x:c>
      <x:c r="O817" s="37" t="n">
        <x:v>2074.388451140374</x:v>
      </x:c>
      <x:c r="P817" s="37" t="n">
        <x:v>0</x:v>
      </x:c>
      <x:c r="Q817" s="37" t="n">
        <x:v>0</x:v>
      </x:c>
      <x:c r="R817" s="37" t="n">
        <x:v>0</x:v>
      </x:c>
      <x:c r="S817" s="37" t="n">
        <x:v>0</x:v>
      </x:c>
      <x:c r="T817" s="37" t="n">
        <x:v>0</x:v>
      </x:c>
      <x:c r="U817" s="37" t="n">
        <x:v>35631.30899120559</x:v>
      </x:c>
      <x:c r="V817" s="37" t="n">
        <x:v>0</x:v>
      </x:c>
      <x:c r="W817" s="37" t="n">
        <x:v>197316.84839539602</x:v>
      </x:c>
      <x:c r="X817" s="37" t="n">
        <x:v>0</x:v>
      </x:c>
      <x:c r="Y817" s="37" t="n">
        <x:v>2298.93929880459</x:v>
      </x:c>
      <x:c r="Z817" s="37" t="n">
        <x:v>9899611.319997441</x:v>
      </x:c>
      <x:c r="AA817" s="37" t="n">
        <x:v>0</x:v>
      </x:c>
      <x:c r="AB817" s="37" t="n">
        <x:v>9899611.319997441</x:v>
      </x:c>
      <x:c r="AC817" s="37" t="n">
        <x:v>2720968.0419959687</x:v>
      </x:c>
      <x:c r="AD817" s="37" t="n">
        <x:v>0</x:v>
      </x:c>
      <x:c r="AE817" s="37" t="n">
        <x:v>0</x:v>
      </x:c>
      <x:c r="AF817" s="47" t="b">
        <x:v>0</x:v>
      </x:c>
      <x:c r="AG817" s="47" t="b">
        <x:v>0</x:v>
      </x:c>
      <x:c r="AH817" s="48" t="n">
        <x:v>0</x:v>
      </x:c>
      <x:c r="AI817" s="48" t="n">
        <x:v>1.1920928955078125e-7</x:v>
      </x:c>
      <x:c r="AJ817" s="37" t="str">
        <x:v>passed</x:v>
      </x:c>
    </x:row>
    <x:row r="818" ht="21" customHeight="1">
      <x:c r="A818" s="2"/>
      <x:c r="B818" s="2"/>
      <x:c r="C818" s="2" t="str">
        <x:v>2022</x:v>
      </x:c>
      <x:c r="D818" s="5" t="n">
        <x:v>44858</x:v>
      </x:c>
      <x:c r="E818" s="2" t="str">
        <x:v>constrained</x:v>
      </x:c>
      <x:c r="F818" s="37" t="n">
        <x:v>13181034.731332313</x:v>
      </x:c>
      <x:c r="G818" s="37" t="n">
        <x:v>-21813.224615395247</x:v>
      </x:c>
      <x:c r="H818" s="37" t="n">
        <x:v>-19868.748614814544</x:v>
      </x:c>
      <x:c r="I818" s="37" t="n">
        <x:v>-1944.4760005807038</x:v>
      </x:c>
      <x:c r="J818" s="37" t="n">
        <x:v>10147390.149485813</x:v>
      </x:c>
      <x:c r="K818" s="37" t="n">
        <x:v>10169203.37410121</x:v>
      </x:c>
      <x:c r="L818" s="37" t="n">
        <x:v>13159221.506716918</x:v>
      </x:c>
      <x:c r="M818" s="37" t="n">
        <x:v>0</x:v>
      </x:c>
      <x:c r="N818" s="37" t="n">
        <x:v>0</x:v>
      </x:c>
      <x:c r="O818" s="37" t="n">
        <x:v>2166.5080054178834</x:v>
      </x:c>
      <x:c r="P818" s="37" t="n">
        <x:v>0</x:v>
      </x:c>
      <x:c r="Q818" s="37" t="n">
        <x:v>0</x:v>
      </x:c>
      <x:c r="R818" s="37" t="n">
        <x:v>0</x:v>
      </x:c>
      <x:c r="S818" s="37" t="n">
        <x:v>0</x:v>
      </x:c>
      <x:c r="T818" s="37" t="n">
        <x:v>0</x:v>
      </x:c>
      <x:c r="U818" s="37" t="n">
        <x:v>30770.55116020547</x:v>
      </x:c>
      <x:c r="V818" s="37" t="n">
        <x:v>0</x:v>
      </x:c>
      <x:c r="W818" s="37" t="n">
        <x:v>211315.76344172843</x:v>
      </x:c>
      <x:c r="X818" s="37" t="n">
        <x:v>0</x:v>
      </x:c>
      <x:c r="Y818" s="37" t="n">
        <x:v>2397.9830818299747</x:v>
      </x:c>
      <x:c r="Z818" s="37" t="n">
        <x:v>10372587.441583235</x:v>
      </x:c>
      <x:c r="AA818" s="37" t="n">
        <x:v>0</x:v>
      </x:c>
      <x:c r="AB818" s="37" t="n">
        <x:v>10372587.441583235</x:v>
      </x:c>
      <x:c r="AC818" s="37" t="n">
        <x:v>2808447.2897490785</x:v>
      </x:c>
      <x:c r="AD818" s="37" t="n">
        <x:v>0</x:v>
      </x:c>
      <x:c r="AE818" s="37" t="n">
        <x:v>0</x:v>
      </x:c>
      <x:c r="AF818" s="47" t="b">
        <x:v>0</x:v>
      </x:c>
      <x:c r="AG818" s="47" t="b">
        <x:v>0</x:v>
      </x:c>
      <x:c r="AH818" s="48" t="n">
        <x:v>0</x:v>
      </x:c>
      <x:c r="AI818" s="48" t="n">
        <x:v>1.1920928955078125e-7</x:v>
      </x:c>
      <x:c r="AJ818" s="37" t="str">
        <x:v>passed</x:v>
      </x:c>
    </x:row>
    <x:row r="819" ht="21" customHeight="1">
      <x:c r="A819" s="2"/>
      <x:c r="B819" s="2"/>
      <x:c r="C819" s="2" t="str">
        <x:v>2022</x:v>
      </x:c>
      <x:c r="D819" s="5" t="n">
        <x:v>44859</x:v>
      </x:c>
      <x:c r="E819" s="2" t="str">
        <x:v>unhedged</x:v>
      </x:c>
      <x:c r="F819" s="37" t="n">
        <x:v>1320532.4032059808</x:v>
      </x:c>
      <x:c r="G819" s="37" t="n">
        <x:v>10188722.263987072</x:v>
      </x:c>
      <x:c r="H819" s="37" t="n">
        <x:v>39864.13043478261</x:v>
      </x:c>
      <x:c r="I819" s="37" t="n">
        <x:v>10148858.133552289</x:v>
      </x:c>
      <x:c r="J819" s="37" t="n">
        <x:v>10188722.263987072</x:v>
      </x:c>
      <x:c r="K819" s="37" t="n">
        <x:v>0</x:v>
      </x:c>
      <x:c r="L819" s="37" t="n">
        <x:v>11509254.667193053</x:v>
      </x:c>
      <x:c r="M819" s="37" t="n">
        <x:v>0</x:v>
      </x:c>
      <x:c r="N819" s="37" t="n">
        <x:v>0</x:v>
      </x:c>
      <x:c r="O819" s="37" t="n">
        <x:v>72.35397530044429</x:v>
      </x:c>
      <x:c r="P819" s="37" t="n">
        <x:v>0</x:v>
      </x:c>
      <x:c r="Q819" s="37" t="n">
        <x:v>0</x:v>
      </x:c>
      <x:c r="R819" s="37" t="n">
        <x:v>0</x:v>
      </x:c>
      <x:c r="S819" s="37" t="n">
        <x:v>0</x:v>
      </x:c>
      <x:c r="T819" s="37" t="n">
        <x:v>0</x:v>
      </x:c>
      <x:c r="U819" s="37" t="n">
        <x:v>101250</x:v>
      </x:c>
      <x:c r="V819" s="37" t="n">
        <x:v>0</x:v>
      </x:c>
      <x:c r="W819" s="37" t="n">
        <x:v>20457.1225227064</x:v>
      </x:c>
      <x:c r="X819" s="37" t="n">
        <x:v>0</x:v>
      </x:c>
      <x:c r="Y819" s="37" t="n">
        <x:v>1174.7193167256753</x:v>
      </x:c>
      <x:c r="Z819" s="37" t="n">
        <x:v>0</x:v>
      </x:c>
      <x:c r="AA819" s="37" t="n">
        <x:v>0</x:v>
      </x:c>
      <x:c r="AB819" s="37" t="n">
        <x:v>0</x:v>
      </x:c>
      <x:c r="AC819" s="37" t="n">
        <x:v>1320532.4032059808</x:v>
      </x:c>
      <x:c r="AD819" s="37" t="n">
        <x:v>0</x:v>
      </x:c>
      <x:c r="AE819" s="37" t="n">
        <x:v>0</x:v>
      </x:c>
      <x:c r="AF819" s="47" t="b">
        <x:v>0</x:v>
      </x:c>
      <x:c r="AG819" s="47" t="b">
        <x:v>0</x:v>
      </x:c>
      <x:c r="AH819" s="48" t="n">
        <x:v>0</x:v>
      </x:c>
      <x:c r="AI819" s="48" t="n">
        <x:v>1.1920928955078125e-7</x:v>
      </x:c>
      <x:c r="AJ819" s="37" t="str">
        <x:v>passed</x:v>
      </x:c>
    </x:row>
    <x:row r="820" ht="21" customHeight="1">
      <x:c r="A820" s="2"/>
      <x:c r="B820" s="2"/>
      <x:c r="C820" s="2" t="str">
        <x:v>2022</x:v>
      </x:c>
      <x:c r="D820" s="5" t="n">
        <x:v>44859</x:v>
      </x:c>
      <x:c r="E820" s="2" t="str">
        <x:v>duration</x:v>
      </x:c>
      <x:c r="F820" s="37" t="n">
        <x:v>9365895.465400519</x:v>
      </x:c>
      <x:c r="G820" s="37" t="n">
        <x:v>3670003.1157658957</x:v>
      </x:c>
      <x:c r="H820" s="37" t="n">
        <x:v>-10087.091121859366</x:v>
      </x:c>
      <x:c r="I820" s="37" t="n">
        <x:v>3680090.206887755</x:v>
      </x:c>
      <x:c r="J820" s="37" t="n">
        <x:v>10188722.263987072</x:v>
      </x:c>
      <x:c r="K820" s="37" t="n">
        <x:v>6518719.148221177</x:v>
      </x:c>
      <x:c r="L820" s="37" t="n">
        <x:v>13035898.581166415</x:v>
      </x:c>
      <x:c r="M820" s="37" t="n">
        <x:v>0</x:v>
      </x:c>
      <x:c r="N820" s="37" t="n">
        <x:v>0</x:v>
      </x:c>
      <x:c r="O820" s="37" t="n">
        <x:v>513.1716325357556</x:v>
      </x:c>
      <x:c r="P820" s="37" t="n">
        <x:v>0</x:v>
      </x:c>
      <x:c r="Q820" s="37" t="n">
        <x:v>0</x:v>
      </x:c>
      <x:c r="R820" s="37" t="n">
        <x:v>0</x:v>
      </x:c>
      <x:c r="S820" s="37" t="n">
        <x:v>0</x:v>
      </x:c>
      <x:c r="T820" s="37" t="n">
        <x:v>0</x:v>
      </x:c>
      <x:c r="U820" s="37" t="n">
        <x:v>44145.09825237111</x:v>
      </x:c>
      <x:c r="V820" s="37" t="n">
        <x:v>0</x:v>
      </x:c>
      <x:c r="W820" s="37" t="n">
        <x:v>150511.46031257696</x:v>
      </x:c>
      <x:c r="X820" s="37" t="n">
        <x:v>0</x:v>
      </x:c>
      <x:c r="Y820" s="37" t="n">
        <x:v>2008.8241046121334</x:v>
      </x:c>
      <x:c r="Z820" s="37" t="n">
        <x:v>6649093.531185601</x:v>
      </x:c>
      <x:c r="AA820" s="37" t="n">
        <x:v>0</x:v>
      </x:c>
      <x:c r="AB820" s="37" t="n">
        <x:v>6649093.531185601</x:v>
      </x:c>
      <x:c r="AC820" s="37" t="n">
        <x:v>2716801.934214918</x:v>
      </x:c>
      <x:c r="AD820" s="37" t="n">
        <x:v>0</x:v>
      </x:c>
      <x:c r="AE820" s="37" t="n">
        <x:v>0</x:v>
      </x:c>
      <x:c r="AF820" s="47" t="b">
        <x:v>0</x:v>
      </x:c>
      <x:c r="AG820" s="47" t="b">
        <x:v>0</x:v>
      </x:c>
      <x:c r="AH820" s="48" t="n">
        <x:v>0</x:v>
      </x:c>
      <x:c r="AI820" s="48" t="n">
        <x:v>1.1920928955078125e-7</x:v>
      </x:c>
      <x:c r="AJ820" s="37" t="str">
        <x:v>passed</x:v>
      </x:c>
    </x:row>
    <x:row r="821" ht="21" customHeight="1">
      <x:c r="A821" s="2"/>
      <x:c r="B821" s="2"/>
      <x:c r="C821" s="2" t="str">
        <x:v>2022</x:v>
      </x:c>
      <x:c r="D821" s="5" t="n">
        <x:v>44859</x:v>
      </x:c>
      <x:c r="E821" s="2" t="str">
        <x:v>unweighted</x:v>
      </x:c>
      <x:c r="F821" s="37" t="n">
        <x:v>12621270.900588589</x:v>
      </x:c>
      <x:c r="G821" s="37" t="n">
        <x:v>437204.26050911134</x:v>
      </x:c>
      <x:c r="H821" s="37" t="n">
        <x:v>-17142.539390027643</x:v>
      </x:c>
      <x:c r="I821" s="37" t="n">
        <x:v>454346.799899139</x:v>
      </x:c>
      <x:c r="J821" s="37" t="n">
        <x:v>10206076.203705458</x:v>
      </x:c>
      <x:c r="K821" s="37" t="n">
        <x:v>9768871.943196347</x:v>
      </x:c>
      <x:c r="L821" s="37" t="n">
        <x:v>13058475.1610977</x:v>
      </x:c>
      <x:c r="M821" s="37" t="n">
        <x:v>0</x:v>
      </x:c>
      <x:c r="N821" s="37" t="n">
        <x:v>0</x:v>
      </x:c>
      <x:c r="O821" s="37" t="n">
        <x:v>691.5385951790959</x:v>
      </x:c>
      <x:c r="P821" s="37" t="n">
        <x:v>0</x:v>
      </x:c>
      <x:c r="Q821" s="37" t="n">
        <x:v>0</x:v>
      </x:c>
      <x:c r="R821" s="37" t="n">
        <x:v>0</x:v>
      </x:c>
      <x:c r="S821" s="37" t="n">
        <x:v>0</x:v>
      </x:c>
      <x:c r="T821" s="37" t="n">
        <x:v>0</x:v>
      </x:c>
      <x:c r="U821" s="37" t="n">
        <x:v>35631.30899120559</x:v>
      </x:c>
      <x:c r="V821" s="37" t="n">
        <x:v>0</x:v>
      </x:c>
      <x:c r="W821" s="37" t="n">
        <x:v>198008.38699057512</x:v>
      </x:c>
      <x:c r="X821" s="37" t="n">
        <x:v>0</x:v>
      </x:c>
      <x:c r="Y821" s="37" t="n">
        <x:v>2298.93929880459</x:v>
      </x:c>
      <x:c r="Z821" s="37" t="n">
        <x:v>9964249.382060274</x:v>
      </x:c>
      <x:c r="AA821" s="37" t="n">
        <x:v>0</x:v>
      </x:c>
      <x:c r="AB821" s="37" t="n">
        <x:v>9964249.382060274</x:v>
      </x:c>
      <x:c r="AC821" s="37" t="n">
        <x:v>2657021.5185283143</x:v>
      </x:c>
      <x:c r="AD821" s="37" t="n">
        <x:v>0</x:v>
      </x:c>
      <x:c r="AE821" s="37" t="n">
        <x:v>0</x:v>
      </x:c>
      <x:c r="AF821" s="47" t="b">
        <x:v>0</x:v>
      </x:c>
      <x:c r="AG821" s="47" t="b">
        <x:v>0</x:v>
      </x:c>
      <x:c r="AH821" s="48" t="n">
        <x:v>0</x:v>
      </x:c>
      <x:c r="AI821" s="48" t="n">
        <x:v>1.1920928955078125e-7</x:v>
      </x:c>
      <x:c r="AJ821" s="37" t="str">
        <x:v>passed</x:v>
      </x:c>
    </x:row>
    <x:row r="822" ht="21" customHeight="1">
      <x:c r="A822" s="2"/>
      <x:c r="B822" s="2"/>
      <x:c r="C822" s="2" t="str">
        <x:v>2022</x:v>
      </x:c>
      <x:c r="D822" s="5" t="n">
        <x:v>44859</x:v>
      </x:c>
      <x:c r="E822" s="2" t="str">
        <x:v>constrained</x:v>
      </x:c>
      <x:c r="F822" s="37" t="n">
        <x:v>13181756.979810743</x:v>
      </x:c>
      <x:c r="G822" s="37" t="n">
        <x:v>-22686.485887456514</x:v>
      </x:c>
      <x:c r="H822" s="37" t="n">
        <x:v>-19905.89872797095</x:v>
      </x:c>
      <x:c r="I822" s="37" t="n">
        <x:v>-2780.5871594855635</x:v>
      </x:c>
      <x:c r="J822" s="37" t="n">
        <x:v>10212370.18821879</x:v>
      </x:c>
      <x:c r="K822" s="37" t="n">
        <x:v>10235056.674106246</x:v>
      </x:c>
      <x:c r="L822" s="37" t="n">
        <x:v>13159070.493923286</x:v>
      </x:c>
      <x:c r="M822" s="37" t="n">
        <x:v>0</x:v>
      </x:c>
      <x:c r="N822" s="37" t="n">
        <x:v>0</x:v>
      </x:c>
      <x:c r="O822" s="37" t="n">
        <x:v>722.248478429392</x:v>
      </x:c>
      <x:c r="P822" s="37" t="n">
        <x:v>0</x:v>
      </x:c>
      <x:c r="Q822" s="37" t="n">
        <x:v>0</x:v>
      </x:c>
      <x:c r="R822" s="37" t="n">
        <x:v>0</x:v>
      </x:c>
      <x:c r="S822" s="37" t="n">
        <x:v>0</x:v>
      </x:c>
      <x:c r="T822" s="37" t="n">
        <x:v>0</x:v>
      </x:c>
      <x:c r="U822" s="37" t="n">
        <x:v>30770.55116020547</x:v>
      </x:c>
      <x:c r="V822" s="37" t="n">
        <x:v>0</x:v>
      </x:c>
      <x:c r="W822" s="37" t="n">
        <x:v>212038.01192015782</x:v>
      </x:c>
      <x:c r="X822" s="37" t="n">
        <x:v>0</x:v>
      </x:c>
      <x:c r="Y822" s="37" t="n">
        <x:v>2397.9830818299747</x:v>
      </x:c>
      <x:c r="Z822" s="37" t="n">
        <x:v>10439757.80758837</x:v>
      </x:c>
      <x:c r="AA822" s="37" t="n">
        <x:v>0</x:v>
      </x:c>
      <x:c r="AB822" s="37" t="n">
        <x:v>10439757.80758837</x:v>
      </x:c>
      <x:c r="AC822" s="37" t="n">
        <x:v>2741999.172222372</x:v>
      </x:c>
      <x:c r="AD822" s="37" t="n">
        <x:v>0</x:v>
      </x:c>
      <x:c r="AE822" s="37" t="n">
        <x:v>0</x:v>
      </x:c>
      <x:c r="AF822" s="47" t="b">
        <x:v>0</x:v>
      </x:c>
      <x:c r="AG822" s="47" t="b">
        <x:v>0</x:v>
      </x:c>
      <x:c r="AH822" s="48" t="n">
        <x:v>0</x:v>
      </x:c>
      <x:c r="AI822" s="48" t="n">
        <x:v>1.1920928955078125e-7</x:v>
      </x:c>
      <x:c r="AJ822" s="37" t="str">
        <x:v>passed</x:v>
      </x:c>
    </x:row>
    <x:row r="823" ht="21" customHeight="1">
      <x:c r="A823" s="2"/>
      <x:c r="B823" s="2"/>
      <x:c r="C823" s="2" t="str">
        <x:v>2022</x:v>
      </x:c>
      <x:c r="D823" s="5" t="n">
        <x:v>44860</x:v>
      </x:c>
      <x:c r="E823" s="2" t="str">
        <x:v>unhedged</x:v>
      </x:c>
      <x:c r="F823" s="37" t="n">
        <x:v>1320604.7611458823</x:v>
      </x:c>
      <x:c r="G823" s="37" t="n">
        <x:v>10223807.848874519</x:v>
      </x:c>
      <x:c r="H823" s="37" t="n">
        <x:v>40210.59782608696</x:v>
      </x:c>
      <x:c r="I823" s="37" t="n">
        <x:v>10183597.25104843</x:v>
      </x:c>
      <x:c r="J823" s="37" t="n">
        <x:v>10223807.848874519</x:v>
      </x:c>
      <x:c r="K823" s="37" t="n">
        <x:v>0</x:v>
      </x:c>
      <x:c r="L823" s="37" t="n">
        <x:v>11544412.610020401</x:v>
      </x:c>
      <x:c r="M823" s="37" t="n">
        <x:v>0</x:v>
      </x:c>
      <x:c r="N823" s="37" t="n">
        <x:v>0</x:v>
      </x:c>
      <x:c r="O823" s="37" t="n">
        <x:v>72.35793990152888</x:v>
      </x:c>
      <x:c r="P823" s="37" t="n">
        <x:v>0</x:v>
      </x:c>
      <x:c r="Q823" s="37" t="n">
        <x:v>0</x:v>
      </x:c>
      <x:c r="R823" s="37" t="n">
        <x:v>0</x:v>
      </x:c>
      <x:c r="S823" s="37" t="n">
        <x:v>0</x:v>
      </x:c>
      <x:c r="T823" s="37" t="n">
        <x:v>0</x:v>
      </x:c>
      <x:c r="U823" s="37" t="n">
        <x:v>101250</x:v>
      </x:c>
      <x:c r="V823" s="37" t="n">
        <x:v>0</x:v>
      </x:c>
      <x:c r="W823" s="37" t="n">
        <x:v>20529.480462607928</x:v>
      </x:c>
      <x:c r="X823" s="37" t="n">
        <x:v>0</x:v>
      </x:c>
      <x:c r="Y823" s="37" t="n">
        <x:v>1174.7193167256753</x:v>
      </x:c>
      <x:c r="Z823" s="37" t="n">
        <x:v>0</x:v>
      </x:c>
      <x:c r="AA823" s="37" t="n">
        <x:v>0</x:v>
      </x:c>
      <x:c r="AB823" s="37" t="n">
        <x:v>0</x:v>
      </x:c>
      <x:c r="AC823" s="37" t="n">
        <x:v>1320604.7611458823</x:v>
      </x:c>
      <x:c r="AD823" s="37" t="n">
        <x:v>0</x:v>
      </x:c>
      <x:c r="AE823" s="37" t="n">
        <x:v>0</x:v>
      </x:c>
      <x:c r="AF823" s="47" t="b">
        <x:v>0</x:v>
      </x:c>
      <x:c r="AG823" s="47" t="b">
        <x:v>0</x:v>
      </x:c>
      <x:c r="AH823" s="48" t="n">
        <x:v>0</x:v>
      </x:c>
      <x:c r="AI823" s="48" t="n">
        <x:v>1.1920928955078125e-7</x:v>
      </x:c>
      <x:c r="AJ823" s="37" t="str">
        <x:v>passed</x:v>
      </x:c>
    </x:row>
    <x:row r="824" ht="21" customHeight="1">
      <x:c r="A824" s="2"/>
      <x:c r="B824" s="2"/>
      <x:c r="C824" s="2" t="str">
        <x:v>2022</x:v>
      </x:c>
      <x:c r="D824" s="5" t="n">
        <x:v>44860</x:v>
      </x:c>
      <x:c r="E824" s="2" t="str">
        <x:v>duration</x:v>
      </x:c>
      <x:c r="F824" s="37" t="n">
        <x:v>9366408.665152049</x:v>
      </x:c>
      <x:c r="G824" s="37" t="n">
        <x:v>3671761.2566622524</x:v>
      </x:c>
      <x:c r="H824" s="37" t="n">
        <x:v>-10047.07294255896</x:v>
      </x:c>
      <x:c r="I824" s="37" t="n">
        <x:v>3681808.3296048115</x:v>
      </x:c>
      <x:c r="J824" s="37" t="n">
        <x:v>10223807.848874519</x:v>
      </x:c>
      <x:c r="K824" s="37" t="n">
        <x:v>6552046.592212266</x:v>
      </x:c>
      <x:c r="L824" s="37" t="n">
        <x:v>13038169.9218143</x:v>
      </x:c>
      <x:c r="M824" s="37" t="n">
        <x:v>0</x:v>
      </x:c>
      <x:c r="N824" s="37" t="n">
        <x:v>0</x:v>
      </x:c>
      <x:c r="O824" s="37" t="n">
        <x:v>513.1997515298426</x:v>
      </x:c>
      <x:c r="P824" s="37" t="n">
        <x:v>0</x:v>
      </x:c>
      <x:c r="Q824" s="37" t="n">
        <x:v>0</x:v>
      </x:c>
      <x:c r="R824" s="37" t="n">
        <x:v>0</x:v>
      </x:c>
      <x:c r="S824" s="37" t="n">
        <x:v>0</x:v>
      </x:c>
      <x:c r="T824" s="37" t="n">
        <x:v>0</x:v>
      </x:c>
      <x:c r="U824" s="37" t="n">
        <x:v>44145.09825237111</x:v>
      </x:c>
      <x:c r="V824" s="37" t="n">
        <x:v>0</x:v>
      </x:c>
      <x:c r="W824" s="37" t="n">
        <x:v>151024.6600641068</x:v>
      </x:c>
      <x:c r="X824" s="37" t="n">
        <x:v>0</x:v>
      </x:c>
      <x:c r="Y824" s="37" t="n">
        <x:v>2008.8241046121334</x:v>
      </x:c>
      <x:c r="Z824" s="37" t="n">
        <x:v>6683087.524056512</x:v>
      </x:c>
      <x:c r="AA824" s="37" t="n">
        <x:v>0</x:v>
      </x:c>
      <x:c r="AB824" s="37" t="n">
        <x:v>6683087.524056512</x:v>
      </x:c>
      <x:c r="AC824" s="37" t="n">
        <x:v>2683321.1410955368</x:v>
      </x:c>
      <x:c r="AD824" s="37" t="n">
        <x:v>0</x:v>
      </x:c>
      <x:c r="AE824" s="37" t="n">
        <x:v>0</x:v>
      </x:c>
      <x:c r="AF824" s="47" t="b">
        <x:v>0</x:v>
      </x:c>
      <x:c r="AG824" s="47" t="b">
        <x:v>0</x:v>
      </x:c>
      <x:c r="AH824" s="48" t="n">
        <x:v>0</x:v>
      </x:c>
      <x:c r="AI824" s="48" t="n">
        <x:v>1.1920928955078125e-7</x:v>
      </x:c>
      <x:c r="AJ824" s="37" t="str">
        <x:v>passed</x:v>
      </x:c>
    </x:row>
    <x:row r="825" ht="21" customHeight="1">
      <x:c r="A825" s="2"/>
      <x:c r="B825" s="2"/>
      <x:c r="C825" s="2" t="str">
        <x:v>2022</x:v>
      </x:c>
      <x:c r="D825" s="5" t="n">
        <x:v>44860</x:v>
      </x:c>
      <x:c r="E825" s="2" t="str">
        <x:v>unweighted</x:v>
      </x:c>
      <x:c r="F825" s="37" t="n">
        <x:v>12621962.477076296</x:v>
      </x:c>
      <x:c r="G825" s="37" t="n">
        <x:v>439855.85185351793</x:v>
      </x:c>
      <x:c r="H825" s="37" t="n">
        <x:v>-17161.50026911361</x:v>
      </x:c>
      <x:c r="I825" s="37" t="n">
        <x:v>457017.35212263156</x:v>
      </x:c>
      <x:c r="J825" s="37" t="n">
        <x:v>10241270.130689535</x:v>
      </x:c>
      <x:c r="K825" s="37" t="n">
        <x:v>9801414.278836017</x:v>
      </x:c>
      <x:c r="L825" s="37" t="n">
        <x:v>13061818.328929814</x:v>
      </x:c>
      <x:c r="M825" s="37" t="n">
        <x:v>0</x:v>
      </x:c>
      <x:c r="N825" s="37" t="n">
        <x:v>0</x:v>
      </x:c>
      <x:c r="O825" s="37" t="n">
        <x:v>691.5764877069741</x:v>
      </x:c>
      <x:c r="P825" s="37" t="n">
        <x:v>0</x:v>
      </x:c>
      <x:c r="Q825" s="37" t="n">
        <x:v>0</x:v>
      </x:c>
      <x:c r="R825" s="37" t="n">
        <x:v>0</x:v>
      </x:c>
      <x:c r="S825" s="37" t="n">
        <x:v>0</x:v>
      </x:c>
      <x:c r="T825" s="37" t="n">
        <x:v>0</x:v>
      </x:c>
      <x:c r="U825" s="37" t="n">
        <x:v>35631.30899120559</x:v>
      </x:c>
      <x:c r="V825" s="37" t="n">
        <x:v>0</x:v>
      </x:c>
      <x:c r="W825" s="37" t="n">
        <x:v>198699.9634782821</x:v>
      </x:c>
      <x:c r="X825" s="37" t="n">
        <x:v>0</x:v>
      </x:c>
      <x:c r="Y825" s="37" t="n">
        <x:v>2298.93929880459</x:v>
      </x:c>
      <x:c r="Z825" s="37" t="n">
        <x:v>9997442.564412737</x:v>
      </x:c>
      <x:c r="AA825" s="37" t="n">
        <x:v>0</x:v>
      </x:c>
      <x:c r="AB825" s="37" t="n">
        <x:v>9997442.564412737</x:v>
      </x:c>
      <x:c r="AC825" s="37" t="n">
        <x:v>2624519.9126635585</x:v>
      </x:c>
      <x:c r="AD825" s="37" t="n">
        <x:v>0</x:v>
      </x:c>
      <x:c r="AE825" s="37" t="n">
        <x:v>0</x:v>
      </x:c>
      <x:c r="AF825" s="47" t="b">
        <x:v>0</x:v>
      </x:c>
      <x:c r="AG825" s="47" t="b">
        <x:v>0</x:v>
      </x:c>
      <x:c r="AH825" s="48" t="n">
        <x:v>0</x:v>
      </x:c>
      <x:c r="AI825" s="48" t="n">
        <x:v>1.1920928955078125e-7</x:v>
      </x:c>
      <x:c r="AJ825" s="37" t="str">
        <x:v>passed</x:v>
      </x:c>
    </x:row>
    <x:row r="826" ht="21" customHeight="1">
      <x:c r="A826" s="2"/>
      <x:c r="B826" s="2"/>
      <x:c r="C826" s="2" t="str">
        <x:v>2022</x:v>
      </x:c>
      <x:c r="D826" s="5" t="n">
        <x:v>44860</x:v>
      </x:c>
      <x:c r="E826" s="2" t="str">
        <x:v>constrained</x:v>
      </x:c>
      <x:c r="F826" s="37" t="n">
        <x:v>13182479.267864434</x:v>
      </x:c>
      <x:c r="G826" s="37" t="n">
        <x:v>-21595.825029597992</x:v>
      </x:c>
      <x:c r="H826" s="37" t="n">
        <x:v>-19943.048841127365</x:v>
      </x:c>
      <x:c r="I826" s="37" t="n">
        <x:v>-1652.776188470627</x:v>
      </x:c>
      <x:c r="J826" s="37" t="n">
        <x:v>10247595.163010823</x:v>
      </x:c>
      <x:c r="K826" s="37" t="n">
        <x:v>10269190.988040421</x:v>
      </x:c>
      <x:c r="L826" s="37" t="n">
        <x:v>13160883.442834835</x:v>
      </x:c>
      <x:c r="M826" s="37" t="n">
        <x:v>0</x:v>
      </x:c>
      <x:c r="N826" s="37" t="n">
        <x:v>0</x:v>
      </x:c>
      <x:c r="O826" s="37" t="n">
        <x:v>722.2880536913872</x:v>
      </x:c>
      <x:c r="P826" s="37" t="n">
        <x:v>0</x:v>
      </x:c>
      <x:c r="Q826" s="37" t="n">
        <x:v>0</x:v>
      </x:c>
      <x:c r="R826" s="37" t="n">
        <x:v>0</x:v>
      </x:c>
      <x:c r="S826" s="37" t="n">
        <x:v>0</x:v>
      </x:c>
      <x:c r="T826" s="37" t="n">
        <x:v>0</x:v>
      </x:c>
      <x:c r="U826" s="37" t="n">
        <x:v>30770.55116020547</x:v>
      </x:c>
      <x:c r="V826" s="37" t="n">
        <x:v>0</x:v>
      </x:c>
      <x:c r="W826" s="37" t="n">
        <x:v>212760.2999738492</x:v>
      </x:c>
      <x:c r="X826" s="37" t="n">
        <x:v>0</x:v>
      </x:c>
      <x:c r="Y826" s="37" t="n">
        <x:v>2397.9830818299747</x:v>
      </x:c>
      <x:c r="Z826" s="37" t="n">
        <x:v>10474574.80780123</x:v>
      </x:c>
      <x:c r="AA826" s="37" t="n">
        <x:v>0</x:v>
      </x:c>
      <x:c r="AB826" s="37" t="n">
        <x:v>10474574.80780123</x:v>
      </x:c>
      <x:c r="AC826" s="37" t="n">
        <x:v>2707904.460063204</x:v>
      </x:c>
      <x:c r="AD826" s="37" t="n">
        <x:v>0</x:v>
      </x:c>
      <x:c r="AE826" s="37" t="n">
        <x:v>0</x:v>
      </x:c>
      <x:c r="AF826" s="47" t="b">
        <x:v>0</x:v>
      </x:c>
      <x:c r="AG826" s="47" t="b">
        <x:v>0</x:v>
      </x:c>
      <x:c r="AH826" s="48" t="n">
        <x:v>0</x:v>
      </x:c>
      <x:c r="AI826" s="48" t="n">
        <x:v>1.1920928955078125e-7</x:v>
      </x:c>
      <x:c r="AJ826" s="37" t="str">
        <x:v>passed</x:v>
      </x:c>
    </x:row>
    <x:row r="827" ht="21" customHeight="1">
      <x:c r="A827" s="2"/>
      <x:c r="B827" s="2"/>
      <x:c r="C827" s="2" t="str">
        <x:v>2022</x:v>
      </x:c>
      <x:c r="D827" s="5" t="n">
        <x:v>44861</x:v>
      </x:c>
      <x:c r="E827" s="2" t="str">
        <x:v>unhedged</x:v>
      </x:c>
      <x:c r="F827" s="37" t="n">
        <x:v>1320677.123050603</x:v>
      </x:c>
      <x:c r="G827" s="37" t="n">
        <x:v>10261470.521374526</x:v>
      </x:c>
      <x:c r="H827" s="37" t="n">
        <x:v>40557.065217391304</x:v>
      </x:c>
      <x:c r="I827" s="37" t="n">
        <x:v>10220913.456157135</x:v>
      </x:c>
      <x:c r="J827" s="37" t="n">
        <x:v>10261470.521374526</x:v>
      </x:c>
      <x:c r="K827" s="37" t="n">
        <x:v>0</x:v>
      </x:c>
      <x:c r="L827" s="37" t="n">
        <x:v>11582147.644425128</x:v>
      </x:c>
      <x:c r="M827" s="37" t="n">
        <x:v>0</x:v>
      </x:c>
      <x:c r="N827" s="37" t="n">
        <x:v>0</x:v>
      </x:c>
      <x:c r="O827" s="37" t="n">
        <x:v>72.36190472077578</x:v>
      </x:c>
      <x:c r="P827" s="37" t="n">
        <x:v>0</x:v>
      </x:c>
      <x:c r="Q827" s="37" t="n">
        <x:v>0</x:v>
      </x:c>
      <x:c r="R827" s="37" t="n">
        <x:v>0</x:v>
      </x:c>
      <x:c r="S827" s="37" t="n">
        <x:v>0</x:v>
      </x:c>
      <x:c r="T827" s="37" t="n">
        <x:v>0</x:v>
      </x:c>
      <x:c r="U827" s="37" t="n">
        <x:v>101250</x:v>
      </x:c>
      <x:c r="V827" s="37" t="n">
        <x:v>0</x:v>
      </x:c>
      <x:c r="W827" s="37" t="n">
        <x:v>20601.842367328703</x:v>
      </x:c>
      <x:c r="X827" s="37" t="n">
        <x:v>0</x:v>
      </x:c>
      <x:c r="Y827" s="37" t="n">
        <x:v>1174.7193167256753</x:v>
      </x:c>
      <x:c r="Z827" s="37" t="n">
        <x:v>0</x:v>
      </x:c>
      <x:c r="AA827" s="37" t="n">
        <x:v>0</x:v>
      </x:c>
      <x:c r="AB827" s="37" t="n">
        <x:v>0</x:v>
      </x:c>
      <x:c r="AC827" s="37" t="n">
        <x:v>1320677.123050603</x:v>
      </x:c>
      <x:c r="AD827" s="37" t="n">
        <x:v>0</x:v>
      </x:c>
      <x:c r="AE827" s="37" t="n">
        <x:v>0</x:v>
      </x:c>
      <x:c r="AF827" s="47" t="b">
        <x:v>0</x:v>
      </x:c>
      <x:c r="AG827" s="47" t="b">
        <x:v>0</x:v>
      </x:c>
      <x:c r="AH827" s="48" t="n">
        <x:v>0</x:v>
      </x:c>
      <x:c r="AI827" s="48" t="n">
        <x:v>1.1920928955078125e-7</x:v>
      </x:c>
      <x:c r="AJ827" s="37" t="str">
        <x:v>passed</x:v>
      </x:c>
    </x:row>
    <x:row r="828" ht="21" customHeight="1">
      <x:c r="A828" s="2"/>
      <x:c r="B828" s="2"/>
      <x:c r="C828" s="2" t="str">
        <x:v>2022</x:v>
      </x:c>
      <x:c r="D828" s="5" t="n">
        <x:v>44861</x:v>
      </x:c>
      <x:c r="E828" s="2" t="str">
        <x:v>duration</x:v>
      </x:c>
      <x:c r="F828" s="37" t="n">
        <x:v>9366921.893024113</x:v>
      </x:c>
      <x:c r="G828" s="37" t="n">
        <x:v>3680223.263317068</x:v>
      </x:c>
      <x:c r="H828" s="37" t="n">
        <x:v>-10007.05476325855</x:v>
      </x:c>
      <x:c r="I828" s="37" t="n">
        <x:v>3690230.3180803265</x:v>
      </x:c>
      <x:c r="J828" s="37" t="n">
        <x:v>10261470.521374526</x:v>
      </x:c>
      <x:c r="K828" s="37" t="n">
        <x:v>6581247.258057457</x:v>
      </x:c>
      <x:c r="L828" s="37" t="n">
        <x:v>13047145.15634118</x:v>
      </x:c>
      <x:c r="M828" s="37" t="n">
        <x:v>0</x:v>
      </x:c>
      <x:c r="N828" s="37" t="n">
        <x:v>0</x:v>
      </x:c>
      <x:c r="O828" s="37" t="n">
        <x:v>513.2278720643371</x:v>
      </x:c>
      <x:c r="P828" s="37" t="n">
        <x:v>0</x:v>
      </x:c>
      <x:c r="Q828" s="37" t="n">
        <x:v>0</x:v>
      </x:c>
      <x:c r="R828" s="37" t="n">
        <x:v>0</x:v>
      </x:c>
      <x:c r="S828" s="37" t="n">
        <x:v>0</x:v>
      </x:c>
      <x:c r="T828" s="37" t="n">
        <x:v>0</x:v>
      </x:c>
      <x:c r="U828" s="37" t="n">
        <x:v>44145.09825237111</x:v>
      </x:c>
      <x:c r="V828" s="37" t="n">
        <x:v>0</x:v>
      </x:c>
      <x:c r="W828" s="37" t="n">
        <x:v>151537.88793617114</x:v>
      </x:c>
      <x:c r="X828" s="37" t="n">
        <x:v>0</x:v>
      </x:c>
      <x:c r="Y828" s="37" t="n">
        <x:v>2008.8241046121334</x:v>
      </x:c>
      <x:c r="Z828" s="37" t="n">
        <x:v>6712872.203218606</x:v>
      </x:c>
      <x:c r="AA828" s="37" t="n">
        <x:v>0</x:v>
      </x:c>
      <x:c r="AB828" s="37" t="n">
        <x:v>6712872.203218606</x:v>
      </x:c>
      <x:c r="AC828" s="37" t="n">
        <x:v>2654049.6898055067</x:v>
      </x:c>
      <x:c r="AD828" s="37" t="n">
        <x:v>0</x:v>
      </x:c>
      <x:c r="AE828" s="37" t="n">
        <x:v>0</x:v>
      </x:c>
      <x:c r="AF828" s="47" t="b">
        <x:v>0</x:v>
      </x:c>
      <x:c r="AG828" s="47" t="b">
        <x:v>0</x:v>
      </x:c>
      <x:c r="AH828" s="48" t="n">
        <x:v>0</x:v>
      </x:c>
      <x:c r="AI828" s="48" t="n">
        <x:v>1.1920928955078125e-7</x:v>
      </x:c>
      <x:c r="AJ828" s="37" t="str">
        <x:v>passed</x:v>
      </x:c>
    </x:row>
    <x:row r="829" ht="21" customHeight="1">
      <x:c r="A829" s="2"/>
      <x:c r="B829" s="2"/>
      <x:c r="C829" s="2" t="str">
        <x:v>2022</x:v>
      </x:c>
      <x:c r="D829" s="5" t="n">
        <x:v>44861</x:v>
      </x:c>
      <x:c r="E829" s="2" t="str">
        <x:v>unweighted</x:v>
      </x:c>
      <x:c r="F829" s="37" t="n">
        <x:v>12622654.0914586</x:v>
      </x:c>
      <x:c r="G829" s="37" t="n">
        <x:v>440970.100395358</x:v>
      </x:c>
      <x:c r="H829" s="37" t="n">
        <x:v>-17180.461148199578</x:v>
      </x:c>
      <x:c r="I829" s="37" t="n">
        <x:v>458150.56154355756</x:v>
      </x:c>
      <x:c r="J829" s="37" t="n">
        <x:v>10279099.666432848</x:v>
      </x:c>
      <x:c r="K829" s="37" t="n">
        <x:v>9838129.56603749</x:v>
      </x:c>
      <x:c r="L829" s="37" t="n">
        <x:v>13063624.191853957</x:v>
      </x:c>
      <x:c r="M829" s="37" t="n">
        <x:v>0</x:v>
      </x:c>
      <x:c r="N829" s="37" t="n">
        <x:v>0</x:v>
      </x:c>
      <x:c r="O829" s="37" t="n">
        <x:v>691.6143823042512</x:v>
      </x:c>
      <x:c r="P829" s="37" t="n">
        <x:v>0</x:v>
      </x:c>
      <x:c r="Q829" s="37" t="n">
        <x:v>0</x:v>
      </x:c>
      <x:c r="R829" s="37" t="n">
        <x:v>0</x:v>
      </x:c>
      <x:c r="S829" s="37" t="n">
        <x:v>0</x:v>
      </x:c>
      <x:c r="T829" s="37" t="n">
        <x:v>0</x:v>
      </x:c>
      <x:c r="U829" s="37" t="n">
        <x:v>35631.30899120559</x:v>
      </x:c>
      <x:c r="V829" s="37" t="n">
        <x:v>0</x:v>
      </x:c>
      <x:c r="W829" s="37" t="n">
        <x:v>199391.57786058635</x:v>
      </x:c>
      <x:c r="X829" s="37" t="n">
        <x:v>0</x:v>
      </x:c>
      <x:c r="Y829" s="37" t="n">
        <x:v>2298.93929880459</x:v>
      </x:c>
      <x:c r="Z829" s="37" t="n">
        <x:v>10034892.157358238</x:v>
      </x:c>
      <x:c r="AA829" s="37" t="n">
        <x:v>0</x:v>
      </x:c>
      <x:c r="AB829" s="37" t="n">
        <x:v>10034892.157358238</x:v>
      </x:c>
      <x:c r="AC829" s="37" t="n">
        <x:v>2587761.9341003615</x:v>
      </x:c>
      <x:c r="AD829" s="37" t="n">
        <x:v>0</x:v>
      </x:c>
      <x:c r="AE829" s="37" t="n">
        <x:v>0</x:v>
      </x:c>
      <x:c r="AF829" s="47" t="b">
        <x:v>0</x:v>
      </x:c>
      <x:c r="AG829" s="47" t="b">
        <x:v>0</x:v>
      </x:c>
      <x:c r="AH829" s="48" t="n">
        <x:v>0</x:v>
      </x:c>
      <x:c r="AI829" s="48" t="n">
        <x:v>1.1920928955078125e-7</x:v>
      </x:c>
      <x:c r="AJ829" s="37" t="str">
        <x:v>passed</x:v>
      </x:c>
    </x:row>
    <x:row r="830" ht="21" customHeight="1">
      <x:c r="A830" s="2"/>
      <x:c r="B830" s="2"/>
      <x:c r="C830" s="2" t="str">
        <x:v>2022</x:v>
      </x:c>
      <x:c r="D830" s="5" t="n">
        <x:v>44861</x:v>
      </x:c>
      <x:c r="E830" s="2" t="str">
        <x:v>constrained</x:v>
      </x:c>
      <x:c r="F830" s="37" t="n">
        <x:v>13183201.59549555</x:v>
      </x:c>
      <x:c r="G830" s="37" t="n">
        <x:v>-22541.27035477536</x:v>
      </x:c>
      <x:c r="H830" s="37" t="n">
        <x:v>-19980.198954283776</x:v>
      </x:c>
      <x:c r="I830" s="37" t="n">
        <x:v>-2561.0714004915826</x:v>
      </x:c>
      <x:c r="J830" s="37" t="n">
        <x:v>10285478.46476848</x:v>
      </x:c>
      <x:c r="K830" s="37" t="n">
        <x:v>10308019.735123256</x:v>
      </x:c>
      <x:c r="L830" s="37" t="n">
        <x:v>13160660.325140774</x:v>
      </x:c>
      <x:c r="M830" s="37" t="n">
        <x:v>0</x:v>
      </x:c>
      <x:c r="N830" s="37" t="n">
        <x:v>0</x:v>
      </x:c>
      <x:c r="O830" s="37" t="n">
        <x:v>722.3276311159134</x:v>
      </x:c>
      <x:c r="P830" s="37" t="n">
        <x:v>0</x:v>
      </x:c>
      <x:c r="Q830" s="37" t="n">
        <x:v>0</x:v>
      </x:c>
      <x:c r="R830" s="37" t="n">
        <x:v>0</x:v>
      </x:c>
      <x:c r="S830" s="37" t="n">
        <x:v>0</x:v>
      </x:c>
      <x:c r="T830" s="37" t="n">
        <x:v>0</x:v>
      </x:c>
      <x:c r="U830" s="37" t="n">
        <x:v>30770.55116020547</x:v>
      </x:c>
      <x:c r="V830" s="37" t="n">
        <x:v>0</x:v>
      </x:c>
      <x:c r="W830" s="37" t="n">
        <x:v>213482.62760496512</x:v>
      </x:c>
      <x:c r="X830" s="37" t="n">
        <x:v>0</x:v>
      </x:c>
      <x:c r="Y830" s="37" t="n">
        <x:v>2397.9830818299747</x:v>
      </x:c>
      <x:c r="Z830" s="37" t="n">
        <x:v>10514180.129825722</x:v>
      </x:c>
      <x:c r="AA830" s="37" t="n">
        <x:v>0</x:v>
      </x:c>
      <x:c r="AB830" s="37" t="n">
        <x:v>10514180.129825722</x:v>
      </x:c>
      <x:c r="AC830" s="37" t="n">
        <x:v>2669021.4656698275</x:v>
      </x:c>
      <x:c r="AD830" s="37" t="n">
        <x:v>0</x:v>
      </x:c>
      <x:c r="AE830" s="37" t="n">
        <x:v>0</x:v>
      </x:c>
      <x:c r="AF830" s="47" t="b">
        <x:v>0</x:v>
      </x:c>
      <x:c r="AG830" s="47" t="b">
        <x:v>0</x:v>
      </x:c>
      <x:c r="AH830" s="48" t="n">
        <x:v>0</x:v>
      </x:c>
      <x:c r="AI830" s="48" t="n">
        <x:v>1.1920928955078125e-7</x:v>
      </x:c>
      <x:c r="AJ830" s="37" t="str">
        <x:v>passed</x:v>
      </x:c>
    </x:row>
    <x:row r="831" ht="21" customHeight="1">
      <x:c r="A831" s="2"/>
      <x:c r="B831" s="2"/>
      <x:c r="C831" s="2" t="str">
        <x:v>2022</x:v>
      </x:c>
      <x:c r="D831" s="5" t="n">
        <x:v>44862</x:v>
      </x:c>
      <x:c r="E831" s="2" t="str">
        <x:v>unhedged</x:v>
      </x:c>
      <x:c r="F831" s="37" t="n">
        <x:v>1320749.4889203594</x:v>
      </x:c>
      <x:c r="G831" s="37" t="n">
        <x:v>10220567.546049714</x:v>
      </x:c>
      <x:c r="H831" s="37" t="n">
        <x:v>40903.53260869565</x:v>
      </x:c>
      <x:c r="I831" s="37" t="n">
        <x:v>10179664.013441019</x:v>
      </x:c>
      <x:c r="J831" s="37" t="n">
        <x:v>10220567.546049714</x:v>
      </x:c>
      <x:c r="K831" s="37" t="n">
        <x:v>0</x:v>
      </x:c>
      <x:c r="L831" s="37" t="n">
        <x:v>11541317.034970073</x:v>
      </x:c>
      <x:c r="M831" s="37" t="n">
        <x:v>0</x:v>
      </x:c>
      <x:c r="N831" s="37" t="n">
        <x:v>0</x:v>
      </x:c>
      <x:c r="O831" s="37" t="n">
        <x:v>72.36586975632235</x:v>
      </x:c>
      <x:c r="P831" s="37" t="n">
        <x:v>0</x:v>
      </x:c>
      <x:c r="Q831" s="37" t="n">
        <x:v>0</x:v>
      </x:c>
      <x:c r="R831" s="37" t="n">
        <x:v>0</x:v>
      </x:c>
      <x:c r="S831" s="37" t="n">
        <x:v>0</x:v>
      </x:c>
      <x:c r="T831" s="37" t="n">
        <x:v>0</x:v>
      </x:c>
      <x:c r="U831" s="37" t="n">
        <x:v>101250</x:v>
      </x:c>
      <x:c r="V831" s="37" t="n">
        <x:v>0</x:v>
      </x:c>
      <x:c r="W831" s="37" t="n">
        <x:v>20674.208237085026</x:v>
      </x:c>
      <x:c r="X831" s="37" t="n">
        <x:v>0</x:v>
      </x:c>
      <x:c r="Y831" s="37" t="n">
        <x:v>1174.7193167256753</x:v>
      </x:c>
      <x:c r="Z831" s="37" t="n">
        <x:v>0</x:v>
      </x:c>
      <x:c r="AA831" s="37" t="n">
        <x:v>0</x:v>
      </x:c>
      <x:c r="AB831" s="37" t="n">
        <x:v>0</x:v>
      </x:c>
      <x:c r="AC831" s="37" t="n">
        <x:v>1320749.4889203594</x:v>
      </x:c>
      <x:c r="AD831" s="37" t="n">
        <x:v>0</x:v>
      </x:c>
      <x:c r="AE831" s="37" t="n">
        <x:v>0</x:v>
      </x:c>
      <x:c r="AF831" s="47" t="b">
        <x:v>0</x:v>
      </x:c>
      <x:c r="AG831" s="47" t="b">
        <x:v>0</x:v>
      </x:c>
      <x:c r="AH831" s="48" t="n">
        <x:v>0</x:v>
      </x:c>
      <x:c r="AI831" s="48" t="n">
        <x:v>1.1920928955078125e-7</x:v>
      </x:c>
      <x:c r="AJ831" s="37" t="str">
        <x:v>passed</x:v>
      </x:c>
    </x:row>
    <x:row r="832" ht="21" customHeight="1">
      <x:c r="A832" s="2"/>
      <x:c r="B832" s="2"/>
      <x:c r="C832" s="2" t="str">
        <x:v>2022</x:v>
      </x:c>
      <x:c r="D832" s="5" t="n">
        <x:v>44862</x:v>
      </x:c>
      <x:c r="E832" s="2" t="str">
        <x:v>duration</x:v>
      </x:c>
      <x:c r="F832" s="37" t="n">
        <x:v>9367435.14901825</x:v>
      </x:c>
      <x:c r="G832" s="37" t="n">
        <x:v>3679253.5441222624</x:v>
      </x:c>
      <x:c r="H832" s="37" t="n">
        <x:v>-9967.03658395815</x:v>
      </x:c>
      <x:c r="I832" s="37" t="n">
        <x:v>3689220.5807062206</x:v>
      </x:c>
      <x:c r="J832" s="37" t="n">
        <x:v>10220567.546049714</x:v>
      </x:c>
      <x:c r="K832" s="37" t="n">
        <x:v>6541314.001927451</x:v>
      </x:c>
      <x:c r="L832" s="37" t="n">
        <x:v>13046688.693140512</x:v>
      </x:c>
      <x:c r="M832" s="37" t="n">
        <x:v>0</x:v>
      </x:c>
      <x:c r="N832" s="37" t="n">
        <x:v>0</x:v>
      </x:c>
      <x:c r="O832" s="37" t="n">
        <x:v>513.2559941373765</x:v>
      </x:c>
      <x:c r="P832" s="37" t="n">
        <x:v>0</x:v>
      </x:c>
      <x:c r="Q832" s="37" t="n">
        <x:v>0</x:v>
      </x:c>
      <x:c r="R832" s="37" t="n">
        <x:v>0</x:v>
      </x:c>
      <x:c r="S832" s="37" t="n">
        <x:v>0</x:v>
      </x:c>
      <x:c r="T832" s="37" t="n">
        <x:v>0</x:v>
      </x:c>
      <x:c r="U832" s="37" t="n">
        <x:v>44145.09825237111</x:v>
      </x:c>
      <x:c r="V832" s="37" t="n">
        <x:v>0</x:v>
      </x:c>
      <x:c r="W832" s="37" t="n">
        <x:v>152051.14393030852</x:v>
      </x:c>
      <x:c r="X832" s="37" t="n">
        <x:v>0</x:v>
      </x:c>
      <x:c r="Y832" s="37" t="n">
        <x:v>2008.8241046121334</x:v>
      </x:c>
      <x:c r="Z832" s="37" t="n">
        <x:v>6672140.281966001</x:v>
      </x:c>
      <x:c r="AA832" s="37" t="n">
        <x:v>0</x:v>
      </x:c>
      <x:c r="AB832" s="37" t="n">
        <x:v>6672140.281966001</x:v>
      </x:c>
      <x:c r="AC832" s="37" t="n">
        <x:v>2695294.8670522496</x:v>
      </x:c>
      <x:c r="AD832" s="37" t="n">
        <x:v>0</x:v>
      </x:c>
      <x:c r="AE832" s="37" t="n">
        <x:v>0</x:v>
      </x:c>
      <x:c r="AF832" s="47" t="b">
        <x:v>0</x:v>
      </x:c>
      <x:c r="AG832" s="47" t="b">
        <x:v>0</x:v>
      </x:c>
      <x:c r="AH832" s="48" t="n">
        <x:v>0</x:v>
      </x:c>
      <x:c r="AI832" s="48" t="n">
        <x:v>1.1920928955078125e-7</x:v>
      </x:c>
      <x:c r="AJ832" s="37" t="str">
        <x:v>passed</x:v>
      </x:c>
    </x:row>
    <x:row r="833" ht="21" customHeight="1">
      <x:c r="A833" s="2"/>
      <x:c r="B833" s="2"/>
      <x:c r="C833" s="2" t="str">
        <x:v>2022</x:v>
      </x:c>
      <x:c r="D833" s="5" t="n">
        <x:v>44862</x:v>
      </x:c>
      <x:c r="E833" s="2" t="str">
        <x:v>unweighted</x:v>
      </x:c>
      <x:c r="F833" s="37" t="n">
        <x:v>12623345.743737586</x:v>
      </x:c>
      <x:c r="G833" s="37" t="n">
        <x:v>439637.8990901389</x:v>
      </x:c>
      <x:c r="H833" s="37" t="n">
        <x:v>-17199.422027285545</x:v>
      </x:c>
      <x:c r="I833" s="37" t="n">
        <x:v>456837.32111742446</x:v>
      </x:c>
      <x:c r="J833" s="37" t="n">
        <x:v>10238067.30715706</x:v>
      </x:c>
      <x:c r="K833" s="37" t="n">
        <x:v>9798429.408066921</x:v>
      </x:c>
      <x:c r="L833" s="37" t="n">
        <x:v>13062983.642827725</x:v>
      </x:c>
      <x:c r="M833" s="37" t="n">
        <x:v>0</x:v>
      </x:c>
      <x:c r="N833" s="37" t="n">
        <x:v>0</x:v>
      </x:c>
      <x:c r="O833" s="37" t="n">
        <x:v>691.6522789858282</x:v>
      </x:c>
      <x:c r="P833" s="37" t="n">
        <x:v>0</x:v>
      </x:c>
      <x:c r="Q833" s="37" t="n">
        <x:v>0</x:v>
      </x:c>
      <x:c r="R833" s="37" t="n">
        <x:v>0</x:v>
      </x:c>
      <x:c r="S833" s="37" t="n">
        <x:v>0</x:v>
      </x:c>
      <x:c r="T833" s="37" t="n">
        <x:v>0</x:v>
      </x:c>
      <x:c r="U833" s="37" t="n">
        <x:v>35631.30899120559</x:v>
      </x:c>
      <x:c r="V833" s="37" t="n">
        <x:v>0</x:v>
      </x:c>
      <x:c r="W833" s="37" t="n">
        <x:v>200083.23013957217</x:v>
      </x:c>
      <x:c r="X833" s="37" t="n">
        <x:v>0</x:v>
      </x:c>
      <x:c r="Y833" s="37" t="n">
        <x:v>2298.93929880459</x:v>
      </x:c>
      <x:c r="Z833" s="37" t="n">
        <x:v>9994397.996228259</x:v>
      </x:c>
      <x:c r="AA833" s="37" t="n">
        <x:v>0</x:v>
      </x:c>
      <x:c r="AB833" s="37" t="n">
        <x:v>9994397.996228259</x:v>
      </x:c>
      <x:c r="AC833" s="37" t="n">
        <x:v>2628947.747509327</x:v>
      </x:c>
      <x:c r="AD833" s="37" t="n">
        <x:v>0</x:v>
      </x:c>
      <x:c r="AE833" s="37" t="n">
        <x:v>0</x:v>
      </x:c>
      <x:c r="AF833" s="47" t="b">
        <x:v>0</x:v>
      </x:c>
      <x:c r="AG833" s="47" t="b">
        <x:v>0</x:v>
      </x:c>
      <x:c r="AH833" s="48" t="n">
        <x:v>0</x:v>
      </x:c>
      <x:c r="AI833" s="48" t="n">
        <x:v>1.1920928955078125e-7</x:v>
      </x:c>
      <x:c r="AJ833" s="37" t="str">
        <x:v>passed</x:v>
      </x:c>
    </x:row>
    <x:row r="834" ht="21" customHeight="1">
      <x:c r="A834" s="2"/>
      <x:c r="B834" s="2"/>
      <x:c r="C834" s="2" t="str">
        <x:v>2022</x:v>
      </x:c>
      <x:c r="D834" s="5" t="n">
        <x:v>44862</x:v>
      </x:c>
      <x:c r="E834" s="2" t="str">
        <x:v>constrained</x:v>
      </x:c>
      <x:c r="F834" s="37" t="n">
        <x:v>13183923.962706262</x:v>
      </x:c>
      <x:c r="G834" s="37" t="n">
        <x:v>-22056.1903625683</x:v>
      </x:c>
      <x:c r="H834" s="37" t="n">
        <x:v>-20017.34906744019</x:v>
      </x:c>
      <x:c r="I834" s="37" t="n">
        <x:v>-2038.8412951281098</x:v>
      </x:c>
      <x:c r="J834" s="37" t="n">
        <x:v>10244406.239451032</x:v>
      </x:c>
      <x:c r="K834" s="37" t="n">
        <x:v>10266462.429813601</x:v>
      </x:c>
      <x:c r="L834" s="37" t="n">
        <x:v>13161867.772343693</x:v>
      </x:c>
      <x:c r="M834" s="37" t="n">
        <x:v>0</x:v>
      </x:c>
      <x:c r="N834" s="37" t="n">
        <x:v>0</x:v>
      </x:c>
      <x:c r="O834" s="37" t="n">
        <x:v>722.3672107122838</x:v>
      </x:c>
      <x:c r="P834" s="37" t="n">
        <x:v>0</x:v>
      </x:c>
      <x:c r="Q834" s="37" t="n">
        <x:v>0</x:v>
      </x:c>
      <x:c r="R834" s="37" t="n">
        <x:v>0</x:v>
      </x:c>
      <x:c r="S834" s="37" t="n">
        <x:v>0</x:v>
      </x:c>
      <x:c r="T834" s="37" t="n">
        <x:v>0</x:v>
      </x:c>
      <x:c r="U834" s="37" t="n">
        <x:v>30770.55116020547</x:v>
      </x:c>
      <x:c r="V834" s="37" t="n">
        <x:v>0</x:v>
      </x:c>
      <x:c r="W834" s="37" t="n">
        <x:v>214204.9948156774</x:v>
      </x:c>
      <x:c r="X834" s="37" t="n">
        <x:v>0</x:v>
      </x:c>
      <x:c r="Y834" s="37" t="n">
        <x:v>2397.9830818299747</x:v>
      </x:c>
      <x:c r="Z834" s="37" t="n">
        <x:v>10471791.678409873</x:v>
      </x:c>
      <x:c r="AA834" s="37" t="n">
        <x:v>0</x:v>
      </x:c>
      <x:c r="AB834" s="37" t="n">
        <x:v>10471791.678409873</x:v>
      </x:c>
      <x:c r="AC834" s="37" t="n">
        <x:v>2712132.2842963897</x:v>
      </x:c>
      <x:c r="AD834" s="37" t="n">
        <x:v>0</x:v>
      </x:c>
      <x:c r="AE834" s="37" t="n">
        <x:v>0</x:v>
      </x:c>
      <x:c r="AF834" s="47" t="b">
        <x:v>0</x:v>
      </x:c>
      <x:c r="AG834" s="47" t="b">
        <x:v>0</x:v>
      </x:c>
      <x:c r="AH834" s="48" t="n">
        <x:v>0</x:v>
      </x:c>
      <x:c r="AI834" s="48" t="n">
        <x:v>1.1920928955078125e-7</x:v>
      </x:c>
      <x:c r="AJ834" s="37" t="str">
        <x:v>passed</x:v>
      </x:c>
    </x:row>
    <x:row r="835" ht="21" customHeight="1">
      <x:c r="A835" s="2"/>
      <x:c r="B835" s="2"/>
      <x:c r="C835" s="2" t="str">
        <x:v>2022</x:v>
      </x:c>
      <x:c r="D835" s="5" t="n">
        <x:v>44865</x:v>
      </x:c>
      <x:c r="E835" s="2" t="str">
        <x:v>unhedged</x:v>
      </x:c>
      <x:c r="F835" s="37" t="n">
        <x:v>1347216.610322016</x:v>
      </x:c>
      <x:c r="G835" s="37" t="n">
        <x:v>10160769.922773205</x:v>
      </x:c>
      <x:c r="H835" s="37" t="n">
        <x:v>15692.934782608696</x:v>
      </x:c>
      <x:c r="I835" s="37" t="n">
        <x:v>10145076.987990595</x:v>
      </x:c>
      <x:c r="J835" s="37" t="n">
        <x:v>10160769.922773205</x:v>
      </x:c>
      <x:c r="K835" s="37" t="n">
        <x:v>0</x:v>
      </x:c>
      <x:c r="L835" s="37" t="n">
        <x:v>11507986.53309522</x:v>
      </x:c>
      <x:c r="M835" s="37" t="n">
        <x:v>26250</x:v>
      </x:c>
      <x:c r="N835" s="37" t="n">
        <x:v>0</x:v>
      </x:c>
      <x:c r="O835" s="37" t="n">
        <x:v>217.12140165665187</x:v>
      </x:c>
      <x:c r="P835" s="37" t="n">
        <x:v>0</x:v>
      </x:c>
      <x:c r="Q835" s="37" t="n">
        <x:v>0</x:v>
      </x:c>
      <x:c r="R835" s="37" t="n">
        <x:v>0</x:v>
      </x:c>
      <x:c r="S835" s="37" t="n">
        <x:v>0</x:v>
      </x:c>
      <x:c r="T835" s="37" t="n">
        <x:v>0</x:v>
      </x:c>
      <x:c r="U835" s="37" t="n">
        <x:v>127500</x:v>
      </x:c>
      <x:c r="V835" s="37" t="n">
        <x:v>0</x:v>
      </x:c>
      <x:c r="W835" s="37" t="n">
        <x:v>20891.329638741678</x:v>
      </x:c>
      <x:c r="X835" s="37" t="n">
        <x:v>0</x:v>
      </x:c>
      <x:c r="Y835" s="37" t="n">
        <x:v>1174.7193167256753</x:v>
      </x:c>
      <x:c r="Z835" s="37" t="n">
        <x:v>0</x:v>
      </x:c>
      <x:c r="AA835" s="37" t="n">
        <x:v>0</x:v>
      </x:c>
      <x:c r="AB835" s="37" t="n">
        <x:v>0</x:v>
      </x:c>
      <x:c r="AC835" s="37" t="n">
        <x:v>1347216.610322016</x:v>
      </x:c>
      <x:c r="AD835" s="37" t="n">
        <x:v>0</x:v>
      </x:c>
      <x:c r="AE835" s="37" t="n">
        <x:v>0</x:v>
      </x:c>
      <x:c r="AF835" s="47" t="b">
        <x:v>0</x:v>
      </x:c>
      <x:c r="AG835" s="47" t="b">
        <x:v>0</x:v>
      </x:c>
      <x:c r="AH835" s="48" t="n">
        <x:v>0</x:v>
      </x:c>
      <x:c r="AI835" s="48" t="n">
        <x:v>1.1920928955078125e-7</x:v>
      </x:c>
      <x:c r="AJ835" s="37" t="str">
        <x:v>passed</x:v>
      </x:c>
    </x:row>
    <x:row r="836" ht="21" customHeight="1">
      <x:c r="A836" s="2"/>
      <x:c r="B836" s="2"/>
      <x:c r="C836" s="2" t="str">
        <x:v>2022</x:v>
      </x:c>
      <x:c r="D836" s="5" t="n">
        <x:v>44865</x:v>
      </x:c>
      <x:c r="E836" s="2" t="str">
        <x:v>duration</x:v>
      </x:c>
      <x:c r="F836" s="37" t="n">
        <x:v>9395225.085748527</x:v>
      </x:c>
      <x:c r="G836" s="37" t="n">
        <x:v>3653511.5285225958</x:v>
      </x:c>
      <x:c r="H836" s="37" t="n">
        <x:v>-36096.98204605691</x:v>
      </x:c>
      <x:c r="I836" s="37" t="n">
        <x:v>3689608.510568653</x:v>
      </x:c>
      <x:c r="J836" s="37" t="n">
        <x:v>10160769.922773205</x:v>
      </x:c>
      <x:c r="K836" s="37" t="n">
        <x:v>6507258.394250608</x:v>
      </x:c>
      <x:c r="L836" s="37" t="n">
        <x:v>13048736.614271123</x:v>
      </x:c>
      <x:c r="M836" s="37" t="n">
        <x:v>26250</x:v>
      </x:c>
      <x:c r="N836" s="37" t="n">
        <x:v>0</x:v>
      </x:c>
      <x:c r="O836" s="37" t="n">
        <x:v>1539.9367302767932</x:v>
      </x:c>
      <x:c r="P836" s="37" t="n">
        <x:v>0</x:v>
      </x:c>
      <x:c r="Q836" s="37" t="n">
        <x:v>0</x:v>
      </x:c>
      <x:c r="R836" s="37" t="n">
        <x:v>0</x:v>
      </x:c>
      <x:c r="S836" s="37" t="n">
        <x:v>0</x:v>
      </x:c>
      <x:c r="T836" s="37" t="n">
        <x:v>0</x:v>
      </x:c>
      <x:c r="U836" s="37" t="n">
        <x:v>70395.09825237111</x:v>
      </x:c>
      <x:c r="V836" s="37" t="n">
        <x:v>0</x:v>
      </x:c>
      <x:c r="W836" s="37" t="n">
        <x:v>153591.0806605853</x:v>
      </x:c>
      <x:c r="X836" s="37" t="n">
        <x:v>0</x:v>
      </x:c>
      <x:c r="Y836" s="37" t="n">
        <x:v>2008.8241046121334</x:v>
      </x:c>
      <x:c r="Z836" s="37" t="n">
        <x:v>6637403.56213562</x:v>
      </x:c>
      <x:c r="AA836" s="37" t="n">
        <x:v>0</x:v>
      </x:c>
      <x:c r="AB836" s="37" t="n">
        <x:v>6637403.56213562</x:v>
      </x:c>
      <x:c r="AC836" s="37" t="n">
        <x:v>2757821.523612907</x:v>
      </x:c>
      <x:c r="AD836" s="37" t="n">
        <x:v>0</x:v>
      </x:c>
      <x:c r="AE836" s="37" t="n">
        <x:v>0</x:v>
      </x:c>
      <x:c r="AF836" s="47" t="b">
        <x:v>0</x:v>
      </x:c>
      <x:c r="AG836" s="47" t="b">
        <x:v>0</x:v>
      </x:c>
      <x:c r="AH836" s="48" t="n">
        <x:v>0</x:v>
      </x:c>
      <x:c r="AI836" s="48" t="n">
        <x:v>1.1920928955078125e-7</x:v>
      </x:c>
      <x:c r="AJ836" s="37" t="str">
        <x:v>passed</x:v>
      </x:c>
    </x:row>
    <x:row r="837" ht="21" customHeight="1">
      <x:c r="A837" s="2"/>
      <x:c r="B837" s="2"/>
      <x:c r="C837" s="2" t="str">
        <x:v>2022</x:v>
      </x:c>
      <x:c r="D837" s="5" t="n">
        <x:v>44865</x:v>
      </x:c>
      <x:c r="E837" s="2" t="str">
        <x:v>unweighted</x:v>
      </x:c>
      <x:c r="F837" s="37" t="n">
        <x:v>12651670.927975377</x:v>
      </x:c>
      <x:c r="G837" s="37" t="n">
        <x:v>411860.5736309659</x:v>
      </x:c>
      <x:c r="H837" s="37" t="n">
        <x:v>-43506.30466454344</x:v>
      </x:c>
      <x:c r="I837" s="37" t="n">
        <x:v>455366.8782955093</x:v>
      </x:c>
      <x:c r="J837" s="37" t="n">
        <x:v>10178116.393924223</x:v>
      </x:c>
      <x:c r="K837" s="37" t="n">
        <x:v>9766255.820293257</x:v>
      </x:c>
      <x:c r="L837" s="37" t="n">
        <x:v>13063531.501606343</x:v>
      </x:c>
      <x:c r="M837" s="37" t="n">
        <x:v>26250</x:v>
      </x:c>
      <x:c r="N837" s="37" t="n">
        <x:v>0</x:v>
      </x:c>
      <x:c r="O837" s="37" t="n">
        <x:v>2075.1842377912253</x:v>
      </x:c>
      <x:c r="P837" s="37" t="n">
        <x:v>0</x:v>
      </x:c>
      <x:c r="Q837" s="37" t="n">
        <x:v>0</x:v>
      </x:c>
      <x:c r="R837" s="37" t="n">
        <x:v>0</x:v>
      </x:c>
      <x:c r="S837" s="37" t="n">
        <x:v>0</x:v>
      </x:c>
      <x:c r="T837" s="37" t="n">
        <x:v>0</x:v>
      </x:c>
      <x:c r="U837" s="37" t="n">
        <x:v>61881.30899120559</x:v>
      </x:c>
      <x:c r="V837" s="37" t="n">
        <x:v>0</x:v>
      </x:c>
      <x:c r="W837" s="37" t="n">
        <x:v>202158.4143773634</x:v>
      </x:c>
      <x:c r="X837" s="37" t="n">
        <x:v>0</x:v>
      </x:c>
      <x:c r="Y837" s="37" t="n">
        <x:v>2298.93929880459</x:v>
      </x:c>
      <x:c r="Z837" s="37" t="n">
        <x:v>9961580.936699122</x:v>
      </x:c>
      <x:c r="AA837" s="37" t="n">
        <x:v>0</x:v>
      </x:c>
      <x:c r="AB837" s="37" t="n">
        <x:v>9961580.936699122</x:v>
      </x:c>
      <x:c r="AC837" s="37" t="n">
        <x:v>2690089.991276255</x:v>
      </x:c>
      <x:c r="AD837" s="37" t="n">
        <x:v>0</x:v>
      </x:c>
      <x:c r="AE837" s="37" t="n">
        <x:v>0</x:v>
      </x:c>
      <x:c r="AF837" s="47" t="b">
        <x:v>0</x:v>
      </x:c>
      <x:c r="AG837" s="47" t="b">
        <x:v>0</x:v>
      </x:c>
      <x:c r="AH837" s="48" t="n">
        <x:v>0</x:v>
      </x:c>
      <x:c r="AI837" s="48" t="n">
        <x:v>1.1920928955078125e-7</x:v>
      </x:c>
      <x:c r="AJ837" s="37" t="str">
        <x:v>passed</x:v>
      </x:c>
    </x:row>
    <x:row r="838" ht="21" customHeight="1">
      <x:c r="A838" s="2"/>
      <x:c r="B838" s="2"/>
      <x:c r="C838" s="2" t="str">
        <x:v>2022</x:v>
      </x:c>
      <x:c r="D838" s="5" t="n">
        <x:v>44865</x:v>
      </x:c>
      <x:c r="E838" s="2" t="str">
        <x:v>constrained</x:v>
      </x:c>
      <x:c r="F838" s="37" t="n">
        <x:v>13212341.301837666</x:v>
      </x:c>
      <x:c r="G838" s="37" t="n">
        <x:v>-48419.077334739675</x:v>
      </x:c>
      <x:c r="H838" s="37" t="n">
        <x:v>-46378.79940690942</x:v>
      </x:c>
      <x:c r="I838" s="37" t="n">
        <x:v>-2040.277927830255</x:v>
      </x:c>
      <x:c r="J838" s="37" t="n">
        <x:v>10184401.529440587</x:v>
      </x:c>
      <x:c r="K838" s="37" t="n">
        <x:v>10232820.606775329</x:v>
      </x:c>
      <x:c r="L838" s="37" t="n">
        <x:v>13163922.224502927</x:v>
      </x:c>
      <x:c r="M838" s="37" t="n">
        <x:v>26250</x:v>
      </x:c>
      <x:c r="N838" s="37" t="n">
        <x:v>0</x:v>
      </x:c>
      <x:c r="O838" s="37" t="n">
        <x:v>2167.3391314037144</x:v>
      </x:c>
      <x:c r="P838" s="37" t="n">
        <x:v>0</x:v>
      </x:c>
      <x:c r="Q838" s="37" t="n">
        <x:v>0</x:v>
      </x:c>
      <x:c r="R838" s="37" t="n">
        <x:v>0</x:v>
      </x:c>
      <x:c r="S838" s="37" t="n">
        <x:v>0</x:v>
      </x:c>
      <x:c r="T838" s="37" t="n">
        <x:v>0</x:v>
      </x:c>
      <x:c r="U838" s="37" t="n">
        <x:v>57020.55116020547</x:v>
      </x:c>
      <x:c r="V838" s="37" t="n">
        <x:v>0</x:v>
      </x:c>
      <x:c r="W838" s="37" t="n">
        <x:v>216372.33394708112</x:v>
      </x:c>
      <x:c r="X838" s="37" t="n">
        <x:v>0</x:v>
      </x:c>
      <x:c r="Y838" s="37" t="n">
        <x:v>2397.9830818299747</x:v>
      </x:c>
      <x:c r="Z838" s="37" t="n">
        <x:v>10437477.018910835</x:v>
      </x:c>
      <x:c r="AA838" s="37" t="n">
        <x:v>0</x:v>
      </x:c>
      <x:c r="AB838" s="37" t="n">
        <x:v>10437477.018910835</x:v>
      </x:c>
      <x:c r="AC838" s="37" t="n">
        <x:v>2774864.2829268314</x:v>
      </x:c>
      <x:c r="AD838" s="37" t="n">
        <x:v>0</x:v>
      </x:c>
      <x:c r="AE838" s="37" t="n">
        <x:v>0</x:v>
      </x:c>
      <x:c r="AF838" s="47" t="b">
        <x:v>0</x:v>
      </x:c>
      <x:c r="AG838" s="47" t="b">
        <x:v>0</x:v>
      </x:c>
      <x:c r="AH838" s="48" t="n">
        <x:v>0</x:v>
      </x:c>
      <x:c r="AI838" s="48" t="n">
        <x:v>1.1920928955078125e-7</x:v>
      </x:c>
      <x:c r="AJ838" s="37" t="str">
        <x:v>passed</x:v>
      </x:c>
    </x:row>
    <x:row r="839" ht="21" customHeight="1">
      <x:c r="A839" s="2"/>
      <x:c r="B839" s="2"/>
      <x:c r="C839" s="2" t="str">
        <x:v>2022</x:v>
      </x:c>
      <x:c r="D839" s="5" t="n">
        <x:v>44866</x:v>
      </x:c>
      <x:c r="E839" s="2" t="str">
        <x:v>unhedged</x:v>
      </x:c>
      <x:c r="F839" s="37" t="n">
        <x:v>1347290.430410253</x:v>
      </x:c>
      <x:c r="G839" s="37" t="n">
        <x:v>10161215.497905744</x:v>
      </x:c>
      <x:c r="H839" s="37" t="n">
        <x:v>16041.766754744174</x:v>
      </x:c>
      <x:c r="I839" s="37" t="n">
        <x:v>10145173.731151</x:v>
      </x:c>
      <x:c r="J839" s="37" t="n">
        <x:v>10161215.497905744</x:v>
      </x:c>
      <x:c r="K839" s="37" t="n">
        <x:v>0</x:v>
      </x:c>
      <x:c r="L839" s="37" t="n">
        <x:v>11508505.928315997</x:v>
      </x:c>
      <x:c r="M839" s="37" t="n">
        <x:v>0</x:v>
      </x:c>
      <x:c r="N839" s="37" t="n">
        <x:v>0</x:v>
      </x:c>
      <x:c r="O839" s="37" t="n">
        <x:v>73.82008823682554</x:v>
      </x:c>
      <x:c r="P839" s="37" t="n">
        <x:v>0</x:v>
      </x:c>
      <x:c r="Q839" s="37" t="n">
        <x:v>0</x:v>
      </x:c>
      <x:c r="R839" s="37" t="n">
        <x:v>0</x:v>
      </x:c>
      <x:c r="S839" s="37" t="n">
        <x:v>0</x:v>
      </x:c>
      <x:c r="T839" s="37" t="n">
        <x:v>0</x:v>
      </x:c>
      <x:c r="U839" s="37" t="n">
        <x:v>127500</x:v>
      </x:c>
      <x:c r="V839" s="37" t="n">
        <x:v>0</x:v>
      </x:c>
      <x:c r="W839" s="37" t="n">
        <x:v>20965.149726978503</x:v>
      </x:c>
      <x:c r="X839" s="37" t="n">
        <x:v>0</x:v>
      </x:c>
      <x:c r="Y839" s="37" t="n">
        <x:v>1174.7193167256753</x:v>
      </x:c>
      <x:c r="Z839" s="37" t="n">
        <x:v>0</x:v>
      </x:c>
      <x:c r="AA839" s="37" t="n">
        <x:v>0</x:v>
      </x:c>
      <x:c r="AB839" s="37" t="n">
        <x:v>0</x:v>
      </x:c>
      <x:c r="AC839" s="37" t="n">
        <x:v>1347290.430410253</x:v>
      </x:c>
      <x:c r="AD839" s="37" t="n">
        <x:v>0</x:v>
      </x:c>
      <x:c r="AE839" s="37" t="n">
        <x:v>0</x:v>
      </x:c>
      <x:c r="AF839" s="47" t="b">
        <x:v>0</x:v>
      </x:c>
      <x:c r="AG839" s="47" t="b">
        <x:v>0</x:v>
      </x:c>
      <x:c r="AH839" s="48" t="n">
        <x:v>0</x:v>
      </x:c>
      <x:c r="AI839" s="48" t="n">
        <x:v>1.1920928955078125e-7</x:v>
      </x:c>
      <x:c r="AJ839" s="37" t="str">
        <x:v>passed</x:v>
      </x:c>
    </x:row>
    <x:row r="840" ht="21" customHeight="1">
      <x:c r="A840" s="2"/>
      <x:c r="B840" s="2"/>
      <x:c r="C840" s="2" t="str">
        <x:v>2022</x:v>
      </x:c>
      <x:c r="D840" s="5" t="n">
        <x:v>44866</x:v>
      </x:c>
      <x:c r="E840" s="2" t="str">
        <x:v>duration</x:v>
      </x:c>
      <x:c r="F840" s="37" t="n">
        <x:v>9403460.306951202</x:v>
      </x:c>
      <x:c r="G840" s="37" t="n">
        <x:v>3638350.608251525</x:v>
      </x:c>
      <x:c r="H840" s="37" t="n">
        <x:v>-36116.339406296356</x:v>
      </x:c>
      <x:c r="I840" s="37" t="n">
        <x:v>3674466.9476578212</x:v>
      </x:c>
      <x:c r="J840" s="37" t="n">
        <x:v>10161215.497905744</x:v>
      </x:c>
      <x:c r="K840" s="37" t="n">
        <x:v>6522864.889654219</x:v>
      </x:c>
      <x:c r="L840" s="37" t="n">
        <x:v>13041810.915202728</x:v>
      </x:c>
      <x:c r="M840" s="37" t="n">
        <x:v>0</x:v>
      </x:c>
      <x:c r="N840" s="37" t="n">
        <x:v>0</x:v>
      </x:c>
      <x:c r="O840" s="37" t="n">
        <x:v>514.8068540152162</x:v>
      </x:c>
      <x:c r="P840" s="37" t="n">
        <x:v>0</x:v>
      </x:c>
      <x:c r="Q840" s="37" t="n">
        <x:v>0.7721186467305801</x:v>
      </x:c>
      <x:c r="R840" s="37" t="n">
        <x:v>7721.186467305801</x:v>
      </x:c>
      <x:c r="S840" s="37" t="n">
        <x:v>7721.186467305801</x:v>
      </x:c>
      <x:c r="T840" s="37" t="n">
        <x:v>0</x:v>
      </x:c>
      <x:c r="U840" s="37" t="n">
        <x:v>70395.09825237111</x:v>
      </x:c>
      <x:c r="V840" s="37" t="n">
        <x:v>0</x:v>
      </x:c>
      <x:c r="W840" s="37" t="n">
        <x:v>154105.88751460053</x:v>
      </x:c>
      <x:c r="X840" s="37" t="n">
        <x:v>0</x:v>
      </x:c>
      <x:c r="Y840" s="37" t="n">
        <x:v>2009.596223258864</x:v>
      </x:c>
      <x:c r="Z840" s="37" t="n">
        <x:v>6653322.187447304</x:v>
      </x:c>
      <x:c r="AA840" s="37" t="n">
        <x:v>0</x:v>
      </x:c>
      <x:c r="AB840" s="37" t="n">
        <x:v>6653322.187447304</x:v>
      </x:c>
      <x:c r="AC840" s="37" t="n">
        <x:v>2750138.1195038985</x:v>
      </x:c>
      <x:c r="AD840" s="37" t="n">
        <x:v>0</x:v>
      </x:c>
      <x:c r="AE840" s="37" t="n">
        <x:v>0</x:v>
      </x:c>
      <x:c r="AF840" s="47" t="b">
        <x:v>0</x:v>
      </x:c>
      <x:c r="AG840" s="47" t="b">
        <x:v>0</x:v>
      </x:c>
      <x:c r="AH840" s="48" t="n">
        <x:v>9.667404654578604e-10</x:v>
      </x:c>
      <x:c r="AI840" s="48" t="n">
        <x:v>1.1920928955078125e-7</x:v>
      </x:c>
      <x:c r="AJ840" s="37" t="str">
        <x:v>passed</x:v>
      </x:c>
    </x:row>
    <x:row r="841" ht="21" customHeight="1">
      <x:c r="A841" s="2"/>
      <x:c r="B841" s="2"/>
      <x:c r="C841" s="2" t="str">
        <x:v>2022</x:v>
      </x:c>
      <x:c r="D841" s="5" t="n">
        <x:v>44866</x:v>
      </x:c>
      <x:c r="E841" s="2" t="str">
        <x:v>unweighted</x:v>
      </x:c>
      <x:c r="F841" s="37" t="n">
        <x:v>12679366.513148084</x:v>
      </x:c>
      <x:c r="G841" s="37" t="n">
        <x:v>384155.35207412136</x:v>
      </x:c>
      <x:c r="H841" s="37" t="n">
        <x:v>-43771.68215004814</x:v>
      </x:c>
      <x:c r="I841" s="37" t="n">
        <x:v>427927.0342241695</x:v>
      </x:c>
      <x:c r="J841" s="37" t="n">
        <x:v>10184951.376670089</x:v>
      </x:c>
      <x:c r="K841" s="37" t="n">
        <x:v>9800796.024595968</x:v>
      </x:c>
      <x:c r="L841" s="37" t="n">
        <x:v>13063521.865222206</x:v>
      </x:c>
      <x:c r="M841" s="37" t="n">
        <x:v>0</x:v>
      </x:c>
      <x:c r="N841" s="37" t="n">
        <x:v>0</x:v>
      </x:c>
      <x:c r="O841" s="37" t="n">
        <x:v>693.2422426305711</x:v>
      </x:c>
      <x:c r="P841" s="37" t="n">
        <x:v>0</x:v>
      </x:c>
      <x:c r="Q841" s="37" t="n">
        <x:v>7.470975375757441</x:v>
      </x:c>
      <x:c r="R841" s="37" t="n">
        <x:v>27009.813905452582</x:v>
      </x:c>
      <x:c r="S841" s="37" t="n">
        <x:v>74709.7537575744</x:v>
      </x:c>
      <x:c r="T841" s="37" t="n">
        <x:v>0</x:v>
      </x:c>
      <x:c r="U841" s="37" t="n">
        <x:v>61881.30899120559</x:v>
      </x:c>
      <x:c r="V841" s="37" t="n">
        <x:v>0</x:v>
      </x:c>
      <x:c r="W841" s="37" t="n">
        <x:v>202851.65661999397</x:v>
      </x:c>
      <x:c r="X841" s="37" t="n">
        <x:v>0</x:v>
      </x:c>
      <x:c r="Y841" s="37" t="n">
        <x:v>2306.4102741803476</x:v>
      </x:c>
      <x:c r="Z841" s="37" t="n">
        <x:v>9996811.945087887</x:v>
      </x:c>
      <x:c r="AA841" s="37" t="n">
        <x:v>0</x:v>
      </x:c>
      <x:c r="AB841" s="37" t="n">
        <x:v>9996811.945087887</x:v>
      </x:c>
      <x:c r="AC841" s="37" t="n">
        <x:v>2682554.568060197</x:v>
      </x:c>
      <x:c r="AD841" s="37" t="n">
        <x:v>0</x:v>
      </x:c>
      <x:c r="AE841" s="37" t="n">
        <x:v>0</x:v>
      </x:c>
      <x:c r="AF841" s="47" t="b">
        <x:v>0</x:v>
      </x:c>
      <x:c r="AG841" s="47" t="b">
        <x:v>0</x:v>
      </x:c>
      <x:c r="AH841" s="48" t="n">
        <x:v>-1.8055512640557936e-10</x:v>
      </x:c>
      <x:c r="AI841" s="48" t="n">
        <x:v>1.1920928955078125e-7</x:v>
      </x:c>
      <x:c r="AJ841" s="37" t="str">
        <x:v>passed</x:v>
      </x:c>
    </x:row>
    <x:row r="842" ht="21" customHeight="1">
      <x:c r="A842" s="2"/>
      <x:c r="B842" s="2"/>
      <x:c r="C842" s="2" t="str">
        <x:v>2022</x:v>
      </x:c>
      <x:c r="D842" s="5" t="n">
        <x:v>44866</x:v>
      </x:c>
      <x:c r="E842" s="2" t="str">
        <x:v>constrained</x:v>
      </x:c>
      <x:c r="F842" s="37" t="n">
        <x:v>13207912.27212557</x:v>
      </x:c>
      <x:c r="G842" s="37" t="n">
        <x:v>-43840.841980393125</x:v>
      </x:c>
      <x:c r="H842" s="37" t="n">
        <x:v>-46382.51898533144</x:v>
      </x:c>
      <x:c r="I842" s="37" t="n">
        <x:v>2541.677004938312</x:v>
      </x:c>
      <x:c r="J842" s="37" t="n">
        <x:v>10197889.545308158</x:v>
      </x:c>
      <x:c r="K842" s="37" t="n">
        <x:v>10241730.38728855</x:v>
      </x:c>
      <x:c r="L842" s="37" t="n">
        <x:v>13164071.430145176</x:v>
      </x:c>
      <x:c r="M842" s="37" t="n">
        <x:v>0</x:v>
      </x:c>
      <x:c r="N842" s="37" t="n">
        <x:v>0</x:v>
      </x:c>
      <x:c r="O842" s="37" t="n">
        <x:v>723.9639069512486</x:v>
      </x:c>
      <x:c r="P842" s="37" t="n">
        <x:v>0</x:v>
      </x:c>
      <x:c r="Q842" s="37" t="n">
        <x:v>6.2628753940202495</x:v>
      </x:c>
      <x:c r="R842" s="37" t="n">
        <x:v>-5146.730743652917</x:v>
      </x:c>
      <x:c r="S842" s="37" t="n">
        <x:v>62628.75394020249</x:v>
      </x:c>
      <x:c r="T842" s="37" t="n">
        <x:v>0</x:v>
      </x:c>
      <x:c r="U842" s="37" t="n">
        <x:v>57020.55116020547</x:v>
      </x:c>
      <x:c r="V842" s="37" t="n">
        <x:v>0</x:v>
      </x:c>
      <x:c r="W842" s="37" t="n">
        <x:v>217096.29785403237</x:v>
      </x:c>
      <x:c r="X842" s="37" t="n">
        <x:v>0</x:v>
      </x:c>
      <x:c r="Y842" s="37" t="n">
        <x:v>2404.245957223995</x:v>
      </x:c>
      <x:c r="Z842" s="37" t="n">
        <x:v>10446564.99503432</x:v>
      </x:c>
      <x:c r="AA842" s="37" t="n">
        <x:v>0</x:v>
      </x:c>
      <x:c r="AB842" s="37" t="n">
        <x:v>10446564.99503432</x:v>
      </x:c>
      <x:c r="AC842" s="37" t="n">
        <x:v>2761347.27709125</x:v>
      </x:c>
      <x:c r="AD842" s="37" t="n">
        <x:v>0</x:v>
      </x:c>
      <x:c r="AE842" s="37" t="n">
        <x:v>0</x:v>
      </x:c>
      <x:c r="AF842" s="47" t="b">
        <x:v>0</x:v>
      </x:c>
      <x:c r="AG842" s="47" t="b">
        <x:v>0</x:v>
      </x:c>
      <x:c r="AH842" s="48" t="n">
        <x:v>-1.6783641143547356e-10</x:v>
      </x:c>
      <x:c r="AI842" s="48" t="n">
        <x:v>1.1920928955078125e-7</x:v>
      </x:c>
      <x:c r="AJ842" s="37" t="str">
        <x:v>passed</x:v>
      </x:c>
    </x:row>
    <x:row r="843" ht="21" customHeight="1">
      <x:c r="A843" s="2"/>
      <x:c r="B843" s="2"/>
      <x:c r="C843" s="2" t="str">
        <x:v>2022</x:v>
      </x:c>
      <x:c r="D843" s="5" t="n">
        <x:v>44867</x:v>
      </x:c>
      <x:c r="E843" s="2" t="str">
        <x:v>unhedged</x:v>
      </x:c>
      <x:c r="F843" s="37" t="n">
        <x:v>1347364.2545434262</x:v>
      </x:c>
      <x:c r="G843" s="37" t="n">
        <x:v>10158246.144086543</x:v>
      </x:c>
      <x:c r="H843" s="37" t="n">
        <x:v>16390.598726879656</x:v>
      </x:c>
      <x:c r="I843" s="37" t="n">
        <x:v>10141855.545359664</x:v>
      </x:c>
      <x:c r="J843" s="37" t="n">
        <x:v>10158246.144086543</x:v>
      </x:c>
      <x:c r="K843" s="37" t="n">
        <x:v>0</x:v>
      </x:c>
      <x:c r="L843" s="37" t="n">
        <x:v>11505610.398629969</x:v>
      </x:c>
      <x:c r="M843" s="37" t="n">
        <x:v>0</x:v>
      </x:c>
      <x:c r="N843" s="37" t="n">
        <x:v>0</x:v>
      </x:c>
      <x:c r="O843" s="37" t="n">
        <x:v>73.82413317332976</x:v>
      </x:c>
      <x:c r="P843" s="37" t="n">
        <x:v>0</x:v>
      </x:c>
      <x:c r="Q843" s="37" t="n">
        <x:v>0</x:v>
      </x:c>
      <x:c r="R843" s="37" t="n">
        <x:v>0</x:v>
      </x:c>
      <x:c r="S843" s="37" t="n">
        <x:v>0</x:v>
      </x:c>
      <x:c r="T843" s="37" t="n">
        <x:v>0</x:v>
      </x:c>
      <x:c r="U843" s="37" t="n">
        <x:v>127500</x:v>
      </x:c>
      <x:c r="V843" s="37" t="n">
        <x:v>0</x:v>
      </x:c>
      <x:c r="W843" s="37" t="n">
        <x:v>21038.973860151833</x:v>
      </x:c>
      <x:c r="X843" s="37" t="n">
        <x:v>0</x:v>
      </x:c>
      <x:c r="Y843" s="37" t="n">
        <x:v>1174.7193167256753</x:v>
      </x:c>
      <x:c r="Z843" s="37" t="n">
        <x:v>0</x:v>
      </x:c>
      <x:c r="AA843" s="37" t="n">
        <x:v>0</x:v>
      </x:c>
      <x:c r="AB843" s="37" t="n">
        <x:v>0</x:v>
      </x:c>
      <x:c r="AC843" s="37" t="n">
        <x:v>1347364.2545434262</x:v>
      </x:c>
      <x:c r="AD843" s="37" t="n">
        <x:v>0</x:v>
      </x:c>
      <x:c r="AE843" s="37" t="n">
        <x:v>0</x:v>
      </x:c>
      <x:c r="AF843" s="47" t="b">
        <x:v>0</x:v>
      </x:c>
      <x:c r="AG843" s="47" t="b">
        <x:v>0</x:v>
      </x:c>
      <x:c r="AH843" s="48" t="n">
        <x:v>0</x:v>
      </x:c>
      <x:c r="AI843" s="48" t="n">
        <x:v>1.1920928955078125e-7</x:v>
      </x:c>
      <x:c r="AJ843" s="37" t="str">
        <x:v>passed</x:v>
      </x:c>
    </x:row>
    <x:row r="844" ht="21" customHeight="1">
      <x:c r="A844" s="2"/>
      <x:c r="B844" s="2"/>
      <x:c r="C844" s="2" t="str">
        <x:v>2022</x:v>
      </x:c>
      <x:c r="D844" s="5" t="n">
        <x:v>44867</x:v>
      </x:c>
      <x:c r="E844" s="2" t="str">
        <x:v>duration</x:v>
      </x:c>
      <x:c r="F844" s="37" t="n">
        <x:v>9403975.565050215</x:v>
      </x:c>
      <x:c r="G844" s="37" t="n">
        <x:v>3634223.0614619106</x:v>
      </x:c>
      <x:c r="H844" s="37" t="n">
        <x:v>-36074.31982334347</x:v>
      </x:c>
      <x:c r="I844" s="37" t="n">
        <x:v>3670297.381285254</x:v>
      </x:c>
      <x:c r="J844" s="37" t="n">
        <x:v>10158246.144086543</x:v>
      </x:c>
      <x:c r="K844" s="37" t="n">
        <x:v>6524023.082624634</x:v>
      </x:c>
      <x:c r="L844" s="37" t="n">
        <x:v>13038198.626512125</x:v>
      </x:c>
      <x:c r="M844" s="37" t="n">
        <x:v>0</x:v>
      </x:c>
      <x:c r="N844" s="37" t="n">
        <x:v>0</x:v>
      </x:c>
      <x:c r="O844" s="37" t="n">
        <x:v>515.2580990120769</x:v>
      </x:c>
      <x:c r="P844" s="37" t="n">
        <x:v>0</x:v>
      </x:c>
      <x:c r="Q844" s="37" t="n">
        <x:v>0</x:v>
      </x:c>
      <x:c r="R844" s="37" t="n">
        <x:v>0</x:v>
      </x:c>
      <x:c r="S844" s="37" t="n">
        <x:v>0</x:v>
      </x:c>
      <x:c r="T844" s="37" t="n">
        <x:v>0</x:v>
      </x:c>
      <x:c r="U844" s="37" t="n">
        <x:v>70395.09825237111</x:v>
      </x:c>
      <x:c r="V844" s="37" t="n">
        <x:v>0</x:v>
      </x:c>
      <x:c r="W844" s="37" t="n">
        <x:v>154621.1456136126</x:v>
      </x:c>
      <x:c r="X844" s="37" t="n">
        <x:v>0</x:v>
      </x:c>
      <x:c r="Y844" s="37" t="n">
        <x:v>2009.596223258864</x:v>
      </x:c>
      <x:c r="Z844" s="37" t="n">
        <x:v>6654503.544277127</x:v>
      </x:c>
      <x:c r="AA844" s="37" t="n">
        <x:v>0</x:v>
      </x:c>
      <x:c r="AB844" s="37" t="n">
        <x:v>6654503.544277127</x:v>
      </x:c>
      <x:c r="AC844" s="37" t="n">
        <x:v>2749472.0207730876</x:v>
      </x:c>
      <x:c r="AD844" s="37" t="n">
        <x:v>0</x:v>
      </x:c>
      <x:c r="AE844" s="37" t="n">
        <x:v>0</x:v>
      </x:c>
      <x:c r="AF844" s="47" t="b">
        <x:v>0</x:v>
      </x:c>
      <x:c r="AG844" s="47" t="b">
        <x:v>0</x:v>
      </x:c>
      <x:c r="AH844" s="48" t="n">
        <x:v>0</x:v>
      </x:c>
      <x:c r="AI844" s="48" t="n">
        <x:v>1.1920928955078125e-7</x:v>
      </x:c>
      <x:c r="AJ844" s="37" t="str">
        <x:v>passed</x:v>
      </x:c>
    </x:row>
    <x:row r="845" ht="21" customHeight="1">
      <x:c r="A845" s="2"/>
      <x:c r="B845" s="2"/>
      <x:c r="C845" s="2" t="str">
        <x:v>2022</x:v>
      </x:c>
      <x:c r="D845" s="5" t="n">
        <x:v>44867</x:v>
      </x:c>
      <x:c r="E845" s="2" t="str">
        <x:v>unweighted</x:v>
      </x:c>
      <x:c r="F845" s="37" t="n">
        <x:v>12680061.272957025</x:v>
      </x:c>
      <x:c r="G845" s="37" t="n">
        <x:v>385517.54655353667</x:v>
      </x:c>
      <x:c r="H845" s="37" t="n">
        <x:v>-43789.7832673813</x:v>
      </x:c>
      <x:c r="I845" s="37" t="n">
        <x:v>429307.329820918</x:v>
      </x:c>
      <x:c r="J845" s="37" t="n">
        <x:v>10181746.636641365</x:v>
      </x:c>
      <x:c r="K845" s="37" t="n">
        <x:v>9796229.090087827</x:v>
      </x:c>
      <x:c r="L845" s="37" t="n">
        <x:v>13065578.819510562</x:v>
      </x:c>
      <x:c r="M845" s="37" t="n">
        <x:v>0</x:v>
      </x:c>
      <x:c r="N845" s="37" t="n">
        <x:v>0</x:v>
      </x:c>
      <x:c r="O845" s="37" t="n">
        <x:v>694.759808940813</x:v>
      </x:c>
      <x:c r="P845" s="37" t="n">
        <x:v>0</x:v>
      </x:c>
      <x:c r="Q845" s="37" t="n">
        <x:v>0</x:v>
      </x:c>
      <x:c r="R845" s="37" t="n">
        <x:v>0</x:v>
      </x:c>
      <x:c r="S845" s="37" t="n">
        <x:v>0</x:v>
      </x:c>
      <x:c r="T845" s="37" t="n">
        <x:v>0</x:v>
      </x:c>
      <x:c r="U845" s="37" t="n">
        <x:v>61881.30899120559</x:v>
      </x:c>
      <x:c r="V845" s="37" t="n">
        <x:v>0</x:v>
      </x:c>
      <x:c r="W845" s="37" t="n">
        <x:v>203546.41642893478</x:v>
      </x:c>
      <x:c r="X845" s="37" t="n">
        <x:v>0</x:v>
      </x:c>
      <x:c r="Y845" s="37" t="n">
        <x:v>2306.4102741803476</x:v>
      </x:c>
      <x:c r="Z845" s="37" t="n">
        <x:v>9992153.671889585</x:v>
      </x:c>
      <x:c r="AA845" s="37" t="n">
        <x:v>0</x:v>
      </x:c>
      <x:c r="AB845" s="37" t="n">
        <x:v>9992153.671889585</x:v>
      </x:c>
      <x:c r="AC845" s="37" t="n">
        <x:v>2687907.6010674406</x:v>
      </x:c>
      <x:c r="AD845" s="37" t="n">
        <x:v>0</x:v>
      </x:c>
      <x:c r="AE845" s="37" t="n">
        <x:v>0</x:v>
      </x:c>
      <x:c r="AF845" s="47" t="b">
        <x:v>0</x:v>
      </x:c>
      <x:c r="AG845" s="47" t="b">
        <x:v>0</x:v>
      </x:c>
      <x:c r="AH845" s="48" t="n">
        <x:v>0</x:v>
      </x:c>
      <x:c r="AI845" s="48" t="n">
        <x:v>1.1920928955078125e-7</x:v>
      </x:c>
      <x:c r="AJ845" s="37" t="str">
        <x:v>passed</x:v>
      </x:c>
    </x:row>
    <x:row r="846" ht="21" customHeight="1">
      <x:c r="A846" s="2"/>
      <x:c r="B846" s="2"/>
      <x:c r="C846" s="2" t="str">
        <x:v>2022</x:v>
      </x:c>
      <x:c r="D846" s="5" t="n">
        <x:v>44867</x:v>
      </x:c>
      <x:c r="E846" s="2" t="str">
        <x:v>constrained</x:v>
      </x:c>
      <x:c r="F846" s="37" t="n">
        <x:v>13208635.993345961</x:v>
      </x:c>
      <x:c r="G846" s="37" t="n">
        <x:v>-42322.28324525986</x:v>
      </x:c>
      <x:c r="H846" s="37" t="n">
        <x:v>-46417.051040143226</x:v>
      </x:c>
      <x:c r="I846" s="37" t="n">
        <x:v>4094.767794883366</x:v>
      </x:c>
      <x:c r="J846" s="37" t="n">
        <x:v>10194525.227349807</x:v>
      </x:c>
      <x:c r="K846" s="37" t="n">
        <x:v>10236847.510595066</x:v>
      </x:c>
      <x:c r="L846" s="37" t="n">
        <x:v>13166313.710100701</x:v>
      </x:c>
      <x:c r="M846" s="37" t="n">
        <x:v>0</x:v>
      </x:c>
      <x:c r="N846" s="37" t="n">
        <x:v>0</x:v>
      </x:c>
      <x:c r="O846" s="37" t="n">
        <x:v>723.7212203908712</x:v>
      </x:c>
      <x:c r="P846" s="37" t="n">
        <x:v>0</x:v>
      </x:c>
      <x:c r="Q846" s="37" t="n">
        <x:v>0</x:v>
      </x:c>
      <x:c r="R846" s="37" t="n">
        <x:v>0</x:v>
      </x:c>
      <x:c r="S846" s="37" t="n">
        <x:v>0</x:v>
      </x:c>
      <x:c r="T846" s="37" t="n">
        <x:v>0</x:v>
      </x:c>
      <x:c r="U846" s="37" t="n">
        <x:v>57020.55116020547</x:v>
      </x:c>
      <x:c r="V846" s="37" t="n">
        <x:v>0</x:v>
      </x:c>
      <x:c r="W846" s="37" t="n">
        <x:v>217820.01907442324</x:v>
      </x:c>
      <x:c r="X846" s="37" t="n">
        <x:v>0</x:v>
      </x:c>
      <x:c r="Y846" s="37" t="n">
        <x:v>2404.245957223995</x:v>
      </x:c>
      <x:c r="Z846" s="37" t="n">
        <x:v>10441584.460806968</x:v>
      </x:c>
      <x:c r="AA846" s="37" t="n">
        <x:v>0</x:v>
      </x:c>
      <x:c r="AB846" s="37" t="n">
        <x:v>10441584.460806968</x:v>
      </x:c>
      <x:c r="AC846" s="37" t="n">
        <x:v>2767051.5325389933</x:v>
      </x:c>
      <x:c r="AD846" s="37" t="n">
        <x:v>0</x:v>
      </x:c>
      <x:c r="AE846" s="37" t="n">
        <x:v>0</x:v>
      </x:c>
      <x:c r="AF846" s="47" t="b">
        <x:v>0</x:v>
      </x:c>
      <x:c r="AG846" s="47" t="b">
        <x:v>0</x:v>
      </x:c>
      <x:c r="AH846" s="48" t="n">
        <x:v>0</x:v>
      </x:c>
      <x:c r="AI846" s="48" t="n">
        <x:v>1.1920928955078125e-7</x:v>
      </x:c>
      <x:c r="AJ846" s="37" t="str">
        <x:v>passed</x:v>
      </x:c>
    </x:row>
    <x:row r="847" ht="21" customHeight="1">
      <x:c r="A847" s="2"/>
      <x:c r="B847" s="2"/>
      <x:c r="C847" s="2" t="str">
        <x:v>2022</x:v>
      </x:c>
      <x:c r="D847" s="5" t="n">
        <x:v>44868</x:v>
      </x:c>
      <x:c r="E847" s="2" t="str">
        <x:v>unhedged</x:v>
      </x:c>
      <x:c r="F847" s="37" t="n">
        <x:v>1347438.0827217575</x:v>
      </x:c>
      <x:c r="G847" s="37" t="n">
        <x:v>10130105.277281485</x:v>
      </x:c>
      <x:c r="H847" s="37" t="n">
        <x:v>16739.430699015134</x:v>
      </x:c>
      <x:c r="I847" s="37" t="n">
        <x:v>10113365.84658247</x:v>
      </x:c>
      <x:c r="J847" s="37" t="n">
        <x:v>10130105.277281485</x:v>
      </x:c>
      <x:c r="K847" s="37" t="n">
        <x:v>0</x:v>
      </x:c>
      <x:c r="L847" s="37" t="n">
        <x:v>11477543.360003242</x:v>
      </x:c>
      <x:c r="M847" s="37" t="n">
        <x:v>0</x:v>
      </x:c>
      <x:c r="N847" s="37" t="n">
        <x:v>0</x:v>
      </x:c>
      <x:c r="O847" s="37" t="n">
        <x:v>73.82817833125591</x:v>
      </x:c>
      <x:c r="P847" s="37" t="n">
        <x:v>0</x:v>
      </x:c>
      <x:c r="Q847" s="37" t="n">
        <x:v>0</x:v>
      </x:c>
      <x:c r="R847" s="37" t="n">
        <x:v>0</x:v>
      </x:c>
      <x:c r="S847" s="37" t="n">
        <x:v>0</x:v>
      </x:c>
      <x:c r="T847" s="37" t="n">
        <x:v>0</x:v>
      </x:c>
      <x:c r="U847" s="37" t="n">
        <x:v>127500</x:v>
      </x:c>
      <x:c r="V847" s="37" t="n">
        <x:v>0</x:v>
      </x:c>
      <x:c r="W847" s="37" t="n">
        <x:v>21112.80203848309</x:v>
      </x:c>
      <x:c r="X847" s="37" t="n">
        <x:v>0</x:v>
      </x:c>
      <x:c r="Y847" s="37" t="n">
        <x:v>1174.7193167256753</x:v>
      </x:c>
      <x:c r="Z847" s="37" t="n">
        <x:v>0</x:v>
      </x:c>
      <x:c r="AA847" s="37" t="n">
        <x:v>0</x:v>
      </x:c>
      <x:c r="AB847" s="37" t="n">
        <x:v>0</x:v>
      </x:c>
      <x:c r="AC847" s="37" t="n">
        <x:v>1347438.0827217575</x:v>
      </x:c>
      <x:c r="AD847" s="37" t="n">
        <x:v>0</x:v>
      </x:c>
      <x:c r="AE847" s="37" t="n">
        <x:v>0</x:v>
      </x:c>
      <x:c r="AF847" s="47" t="b">
        <x:v>0</x:v>
      </x:c>
      <x:c r="AG847" s="47" t="b">
        <x:v>0</x:v>
      </x:c>
      <x:c r="AH847" s="48" t="n">
        <x:v>0</x:v>
      </x:c>
      <x:c r="AI847" s="48" t="n">
        <x:v>1.1920928955078125e-7</x:v>
      </x:c>
      <x:c r="AJ847" s="37" t="str">
        <x:v>passed</x:v>
      </x:c>
    </x:row>
    <x:row r="848" ht="21" customHeight="1">
      <x:c r="A848" s="2"/>
      <x:c r="B848" s="2"/>
      <x:c r="C848" s="2" t="str">
        <x:v>2022</x:v>
      </x:c>
      <x:c r="D848" s="5" t="n">
        <x:v>44868</x:v>
      </x:c>
      <x:c r="E848" s="2" t="str">
        <x:v>duration</x:v>
      </x:c>
      <x:c r="F848" s="37" t="n">
        <x:v>9404490.851382546</x:v>
      </x:c>
      <x:c r="G848" s="37" t="n">
        <x:v>3632462.0700895144</x:v>
      </x:c>
      <x:c r="H848" s="37" t="n">
        <x:v>-36032.300240390585</x:v>
      </x:c>
      <x:c r="I848" s="37" t="n">
        <x:v>3668494.370329905</x:v>
      </x:c>
      <x:c r="J848" s="37" t="n">
        <x:v>10130105.277281485</x:v>
      </x:c>
      <x:c r="K848" s="37" t="n">
        <x:v>6497643.207191971</x:v>
      </x:c>
      <x:c r="L848" s="37" t="n">
        <x:v>13036952.921472061</x:v>
      </x:c>
      <x:c r="M848" s="37" t="n">
        <x:v>0</x:v>
      </x:c>
      <x:c r="N848" s="37" t="n">
        <x:v>0</x:v>
      </x:c>
      <x:c r="O848" s="37" t="n">
        <x:v>515.2863323315978</x:v>
      </x:c>
      <x:c r="P848" s="37" t="n">
        <x:v>0</x:v>
      </x:c>
      <x:c r="Q848" s="37" t="n">
        <x:v>0</x:v>
      </x:c>
      <x:c r="R848" s="37" t="n">
        <x:v>0</x:v>
      </x:c>
      <x:c r="S848" s="37" t="n">
        <x:v>0</x:v>
      </x:c>
      <x:c r="T848" s="37" t="n">
        <x:v>0</x:v>
      </x:c>
      <x:c r="U848" s="37" t="n">
        <x:v>70395.09825237111</x:v>
      </x:c>
      <x:c r="V848" s="37" t="n">
        <x:v>0</x:v>
      </x:c>
      <x:c r="W848" s="37" t="n">
        <x:v>155136.4319459442</x:v>
      </x:c>
      <x:c r="X848" s="37" t="n">
        <x:v>0</x:v>
      </x:c>
      <x:c r="Y848" s="37" t="n">
        <x:v>2009.596223258864</x:v>
      </x:c>
      <x:c r="Z848" s="37" t="n">
        <x:v>6627596.07133581</x:v>
      </x:c>
      <x:c r="AA848" s="37" t="n">
        <x:v>0</x:v>
      </x:c>
      <x:c r="AB848" s="37" t="n">
        <x:v>6627596.07133581</x:v>
      </x:c>
      <x:c r="AC848" s="37" t="n">
        <x:v>2776894.780046736</x:v>
      </x:c>
      <x:c r="AD848" s="37" t="n">
        <x:v>0</x:v>
      </x:c>
      <x:c r="AE848" s="37" t="n">
        <x:v>0</x:v>
      </x:c>
      <x:c r="AF848" s="47" t="b">
        <x:v>0</x:v>
      </x:c>
      <x:c r="AG848" s="47" t="b">
        <x:v>0</x:v>
      </x:c>
      <x:c r="AH848" s="48" t="n">
        <x:v>0</x:v>
      </x:c>
      <x:c r="AI848" s="48" t="n">
        <x:v>1.1920928955078125e-7</x:v>
      </x:c>
      <x:c r="AJ848" s="37" t="str">
        <x:v>passed</x:v>
      </x:c>
    </x:row>
    <x:row r="849" ht="21" customHeight="1">
      <x:c r="A849" s="2"/>
      <x:c r="B849" s="2"/>
      <x:c r="C849" s="2" t="str">
        <x:v>2022</x:v>
      </x:c>
      <x:c r="D849" s="5" t="n">
        <x:v>44868</x:v>
      </x:c>
      <x:c r="E849" s="2" t="str">
        <x:v>unweighted</x:v>
      </x:c>
      <x:c r="F849" s="37" t="n">
        <x:v>12680756.070834994</x:v>
      </x:c>
      <x:c r="G849" s="37" t="n">
        <x:v>384451.8868039863</x:v>
      </x:c>
      <x:c r="H849" s="37" t="n">
        <x:v>-43807.88438471447</x:v>
      </x:c>
      <x:c r="I849" s="37" t="n">
        <x:v>428259.77118870075</x:v>
      </x:c>
      <x:c r="J849" s="37" t="n">
        <x:v>10153591.838227578</x:v>
      </x:c>
      <x:c r="K849" s="37" t="n">
        <x:v>9769139.951423591</x:v>
      </x:c>
      <x:c r="L849" s="37" t="n">
        <x:v>13065207.95763898</x:v>
      </x:c>
      <x:c r="M849" s="37" t="n">
        <x:v>0</x:v>
      </x:c>
      <x:c r="N849" s="37" t="n">
        <x:v>0</x:v>
      </x:c>
      <x:c r="O849" s="37" t="n">
        <x:v>694.7978779692203</x:v>
      </x:c>
      <x:c r="P849" s="37" t="n">
        <x:v>0</x:v>
      </x:c>
      <x:c r="Q849" s="37" t="n">
        <x:v>0</x:v>
      </x:c>
      <x:c r="R849" s="37" t="n">
        <x:v>0</x:v>
      </x:c>
      <x:c r="S849" s="37" t="n">
        <x:v>0</x:v>
      </x:c>
      <x:c r="T849" s="37" t="n">
        <x:v>0</x:v>
      </x:c>
      <x:c r="U849" s="37" t="n">
        <x:v>61881.30899120559</x:v>
      </x:c>
      <x:c r="V849" s="37" t="n">
        <x:v>0</x:v>
      </x:c>
      <x:c r="W849" s="37" t="n">
        <x:v>204241.214306904</x:v>
      </x:c>
      <x:c r="X849" s="37" t="n">
        <x:v>0</x:v>
      </x:c>
      <x:c r="Y849" s="37" t="n">
        <x:v>2306.4102741803476</x:v>
      </x:c>
      <x:c r="Z849" s="37" t="n">
        <x:v>9964522.750452062</x:v>
      </x:c>
      <x:c r="AA849" s="37" t="n">
        <x:v>0</x:v>
      </x:c>
      <x:c r="AB849" s="37" t="n">
        <x:v>9964522.750452062</x:v>
      </x:c>
      <x:c r="AC849" s="37" t="n">
        <x:v>2716233.320382932</x:v>
      </x:c>
      <x:c r="AD849" s="37" t="n">
        <x:v>0</x:v>
      </x:c>
      <x:c r="AE849" s="37" t="n">
        <x:v>0</x:v>
      </x:c>
      <x:c r="AF849" s="47" t="b">
        <x:v>0</x:v>
      </x:c>
      <x:c r="AG849" s="47" t="b">
        <x:v>0</x:v>
      </x:c>
      <x:c r="AH849" s="48" t="n">
        <x:v>0</x:v>
      </x:c>
      <x:c r="AI849" s="48" t="n">
        <x:v>1.1920928955078125e-7</x:v>
      </x:c>
      <x:c r="AJ849" s="37" t="str">
        <x:v>passed</x:v>
      </x:c>
    </x:row>
    <x:row r="850" ht="21" customHeight="1">
      <x:c r="A850" s="2"/>
      <x:c r="B850" s="2"/>
      <x:c r="C850" s="2" t="str">
        <x:v>2022</x:v>
      </x:c>
      <x:c r="D850" s="5" t="n">
        <x:v>44868</x:v>
      </x:c>
      <x:c r="E850" s="2" t="str">
        <x:v>constrained</x:v>
      </x:c>
      <x:c r="F850" s="37" t="n">
        <x:v>13209359.75422231</x:v>
      </x:c>
      <x:c r="G850" s="37" t="n">
        <x:v>-42206.51864588319</x:v>
      </x:c>
      <x:c r="H850" s="37" t="n">
        <x:v>-46451.58309495501</x:v>
      </x:c>
      <x:c r="I850" s="37" t="n">
        <x:v>4245.064449071819</x:v>
      </x:c>
      <x:c r="J850" s="37" t="n">
        <x:v>10166370.934107842</x:v>
      </x:c>
      <x:c r="K850" s="37" t="n">
        <x:v>10208577.452753726</x:v>
      </x:c>
      <x:c r="L850" s="37" t="n">
        <x:v>13167153.235576427</x:v>
      </x:c>
      <x:c r="M850" s="37" t="n">
        <x:v>0</x:v>
      </x:c>
      <x:c r="N850" s="37" t="n">
        <x:v>0</x:v>
      </x:c>
      <x:c r="O850" s="37" t="n">
        <x:v>723.7608763482422</x:v>
      </x:c>
      <x:c r="P850" s="37" t="n">
        <x:v>0</x:v>
      </x:c>
      <x:c r="Q850" s="37" t="n">
        <x:v>0</x:v>
      </x:c>
      <x:c r="R850" s="37" t="n">
        <x:v>0</x:v>
      </x:c>
      <x:c r="S850" s="37" t="n">
        <x:v>0</x:v>
      </x:c>
      <x:c r="T850" s="37" t="n">
        <x:v>0</x:v>
      </x:c>
      <x:c r="U850" s="37" t="n">
        <x:v>57020.55116020547</x:v>
      </x:c>
      <x:c r="V850" s="37" t="n">
        <x:v>0</x:v>
      </x:c>
      <x:c r="W850" s="37" t="n">
        <x:v>218543.77995077148</x:v>
      </x:c>
      <x:c r="X850" s="37" t="n">
        <x:v>0</x:v>
      </x:c>
      <x:c r="Y850" s="37" t="n">
        <x:v>2404.245957223995</x:v>
      </x:c>
      <x:c r="Z850" s="37" t="n">
        <x:v>10412749.001808802</x:v>
      </x:c>
      <x:c r="AA850" s="37" t="n">
        <x:v>0</x:v>
      </x:c>
      <x:c r="AB850" s="37" t="n">
        <x:v>10412749.001808802</x:v>
      </x:c>
      <x:c r="AC850" s="37" t="n">
        <x:v>2796610.7524135076</x:v>
      </x:c>
      <x:c r="AD850" s="37" t="n">
        <x:v>0</x:v>
      </x:c>
      <x:c r="AE850" s="37" t="n">
        <x:v>0</x:v>
      </x:c>
      <x:c r="AF850" s="47" t="b">
        <x:v>0</x:v>
      </x:c>
      <x:c r="AG850" s="47" t="b">
        <x:v>0</x:v>
      </x:c>
      <x:c r="AH850" s="48" t="n">
        <x:v>0</x:v>
      </x:c>
      <x:c r="AI850" s="48" t="n">
        <x:v>1.1920928955078125e-7</x:v>
      </x:c>
      <x:c r="AJ850" s="37" t="str">
        <x:v>passed</x:v>
      </x:c>
    </x:row>
    <x:row r="851" ht="21" customHeight="1">
      <x:c r="A851" s="2"/>
      <x:c r="B851" s="2"/>
      <x:c r="C851" s="2" t="str">
        <x:v>2022</x:v>
      </x:c>
      <x:c r="D851" s="5" t="n">
        <x:v>44869</x:v>
      </x:c>
      <x:c r="E851" s="2" t="str">
        <x:v>unhedged</x:v>
      </x:c>
      <x:c r="F851" s="37" t="n">
        <x:v>1347511.9149454685</x:v>
      </x:c>
      <x:c r="G851" s="37" t="n">
        <x:v>10126262.705201335</x:v>
      </x:c>
      <x:c r="H851" s="37" t="n">
        <x:v>17088.262671150613</x:v>
      </x:c>
      <x:c r="I851" s="37" t="n">
        <x:v>10109174.442530185</x:v>
      </x:c>
      <x:c r="J851" s="37" t="n">
        <x:v>10126262.705201335</x:v>
      </x:c>
      <x:c r="K851" s="37" t="n">
        <x:v>0</x:v>
      </x:c>
      <x:c r="L851" s="37" t="n">
        <x:v>11473774.620146804</x:v>
      </x:c>
      <x:c r="M851" s="37" t="n">
        <x:v>0</x:v>
      </x:c>
      <x:c r="N851" s="37" t="n">
        <x:v>0</x:v>
      </x:c>
      <x:c r="O851" s="37" t="n">
        <x:v>73.83222371106967</x:v>
      </x:c>
      <x:c r="P851" s="37" t="n">
        <x:v>0</x:v>
      </x:c>
      <x:c r="Q851" s="37" t="n">
        <x:v>0</x:v>
      </x:c>
      <x:c r="R851" s="37" t="n">
        <x:v>0</x:v>
      </x:c>
      <x:c r="S851" s="37" t="n">
        <x:v>0</x:v>
      </x:c>
      <x:c r="T851" s="37" t="n">
        <x:v>0</x:v>
      </x:c>
      <x:c r="U851" s="37" t="n">
        <x:v>127500</x:v>
      </x:c>
      <x:c r="V851" s="37" t="n">
        <x:v>0</x:v>
      </x:c>
      <x:c r="W851" s="37" t="n">
        <x:v>21186.63426219416</x:v>
      </x:c>
      <x:c r="X851" s="37" t="n">
        <x:v>0</x:v>
      </x:c>
      <x:c r="Y851" s="37" t="n">
        <x:v>1174.7193167256753</x:v>
      </x:c>
      <x:c r="Z851" s="37" t="n">
        <x:v>0</x:v>
      </x:c>
      <x:c r="AA851" s="37" t="n">
        <x:v>0</x:v>
      </x:c>
      <x:c r="AB851" s="37" t="n">
        <x:v>0</x:v>
      </x:c>
      <x:c r="AC851" s="37" t="n">
        <x:v>1347511.9149454685</x:v>
      </x:c>
      <x:c r="AD851" s="37" t="n">
        <x:v>0</x:v>
      </x:c>
      <x:c r="AE851" s="37" t="n">
        <x:v>0</x:v>
      </x:c>
      <x:c r="AF851" s="47" t="b">
        <x:v>0</x:v>
      </x:c>
      <x:c r="AG851" s="47" t="b">
        <x:v>0</x:v>
      </x:c>
      <x:c r="AH851" s="48" t="n">
        <x:v>0</x:v>
      </x:c>
      <x:c r="AI851" s="48" t="n">
        <x:v>1.1920928955078125e-7</x:v>
      </x:c>
      <x:c r="AJ851" s="37" t="str">
        <x:v>passed</x:v>
      </x:c>
    </x:row>
    <x:row r="852" ht="21" customHeight="1">
      <x:c r="A852" s="2"/>
      <x:c r="B852" s="2"/>
      <x:c r="C852" s="2" t="str">
        <x:v>2022</x:v>
      </x:c>
      <x:c r="D852" s="5" t="n">
        <x:v>44869</x:v>
      </x:c>
      <x:c r="E852" s="2" t="str">
        <x:v>duration</x:v>
      </x:c>
      <x:c r="F852" s="37" t="n">
        <x:v>9405006.165949747</x:v>
      </x:c>
      <x:c r="G852" s="37" t="n">
        <x:v>3644987.1919188583</x:v>
      </x:c>
      <x:c r="H852" s="37" t="n">
        <x:v>-35990.28065743769</x:v>
      </x:c>
      <x:c r="I852" s="37" t="n">
        <x:v>3680977.472576296</x:v>
      </x:c>
      <x:c r="J852" s="37" t="n">
        <x:v>10126262.705201335</x:v>
      </x:c>
      <x:c r="K852" s="37" t="n">
        <x:v>6481275.513282477</x:v>
      </x:c>
      <x:c r="L852" s="37" t="n">
        <x:v>13049993.357868604</x:v>
      </x:c>
      <x:c r="M852" s="37" t="n">
        <x:v>0</x:v>
      </x:c>
      <x:c r="N852" s="37" t="n">
        <x:v>0</x:v>
      </x:c>
      <x:c r="O852" s="37" t="n">
        <x:v>515.3145672008395</x:v>
      </x:c>
      <x:c r="P852" s="37" t="n">
        <x:v>0</x:v>
      </x:c>
      <x:c r="Q852" s="37" t="n">
        <x:v>0</x:v>
      </x:c>
      <x:c r="R852" s="37" t="n">
        <x:v>0</x:v>
      </x:c>
      <x:c r="S852" s="37" t="n">
        <x:v>0</x:v>
      </x:c>
      <x:c r="T852" s="37" t="n">
        <x:v>0</x:v>
      </x:c>
      <x:c r="U852" s="37" t="n">
        <x:v>70395.09825237111</x:v>
      </x:c>
      <x:c r="V852" s="37" t="n">
        <x:v>0</x:v>
      </x:c>
      <x:c r="W852" s="37" t="n">
        <x:v>155651.74651314504</x:v>
      </x:c>
      <x:c r="X852" s="37" t="n">
        <x:v>0</x:v>
      </x:c>
      <x:c r="Y852" s="37" t="n">
        <x:v>2009.596223258864</x:v>
      </x:c>
      <x:c r="Z852" s="37" t="n">
        <x:v>6610901.023548126</x:v>
      </x:c>
      <x:c r="AA852" s="37" t="n">
        <x:v>0</x:v>
      </x:c>
      <x:c r="AB852" s="37" t="n">
        <x:v>6610901.023548126</x:v>
      </x:c>
      <x:c r="AC852" s="37" t="n">
        <x:v>2794105.1424016207</x:v>
      </x:c>
      <x:c r="AD852" s="37" t="n">
        <x:v>0</x:v>
      </x:c>
      <x:c r="AE852" s="37" t="n">
        <x:v>0</x:v>
      </x:c>
      <x:c r="AF852" s="47" t="b">
        <x:v>0</x:v>
      </x:c>
      <x:c r="AG852" s="47" t="b">
        <x:v>0</x:v>
      </x:c>
      <x:c r="AH852" s="48" t="n">
        <x:v>0</x:v>
      </x:c>
      <x:c r="AI852" s="48" t="n">
        <x:v>1.1920928955078125e-7</x:v>
      </x:c>
      <x:c r="AJ852" s="37" t="str">
        <x:v>passed</x:v>
      </x:c>
    </x:row>
    <x:row r="853" ht="21" customHeight="1">
      <x:c r="A853" s="2"/>
      <x:c r="B853" s="2"/>
      <x:c r="C853" s="2" t="str">
        <x:v>2022</x:v>
      </x:c>
      <x:c r="D853" s="5" t="n">
        <x:v>44869</x:v>
      </x:c>
      <x:c r="E853" s="2" t="str">
        <x:v>unweighted</x:v>
      </x:c>
      <x:c r="F853" s="37" t="n">
        <x:v>12681450.906784084</x:v>
      </x:c>
      <x:c r="G853" s="37" t="n">
        <x:v>384555.4025084304</x:v>
      </x:c>
      <x:c r="H853" s="37" t="n">
        <x:v>-43825.985502047624</x:v>
      </x:c>
      <x:c r="I853" s="37" t="n">
        <x:v>428381.38801047805</x:v>
      </x:c>
      <x:c r="J853" s="37" t="n">
        <x:v>10149482.3717353</x:v>
      </x:c>
      <x:c r="K853" s="37" t="n">
        <x:v>9764926.96922687</x:v>
      </x:c>
      <x:c r="L853" s="37" t="n">
        <x:v>13066006.309292514</x:v>
      </x:c>
      <x:c r="M853" s="37" t="n">
        <x:v>0</x:v>
      </x:c>
      <x:c r="N853" s="37" t="n">
        <x:v>0</x:v>
      </x:c>
      <x:c r="O853" s="37" t="n">
        <x:v>694.8359490893781</x:v>
      </x:c>
      <x:c r="P853" s="37" t="n">
        <x:v>0</x:v>
      </x:c>
      <x:c r="Q853" s="37" t="n">
        <x:v>0</x:v>
      </x:c>
      <x:c r="R853" s="37" t="n">
        <x:v>0</x:v>
      </x:c>
      <x:c r="S853" s="37" t="n">
        <x:v>0</x:v>
      </x:c>
      <x:c r="T853" s="37" t="n">
        <x:v>0</x:v>
      </x:c>
      <x:c r="U853" s="37" t="n">
        <x:v>61881.30899120559</x:v>
      </x:c>
      <x:c r="V853" s="37" t="n">
        <x:v>0</x:v>
      </x:c>
      <x:c r="W853" s="37" t="n">
        <x:v>204936.05025599338</x:v>
      </x:c>
      <x:c r="X853" s="37" t="n">
        <x:v>0</x:v>
      </x:c>
      <x:c r="Y853" s="37" t="n">
        <x:v>2306.4102741803476</x:v>
      </x:c>
      <x:c r="Z853" s="37" t="n">
        <x:v>9960225.508611409</x:v>
      </x:c>
      <x:c r="AA853" s="37" t="n">
        <x:v>0</x:v>
      </x:c>
      <x:c r="AB853" s="37" t="n">
        <x:v>9960225.508611409</x:v>
      </x:c>
      <x:c r="AC853" s="37" t="n">
        <x:v>2721225.3981726747</x:v>
      </x:c>
      <x:c r="AD853" s="37" t="n">
        <x:v>0</x:v>
      </x:c>
      <x:c r="AE853" s="37" t="n">
        <x:v>0</x:v>
      </x:c>
      <x:c r="AF853" s="47" t="b">
        <x:v>0</x:v>
      </x:c>
      <x:c r="AG853" s="47" t="b">
        <x:v>0</x:v>
      </x:c>
      <x:c r="AH853" s="48" t="n">
        <x:v>0</x:v>
      </x:c>
      <x:c r="AI853" s="48" t="n">
        <x:v>1.1920928955078125e-7</x:v>
      </x:c>
      <x:c r="AJ853" s="37" t="str">
        <x:v>passed</x:v>
      </x:c>
    </x:row>
    <x:row r="854" ht="21" customHeight="1">
      <x:c r="A854" s="2"/>
      <x:c r="B854" s="2"/>
      <x:c r="C854" s="2" t="str">
        <x:v>2022</x:v>
      </x:c>
      <x:c r="D854" s="5" t="n">
        <x:v>44869</x:v>
      </x:c>
      <x:c r="E854" s="2" t="str">
        <x:v>constrained</x:v>
      </x:c>
      <x:c r="F854" s="37" t="n">
        <x:v>13210083.554756789</x:v>
      </x:c>
      <x:c r="G854" s="37" t="n">
        <x:v>-42285.221363854725</x:v>
      </x:c>
      <x:c r="H854" s="37" t="n">
        <x:v>-46486.11514976678</x:v>
      </x:c>
      <x:c r="I854" s="37" t="n">
        <x:v>4200.893785912056</x:v>
      </x:c>
      <x:c r="J854" s="37" t="n">
        <x:v>10162135.941797923</x:v>
      </x:c>
      <x:c r="K854" s="37" t="n">
        <x:v>10204421.163161777</x:v>
      </x:c>
      <x:c r="L854" s="37" t="n">
        <x:v>13167798.333392933</x:v>
      </x:c>
      <x:c r="M854" s="37" t="n">
        <x:v>0</x:v>
      </x:c>
      <x:c r="N854" s="37" t="n">
        <x:v>0</x:v>
      </x:c>
      <x:c r="O854" s="37" t="n">
        <x:v>723.80053447932</x:v>
      </x:c>
      <x:c r="P854" s="37" t="n">
        <x:v>0</x:v>
      </x:c>
      <x:c r="Q854" s="37" t="n">
        <x:v>0</x:v>
      </x:c>
      <x:c r="R854" s="37" t="n">
        <x:v>0</x:v>
      </x:c>
      <x:c r="S854" s="37" t="n">
        <x:v>0</x:v>
      </x:c>
      <x:c r="T854" s="37" t="n">
        <x:v>0</x:v>
      </x:c>
      <x:c r="U854" s="37" t="n">
        <x:v>57020.55116020547</x:v>
      </x:c>
      <x:c r="V854" s="37" t="n">
        <x:v>0</x:v>
      </x:c>
      <x:c r="W854" s="37" t="n">
        <x:v>219267.5804852508</x:v>
      </x:c>
      <x:c r="X854" s="37" t="n">
        <x:v>0</x:v>
      </x:c>
      <x:c r="Y854" s="37" t="n">
        <x:v>2404.245957223995</x:v>
      </x:c>
      <x:c r="Z854" s="37" t="n">
        <x:v>10408509.586425012</x:v>
      </x:c>
      <x:c r="AA854" s="37" t="n">
        <x:v>0</x:v>
      </x:c>
      <x:c r="AB854" s="37" t="n">
        <x:v>10408509.586425012</x:v>
      </x:c>
      <x:c r="AC854" s="37" t="n">
        <x:v>2801573.9683317766</x:v>
      </x:c>
      <x:c r="AD854" s="37" t="n">
        <x:v>0</x:v>
      </x:c>
      <x:c r="AE854" s="37" t="n">
        <x:v>0</x:v>
      </x:c>
      <x:c r="AF854" s="47" t="b">
        <x:v>0</x:v>
      </x:c>
      <x:c r="AG854" s="47" t="b">
        <x:v>0</x:v>
      </x:c>
      <x:c r="AH854" s="48" t="n">
        <x:v>0</x:v>
      </x:c>
      <x:c r="AI854" s="48" t="n">
        <x:v>1.1920928955078125e-7</x:v>
      </x:c>
      <x:c r="AJ854" s="37" t="str">
        <x:v>passed</x:v>
      </x:c>
    </x:row>
    <x:row r="855" ht="21" customHeight="1">
      <x:c r="A855" s="2"/>
      <x:c r="B855" s="2"/>
      <x:c r="C855" s="2" t="str">
        <x:v>2022</x:v>
      </x:c>
      <x:c r="D855" s="5" t="n">
        <x:v>44872</x:v>
      </x:c>
      <x:c r="E855" s="2" t="str">
        <x:v>unhedged</x:v>
      </x:c>
      <x:c r="F855" s="37" t="n">
        <x:v>1347733.4358910955</x:v>
      </x:c>
      <x:c r="G855" s="37" t="n">
        <x:v>10099237.854198541</x:v>
      </x:c>
      <x:c r="H855" s="37" t="n">
        <x:v>18134.75858755705</x:v>
      </x:c>
      <x:c r="I855" s="37" t="n">
        <x:v>10081103.095610984</x:v>
      </x:c>
      <x:c r="J855" s="37" t="n">
        <x:v>10099237.854198541</x:v>
      </x:c>
      <x:c r="K855" s="37" t="n">
        <x:v>0</x:v>
      </x:c>
      <x:c r="L855" s="37" t="n">
        <x:v>11446971.290089637</x:v>
      </x:c>
      <x:c r="M855" s="37" t="n">
        <x:v>0</x:v>
      </x:c>
      <x:c r="N855" s="37" t="n">
        <x:v>0</x:v>
      </x:c>
      <x:c r="O855" s="37" t="n">
        <x:v>221.5209456270095</x:v>
      </x:c>
      <x:c r="P855" s="37" t="n">
        <x:v>0</x:v>
      </x:c>
      <x:c r="Q855" s="37" t="n">
        <x:v>0</x:v>
      </x:c>
      <x:c r="R855" s="37" t="n">
        <x:v>0</x:v>
      </x:c>
      <x:c r="S855" s="37" t="n">
        <x:v>0</x:v>
      </x:c>
      <x:c r="T855" s="37" t="n">
        <x:v>0</x:v>
      </x:c>
      <x:c r="U855" s="37" t="n">
        <x:v>127500</x:v>
      </x:c>
      <x:c r="V855" s="37" t="n">
        <x:v>0</x:v>
      </x:c>
      <x:c r="W855" s="37" t="n">
        <x:v>21408.155207821168</x:v>
      </x:c>
      <x:c r="X855" s="37" t="n">
        <x:v>0</x:v>
      </x:c>
      <x:c r="Y855" s="37" t="n">
        <x:v>1174.7193167256753</x:v>
      </x:c>
      <x:c r="Z855" s="37" t="n">
        <x:v>0</x:v>
      </x:c>
      <x:c r="AA855" s="37" t="n">
        <x:v>0</x:v>
      </x:c>
      <x:c r="AB855" s="37" t="n">
        <x:v>0</x:v>
      </x:c>
      <x:c r="AC855" s="37" t="n">
        <x:v>1347733.4358910955</x:v>
      </x:c>
      <x:c r="AD855" s="37" t="n">
        <x:v>0</x:v>
      </x:c>
      <x:c r="AE855" s="37" t="n">
        <x:v>0</x:v>
      </x:c>
      <x:c r="AF855" s="47" t="b">
        <x:v>0</x:v>
      </x:c>
      <x:c r="AG855" s="47" t="b">
        <x:v>0</x:v>
      </x:c>
      <x:c r="AH855" s="48" t="n">
        <x:v>0</x:v>
      </x:c>
      <x:c r="AI855" s="48" t="n">
        <x:v>1.1920928955078125e-7</x:v>
      </x:c>
      <x:c r="AJ855" s="37" t="str">
        <x:v>passed</x:v>
      </x:c>
    </x:row>
    <x:row r="856" ht="21" customHeight="1">
      <x:c r="A856" s="2"/>
      <x:c r="B856" s="2"/>
      <x:c r="C856" s="2" t="str">
        <x:v>2022</x:v>
      </x:c>
      <x:c r="D856" s="5" t="n">
        <x:v>44872</x:v>
      </x:c>
      <x:c r="E856" s="2" t="str">
        <x:v>duration</x:v>
      </x:c>
      <x:c r="F856" s="37" t="n">
        <x:v>9406552.279076021</x:v>
      </x:c>
      <x:c r="G856" s="37" t="n">
        <x:v>3647759.0822117217</x:v>
      </x:c>
      <x:c r="H856" s="37" t="n">
        <x:v>-35864.22190857903</x:v>
      </x:c>
      <x:c r="I856" s="37" t="n">
        <x:v>3683623.304120301</x:v>
      </x:c>
      <x:c r="J856" s="37" t="n">
        <x:v>10099237.854198541</x:v>
      </x:c>
      <x:c r="K856" s="37" t="n">
        <x:v>6451478.77198682</x:v>
      </x:c>
      <x:c r="L856" s="37" t="n">
        <x:v>13054311.361287743</x:v>
      </x:c>
      <x:c r="M856" s="37" t="n">
        <x:v>0</x:v>
      </x:c>
      <x:c r="N856" s="37" t="n">
        <x:v>0</x:v>
      </x:c>
      <x:c r="O856" s="37" t="n">
        <x:v>1546.1131262741983</x:v>
      </x:c>
      <x:c r="P856" s="37" t="n">
        <x:v>0</x:v>
      </x:c>
      <x:c r="Q856" s="37" t="n">
        <x:v>0</x:v>
      </x:c>
      <x:c r="R856" s="37" t="n">
        <x:v>0</x:v>
      </x:c>
      <x:c r="S856" s="37" t="n">
        <x:v>0</x:v>
      </x:c>
      <x:c r="T856" s="37" t="n">
        <x:v>0</x:v>
      </x:c>
      <x:c r="U856" s="37" t="n">
        <x:v>70395.09825237111</x:v>
      </x:c>
      <x:c r="V856" s="37" t="n">
        <x:v>0</x:v>
      </x:c>
      <x:c r="W856" s="37" t="n">
        <x:v>157197.85963941924</x:v>
      </x:c>
      <x:c r="X856" s="37" t="n">
        <x:v>0</x:v>
      </x:c>
      <x:c r="Y856" s="37" t="n">
        <x:v>2009.596223258864</x:v>
      </x:c>
      <x:c r="Z856" s="37" t="n">
        <x:v>6580508.347426556</x:v>
      </x:c>
      <x:c r="AA856" s="37" t="n">
        <x:v>0</x:v>
      </x:c>
      <x:c r="AB856" s="37" t="n">
        <x:v>6580508.347426556</x:v>
      </x:c>
      <x:c r="AC856" s="37" t="n">
        <x:v>2826043.931649465</x:v>
      </x:c>
      <x:c r="AD856" s="37" t="n">
        <x:v>0</x:v>
      </x:c>
      <x:c r="AE856" s="37" t="n">
        <x:v>0</x:v>
      </x:c>
      <x:c r="AF856" s="47" t="b">
        <x:v>0</x:v>
      </x:c>
      <x:c r="AG856" s="47" t="b">
        <x:v>0</x:v>
      </x:c>
      <x:c r="AH856" s="48" t="n">
        <x:v>0</x:v>
      </x:c>
      <x:c r="AI856" s="48" t="n">
        <x:v>1.1920928955078125e-7</x:v>
      </x:c>
      <x:c r="AJ856" s="37" t="str">
        <x:v>passed</x:v>
      </x:c>
    </x:row>
    <x:row r="857" ht="21" customHeight="1">
      <x:c r="A857" s="2"/>
      <x:c r="B857" s="2"/>
      <x:c r="C857" s="2" t="str">
        <x:v>2022</x:v>
      </x:c>
      <x:c r="D857" s="5" t="n">
        <x:v>44872</x:v>
      </x:c>
      <x:c r="E857" s="2" t="str">
        <x:v>unweighted</x:v>
      </x:c>
      <x:c r="F857" s="37" t="n">
        <x:v>12683535.643078908</x:v>
      </x:c>
      <x:c r="G857" s="37" t="n">
        <x:v>383576.8404115789</x:v>
      </x:c>
      <x:c r="H857" s="37" t="n">
        <x:v>-43880.28885404712</x:v>
      </x:c>
      <x:c r="I857" s="37" t="n">
        <x:v>427457.129265626</x:v>
      </x:c>
      <x:c r="J857" s="37" t="n">
        <x:v>10122258.696879482</x:v>
      </x:c>
      <x:c r="K857" s="37" t="n">
        <x:v>9738681.856467903</x:v>
      </x:c>
      <x:c r="L857" s="37" t="n">
        <x:v>13067112.483490488</x:v>
      </x:c>
      <x:c r="M857" s="37" t="n">
        <x:v>0</x:v>
      </x:c>
      <x:c r="N857" s="37" t="n">
        <x:v>0</x:v>
      </x:c>
      <x:c r="O857" s="37" t="n">
        <x:v>2084.73629482463</x:v>
      </x:c>
      <x:c r="P857" s="37" t="n">
        <x:v>0</x:v>
      </x:c>
      <x:c r="Q857" s="37" t="n">
        <x:v>0</x:v>
      </x:c>
      <x:c r="R857" s="37" t="n">
        <x:v>0</x:v>
      </x:c>
      <x:c r="S857" s="37" t="n">
        <x:v>0</x:v>
      </x:c>
      <x:c r="T857" s="37" t="n">
        <x:v>0</x:v>
      </x:c>
      <x:c r="U857" s="37" t="n">
        <x:v>61881.30899120559</x:v>
      </x:c>
      <x:c r="V857" s="37" t="n">
        <x:v>0</x:v>
      </x:c>
      <x:c r="W857" s="37" t="n">
        <x:v>207020.786550818</x:v>
      </x:c>
      <x:c r="X857" s="37" t="n">
        <x:v>0</x:v>
      </x:c>
      <x:c r="Y857" s="37" t="n">
        <x:v>2306.4102741803476</x:v>
      </x:c>
      <x:c r="Z857" s="37" t="n">
        <x:v>9933455.493597262</x:v>
      </x:c>
      <x:c r="AA857" s="37" t="n">
        <x:v>0</x:v>
      </x:c>
      <x:c r="AB857" s="37" t="n">
        <x:v>9933455.493597262</x:v>
      </x:c>
      <x:c r="AC857" s="37" t="n">
        <x:v>2750080.1494816467</x:v>
      </x:c>
      <x:c r="AD857" s="37" t="n">
        <x:v>0</x:v>
      </x:c>
      <x:c r="AE857" s="37" t="n">
        <x:v>0</x:v>
      </x:c>
      <x:c r="AF857" s="47" t="b">
        <x:v>0</x:v>
      </x:c>
      <x:c r="AG857" s="47" t="b">
        <x:v>0</x:v>
      </x:c>
      <x:c r="AH857" s="48" t="n">
        <x:v>0</x:v>
      </x:c>
      <x:c r="AI857" s="48" t="n">
        <x:v>1.1920928955078125e-7</x:v>
      </x:c>
      <x:c r="AJ857" s="37" t="str">
        <x:v>passed</x:v>
      </x:c>
    </x:row>
    <x:row r="858" ht="21" customHeight="1">
      <x:c r="A858" s="2"/>
      <x:c r="B858" s="2"/>
      <x:c r="C858" s="2" t="str">
        <x:v>2022</x:v>
      </x:c>
      <x:c r="D858" s="5" t="n">
        <x:v>44872</x:v>
      </x:c>
      <x:c r="E858" s="2" t="str">
        <x:v>constrained</x:v>
      </x:c>
      <x:c r="F858" s="37" t="n">
        <x:v>13212255.194330739</x:v>
      </x:c>
      <x:c r="G858" s="37" t="n">
        <x:v>-42273.652148385416</x:v>
      </x:c>
      <x:c r="H858" s="37" t="n">
        <x:v>-46589.71131420214</x:v>
      </x:c>
      <x:c r="I858" s="37" t="n">
        <x:v>4316.059165816725</x:v>
      </x:c>
      <x:c r="J858" s="37" t="n">
        <x:v>10134810.105381452</x:v>
      </x:c>
      <x:c r="K858" s="37" t="n">
        <x:v>10177083.757529836</x:v>
      </x:c>
      <x:c r="L858" s="37" t="n">
        <x:v>13169981.542182354</x:v>
      </x:c>
      <x:c r="M858" s="37" t="n">
        <x:v>0</x:v>
      </x:c>
      <x:c r="N858" s="37" t="n">
        <x:v>0</x:v>
      </x:c>
      <x:c r="O858" s="37" t="n">
        <x:v>2171.6395739503205</x:v>
      </x:c>
      <x:c r="P858" s="37" t="n">
        <x:v>0</x:v>
      </x:c>
      <x:c r="Q858" s="37" t="n">
        <x:v>0</x:v>
      </x:c>
      <x:c r="R858" s="37" t="n">
        <x:v>0</x:v>
      </x:c>
      <x:c r="S858" s="37" t="n">
        <x:v>0</x:v>
      </x:c>
      <x:c r="T858" s="37" t="n">
        <x:v>0</x:v>
      </x:c>
      <x:c r="U858" s="37" t="n">
        <x:v>57020.55116020547</x:v>
      </x:c>
      <x:c r="V858" s="37" t="n">
        <x:v>0</x:v>
      </x:c>
      <x:c r="W858" s="37" t="n">
        <x:v>221439.22005920112</x:v>
      </x:c>
      <x:c r="X858" s="37" t="n">
        <x:v>0</x:v>
      </x:c>
      <x:c r="Y858" s="37" t="n">
        <x:v>2404.245957223995</x:v>
      </x:c>
      <x:c r="Z858" s="37" t="n">
        <x:v>10380625.432680434</x:v>
      </x:c>
      <x:c r="AA858" s="37" t="n">
        <x:v>0</x:v>
      </x:c>
      <x:c r="AB858" s="37" t="n">
        <x:v>10380625.432680434</x:v>
      </x:c>
      <x:c r="AC858" s="37" t="n">
        <x:v>2831629.7616503052</x:v>
      </x:c>
      <x:c r="AD858" s="37" t="n">
        <x:v>0</x:v>
      </x:c>
      <x:c r="AE858" s="37" t="n">
        <x:v>0</x:v>
      </x:c>
      <x:c r="AF858" s="47" t="b">
        <x:v>0</x:v>
      </x:c>
      <x:c r="AG858" s="47" t="b">
        <x:v>0</x:v>
      </x:c>
      <x:c r="AH858" s="48" t="n">
        <x:v>0</x:v>
      </x:c>
      <x:c r="AI858" s="48" t="n">
        <x:v>1.1920928955078125e-7</x:v>
      </x:c>
      <x:c r="AJ858" s="37" t="str">
        <x:v>passed</x:v>
      </x:c>
    </x:row>
    <x:row r="859" ht="21" customHeight="1">
      <x:c r="A859" s="2"/>
      <x:c r="B859" s="2"/>
      <x:c r="C859" s="2" t="str">
        <x:v>2022</x:v>
      </x:c>
      <x:c r="D859" s="5" t="n">
        <x:v>44873</x:v>
      </x:c>
      <x:c r="E859" s="2" t="str">
        <x:v>unhedged</x:v>
      </x:c>
      <x:c r="F859" s="37" t="n">
        <x:v>1347807.2842985417</x:v>
      </x:c>
      <x:c r="G859" s="37" t="n">
        <x:v>10144383.216272555</x:v>
      </x:c>
      <x:c r="H859" s="37" t="n">
        <x:v>18483.59055969253</x:v>
      </x:c>
      <x:c r="I859" s="37" t="n">
        <x:v>10125899.625712862</x:v>
      </x:c>
      <x:c r="J859" s="37" t="n">
        <x:v>10144383.216272555</x:v>
      </x:c>
      <x:c r="K859" s="37" t="n">
        <x:v>0</x:v>
      </x:c>
      <x:c r="L859" s="37" t="n">
        <x:v>11492190.500571096</x:v>
      </x:c>
      <x:c r="M859" s="37" t="n">
        <x:v>0</x:v>
      </x:c>
      <x:c r="N859" s="37" t="n">
        <x:v>0</x:v>
      </x:c>
      <x:c r="O859" s="37" t="n">
        <x:v>73.84840744617395</x:v>
      </x:c>
      <x:c r="P859" s="37" t="n">
        <x:v>0</x:v>
      </x:c>
      <x:c r="Q859" s="37" t="n">
        <x:v>0</x:v>
      </x:c>
      <x:c r="R859" s="37" t="n">
        <x:v>0</x:v>
      </x:c>
      <x:c r="S859" s="37" t="n">
        <x:v>0</x:v>
      </x:c>
      <x:c r="T859" s="37" t="n">
        <x:v>0</x:v>
      </x:c>
      <x:c r="U859" s="37" t="n">
        <x:v>127500</x:v>
      </x:c>
      <x:c r="V859" s="37" t="n">
        <x:v>0</x:v>
      </x:c>
      <x:c r="W859" s="37" t="n">
        <x:v>21482.003615267342</x:v>
      </x:c>
      <x:c r="X859" s="37" t="n">
        <x:v>0</x:v>
      </x:c>
      <x:c r="Y859" s="37" t="n">
        <x:v>1174.7193167256753</x:v>
      </x:c>
      <x:c r="Z859" s="37" t="n">
        <x:v>0</x:v>
      </x:c>
      <x:c r="AA859" s="37" t="n">
        <x:v>0</x:v>
      </x:c>
      <x:c r="AB859" s="37" t="n">
        <x:v>0</x:v>
      </x:c>
      <x:c r="AC859" s="37" t="n">
        <x:v>1347807.2842985417</x:v>
      </x:c>
      <x:c r="AD859" s="37" t="n">
        <x:v>0</x:v>
      </x:c>
      <x:c r="AE859" s="37" t="n">
        <x:v>0</x:v>
      </x:c>
      <x:c r="AF859" s="47" t="b">
        <x:v>0</x:v>
      </x:c>
      <x:c r="AG859" s="47" t="b">
        <x:v>0</x:v>
      </x:c>
      <x:c r="AH859" s="48" t="n">
        <x:v>0</x:v>
      </x:c>
      <x:c r="AI859" s="48" t="n">
        <x:v>1.1920928955078125e-7</x:v>
      </x:c>
      <x:c r="AJ859" s="37" t="str">
        <x:v>passed</x:v>
      </x:c>
    </x:row>
    <x:row r="860" ht="21" customHeight="1">
      <x:c r="A860" s="2"/>
      <x:c r="B860" s="2"/>
      <x:c r="C860" s="2" t="str">
        <x:v>2022</x:v>
      </x:c>
      <x:c r="D860" s="5" t="n">
        <x:v>44873</x:v>
      </x:c>
      <x:c r="E860" s="2" t="str">
        <x:v>duration</x:v>
      </x:c>
      <x:c r="F860" s="37" t="n">
        <x:v>9407067.706598165</x:v>
      </x:c>
      <x:c r="G860" s="37" t="n">
        <x:v>3645458.303141551</x:v>
      </x:c>
      <x:c r="H860" s="37" t="n">
        <x:v>-35822.202325626145</x:v>
      </x:c>
      <x:c r="I860" s="37" t="n">
        <x:v>3681280.5054671774</x:v>
      </x:c>
      <x:c r="J860" s="37" t="n">
        <x:v>10144383.216272555</x:v>
      </x:c>
      <x:c r="K860" s="37" t="n">
        <x:v>6498924.913131004</x:v>
      </x:c>
      <x:c r="L860" s="37" t="n">
        <x:v>13052526.009739716</x:v>
      </x:c>
      <x:c r="M860" s="37" t="n">
        <x:v>0</x:v>
      </x:c>
      <x:c r="N860" s="37" t="n">
        <x:v>0</x:v>
      </x:c>
      <x:c r="O860" s="37" t="n">
        <x:v>515.427522143349</x:v>
      </x:c>
      <x:c r="P860" s="37" t="n">
        <x:v>0</x:v>
      </x:c>
      <x:c r="Q860" s="37" t="n">
        <x:v>0</x:v>
      </x:c>
      <x:c r="R860" s="37" t="n">
        <x:v>0</x:v>
      </x:c>
      <x:c r="S860" s="37" t="n">
        <x:v>0</x:v>
      </x:c>
      <x:c r="T860" s="37" t="n">
        <x:v>0</x:v>
      </x:c>
      <x:c r="U860" s="37" t="n">
        <x:v>70395.09825237111</x:v>
      </x:c>
      <x:c r="V860" s="37" t="n">
        <x:v>0</x:v>
      </x:c>
      <x:c r="W860" s="37" t="n">
        <x:v>157713.2871615626</x:v>
      </x:c>
      <x:c r="X860" s="37" t="n">
        <x:v>0</x:v>
      </x:c>
      <x:c r="Y860" s="37" t="n">
        <x:v>2009.596223258864</x:v>
      </x:c>
      <x:c r="Z860" s="37" t="n">
        <x:v>6628903.411393625</x:v>
      </x:c>
      <x:c r="AA860" s="37" t="n">
        <x:v>0</x:v>
      </x:c>
      <x:c r="AB860" s="37" t="n">
        <x:v>6628903.411393625</x:v>
      </x:c>
      <x:c r="AC860" s="37" t="n">
        <x:v>2778164.29520454</x:v>
      </x:c>
      <x:c r="AD860" s="37" t="n">
        <x:v>0</x:v>
      </x:c>
      <x:c r="AE860" s="37" t="n">
        <x:v>0</x:v>
      </x:c>
      <x:c r="AF860" s="47" t="b">
        <x:v>0</x:v>
      </x:c>
      <x:c r="AG860" s="47" t="b">
        <x:v>0</x:v>
      </x:c>
      <x:c r="AH860" s="48" t="n">
        <x:v>0</x:v>
      </x:c>
      <x:c r="AI860" s="48" t="n">
        <x:v>1.1920928955078125e-7</x:v>
      </x:c>
      <x:c r="AJ860" s="37" t="str">
        <x:v>passed</x:v>
      </x:c>
    </x:row>
    <x:row r="861" ht="21" customHeight="1">
      <x:c r="A861" s="2"/>
      <x:c r="B861" s="2"/>
      <x:c r="C861" s="2" t="str">
        <x:v>2022</x:v>
      </x:c>
      <x:c r="D861" s="5" t="n">
        <x:v>44873</x:v>
      </x:c>
      <x:c r="E861" s="2" t="str">
        <x:v>unweighted</x:v>
      </x:c>
      <x:c r="F861" s="37" t="n">
        <x:v>12684230.631333325</x:v>
      </x:c>
      <x:c r="G861" s="37" t="n">
        <x:v>385097.01795427984</x:v>
      </x:c>
      <x:c r="H861" s="37" t="n">
        <x:v>-43898.389971380275</x:v>
      </x:c>
      <x:c r="I861" s="37" t="n">
        <x:v>428995.40792566014</x:v>
      </x:c>
      <x:c r="J861" s="37" t="n">
        <x:v>10167723.765428258</x:v>
      </x:c>
      <x:c r="K861" s="37" t="n">
        <x:v>9782626.747473978</x:v>
      </x:c>
      <x:c r="L861" s="37" t="n">
        <x:v>13069327.649287606</x:v>
      </x:c>
      <x:c r="M861" s="37" t="n">
        <x:v>0</x:v>
      </x:c>
      <x:c r="N861" s="37" t="n">
        <x:v>0</x:v>
      </x:c>
      <x:c r="O861" s="37" t="n">
        <x:v>694.988254416734</x:v>
      </x:c>
      <x:c r="P861" s="37" t="n">
        <x:v>0</x:v>
      </x:c>
      <x:c r="Q861" s="37" t="n">
        <x:v>0</x:v>
      </x:c>
      <x:c r="R861" s="37" t="n">
        <x:v>0</x:v>
      </x:c>
      <x:c r="S861" s="37" t="n">
        <x:v>0</x:v>
      </x:c>
      <x:c r="T861" s="37" t="n">
        <x:v>0</x:v>
      </x:c>
      <x:c r="U861" s="37" t="n">
        <x:v>61881.30899120559</x:v>
      </x:c>
      <x:c r="V861" s="37" t="n">
        <x:v>0</x:v>
      </x:c>
      <x:c r="W861" s="37" t="n">
        <x:v>207715.77480523475</x:v>
      </x:c>
      <x:c r="X861" s="37" t="n">
        <x:v>0</x:v>
      </x:c>
      <x:c r="Y861" s="37" t="n">
        <x:v>2306.4102741803476</x:v>
      </x:c>
      <x:c r="Z861" s="37" t="n">
        <x:v>9978279.282423457</x:v>
      </x:c>
      <x:c r="AA861" s="37" t="n">
        <x:v>0</x:v>
      </x:c>
      <x:c r="AB861" s="37" t="n">
        <x:v>9978279.282423457</x:v>
      </x:c>
      <x:c r="AC861" s="37" t="n">
        <x:v>2705951.348909868</x:v>
      </x:c>
      <x:c r="AD861" s="37" t="n">
        <x:v>0</x:v>
      </x:c>
      <x:c r="AE861" s="37" t="n">
        <x:v>0</x:v>
      </x:c>
      <x:c r="AF861" s="47" t="b">
        <x:v>0</x:v>
      </x:c>
      <x:c r="AG861" s="47" t="b">
        <x:v>0</x:v>
      </x:c>
      <x:c r="AH861" s="48" t="n">
        <x:v>0</x:v>
      </x:c>
      <x:c r="AI861" s="48" t="n">
        <x:v>1.1920928955078125e-7</x:v>
      </x:c>
      <x:c r="AJ861" s="37" t="str">
        <x:v>passed</x:v>
      </x:c>
    </x:row>
    <x:row r="862" ht="21" customHeight="1">
      <x:c r="A862" s="2"/>
      <x:c r="B862" s="2"/>
      <x:c r="C862" s="2" t="str">
        <x:v>2022</x:v>
      </x:c>
      <x:c r="D862" s="5" t="n">
        <x:v>44873</x:v>
      </x:c>
      <x:c r="E862" s="2" t="str">
        <x:v>constrained</x:v>
      </x:c>
      <x:c r="F862" s="37" t="n">
        <x:v>13212979.15351947</x:v>
      </x:c>
      <x:c r="G862" s="37" t="n">
        <x:v>-42380.121233520586</x:v>
      </x:c>
      <x:c r="H862" s="37" t="n">
        <x:v>-46624.243369013915</x:v>
      </x:c>
      <x:c r="I862" s="37" t="n">
        <x:v>4244.12213549333</x:v>
      </x:c>
      <x:c r="J862" s="37" t="n">
        <x:v>10180458.110778484</x:v>
      </x:c>
      <x:c r="K862" s="37" t="n">
        <x:v>10222838.232012006</x:v>
      </x:c>
      <x:c r="L862" s="37" t="n">
        <x:v>13170599.03228595</x:v>
      </x:c>
      <x:c r="M862" s="37" t="n">
        <x:v>0</x:v>
      </x:c>
      <x:c r="N862" s="37" t="n">
        <x:v>0</x:v>
      </x:c>
      <x:c r="O862" s="37" t="n">
        <x:v>723.9591887313873</x:v>
      </x:c>
      <x:c r="P862" s="37" t="n">
        <x:v>0</x:v>
      </x:c>
      <x:c r="Q862" s="37" t="n">
        <x:v>0</x:v>
      </x:c>
      <x:c r="R862" s="37" t="n">
        <x:v>0</x:v>
      </x:c>
      <x:c r="S862" s="37" t="n">
        <x:v>0</x:v>
      </x:c>
      <x:c r="T862" s="37" t="n">
        <x:v>0</x:v>
      </x:c>
      <x:c r="U862" s="37" t="n">
        <x:v>57020.55116020547</x:v>
      </x:c>
      <x:c r="V862" s="37" t="n">
        <x:v>0</x:v>
      </x:c>
      <x:c r="W862" s="37" t="n">
        <x:v>222163.1792479325</x:v>
      </x:c>
      <x:c r="X862" s="37" t="n">
        <x:v>0</x:v>
      </x:c>
      <x:c r="Y862" s="37" t="n">
        <x:v>2404.245957223995</x:v>
      </x:c>
      <x:c r="Z862" s="37" t="n">
        <x:v>10427294.996652246</x:v>
      </x:c>
      <x:c r="AA862" s="37" t="n">
        <x:v>0</x:v>
      </x:c>
      <x:c r="AB862" s="37" t="n">
        <x:v>10427294.996652246</x:v>
      </x:c>
      <x:c r="AC862" s="37" t="n">
        <x:v>2785684.1568672247</x:v>
      </x:c>
      <x:c r="AD862" s="37" t="n">
        <x:v>0</x:v>
      </x:c>
      <x:c r="AE862" s="37" t="n">
        <x:v>0</x:v>
      </x:c>
      <x:c r="AF862" s="47" t="b">
        <x:v>0</x:v>
      </x:c>
      <x:c r="AG862" s="47" t="b">
        <x:v>0</x:v>
      </x:c>
      <x:c r="AH862" s="48" t="n">
        <x:v>0</x:v>
      </x:c>
      <x:c r="AI862" s="48" t="n">
        <x:v>1.1920928955078125e-7</x:v>
      </x:c>
      <x:c r="AJ862" s="37" t="str">
        <x:v>passed</x:v>
      </x:c>
    </x:row>
    <x:row r="863" ht="21" customHeight="1">
      <x:c r="A863" s="2"/>
      <x:c r="B863" s="2"/>
      <x:c r="C863" s="2" t="str">
        <x:v>2022</x:v>
      </x:c>
      <x:c r="D863" s="5" t="n">
        <x:v>44874</x:v>
      </x:c>
      <x:c r="E863" s="2" t="str">
        <x:v>unhedged</x:v>
      </x:c>
      <x:c r="F863" s="37" t="n">
        <x:v>1347881.1367524758</x:v>
      </x:c>
      <x:c r="G863" s="37" t="n">
        <x:v>10151925.204804508</x:v>
      </x:c>
      <x:c r="H863" s="37" t="n">
        <x:v>18832.422531828008</x:v>
      </x:c>
      <x:c r="I863" s="37" t="n">
        <x:v>10133092.78227268</x:v>
      </x:c>
      <x:c r="J863" s="37" t="n">
        <x:v>10151925.204804508</x:v>
      </x:c>
      <x:c r="K863" s="37" t="n">
        <x:v>0</x:v>
      </x:c>
      <x:c r="L863" s="37" t="n">
        <x:v>11499806.341556983</x:v>
      </x:c>
      <x:c r="M863" s="37" t="n">
        <x:v>0</x:v>
      </x:c>
      <x:c r="N863" s="37" t="n">
        <x:v>0</x:v>
      </x:c>
      <x:c r="O863" s="37" t="n">
        <x:v>73.85245393402874</x:v>
      </x:c>
      <x:c r="P863" s="37" t="n">
        <x:v>0</x:v>
      </x:c>
      <x:c r="Q863" s="37" t="n">
        <x:v>0</x:v>
      </x:c>
      <x:c r="R863" s="37" t="n">
        <x:v>0</x:v>
      </x:c>
      <x:c r="S863" s="37" t="n">
        <x:v>0</x:v>
      </x:c>
      <x:c r="T863" s="37" t="n">
        <x:v>0</x:v>
      </x:c>
      <x:c r="U863" s="37" t="n">
        <x:v>127500</x:v>
      </x:c>
      <x:c r="V863" s="37" t="n">
        <x:v>0</x:v>
      </x:c>
      <x:c r="W863" s="37" t="n">
        <x:v>21555.85606920137</x:v>
      </x:c>
      <x:c r="X863" s="37" t="n">
        <x:v>0</x:v>
      </x:c>
      <x:c r="Y863" s="37" t="n">
        <x:v>1174.7193167256753</x:v>
      </x:c>
      <x:c r="Z863" s="37" t="n">
        <x:v>0</x:v>
      </x:c>
      <x:c r="AA863" s="37" t="n">
        <x:v>0</x:v>
      </x:c>
      <x:c r="AB863" s="37" t="n">
        <x:v>0</x:v>
      </x:c>
      <x:c r="AC863" s="37" t="n">
        <x:v>1347881.1367524758</x:v>
      </x:c>
      <x:c r="AD863" s="37" t="n">
        <x:v>0</x:v>
      </x:c>
      <x:c r="AE863" s="37" t="n">
        <x:v>0</x:v>
      </x:c>
      <x:c r="AF863" s="47" t="b">
        <x:v>0</x:v>
      </x:c>
      <x:c r="AG863" s="47" t="b">
        <x:v>0</x:v>
      </x:c>
      <x:c r="AH863" s="48" t="n">
        <x:v>0</x:v>
      </x:c>
      <x:c r="AI863" s="48" t="n">
        <x:v>1.1920928955078125e-7</x:v>
      </x:c>
      <x:c r="AJ863" s="37" t="str">
        <x:v>passed</x:v>
      </x:c>
    </x:row>
    <x:row r="864" ht="21" customHeight="1">
      <x:c r="A864" s="2"/>
      <x:c r="B864" s="2"/>
      <x:c r="C864" s="2" t="str">
        <x:v>2022</x:v>
      </x:c>
      <x:c r="D864" s="5" t="n">
        <x:v>44874</x:v>
      </x:c>
      <x:c r="E864" s="2" t="str">
        <x:v>duration</x:v>
      </x:c>
      <x:c r="F864" s="37" t="n">
        <x:v>9407583.16236291</x:v>
      </x:c>
      <x:c r="G864" s="37" t="n">
        <x:v>3652940.3780827415</x:v>
      </x:c>
      <x:c r="H864" s="37" t="n">
        <x:v>-35780.182742673256</x:v>
      </x:c>
      <x:c r="I864" s="37" t="n">
        <x:v>3688720.560825415</x:v>
      </x:c>
      <x:c r="J864" s="37" t="n">
        <x:v>10151925.204804508</x:v>
      </x:c>
      <x:c r="K864" s="37" t="n">
        <x:v>6498984.826721766</x:v>
      </x:c>
      <x:c r="L864" s="37" t="n">
        <x:v>13060523.540445652</x:v>
      </x:c>
      <x:c r="M864" s="37" t="n">
        <x:v>0</x:v>
      </x:c>
      <x:c r="N864" s="37" t="n">
        <x:v>0</x:v>
      </x:c>
      <x:c r="O864" s="37" t="n">
        <x:v>515.4557647462934</x:v>
      </x:c>
      <x:c r="P864" s="37" t="n">
        <x:v>0</x:v>
      </x:c>
      <x:c r="Q864" s="37" t="n">
        <x:v>0</x:v>
      </x:c>
      <x:c r="R864" s="37" t="n">
        <x:v>0</x:v>
      </x:c>
      <x:c r="S864" s="37" t="n">
        <x:v>0</x:v>
      </x:c>
      <x:c r="T864" s="37" t="n">
        <x:v>0</x:v>
      </x:c>
      <x:c r="U864" s="37" t="n">
        <x:v>70395.09825237111</x:v>
      </x:c>
      <x:c r="V864" s="37" t="n">
        <x:v>0</x:v>
      </x:c>
      <x:c r="W864" s="37" t="n">
        <x:v>158228.74292630889</x:v>
      </x:c>
      <x:c r="X864" s="37" t="n">
        <x:v>0</x:v>
      </x:c>
      <x:c r="Y864" s="37" t="n">
        <x:v>2009.596223258864</x:v>
      </x:c>
      <x:c r="Z864" s="37" t="n">
        <x:v>6628964.523256201</x:v>
      </x:c>
      <x:c r="AA864" s="37" t="n">
        <x:v>0</x:v>
      </x:c>
      <x:c r="AB864" s="37" t="n">
        <x:v>6628964.523256201</x:v>
      </x:c>
      <x:c r="AC864" s="37" t="n">
        <x:v>2778618.6391067095</x:v>
      </x:c>
      <x:c r="AD864" s="37" t="n">
        <x:v>0</x:v>
      </x:c>
      <x:c r="AE864" s="37" t="n">
        <x:v>0</x:v>
      </x:c>
      <x:c r="AF864" s="47" t="b">
        <x:v>0</x:v>
      </x:c>
      <x:c r="AG864" s="47" t="b">
        <x:v>0</x:v>
      </x:c>
      <x:c r="AH864" s="48" t="n">
        <x:v>0</x:v>
      </x:c>
      <x:c r="AI864" s="48" t="n">
        <x:v>1.1920928955078125e-7</x:v>
      </x:c>
      <x:c r="AJ864" s="37" t="str">
        <x:v>passed</x:v>
      </x:c>
    </x:row>
    <x:row r="865" ht="21" customHeight="1">
      <x:c r="A865" s="2"/>
      <x:c r="B865" s="2"/>
      <x:c r="C865" s="2" t="str">
        <x:v>2022</x:v>
      </x:c>
      <x:c r="D865" s="5" t="n">
        <x:v>44874</x:v>
      </x:c>
      <x:c r="E865" s="2" t="str">
        <x:v>unweighted</x:v>
      </x:c>
      <x:c r="F865" s="37" t="n">
        <x:v>12684925.657669289</x:v>
      </x:c>
      <x:c r="G865" s="37" t="n">
        <x:v>385480.9051663637</x:v>
      </x:c>
      <x:c r="H865" s="37" t="n">
        <x:v>-43916.49108871343</x:v>
      </x:c>
      <x:c r="I865" s="37" t="n">
        <x:v>429397.3962550771</x:v>
      </x:c>
      <x:c r="J865" s="37" t="n">
        <x:v>10175194.635671174</x:v>
      </x:c>
      <x:c r="K865" s="37" t="n">
        <x:v>9789713.73050481</x:v>
      </x:c>
      <x:c r="L865" s="37" t="n">
        <x:v>13070406.562835652</x:v>
      </x:c>
      <x:c r="M865" s="37" t="n">
        <x:v>0</x:v>
      </x:c>
      <x:c r="N865" s="37" t="n">
        <x:v>0</x:v>
      </x:c>
      <x:c r="O865" s="37" t="n">
        <x:v>695.0263359639794</x:v>
      </x:c>
      <x:c r="P865" s="37" t="n">
        <x:v>0</x:v>
      </x:c>
      <x:c r="Q865" s="37" t="n">
        <x:v>0</x:v>
      </x:c>
      <x:c r="R865" s="37" t="n">
        <x:v>0</x:v>
      </x:c>
      <x:c r="S865" s="37" t="n">
        <x:v>0</x:v>
      </x:c>
      <x:c r="T865" s="37" t="n">
        <x:v>0</x:v>
      </x:c>
      <x:c r="U865" s="37" t="n">
        <x:v>61881.30899120559</x:v>
      </x:c>
      <x:c r="V865" s="37" t="n">
        <x:v>0</x:v>
      </x:c>
      <x:c r="W865" s="37" t="n">
        <x:v>208410.80114119872</x:v>
      </x:c>
      <x:c r="X865" s="37" t="n">
        <x:v>0</x:v>
      </x:c>
      <x:c r="Y865" s="37" t="n">
        <x:v>2306.4102741803476</x:v>
      </x:c>
      <x:c r="Z865" s="37" t="n">
        <x:v>9985508.005114907</x:v>
      </x:c>
      <x:c r="AA865" s="37" t="n">
        <x:v>0</x:v>
      </x:c>
      <x:c r="AB865" s="37" t="n">
        <x:v>9985508.005114907</x:v>
      </x:c>
      <x:c r="AC865" s="37" t="n">
        <x:v>2699417.6525543816</x:v>
      </x:c>
      <x:c r="AD865" s="37" t="n">
        <x:v>0</x:v>
      </x:c>
      <x:c r="AE865" s="37" t="n">
        <x:v>0</x:v>
      </x:c>
      <x:c r="AF865" s="47" t="b">
        <x:v>0</x:v>
      </x:c>
      <x:c r="AG865" s="47" t="b">
        <x:v>0</x:v>
      </x:c>
      <x:c r="AH865" s="48" t="n">
        <x:v>0</x:v>
      </x:c>
      <x:c r="AI865" s="48" t="n">
        <x:v>1.1920928955078125e-7</x:v>
      </x:c>
      <x:c r="AJ865" s="37" t="str">
        <x:v>passed</x:v>
      </x:c>
    </x:row>
    <x:row r="866" ht="21" customHeight="1">
      <x:c r="A866" s="2"/>
      <x:c r="B866" s="2"/>
      <x:c r="C866" s="2" t="str">
        <x:v>2022</x:v>
      </x:c>
      <x:c r="D866" s="5" t="n">
        <x:v>44874</x:v>
      </x:c>
      <x:c r="E866" s="2" t="str">
        <x:v>constrained</x:v>
      </x:c>
      <x:c r="F866" s="37" t="n">
        <x:v>13213703.1523772</x:v>
      </x:c>
      <x:c r="G866" s="37" t="n">
        <x:v>-42516.58793474024</x:v>
      </x:c>
      <x:c r="H866" s="37" t="n">
        <x:v>-46658.775423825704</x:v>
      </x:c>
      <x:c r="I866" s="37" t="n">
        <x:v>4142.187489085467</x:v>
      </x:c>
      <x:c r="J866" s="37" t="n">
        <x:v>10187895.061317202</x:v>
      </x:c>
      <x:c r="K866" s="37" t="n">
        <x:v>10230411.649251942</x:v>
      </x:c>
      <x:c r="L866" s="37" t="n">
        <x:v>13171186.56444246</x:v>
      </x:c>
      <x:c r="M866" s="37" t="n">
        <x:v>0</x:v>
      </x:c>
      <x:c r="N866" s="37" t="n">
        <x:v>0</x:v>
      </x:c>
      <x:c r="O866" s="37" t="n">
        <x:v>723.998857729137</x:v>
      </x:c>
      <x:c r="P866" s="37" t="n">
        <x:v>0</x:v>
      </x:c>
      <x:c r="Q866" s="37" t="n">
        <x:v>0</x:v>
      </x:c>
      <x:c r="R866" s="37" t="n">
        <x:v>0</x:v>
      </x:c>
      <x:c r="S866" s="37" t="n">
        <x:v>0</x:v>
      </x:c>
      <x:c r="T866" s="37" t="n">
        <x:v>0</x:v>
      </x:c>
      <x:c r="U866" s="37" t="n">
        <x:v>57020.55116020547</x:v>
      </x:c>
      <x:c r="V866" s="37" t="n">
        <x:v>0</x:v>
      </x:c>
      <x:c r="W866" s="37" t="n">
        <x:v>222887.17810566165</x:v>
      </x:c>
      <x:c r="X866" s="37" t="n">
        <x:v>0</x:v>
      </x:c>
      <x:c r="Y866" s="37" t="n">
        <x:v>2404.245957223995</x:v>
      </x:c>
      <x:c r="Z866" s="37" t="n">
        <x:v>10435019.88223698</x:v>
      </x:c>
      <x:c r="AA866" s="37" t="n">
        <x:v>0</x:v>
      </x:c>
      <x:c r="AB866" s="37" t="n">
        <x:v>10435019.88223698</x:v>
      </x:c>
      <x:c r="AC866" s="37" t="n">
        <x:v>2778683.2701402195</x:v>
      </x:c>
      <x:c r="AD866" s="37" t="n">
        <x:v>0</x:v>
      </x:c>
      <x:c r="AE866" s="37" t="n">
        <x:v>0</x:v>
      </x:c>
      <x:c r="AF866" s="47" t="b">
        <x:v>0</x:v>
      </x:c>
      <x:c r="AG866" s="47" t="b">
        <x:v>0</x:v>
      </x:c>
      <x:c r="AH866" s="48" t="n">
        <x:v>0</x:v>
      </x:c>
      <x:c r="AI866" s="48" t="n">
        <x:v>1.1920928955078125e-7</x:v>
      </x:c>
      <x:c r="AJ866" s="37" t="str">
        <x:v>passed</x:v>
      </x:c>
    </x:row>
    <x:row r="867" ht="21" customHeight="1">
      <x:c r="A867" s="2"/>
      <x:c r="B867" s="2"/>
      <x:c r="C867" s="2" t="str">
        <x:v>2022</x:v>
      </x:c>
      <x:c r="D867" s="5" t="n">
        <x:v>44875</x:v>
      </x:c>
      <x:c r="E867" s="2" t="str">
        <x:v>unhedged</x:v>
      </x:c>
      <x:c r="F867" s="37" t="n">
        <x:v>1347954.99325312</x:v>
      </x:c>
      <x:c r="G867" s="37" t="n">
        <x:v>10335249.355712317</x:v>
      </x:c>
      <x:c r="H867" s="37" t="n">
        <x:v>19181.25450396349</x:v>
      </x:c>
      <x:c r="I867" s="37" t="n">
        <x:v>10316068.101208353</x:v>
      </x:c>
      <x:c r="J867" s="37" t="n">
        <x:v>10335249.355712317</x:v>
      </x:c>
      <x:c r="K867" s="37" t="n">
        <x:v>0</x:v>
      </x:c>
      <x:c r="L867" s="37" t="n">
        <x:v>11683204.348965436</x:v>
      </x:c>
      <x:c r="M867" s="37" t="n">
        <x:v>0</x:v>
      </x:c>
      <x:c r="N867" s="37" t="n">
        <x:v>0</x:v>
      </x:c>
      <x:c r="O867" s="37" t="n">
        <x:v>73.8565006442368</x:v>
      </x:c>
      <x:c r="P867" s="37" t="n">
        <x:v>0</x:v>
      </x:c>
      <x:c r="Q867" s="37" t="n">
        <x:v>0</x:v>
      </x:c>
      <x:c r="R867" s="37" t="n">
        <x:v>0</x:v>
      </x:c>
      <x:c r="S867" s="37" t="n">
        <x:v>0</x:v>
      </x:c>
      <x:c r="T867" s="37" t="n">
        <x:v>0</x:v>
      </x:c>
      <x:c r="U867" s="37" t="n">
        <x:v>127500</x:v>
      </x:c>
      <x:c r="V867" s="37" t="n">
        <x:v>0</x:v>
      </x:c>
      <x:c r="W867" s="37" t="n">
        <x:v>21629.712569845608</x:v>
      </x:c>
      <x:c r="X867" s="37" t="n">
        <x:v>0</x:v>
      </x:c>
      <x:c r="Y867" s="37" t="n">
        <x:v>1174.7193167256753</x:v>
      </x:c>
      <x:c r="Z867" s="37" t="n">
        <x:v>0</x:v>
      </x:c>
      <x:c r="AA867" s="37" t="n">
        <x:v>0</x:v>
      </x:c>
      <x:c r="AB867" s="37" t="n">
        <x:v>0</x:v>
      </x:c>
      <x:c r="AC867" s="37" t="n">
        <x:v>1347954.99325312</x:v>
      </x:c>
      <x:c r="AD867" s="37" t="n">
        <x:v>0</x:v>
      </x:c>
      <x:c r="AE867" s="37" t="n">
        <x:v>0</x:v>
      </x:c>
      <x:c r="AF867" s="47" t="b">
        <x:v>0</x:v>
      </x:c>
      <x:c r="AG867" s="47" t="b">
        <x:v>0</x:v>
      </x:c>
      <x:c r="AH867" s="48" t="n">
        <x:v>0</x:v>
      </x:c>
      <x:c r="AI867" s="48" t="n">
        <x:v>1.1920928955078125e-7</x:v>
      </x:c>
      <x:c r="AJ867" s="37" t="str">
        <x:v>passed</x:v>
      </x:c>
    </x:row>
    <x:row r="868" ht="21" customHeight="1">
      <x:c r="A868" s="2"/>
      <x:c r="B868" s="2"/>
      <x:c r="C868" s="2" t="str">
        <x:v>2022</x:v>
      </x:c>
      <x:c r="D868" s="5" t="n">
        <x:v>44875</x:v>
      </x:c>
      <x:c r="E868" s="2" t="str">
        <x:v>duration</x:v>
      </x:c>
      <x:c r="F868" s="37" t="n">
        <x:v>9408098.646371806</x:v>
      </x:c>
      <x:c r="G868" s="37" t="n">
        <x:v>3640787.616773718</x:v>
      </x:c>
      <x:c r="H868" s="37" t="n">
        <x:v>-35738.16315972035</x:v>
      </x:c>
      <x:c r="I868" s="37" t="n">
        <x:v>3676525.779933438</x:v>
      </x:c>
      <x:c r="J868" s="37" t="n">
        <x:v>10335249.355712317</x:v>
      </x:c>
      <x:c r="K868" s="37" t="n">
        <x:v>6694461.738938599</x:v>
      </x:c>
      <x:c r="L868" s="37" t="n">
        <x:v>13048886.263145525</x:v>
      </x:c>
      <x:c r="M868" s="37" t="n">
        <x:v>0</x:v>
      </x:c>
      <x:c r="N868" s="37" t="n">
        <x:v>0</x:v>
      </x:c>
      <x:c r="O868" s="37" t="n">
        <x:v>515.4840088952333</x:v>
      </x:c>
      <x:c r="P868" s="37" t="n">
        <x:v>0</x:v>
      </x:c>
      <x:c r="Q868" s="37" t="n">
        <x:v>0</x:v>
      </x:c>
      <x:c r="R868" s="37" t="n">
        <x:v>0</x:v>
      </x:c>
      <x:c r="S868" s="37" t="n">
        <x:v>0</x:v>
      </x:c>
      <x:c r="T868" s="37" t="n">
        <x:v>0</x:v>
      </x:c>
      <x:c r="U868" s="37" t="n">
        <x:v>70395.09825237111</x:v>
      </x:c>
      <x:c r="V868" s="37" t="n">
        <x:v>0</x:v>
      </x:c>
      <x:c r="W868" s="37" t="n">
        <x:v>158744.22693520412</x:v>
      </x:c>
      <x:c r="X868" s="37" t="n">
        <x:v>0</x:v>
      </x:c>
      <x:c r="Y868" s="37" t="n">
        <x:v>2009.596223258864</x:v>
      </x:c>
      <x:c r="Z868" s="37" t="n">
        <x:v>6828350.973717371</x:v>
      </x:c>
      <x:c r="AA868" s="37" t="n">
        <x:v>0</x:v>
      </x:c>
      <x:c r="AB868" s="37" t="n">
        <x:v>6828350.973717371</x:v>
      </x:c>
      <x:c r="AC868" s="37" t="n">
        <x:v>2579747.672654435</x:v>
      </x:c>
      <x:c r="AD868" s="37" t="n">
        <x:v>0</x:v>
      </x:c>
      <x:c r="AE868" s="37" t="n">
        <x:v>0</x:v>
      </x:c>
      <x:c r="AF868" s="47" t="b">
        <x:v>0</x:v>
      </x:c>
      <x:c r="AG868" s="47" t="b">
        <x:v>0</x:v>
      </x:c>
      <x:c r="AH868" s="48" t="n">
        <x:v>0</x:v>
      </x:c>
      <x:c r="AI868" s="48" t="n">
        <x:v>1.1920928955078125e-7</x:v>
      </x:c>
      <x:c r="AJ868" s="37" t="str">
        <x:v>passed</x:v>
      </x:c>
    </x:row>
    <x:row r="869" ht="21" customHeight="1">
      <x:c r="A869" s="2"/>
      <x:c r="B869" s="2"/>
      <x:c r="C869" s="2" t="str">
        <x:v>2022</x:v>
      </x:c>
      <x:c r="D869" s="5" t="n">
        <x:v>44875</x:v>
      </x:c>
      <x:c r="E869" s="2" t="str">
        <x:v>unweighted</x:v>
      </x:c>
      <x:c r="F869" s="37" t="n">
        <x:v>12685620.722088886</x:v>
      </x:c>
      <x:c r="G869" s="37" t="n">
        <x:v>391566.13097823656</x:v>
      </x:c>
      <x:c r="H869" s="37" t="n">
        <x:v>-43934.59220604659</x:v>
      </x:c>
      <x:c r="I869" s="37" t="n">
        <x:v>435500.7231842831</x:v>
      </x:c>
      <x:c r="J869" s="37" t="n">
        <x:v>10359442.638216743</x:v>
      </x:c>
      <x:c r="K869" s="37" t="n">
        <x:v>9967876.507238507</x:v>
      </x:c>
      <x:c r="L869" s="37" t="n">
        <x:v>13077186.853067122</x:v>
      </x:c>
      <x:c r="M869" s="37" t="n">
        <x:v>0</x:v>
      </x:c>
      <x:c r="N869" s="37" t="n">
        <x:v>0</x:v>
      </x:c>
      <x:c r="O869" s="37" t="n">
        <x:v>695.0644195973873</x:v>
      </x:c>
      <x:c r="P869" s="37" t="n">
        <x:v>0</x:v>
      </x:c>
      <x:c r="Q869" s="37" t="n">
        <x:v>0</x:v>
      </x:c>
      <x:c r="R869" s="37" t="n">
        <x:v>0</x:v>
      </x:c>
      <x:c r="S869" s="37" t="n">
        <x:v>0</x:v>
      </x:c>
      <x:c r="T869" s="37" t="n">
        <x:v>0</x:v>
      </x:c>
      <x:c r="U869" s="37" t="n">
        <x:v>61881.30899120559</x:v>
      </x:c>
      <x:c r="V869" s="37" t="n">
        <x:v>0</x:v>
      </x:c>
      <x:c r="W869" s="37" t="n">
        <x:v>209105.8655607961</x:v>
      </x:c>
      <x:c r="X869" s="37" t="n">
        <x:v>0</x:v>
      </x:c>
      <x:c r="Y869" s="37" t="n">
        <x:v>2306.4102741803476</x:v>
      </x:c>
      <x:c r="Z869" s="37" t="n">
        <x:v>10167234.037383277</x:v>
      </x:c>
      <x:c r="AA869" s="37" t="n">
        <x:v>0</x:v>
      </x:c>
      <x:c r="AB869" s="37" t="n">
        <x:v>10167234.037383277</x:v>
      </x:c>
      <x:c r="AC869" s="37" t="n">
        <x:v>2518386.6847056095</x:v>
      </x:c>
      <x:c r="AD869" s="37" t="n">
        <x:v>0</x:v>
      </x:c>
      <x:c r="AE869" s="37" t="n">
        <x:v>0</x:v>
      </x:c>
      <x:c r="AF869" s="47" t="b">
        <x:v>0</x:v>
      </x:c>
      <x:c r="AG869" s="47" t="b">
        <x:v>0</x:v>
      </x:c>
      <x:c r="AH869" s="48" t="n">
        <x:v>0</x:v>
      </x:c>
      <x:c r="AI869" s="48" t="n">
        <x:v>1.1920928955078125e-7</x:v>
      </x:c>
      <x:c r="AJ869" s="37" t="str">
        <x:v>passed</x:v>
      </x:c>
    </x:row>
    <x:row r="870" ht="21" customHeight="1">
      <x:c r="A870" s="2"/>
      <x:c r="B870" s="2"/>
      <x:c r="C870" s="2" t="str">
        <x:v>2022</x:v>
      </x:c>
      <x:c r="D870" s="5" t="n">
        <x:v>44875</x:v>
      </x:c>
      <x:c r="E870" s="2" t="str">
        <x:v>constrained</x:v>
      </x:c>
      <x:c r="F870" s="37" t="n">
        <x:v>13214427.190906094</x:v>
      </x:c>
      <x:c r="G870" s="37" t="n">
        <x:v>-43113.07946421392</x:v>
      </x:c>
      <x:c r="H870" s="37" t="n">
        <x:v>-46693.307478637485</x:v>
      </x:c>
      <x:c r="I870" s="37" t="n">
        <x:v>3580.228014423563</x:v>
      </x:c>
      <x:c r="J870" s="37" t="n">
        <x:v>10372637.145399276</x:v>
      </x:c>
      <x:c r="K870" s="37" t="n">
        <x:v>10415750.22486349</x:v>
      </x:c>
      <x:c r="L870" s="37" t="n">
        <x:v>13171314.11144188</x:v>
      </x:c>
      <x:c r="M870" s="37" t="n">
        <x:v>0</x:v>
      </x:c>
      <x:c r="N870" s="37" t="n">
        <x:v>0</x:v>
      </x:c>
      <x:c r="O870" s="37" t="n">
        <x:v>724.0385288950056</x:v>
      </x:c>
      <x:c r="P870" s="37" t="n">
        <x:v>0</x:v>
      </x:c>
      <x:c r="Q870" s="37" t="n">
        <x:v>0</x:v>
      </x:c>
      <x:c r="R870" s="37" t="n">
        <x:v>0</x:v>
      </x:c>
      <x:c r="S870" s="37" t="n">
        <x:v>0</x:v>
      </x:c>
      <x:c r="T870" s="37" t="n">
        <x:v>0</x:v>
      </x:c>
      <x:c r="U870" s="37" t="n">
        <x:v>57020.55116020547</x:v>
      </x:c>
      <x:c r="V870" s="37" t="n">
        <x:v>0</x:v>
      </x:c>
      <x:c r="W870" s="37" t="n">
        <x:v>223611.21663455665</x:v>
      </x:c>
      <x:c r="X870" s="37" t="n">
        <x:v>0</x:v>
      </x:c>
      <x:c r="Y870" s="37" t="n">
        <x:v>2404.245957223995</x:v>
      </x:c>
      <x:c r="Z870" s="37" t="n">
        <x:v>10624065.22936076</x:v>
      </x:c>
      <x:c r="AA870" s="37" t="n">
        <x:v>0</x:v>
      </x:c>
      <x:c r="AB870" s="37" t="n">
        <x:v>10624065.22936076</x:v>
      </x:c>
      <x:c r="AC870" s="37" t="n">
        <x:v>2590361.961545335</x:v>
      </x:c>
      <x:c r="AD870" s="37" t="n">
        <x:v>0</x:v>
      </x:c>
      <x:c r="AE870" s="37" t="n">
        <x:v>0</x:v>
      </x:c>
      <x:c r="AF870" s="47" t="b">
        <x:v>0</x:v>
      </x:c>
      <x:c r="AG870" s="47" t="b">
        <x:v>0</x:v>
      </x:c>
      <x:c r="AH870" s="48" t="n">
        <x:v>0</x:v>
      </x:c>
      <x:c r="AI870" s="48" t="n">
        <x:v>1.1920928955078125e-7</x:v>
      </x:c>
      <x:c r="AJ870" s="37" t="str">
        <x:v>passed</x:v>
      </x:c>
    </x:row>
    <x:row r="871" ht="21" customHeight="1">
      <x:c r="A871" s="2"/>
      <x:c r="B871" s="2"/>
      <x:c r="C871" s="2" t="str">
        <x:v>2022</x:v>
      </x:c>
      <x:c r="D871" s="5" t="n">
        <x:v>44879</x:v>
      </x:c>
      <x:c r="E871" s="2" t="str">
        <x:v>unhedged</x:v>
      </x:c>
      <x:c r="F871" s="37" t="n">
        <x:v>1348250.4597272293</x:v>
      </x:c>
      <x:c r="G871" s="37" t="n">
        <x:v>10311189.844623195</x:v>
      </x:c>
      <x:c r="H871" s="37" t="n">
        <x:v>20576.582392505406</x:v>
      </x:c>
      <x:c r="I871" s="37" t="n">
        <x:v>10290613.262230689</x:v>
      </x:c>
      <x:c r="J871" s="37" t="n">
        <x:v>10311189.844623195</x:v>
      </x:c>
      <x:c r="K871" s="37" t="n">
        <x:v>0</x:v>
      </x:c>
      <x:c r="L871" s="37" t="n">
        <x:v>11659440.304350425</x:v>
      </x:c>
      <x:c r="M871" s="37" t="n">
        <x:v>0</x:v>
      </x:c>
      <x:c r="N871" s="37" t="n">
        <x:v>0</x:v>
      </x:c>
      <x:c r="O871" s="37" t="n">
        <x:v>295.4664741093293</x:v>
      </x:c>
      <x:c r="P871" s="37" t="n">
        <x:v>0</x:v>
      </x:c>
      <x:c r="Q871" s="37" t="n">
        <x:v>0</x:v>
      </x:c>
      <x:c r="R871" s="37" t="n">
        <x:v>0</x:v>
      </x:c>
      <x:c r="S871" s="37" t="n">
        <x:v>0</x:v>
      </x:c>
      <x:c r="T871" s="37" t="n">
        <x:v>0</x:v>
      </x:c>
      <x:c r="U871" s="37" t="n">
        <x:v>127500</x:v>
      </x:c>
      <x:c r="V871" s="37" t="n">
        <x:v>0</x:v>
      </x:c>
      <x:c r="W871" s="37" t="n">
        <x:v>21925.179043954937</x:v>
      </x:c>
      <x:c r="X871" s="37" t="n">
        <x:v>0</x:v>
      </x:c>
      <x:c r="Y871" s="37" t="n">
        <x:v>1174.7193167256753</x:v>
      </x:c>
      <x:c r="Z871" s="37" t="n">
        <x:v>0</x:v>
      </x:c>
      <x:c r="AA871" s="37" t="n">
        <x:v>0</x:v>
      </x:c>
      <x:c r="AB871" s="37" t="n">
        <x:v>0</x:v>
      </x:c>
      <x:c r="AC871" s="37" t="n">
        <x:v>1348250.4597272293</x:v>
      </x:c>
      <x:c r="AD871" s="37" t="n">
        <x:v>0</x:v>
      </x:c>
      <x:c r="AE871" s="37" t="n">
        <x:v>0</x:v>
      </x:c>
      <x:c r="AF871" s="47" t="b">
        <x:v>0</x:v>
      </x:c>
      <x:c r="AG871" s="47" t="b">
        <x:v>0</x:v>
      </x:c>
      <x:c r="AH871" s="48" t="n">
        <x:v>0</x:v>
      </x:c>
      <x:c r="AI871" s="48" t="n">
        <x:v>1.1920928955078125e-7</x:v>
      </x:c>
      <x:c r="AJ871" s="37" t="str">
        <x:v>passed</x:v>
      </x:c>
    </x:row>
    <x:row r="872" ht="21" customHeight="1">
      <x:c r="A872" s="2"/>
      <x:c r="B872" s="2"/>
      <x:c r="C872" s="2" t="str">
        <x:v>2022</x:v>
      </x:c>
      <x:c r="D872" s="5" t="n">
        <x:v>44879</x:v>
      </x:c>
      <x:c r="E872" s="2" t="str">
        <x:v>duration</x:v>
      </x:c>
      <x:c r="F872" s="37" t="n">
        <x:v>9410160.864879865</x:v>
      </x:c>
      <x:c r="G872" s="37" t="n">
        <x:v>3639375.5103868768</x:v>
      </x:c>
      <x:c r="H872" s="37" t="n">
        <x:v>-35570.08482790881</x:v>
      </x:c>
      <x:c r="I872" s="37" t="n">
        <x:v>3674945.5952147855</x:v>
      </x:c>
      <x:c r="J872" s="37" t="n">
        <x:v>10311189.844623195</x:v>
      </x:c>
      <x:c r="K872" s="37" t="n">
        <x:v>6671814.334236318</x:v>
      </x:c>
      <x:c r="L872" s="37" t="n">
        <x:v>13049536.375266742</x:v>
      </x:c>
      <x:c r="M872" s="37" t="n">
        <x:v>0</x:v>
      </x:c>
      <x:c r="N872" s="37" t="n">
        <x:v>0</x:v>
      </x:c>
      <x:c r="O872" s="37" t="n">
        <x:v>2062.218508059159</x:v>
      </x:c>
      <x:c r="P872" s="37" t="n">
        <x:v>0</x:v>
      </x:c>
      <x:c r="Q872" s="37" t="n">
        <x:v>0</x:v>
      </x:c>
      <x:c r="R872" s="37" t="n">
        <x:v>0</x:v>
      </x:c>
      <x:c r="S872" s="37" t="n">
        <x:v>0</x:v>
      </x:c>
      <x:c r="T872" s="37" t="n">
        <x:v>0</x:v>
      </x:c>
      <x:c r="U872" s="37" t="n">
        <x:v>70395.09825237111</x:v>
      </x:c>
      <x:c r="V872" s="37" t="n">
        <x:v>0</x:v>
      </x:c>
      <x:c r="W872" s="37" t="n">
        <x:v>160806.44544326328</x:v>
      </x:c>
      <x:c r="X872" s="37" t="n">
        <x:v>0</x:v>
      </x:c>
      <x:c r="Y872" s="37" t="n">
        <x:v>2009.596223258864</x:v>
      </x:c>
      <x:c r="Z872" s="37" t="n">
        <x:v>6805250.620921045</x:v>
      </x:c>
      <x:c r="AA872" s="37" t="n">
        <x:v>0</x:v>
      </x:c>
      <x:c r="AB872" s="37" t="n">
        <x:v>6805250.620921045</x:v>
      </x:c>
      <x:c r="AC872" s="37" t="n">
        <x:v>2604910.2439588206</x:v>
      </x:c>
      <x:c r="AD872" s="37" t="n">
        <x:v>0</x:v>
      </x:c>
      <x:c r="AE872" s="37" t="n">
        <x:v>0</x:v>
      </x:c>
      <x:c r="AF872" s="47" t="b">
        <x:v>0</x:v>
      </x:c>
      <x:c r="AG872" s="47" t="b">
        <x:v>0</x:v>
      </x:c>
      <x:c r="AH872" s="48" t="n">
        <x:v>0</x:v>
      </x:c>
      <x:c r="AI872" s="48" t="n">
        <x:v>1.1920928955078125e-7</x:v>
      </x:c>
      <x:c r="AJ872" s="37" t="str">
        <x:v>passed</x:v>
      </x:c>
    </x:row>
    <x:row r="873" ht="21" customHeight="1">
      <x:c r="A873" s="2"/>
      <x:c r="B873" s="2"/>
      <x:c r="C873" s="2" t="str">
        <x:v>2022</x:v>
      </x:c>
      <x:c r="D873" s="5" t="n">
        <x:v>44879</x:v>
      </x:c>
      <x:c r="E873" s="2" t="str">
        <x:v>unweighted</x:v>
      </x:c>
      <x:c r="F873" s="37" t="n">
        <x:v>12688401.36064537</x:v>
      </x:c>
      <x:c r="G873" s="37" t="n">
        <x:v>390545.5358434765</x:v>
      </x:c>
      <x:c r="H873" s="37" t="n">
        <x:v>-44006.99667537923</x:v>
      </x:c>
      <x:c r="I873" s="37" t="n">
        <x:v>434552.5325188557</x:v>
      </x:c>
      <x:c r="J873" s="37" t="n">
        <x:v>10335267.069207696</x:v>
      </x:c>
      <x:c r="K873" s="37" t="n">
        <x:v>9944721.533364221</x:v>
      </x:c>
      <x:c r="L873" s="37" t="n">
        <x:v>13078946.896488847</x:v>
      </x:c>
      <x:c r="M873" s="37" t="n">
        <x:v>0</x:v>
      </x:c>
      <x:c r="N873" s="37" t="n">
        <x:v>0</x:v>
      </x:c>
      <x:c r="O873" s="37" t="n">
        <x:v>2780.638556484133</x:v>
      </x:c>
      <x:c r="P873" s="37" t="n">
        <x:v>0</x:v>
      </x:c>
      <x:c r="Q873" s="37" t="n">
        <x:v>0</x:v>
      </x:c>
      <x:c r="R873" s="37" t="n">
        <x:v>0</x:v>
      </x:c>
      <x:c r="S873" s="37" t="n">
        <x:v>0</x:v>
      </x:c>
      <x:c r="T873" s="37" t="n">
        <x:v>0</x:v>
      </x:c>
      <x:c r="U873" s="37" t="n">
        <x:v>61881.30899120559</x:v>
      </x:c>
      <x:c r="V873" s="37" t="n">
        <x:v>0</x:v>
      </x:c>
      <x:c r="W873" s="37" t="n">
        <x:v>211886.50411728024</x:v>
      </x:c>
      <x:c r="X873" s="37" t="n">
        <x:v>0</x:v>
      </x:c>
      <x:c r="Y873" s="37" t="n">
        <x:v>2306.4102741803476</x:v>
      </x:c>
      <x:c r="Z873" s="37" t="n">
        <x:v>10143615.964031506</x:v>
      </x:c>
      <x:c r="AA873" s="37" t="n">
        <x:v>0</x:v>
      </x:c>
      <x:c r="AB873" s="37" t="n">
        <x:v>10143615.964031506</x:v>
      </x:c>
      <x:c r="AC873" s="37" t="n">
        <x:v>2544785.396613864</x:v>
      </x:c>
      <x:c r="AD873" s="37" t="n">
        <x:v>0</x:v>
      </x:c>
      <x:c r="AE873" s="37" t="n">
        <x:v>0</x:v>
      </x:c>
      <x:c r="AF873" s="47" t="b">
        <x:v>0</x:v>
      </x:c>
      <x:c r="AG873" s="47" t="b">
        <x:v>0</x:v>
      </x:c>
      <x:c r="AH873" s="48" t="n">
        <x:v>0</x:v>
      </x:c>
      <x:c r="AI873" s="48" t="n">
        <x:v>1.1920928955078125e-7</x:v>
      </x:c>
      <x:c r="AJ873" s="37" t="str">
        <x:v>passed</x:v>
      </x:c>
    </x:row>
    <x:row r="874" ht="21" customHeight="1">
      <x:c r="A874" s="2"/>
      <x:c r="B874" s="2"/>
      <x:c r="C874" s="2" t="str">
        <x:v>2022</x:v>
      </x:c>
      <x:c r="D874" s="5" t="n">
        <x:v>44879</x:v>
      </x:c>
      <x:c r="E874" s="2" t="str">
        <x:v>constrained</x:v>
      </x:c>
      <x:c r="F874" s="37" t="n">
        <x:v>13217323.741776869</x:v>
      </x:c>
      <x:c r="G874" s="37" t="n">
        <x:v>-43144.98810693699</x:v>
      </x:c>
      <x:c r="H874" s="37" t="n">
        <x:v>-46831.43569788461</x:v>
      </x:c>
      <x:c r="I874" s="37" t="n">
        <x:v>3686.447590947624</x:v>
      </x:c>
      <x:c r="J874" s="37" t="n">
        <x:v>10348402.017820235</x:v>
      </x:c>
      <x:c r="K874" s="37" t="n">
        <x:v>10391547.005927172</x:v>
      </x:c>
      <x:c r="L874" s="37" t="n">
        <x:v>13174178.753669932</x:v>
      </x:c>
      <x:c r="M874" s="37" t="n">
        <x:v>0</x:v>
      </x:c>
      <x:c r="N874" s="37" t="n">
        <x:v>0</x:v>
      </x:c>
      <x:c r="O874" s="37" t="n">
        <x:v>2896.550870774314</x:v>
      </x:c>
      <x:c r="P874" s="37" t="n">
        <x:v>0</x:v>
      </x:c>
      <x:c r="Q874" s="37" t="n">
        <x:v>0</x:v>
      </x:c>
      <x:c r="R874" s="37" t="n">
        <x:v>0</x:v>
      </x:c>
      <x:c r="S874" s="37" t="n">
        <x:v>0</x:v>
      </x:c>
      <x:c r="T874" s="37" t="n">
        <x:v>0</x:v>
      </x:c>
      <x:c r="U874" s="37" t="n">
        <x:v>57020.55116020547</x:v>
      </x:c>
      <x:c r="V874" s="37" t="n">
        <x:v>0</x:v>
      </x:c>
      <x:c r="W874" s="37" t="n">
        <x:v>226507.76750533096</x:v>
      </x:c>
      <x:c r="X874" s="37" t="n">
        <x:v>0</x:v>
      </x:c>
      <x:c r="Y874" s="37" t="n">
        <x:v>2404.245957223995</x:v>
      </x:c>
      <x:c r="Z874" s="37" t="n">
        <x:v>10599377.946045715</x:v>
      </x:c>
      <x:c r="AA874" s="37" t="n">
        <x:v>0</x:v>
      </x:c>
      <x:c r="AB874" s="37" t="n">
        <x:v>10599377.946045715</x:v>
      </x:c>
      <x:c r="AC874" s="37" t="n">
        <x:v>2617945.7957311533</x:v>
      </x:c>
      <x:c r="AD874" s="37" t="n">
        <x:v>0</x:v>
      </x:c>
      <x:c r="AE874" s="37" t="n">
        <x:v>0</x:v>
      </x:c>
      <x:c r="AF874" s="47" t="b">
        <x:v>0</x:v>
      </x:c>
      <x:c r="AG874" s="47" t="b">
        <x:v>0</x:v>
      </x:c>
      <x:c r="AH874" s="48" t="n">
        <x:v>0</x:v>
      </x:c>
      <x:c r="AI874" s="48" t="n">
        <x:v>1.1920928955078125e-7</x:v>
      </x:c>
      <x:c r="AJ874" s="37" t="str">
        <x:v>passed</x:v>
      </x:c>
    </x:row>
    <x:row r="875" ht="21" customHeight="1">
      <x:c r="A875" s="2"/>
      <x:c r="B875" s="2"/>
      <x:c r="C875" s="2" t="str">
        <x:v>2022</x:v>
      </x:c>
      <x:c r="D875" s="5" t="n">
        <x:v>44880</x:v>
      </x:c>
      <x:c r="E875" s="2" t="str">
        <x:v>unhedged</x:v>
      </x:c>
      <x:c r="F875" s="37" t="n">
        <x:v>1348324.3364647487</x:v>
      </x:c>
      <x:c r="G875" s="37" t="n">
        <x:v>10353622.174928134</x:v>
      </x:c>
      <x:c r="H875" s="37" t="n">
        <x:v>20925.414364640885</x:v>
      </x:c>
      <x:c r="I875" s="37" t="n">
        <x:v>10332696.760563493</x:v>
      </x:c>
      <x:c r="J875" s="37" t="n">
        <x:v>10353622.174928134</x:v>
      </x:c>
      <x:c r="K875" s="37" t="n">
        <x:v>0</x:v>
      </x:c>
      <x:c r="L875" s="37" t="n">
        <x:v>11701946.511392884</x:v>
      </x:c>
      <x:c r="M875" s="37" t="n">
        <x:v>0</x:v>
      </x:c>
      <x:c r="N875" s="37" t="n">
        <x:v>0</x:v>
      </x:c>
      <x:c r="O875" s="37" t="n">
        <x:v>73.8767375194002</x:v>
      </x:c>
      <x:c r="P875" s="37" t="n">
        <x:v>0</x:v>
      </x:c>
      <x:c r="Q875" s="37" t="n">
        <x:v>0</x:v>
      </x:c>
      <x:c r="R875" s="37" t="n">
        <x:v>0</x:v>
      </x:c>
      <x:c r="S875" s="37" t="n">
        <x:v>0</x:v>
      </x:c>
      <x:c r="T875" s="37" t="n">
        <x:v>0</x:v>
      </x:c>
      <x:c r="U875" s="37" t="n">
        <x:v>127500</x:v>
      </x:c>
      <x:c r="V875" s="37" t="n">
        <x:v>0</x:v>
      </x:c>
      <x:c r="W875" s="37" t="n">
        <x:v>21999.055781474337</x:v>
      </x:c>
      <x:c r="X875" s="37" t="n">
        <x:v>0</x:v>
      </x:c>
      <x:c r="Y875" s="37" t="n">
        <x:v>1174.7193167256753</x:v>
      </x:c>
      <x:c r="Z875" s="37" t="n">
        <x:v>0</x:v>
      </x:c>
      <x:c r="AA875" s="37" t="n">
        <x:v>0</x:v>
      </x:c>
      <x:c r="AB875" s="37" t="n">
        <x:v>0</x:v>
      </x:c>
      <x:c r="AC875" s="37" t="n">
        <x:v>1348324.3364647487</x:v>
      </x:c>
      <x:c r="AD875" s="37" t="n">
        <x:v>0</x:v>
      </x:c>
      <x:c r="AE875" s="37" t="n">
        <x:v>0</x:v>
      </x:c>
      <x:c r="AF875" s="47" t="b">
        <x:v>0</x:v>
      </x:c>
      <x:c r="AG875" s="47" t="b">
        <x:v>0</x:v>
      </x:c>
      <x:c r="AH875" s="48" t="n">
        <x:v>0</x:v>
      </x:c>
      <x:c r="AI875" s="48" t="n">
        <x:v>1.1920928955078125e-7</x:v>
      </x:c>
      <x:c r="AJ875" s="37" t="str">
        <x:v>passed</x:v>
      </x:c>
    </x:row>
    <x:row r="876" ht="21" customHeight="1">
      <x:c r="A876" s="2"/>
      <x:c r="B876" s="2"/>
      <x:c r="C876" s="2" t="str">
        <x:v>2022</x:v>
      </x:c>
      <x:c r="D876" s="5" t="n">
        <x:v>44880</x:v>
      </x:c>
      <x:c r="E876" s="2" t="str">
        <x:v>duration</x:v>
      </x:c>
      <x:c r="F876" s="37" t="n">
        <x:v>9354223.010523139</x:v>
      </x:c>
      <x:c r="G876" s="37" t="n">
        <x:v>3694196.896222138</x:v>
      </x:c>
      <x:c r="H876" s="37" t="n">
        <x:v>20925.414364640885</x:v>
      </x:c>
      <x:c r="I876" s="37" t="n">
        <x:v>3673271.481857497</x:v>
      </x:c>
      <x:c r="J876" s="37" t="n">
        <x:v>10353622.174928134</x:v>
      </x:c>
      <x:c r="K876" s="37" t="n">
        <x:v>6659425.278705996</x:v>
      </x:c>
      <x:c r="L876" s="37" t="n">
        <x:v>13048419.906745277</x:v>
      </x:c>
      <x:c r="M876" s="37" t="n">
        <x:v>-56453.47960959681</x:v>
      </x:c>
      <x:c r="N876" s="37" t="n">
        <x:v>0</x:v>
      </x:c>
      <x:c r="O876" s="37" t="n">
        <x:v>515.6252528708428</x:v>
      </x:c>
      <x:c r="P876" s="37" t="n">
        <x:v>0</x:v>
      </x:c>
      <x:c r="Q876" s="37" t="n">
        <x:v>0</x:v>
      </x:c>
      <x:c r="R876" s="37" t="n">
        <x:v>0</x:v>
      </x:c>
      <x:c r="S876" s="37" t="n">
        <x:v>0</x:v>
      </x:c>
      <x:c r="T876" s="37" t="n">
        <x:v>0</x:v>
      </x:c>
      <x:c r="U876" s="37" t="n">
        <x:v>13941.618642774301</x:v>
      </x:c>
      <x:c r="V876" s="37" t="n">
        <x:v>0</x:v>
      </x:c>
      <x:c r="W876" s="37" t="n">
        <x:v>161322.07069613412</x:v>
      </x:c>
      <x:c r="X876" s="37" t="n">
        <x:v>0</x:v>
      </x:c>
      <x:c r="Y876" s="37" t="n">
        <x:v>2009.596223258864</x:v>
      </x:c>
      <x:c r="Z876" s="37" t="n">
        <x:v>6792613.784280117</x:v>
      </x:c>
      <x:c r="AA876" s="37" t="n">
        <x:v>0</x:v>
      </x:c>
      <x:c r="AB876" s="37" t="n">
        <x:v>6792613.784280117</x:v>
      </x:c>
      <x:c r="AC876" s="37" t="n">
        <x:v>2561609.226243022</x:v>
      </x:c>
      <x:c r="AD876" s="37" t="n">
        <x:v>0</x:v>
      </x:c>
      <x:c r="AE876" s="37" t="n">
        <x:v>0</x:v>
      </x:c>
      <x:c r="AF876" s="47" t="b">
        <x:v>0</x:v>
      </x:c>
      <x:c r="AG876" s="47" t="b">
        <x:v>0</x:v>
      </x:c>
      <x:c r="AH876" s="48" t="n">
        <x:v>-6.621121428906918e-10</x:v>
      </x:c>
      <x:c r="AI876" s="48" t="n">
        <x:v>1.1920928955078125e-7</x:v>
      </x:c>
      <x:c r="AJ876" s="37" t="str">
        <x:v>passed</x:v>
      </x:c>
    </x:row>
    <x:row r="877" ht="21" customHeight="1">
      <x:c r="A877" s="2"/>
      <x:c r="B877" s="2"/>
      <x:c r="C877" s="2" t="str">
        <x:v>2022</x:v>
      </x:c>
      <x:c r="D877" s="5" t="n">
        <x:v>44880</x:v>
      </x:c>
      <x:c r="E877" s="2" t="str">
        <x:v>unweighted</x:v>
      </x:c>
      <x:c r="F877" s="37" t="n">
        <x:v>12651080.4545583</x:v>
      </x:c>
      <x:c r="G877" s="37" t="n">
        <x:v>430315.5127407751</x:v>
      </x:c>
      <x:c r="H877" s="37" t="n">
        <x:v>-6008.936836563069</x:v>
      </x:c>
      <x:c r="I877" s="37" t="n">
        <x:v>436324.4495773382</x:v>
      </x:c>
      <x:c r="J877" s="37" t="n">
        <x:v>10377648.061208034</x:v>
      </x:c>
      <x:c r="K877" s="37" t="n">
        <x:v>9947332.548467258</x:v>
      </x:c>
      <x:c r="L877" s="37" t="n">
        <x:v>13081395.967299076</x:v>
      </x:c>
      <x:c r="M877" s="37" t="n">
        <x:v>-38016.16095614933</x:v>
      </x:c>
      <x:c r="N877" s="37" t="n">
        <x:v>0</x:v>
      </x:c>
      <x:c r="O877" s="37" t="n">
        <x:v>695.2548690792173</x:v>
      </x:c>
      <x:c r="P877" s="37" t="n">
        <x:v>0</x:v>
      </x:c>
      <x:c r="Q877" s="37" t="n">
        <x:v>0</x:v>
      </x:c>
      <x:c r="R877" s="37" t="n">
        <x:v>0</x:v>
      </x:c>
      <x:c r="S877" s="37" t="n">
        <x:v>0</x:v>
      </x:c>
      <x:c r="T877" s="37" t="n">
        <x:v>0</x:v>
      </x:c>
      <x:c r="U877" s="37" t="n">
        <x:v>23865.148035056256</x:v>
      </x:c>
      <x:c r="V877" s="37" t="n">
        <x:v>0</x:v>
      </x:c>
      <x:c r="W877" s="37" t="n">
        <x:v>212581.75898635946</x:v>
      </x:c>
      <x:c r="X877" s="37" t="n">
        <x:v>0</x:v>
      </x:c>
      <x:c r="Y877" s="37" t="n">
        <x:v>2306.4102741803476</x:v>
      </x:c>
      <x:c r="Z877" s="37" t="n">
        <x:v>10146279.199436603</x:v>
      </x:c>
      <x:c r="AA877" s="37" t="n">
        <x:v>0</x:v>
      </x:c>
      <x:c r="AB877" s="37" t="n">
        <x:v>10146279.199436603</x:v>
      </x:c>
      <x:c r="AC877" s="37" t="n">
        <x:v>2504801.2551216967</x:v>
      </x:c>
      <x:c r="AD877" s="37" t="n">
        <x:v>0</x:v>
      </x:c>
      <x:c r="AE877" s="37" t="n">
        <x:v>0</x:v>
      </x:c>
      <x:c r="AF877" s="47" t="b">
        <x:v>0</x:v>
      </x:c>
      <x:c r="AG877" s="47" t="b">
        <x:v>0</x:v>
      </x:c>
      <x:c r="AH877" s="48" t="n">
        <x:v>-5.893525667488575e-10</x:v>
      </x:c>
      <x:c r="AI877" s="48" t="n">
        <x:v>1.1920928955078125e-7</x:v>
      </x:c>
      <x:c r="AJ877" s="37" t="str">
        <x:v>passed</x:v>
      </x:c>
    </x:row>
    <x:row r="878" ht="21" customHeight="1">
      <x:c r="A878" s="2"/>
      <x:c r="B878" s="2"/>
      <x:c r="C878" s="2" t="str">
        <x:v>2022</x:v>
      </x:c>
      <x:c r="D878" s="5" t="n">
        <x:v>44880</x:v>
      </x:c>
      <x:c r="E878" s="2" t="str">
        <x:v>constrained</x:v>
      </x:c>
      <x:c r="F878" s="37" t="n">
        <x:v>13179106.38440696</x:v>
      </x:c>
      <x:c r="G878" s="37" t="n">
        <x:v>-4079.5040884720256</x:v>
      </x:c>
      <x:c r="H878" s="37" t="n">
        <x:v>-7924.373465427499</x:v>
      </x:c>
      <x:c r="I878" s="37" t="n">
        <x:v>3844.869376955473</x:v>
      </x:c>
      <x:c r="J878" s="37" t="n">
        <x:v>10390743.740907535</x:v>
      </x:c>
      <x:c r="K878" s="37" t="n">
        <x:v>10394823.244996008</x:v>
      </x:c>
      <x:c r="L878" s="37" t="n">
        <x:v>13175026.880318487</x:v>
      </x:c>
      <x:c r="M878" s="37" t="n">
        <x:v>-38941.5942872689</x:v>
      </x:c>
      <x:c r="N878" s="37" t="n">
        <x:v>0</x:v>
      </x:c>
      <x:c r="O878" s="37" t="n">
        <x:v>724.2369173597544</x:v>
      </x:c>
      <x:c r="P878" s="37" t="n">
        <x:v>0</x:v>
      </x:c>
      <x:c r="Q878" s="37" t="n">
        <x:v>0</x:v>
      </x:c>
      <x:c r="R878" s="37" t="n">
        <x:v>0</x:v>
      </x:c>
      <x:c r="S878" s="37" t="n">
        <x:v>0</x:v>
      </x:c>
      <x:c r="T878" s="37" t="n">
        <x:v>0</x:v>
      </x:c>
      <x:c r="U878" s="37" t="n">
        <x:v>18078.95687293657</x:v>
      </x:c>
      <x:c r="V878" s="37" t="n">
        <x:v>0</x:v>
      </x:c>
      <x:c r="W878" s="37" t="n">
        <x:v>227232.00442269072</x:v>
      </x:c>
      <x:c r="X878" s="37" t="n">
        <x:v>0</x:v>
      </x:c>
      <x:c r="Y878" s="37" t="n">
        <x:v>2404.245957223995</x:v>
      </x:c>
      <x:c r="Z878" s="37" t="n">
        <x:v>10602719.709895927</x:v>
      </x:c>
      <x:c r="AA878" s="37" t="n">
        <x:v>0</x:v>
      </x:c>
      <x:c r="AB878" s="37" t="n">
        <x:v>10602719.709895927</x:v>
      </x:c>
      <x:c r="AC878" s="37" t="n">
        <x:v>2576386.674511032</x:v>
      </x:c>
      <x:c r="AD878" s="37" t="n">
        <x:v>0</x:v>
      </x:c>
      <x:c r="AE878" s="37" t="n">
        <x:v>0</x:v>
      </x:c>
      <x:c r="AF878" s="47" t="b">
        <x:v>0</x:v>
      </x:c>
      <x:c r="AG878" s="47" t="b">
        <x:v>0</x:v>
      </x:c>
      <x:c r="AH878" s="48" t="n">
        <x:v>8.003553375601768e-11</x:v>
      </x:c>
      <x:c r="AI878" s="48" t="n">
        <x:v>1.1920928955078125e-7</x:v>
      </x:c>
      <x:c r="AJ878" s="37" t="str">
        <x:v>passed</x:v>
      </x:c>
    </x:row>
    <x:row r="879" ht="21" customHeight="1">
      <x:c r="A879" s="2"/>
      <x:c r="B879" s="2"/>
      <x:c r="C879" s="2" t="str">
        <x:v>2022</x:v>
      </x:c>
      <x:c r="D879" s="5" t="n">
        <x:v>44881</x:v>
      </x:c>
      <x:c r="E879" s="2" t="str">
        <x:v>unhedged</x:v>
      </x:c>
      <x:c r="F879" s="37" t="n">
        <x:v>1348398.2172503085</x:v>
      </x:c>
      <x:c r="G879" s="37" t="n">
        <x:v>10418581.891374407</x:v>
      </x:c>
      <x:c r="H879" s="37" t="n">
        <x:v>21274.24633677636</x:v>
      </x:c>
      <x:c r="I879" s="37" t="n">
        <x:v>10397307.64503763</x:v>
      </x:c>
      <x:c r="J879" s="37" t="n">
        <x:v>10418581.891374407</x:v>
      </x:c>
      <x:c r="K879" s="37" t="n">
        <x:v>0</x:v>
      </x:c>
      <x:c r="L879" s="37" t="n">
        <x:v>11766980.108624715</x:v>
      </x:c>
      <x:c r="M879" s="37" t="n">
        <x:v>0</x:v>
      </x:c>
      <x:c r="N879" s="37" t="n">
        <x:v>0</x:v>
      </x:c>
      <x:c r="O879" s="37" t="n">
        <x:v>73.88078555976972</x:v>
      </x:c>
      <x:c r="P879" s="37" t="n">
        <x:v>0</x:v>
      </x:c>
      <x:c r="Q879" s="37" t="n">
        <x:v>0</x:v>
      </x:c>
      <x:c r="R879" s="37" t="n">
        <x:v>0</x:v>
      </x:c>
      <x:c r="S879" s="37" t="n">
        <x:v>0</x:v>
      </x:c>
      <x:c r="T879" s="37" t="n">
        <x:v>0</x:v>
      </x:c>
      <x:c r="U879" s="37" t="n">
        <x:v>127500</x:v>
      </x:c>
      <x:c r="V879" s="37" t="n">
        <x:v>0</x:v>
      </x:c>
      <x:c r="W879" s="37" t="n">
        <x:v>22072.936567034107</x:v>
      </x:c>
      <x:c r="X879" s="37" t="n">
        <x:v>0</x:v>
      </x:c>
      <x:c r="Y879" s="37" t="n">
        <x:v>1174.7193167256753</x:v>
      </x:c>
      <x:c r="Z879" s="37" t="n">
        <x:v>0</x:v>
      </x:c>
      <x:c r="AA879" s="37" t="n">
        <x:v>0</x:v>
      </x:c>
      <x:c r="AB879" s="37" t="n">
        <x:v>0</x:v>
      </x:c>
      <x:c r="AC879" s="37" t="n">
        <x:v>1348398.2172503085</x:v>
      </x:c>
      <x:c r="AD879" s="37" t="n">
        <x:v>0</x:v>
      </x:c>
      <x:c r="AE879" s="37" t="n">
        <x:v>0</x:v>
      </x:c>
      <x:c r="AF879" s="47" t="b">
        <x:v>0</x:v>
      </x:c>
      <x:c r="AG879" s="47" t="b">
        <x:v>0</x:v>
      </x:c>
      <x:c r="AH879" s="48" t="n">
        <x:v>0</x:v>
      </x:c>
      <x:c r="AI879" s="48" t="n">
        <x:v>1.1920928955078125e-7</x:v>
      </x:c>
      <x:c r="AJ879" s="37" t="str">
        <x:v>passed</x:v>
      </x:c>
    </x:row>
    <x:row r="880" ht="21" customHeight="1">
      <x:c r="A880" s="2"/>
      <x:c r="B880" s="2"/>
      <x:c r="C880" s="2" t="str">
        <x:v>2022</x:v>
      </x:c>
      <x:c r="D880" s="5" t="n">
        <x:v>44881</x:v>
      </x:c>
      <x:c r="E880" s="2" t="str">
        <x:v>duration</x:v>
      </x:c>
      <x:c r="F880" s="37" t="n">
        <x:v>9354735.570688099</x:v>
      </x:c>
      <x:c r="G880" s="37" t="n">
        <x:v>3682652.0397702456</x:v>
      </x:c>
      <x:c r="H880" s="37" t="n">
        <x:v>20962.34865937527</x:v>
      </x:c>
      <x:c r="I880" s="37" t="n">
        <x:v>3661689.6911108703</x:v>
      </x:c>
      <x:c r="J880" s="37" t="n">
        <x:v>10418581.891374407</x:v>
      </x:c>
      <x:c r="K880" s="37" t="n">
        <x:v>6735929.851604163</x:v>
      </x:c>
      <x:c r="L880" s="37" t="n">
        <x:v>13037387.610458344</x:v>
      </x:c>
      <x:c r="M880" s="37" t="n">
        <x:v>0</x:v>
      </x:c>
      <x:c r="N880" s="37" t="n">
        <x:v>0</x:v>
      </x:c>
      <x:c r="O880" s="37" t="n">
        <x:v>512.5601649601012</x:v>
      </x:c>
      <x:c r="P880" s="37" t="n">
        <x:v>0</x:v>
      </x:c>
      <x:c r="Q880" s="37" t="n">
        <x:v>0</x:v>
      </x:c>
      <x:c r="R880" s="37" t="n">
        <x:v>0</x:v>
      </x:c>
      <x:c r="S880" s="37" t="n">
        <x:v>0</x:v>
      </x:c>
      <x:c r="T880" s="37" t="n">
        <x:v>0</x:v>
      </x:c>
      <x:c r="U880" s="37" t="n">
        <x:v>13941.618642774301</x:v>
      </x:c>
      <x:c r="V880" s="37" t="n">
        <x:v>0</x:v>
      </x:c>
      <x:c r="W880" s="37" t="n">
        <x:v>161834.63086109422</x:v>
      </x:c>
      <x:c r="X880" s="37" t="n">
        <x:v>0</x:v>
      </x:c>
      <x:c r="Y880" s="37" t="n">
        <x:v>2009.596223258864</x:v>
      </x:c>
      <x:c r="Z880" s="37" t="n">
        <x:v>6870648.448636246</x:v>
      </x:c>
      <x:c r="AA880" s="37" t="n">
        <x:v>0</x:v>
      </x:c>
      <x:c r="AB880" s="37" t="n">
        <x:v>6870648.448636246</x:v>
      </x:c>
      <x:c r="AC880" s="37" t="n">
        <x:v>2484087.1220518528</x:v>
      </x:c>
      <x:c r="AD880" s="37" t="n">
        <x:v>0</x:v>
      </x:c>
      <x:c r="AE880" s="37" t="n">
        <x:v>0</x:v>
      </x:c>
      <x:c r="AF880" s="47" t="b">
        <x:v>0</x:v>
      </x:c>
      <x:c r="AG880" s="47" t="b">
        <x:v>0</x:v>
      </x:c>
      <x:c r="AH880" s="48" t="n">
        <x:v>0</x:v>
      </x:c>
      <x:c r="AI880" s="48" t="n">
        <x:v>1.1920928955078125e-7</x:v>
      </x:c>
      <x:c r="AJ880" s="37" t="str">
        <x:v>passed</x:v>
      </x:c>
    </x:row>
    <x:row r="881" ht="21" customHeight="1">
      <x:c r="A881" s="2"/>
      <x:c r="B881" s="2"/>
      <x:c r="C881" s="2" t="str">
        <x:v>2022</x:v>
      </x:c>
      <x:c r="D881" s="5" t="n">
        <x:v>44881</x:v>
      </x:c>
      <x:c r="E881" s="2" t="str">
        <x:v>unweighted</x:v>
      </x:c>
      <x:c r="F881" s="37" t="n">
        <x:v>12651773.664446222</x:v>
      </x:c>
      <x:c r="G881" s="37" t="n">
        <x:v>432581.8191434088</x:v>
      </x:c>
      <x:c r="H881" s="37" t="n">
        <x:v>-6030.462421914143</x:v>
      </x:c>
      <x:c r="I881" s="37" t="n">
        <x:v>438612.28156532295</x:v>
      </x:c>
      <x:c r="J881" s="37" t="n">
        <x:v>10443140.544192752</x:v>
      </x:c>
      <x:c r="K881" s="37" t="n">
        <x:v>10010558.725049343</x:v>
      </x:c>
      <x:c r="L881" s="37" t="n">
        <x:v>13084355.48358963</x:v>
      </x:c>
      <x:c r="M881" s="37" t="n">
        <x:v>0</x:v>
      </x:c>
      <x:c r="N881" s="37" t="n">
        <x:v>0</x:v>
      </x:c>
      <x:c r="O881" s="37" t="n">
        <x:v>693.2098879218102</x:v>
      </x:c>
      <x:c r="P881" s="37" t="n">
        <x:v>0</x:v>
      </x:c>
      <x:c r="Q881" s="37" t="n">
        <x:v>0</x:v>
      </x:c>
      <x:c r="R881" s="37" t="n">
        <x:v>0</x:v>
      </x:c>
      <x:c r="S881" s="37" t="n">
        <x:v>0</x:v>
      </x:c>
      <x:c r="T881" s="37" t="n">
        <x:v>0</x:v>
      </x:c>
      <x:c r="U881" s="37" t="n">
        <x:v>23865.148035056256</x:v>
      </x:c>
      <x:c r="V881" s="37" t="n">
        <x:v>0</x:v>
      </x:c>
      <x:c r="W881" s="37" t="n">
        <x:v>213274.96887428127</x:v>
      </x:c>
      <x:c r="X881" s="37" t="n">
        <x:v>0</x:v>
      </x:c>
      <x:c r="Y881" s="37" t="n">
        <x:v>2306.4102741803476</x:v>
      </x:c>
      <x:c r="Z881" s="37" t="n">
        <x:v>10210769.89955033</x:v>
      </x:c>
      <x:c r="AA881" s="37" t="n">
        <x:v>0</x:v>
      </x:c>
      <x:c r="AB881" s="37" t="n">
        <x:v>10210769.89955033</x:v>
      </x:c>
      <x:c r="AC881" s="37" t="n">
        <x:v>2441003.764895892</x:v>
      </x:c>
      <x:c r="AD881" s="37" t="n">
        <x:v>0</x:v>
      </x:c>
      <x:c r="AE881" s="37" t="n">
        <x:v>0</x:v>
      </x:c>
      <x:c r="AF881" s="47" t="b">
        <x:v>0</x:v>
      </x:c>
      <x:c r="AG881" s="47" t="b">
        <x:v>0</x:v>
      </x:c>
      <x:c r="AH881" s="48" t="n">
        <x:v>0</x:v>
      </x:c>
      <x:c r="AI881" s="48" t="n">
        <x:v>1.1920928955078125e-7</x:v>
      </x:c>
      <x:c r="AJ881" s="37" t="str">
        <x:v>passed</x:v>
      </x:c>
    </x:row>
    <x:row r="882" ht="21" customHeight="1">
      <x:c r="A882" s="2"/>
      <x:c r="B882" s="2"/>
      <x:c r="C882" s="2" t="str">
        <x:v>2022</x:v>
      </x:c>
      <x:c r="D882" s="5" t="n">
        <x:v>44881</x:v>
      </x:c>
      <x:c r="E882" s="2" t="str">
        <x:v>constrained</x:v>
      </x:c>
      <x:c r="F882" s="37" t="n">
        <x:v>13179828.527222544</x:v>
      </x:c>
      <x:c r="G882" s="37" t="n">
        <x:v>-3978.056099717911</x:v>
      </x:c>
      <x:c r="H882" s="37" t="n">
        <x:v>-7962.413350615871</x:v>
      </x:c>
      <x:c r="I882" s="37" t="n">
        <x:v>3984.3572508979605</x:v>
      </x:c>
      <x:c r="J882" s="37" t="n">
        <x:v>10456519.871219182</x:v>
      </x:c>
      <x:c r="K882" s="37" t="n">
        <x:v>10460497.9273189</x:v>
      </x:c>
      <x:c r="L882" s="37" t="n">
        <x:v>13175850.471122826</x:v>
      </x:c>
      <x:c r="M882" s="37" t="n">
        <x:v>0</x:v>
      </x:c>
      <x:c r="N882" s="37" t="n">
        <x:v>0</x:v>
      </x:c>
      <x:c r="O882" s="37" t="n">
        <x:v>722.1428155843168</x:v>
      </x:c>
      <x:c r="P882" s="37" t="n">
        <x:v>0</x:v>
      </x:c>
      <x:c r="Q882" s="37" t="n">
        <x:v>0</x:v>
      </x:c>
      <x:c r="R882" s="37" t="n">
        <x:v>0</x:v>
      </x:c>
      <x:c r="S882" s="37" t="n">
        <x:v>0</x:v>
      </x:c>
      <x:c r="T882" s="37" t="n">
        <x:v>0</x:v>
      </x:c>
      <x:c r="U882" s="37" t="n">
        <x:v>18078.95687293657</x:v>
      </x:c>
      <x:c r="V882" s="37" t="n">
        <x:v>0</x:v>
      </x:c>
      <x:c r="W882" s="37" t="n">
        <x:v>227954.14723827504</x:v>
      </x:c>
      <x:c r="X882" s="37" t="n">
        <x:v>0</x:v>
      </x:c>
      <x:c r="Y882" s="37" t="n">
        <x:v>2404.245957223995</x:v>
      </x:c>
      <x:c r="Z882" s="37" t="n">
        <x:v>10669707.885865279</x:v>
      </x:c>
      <x:c r="AA882" s="37" t="n">
        <x:v>0</x:v>
      </x:c>
      <x:c r="AB882" s="37" t="n">
        <x:v>10669707.885865279</x:v>
      </x:c>
      <x:c r="AC882" s="37" t="n">
        <x:v>2510120.6413572654</x:v>
      </x:c>
      <x:c r="AD882" s="37" t="n">
        <x:v>0</x:v>
      </x:c>
      <x:c r="AE882" s="37" t="n">
        <x:v>0</x:v>
      </x:c>
      <x:c r="AF882" s="47" t="b">
        <x:v>0</x:v>
      </x:c>
      <x:c r="AG882" s="47" t="b">
        <x:v>0</x:v>
      </x:c>
      <x:c r="AH882" s="48" t="n">
        <x:v>0</x:v>
      </x:c>
      <x:c r="AI882" s="48" t="n">
        <x:v>1.1920928955078125e-7</x:v>
      </x:c>
      <x:c r="AJ882" s="37" t="str">
        <x:v>passed</x:v>
      </x:c>
    </x:row>
    <x:row r="883" ht="21" customHeight="1">
      <x:c r="A883" s="2"/>
      <x:c r="B883" s="2"/>
      <x:c r="C883" s="2" t="str">
        <x:v>2022</x:v>
      </x:c>
      <x:c r="D883" s="5" t="n">
        <x:v>44882</x:v>
      </x:c>
      <x:c r="E883" s="2" t="str">
        <x:v>unhedged</x:v>
      </x:c>
      <x:c r="F883" s="37" t="n">
        <x:v>1348472.1020841305</x:v>
      </x:c>
      <x:c r="G883" s="37" t="n">
        <x:v>10367329.898183214</x:v>
      </x:c>
      <x:c r="H883" s="37" t="n">
        <x:v>21623.078308911845</x:v>
      </x:c>
      <x:c r="I883" s="37" t="n">
        <x:v>10345706.819874302</x:v>
      </x:c>
      <x:c r="J883" s="37" t="n">
        <x:v>10367329.898183214</x:v>
      </x:c>
      <x:c r="K883" s="37" t="n">
        <x:v>0</x:v>
      </x:c>
      <x:c r="L883" s="37" t="n">
        <x:v>11715802.000267344</x:v>
      </x:c>
      <x:c r="M883" s="37" t="n">
        <x:v>0</x:v>
      </x:c>
      <x:c r="N883" s="37" t="n">
        <x:v>0</x:v>
      </x:c>
      <x:c r="O883" s="37" t="n">
        <x:v>73.88483382202685</x:v>
      </x:c>
      <x:c r="P883" s="37" t="n">
        <x:v>0</x:v>
      </x:c>
      <x:c r="Q883" s="37" t="n">
        <x:v>0</x:v>
      </x:c>
      <x:c r="R883" s="37" t="n">
        <x:v>0</x:v>
      </x:c>
      <x:c r="S883" s="37" t="n">
        <x:v>0</x:v>
      </x:c>
      <x:c r="T883" s="37" t="n">
        <x:v>0</x:v>
      </x:c>
      <x:c r="U883" s="37" t="n">
        <x:v>127500</x:v>
      </x:c>
      <x:c r="V883" s="37" t="n">
        <x:v>0</x:v>
      </x:c>
      <x:c r="W883" s="37" t="n">
        <x:v>22146.821400856134</x:v>
      </x:c>
      <x:c r="X883" s="37" t="n">
        <x:v>0</x:v>
      </x:c>
      <x:c r="Y883" s="37" t="n">
        <x:v>1174.7193167256753</x:v>
      </x:c>
      <x:c r="Z883" s="37" t="n">
        <x:v>0</x:v>
      </x:c>
      <x:c r="AA883" s="37" t="n">
        <x:v>0</x:v>
      </x:c>
      <x:c r="AB883" s="37" t="n">
        <x:v>0</x:v>
      </x:c>
      <x:c r="AC883" s="37" t="n">
        <x:v>1348472.1020841305</x:v>
      </x:c>
      <x:c r="AD883" s="37" t="n">
        <x:v>0</x:v>
      </x:c>
      <x:c r="AE883" s="37" t="n">
        <x:v>0</x:v>
      </x:c>
      <x:c r="AF883" s="47" t="b">
        <x:v>0</x:v>
      </x:c>
      <x:c r="AG883" s="47" t="b">
        <x:v>0</x:v>
      </x:c>
      <x:c r="AH883" s="48" t="n">
        <x:v>0</x:v>
      </x:c>
      <x:c r="AI883" s="48" t="n">
        <x:v>1.1920928955078125e-7</x:v>
      </x:c>
      <x:c r="AJ883" s="37" t="str">
        <x:v>passed</x:v>
      </x:c>
    </x:row>
    <x:row r="884" ht="21" customHeight="1">
      <x:c r="A884" s="2"/>
      <x:c r="B884" s="2"/>
      <x:c r="C884" s="2" t="str">
        <x:v>2022</x:v>
      </x:c>
      <x:c r="D884" s="5" t="n">
        <x:v>44882</x:v>
      </x:c>
      <x:c r="E884" s="2" t="str">
        <x:v>duration</x:v>
      </x:c>
      <x:c r="F884" s="37" t="n">
        <x:v>9355248.158938548</x:v>
      </x:c>
      <x:c r="G884" s="37" t="n">
        <x:v>3682135.0842067758</x:v>
      </x:c>
      <x:c r="H884" s="37" t="n">
        <x:v>20999.28295410967</x:v>
      </x:c>
      <x:c r="I884" s="37" t="n">
        <x:v>3661135.801252666</x:v>
      </x:c>
      <x:c r="J884" s="37" t="n">
        <x:v>10367329.898183214</x:v>
      </x:c>
      <x:c r="K884" s="37" t="n">
        <x:v>6685194.813976438</x:v>
      </x:c>
      <x:c r="L884" s="37" t="n">
        <x:v>13037383.243145324</x:v>
      </x:c>
      <x:c r="M884" s="37" t="n">
        <x:v>0</x:v>
      </x:c>
      <x:c r="N884" s="37" t="n">
        <x:v>0</x:v>
      </x:c>
      <x:c r="O884" s="37" t="n">
        <x:v>512.5882504489273</x:v>
      </x:c>
      <x:c r="P884" s="37" t="n">
        <x:v>0</x:v>
      </x:c>
      <x:c r="Q884" s="37" t="n">
        <x:v>0</x:v>
      </x:c>
      <x:c r="R884" s="37" t="n">
        <x:v>0</x:v>
      </x:c>
      <x:c r="S884" s="37" t="n">
        <x:v>0</x:v>
      </x:c>
      <x:c r="T884" s="37" t="n">
        <x:v>0</x:v>
      </x:c>
      <x:c r="U884" s="37" t="n">
        <x:v>13941.618642774301</x:v>
      </x:c>
      <x:c r="V884" s="37" t="n">
        <x:v>0</x:v>
      </x:c>
      <x:c r="W884" s="37" t="n">
        <x:v>162347.21911154315</x:v>
      </x:c>
      <x:c r="X884" s="37" t="n">
        <x:v>0</x:v>
      </x:c>
      <x:c r="Y884" s="37" t="n">
        <x:v>2009.596223258864</x:v>
      </x:c>
      <x:c r="Z884" s="37" t="n">
        <x:v>6818898.7102559665</x:v>
      </x:c>
      <x:c r="AA884" s="37" t="n">
        <x:v>0</x:v>
      </x:c>
      <x:c r="AB884" s="37" t="n">
        <x:v>6818898.7102559665</x:v>
      </x:c>
      <x:c r="AC884" s="37" t="n">
        <x:v>2536349.448682581</x:v>
      </x:c>
      <x:c r="AD884" s="37" t="n">
        <x:v>0</x:v>
      </x:c>
      <x:c r="AE884" s="37" t="n">
        <x:v>0</x:v>
      </x:c>
      <x:c r="AF884" s="47" t="b">
        <x:v>0</x:v>
      </x:c>
      <x:c r="AG884" s="47" t="b">
        <x:v>0</x:v>
      </x:c>
      <x:c r="AH884" s="48" t="n">
        <x:v>0</x:v>
      </x:c>
      <x:c r="AI884" s="48" t="n">
        <x:v>1.1920928955078125e-7</x:v>
      </x:c>
      <x:c r="AJ884" s="37" t="str">
        <x:v>passed</x:v>
      </x:c>
    </x:row>
    <x:row r="885" ht="21" customHeight="1">
      <x:c r="A885" s="2"/>
      <x:c r="B885" s="2"/>
      <x:c r="C885" s="2" t="str">
        <x:v>2022</x:v>
      </x:c>
      <x:c r="D885" s="5" t="n">
        <x:v>44882</x:v>
      </x:c>
      <x:c r="E885" s="2" t="str">
        <x:v>unweighted</x:v>
      </x:c>
      <x:c r="F885" s="37" t="n">
        <x:v>12652466.912318246</x:v>
      </x:c>
      <x:c r="G885" s="37" t="n">
        <x:v>430330.66941046045</x:v>
      </x:c>
      <x:c r="H885" s="37" t="n">
        <x:v>-6051.98800726521</x:v>
      </x:c>
      <x:c r="I885" s="37" t="n">
        <x:v>436382.65741772566</x:v>
      </x:c>
      <x:c r="J885" s="37" t="n">
        <x:v>10391711.033994261</x:v>
      </x:c>
      <x:c r="K885" s="37" t="n">
        <x:v>9961380.3645838</x:v>
      </x:c>
      <x:c r="L885" s="37" t="n">
        <x:v>13082797.581728706</x:v>
      </x:c>
      <x:c r="M885" s="37" t="n">
        <x:v>0</x:v>
      </x:c>
      <x:c r="N885" s="37" t="n">
        <x:v>0</x:v>
      </x:c>
      <x:c r="O885" s="37" t="n">
        <x:v>693.2478720247746</x:v>
      </x:c>
      <x:c r="P885" s="37" t="n">
        <x:v>0</x:v>
      </x:c>
      <x:c r="Q885" s="37" t="n">
        <x:v>0</x:v>
      </x:c>
      <x:c r="R885" s="37" t="n">
        <x:v>0</x:v>
      </x:c>
      <x:c r="S885" s="37" t="n">
        <x:v>0</x:v>
      </x:c>
      <x:c r="T885" s="37" t="n">
        <x:v>0</x:v>
      </x:c>
      <x:c r="U885" s="37" t="n">
        <x:v>23865.148035056256</x:v>
      </x:c>
      <x:c r="V885" s="37" t="n">
        <x:v>0</x:v>
      </x:c>
      <x:c r="W885" s="37" t="n">
        <x:v>213968.21674630605</x:v>
      </x:c>
      <x:c r="X885" s="37" t="n">
        <x:v>0</x:v>
      </x:c>
      <x:c r="Y885" s="37" t="n">
        <x:v>2306.4102741803476</x:v>
      </x:c>
      <x:c r="Z885" s="37" t="n">
        <x:v>10160607.971875476</x:v>
      </x:c>
      <x:c r="AA885" s="37" t="n">
        <x:v>0</x:v>
      </x:c>
      <x:c r="AB885" s="37" t="n">
        <x:v>10160607.971875476</x:v>
      </x:c>
      <x:c r="AC885" s="37" t="n">
        <x:v>2491858.9404427707</x:v>
      </x:c>
      <x:c r="AD885" s="37" t="n">
        <x:v>0</x:v>
      </x:c>
      <x:c r="AE885" s="37" t="n">
        <x:v>0</x:v>
      </x:c>
      <x:c r="AF885" s="47" t="b">
        <x:v>0</x:v>
      </x:c>
      <x:c r="AG885" s="47" t="b">
        <x:v>0</x:v>
      </x:c>
      <x:c r="AH885" s="48" t="n">
        <x:v>0</x:v>
      </x:c>
      <x:c r="AI885" s="48" t="n">
        <x:v>1.1920928955078125e-7</x:v>
      </x:c>
      <x:c r="AJ885" s="37" t="str">
        <x:v>passed</x:v>
      </x:c>
    </x:row>
    <x:row r="886" ht="21" customHeight="1">
      <x:c r="A886" s="2"/>
      <x:c r="B886" s="2"/>
      <x:c r="C886" s="2" t="str">
        <x:v>2022</x:v>
      </x:c>
      <x:c r="D886" s="5" t="n">
        <x:v>44882</x:v>
      </x:c>
      <x:c r="E886" s="2" t="str">
        <x:v>constrained</x:v>
      </x:c>
      <x:c r="F886" s="37" t="n">
        <x:v>13180550.709607597</x:v>
      </x:c>
      <x:c r="G886" s="37" t="n">
        <x:v>-4208.734144468984</x:v>
      </x:c>
      <x:c r="H886" s="37" t="n">
        <x:v>-8000.453235804234</x:v>
      </x:c>
      <x:c r="I886" s="37" t="n">
        <x:v>3791.7190913352506</x:v>
      </x:c>
      <x:c r="J886" s="37" t="n">
        <x:v>10404998.691934401</x:v>
      </x:c>
      <x:c r="K886" s="37" t="n">
        <x:v>10409207.426078869</x:v>
      </x:c>
      <x:c r="L886" s="37" t="n">
        <x:v>13176341.975463128</x:v>
      </x:c>
      <x:c r="M886" s="37" t="n">
        <x:v>0</x:v>
      </x:c>
      <x:c r="N886" s="37" t="n">
        <x:v>0</x:v>
      </x:c>
      <x:c r="O886" s="37" t="n">
        <x:v>722.1823850534856</x:v>
      </x:c>
      <x:c r="P886" s="37" t="n">
        <x:v>0</x:v>
      </x:c>
      <x:c r="Q886" s="37" t="n">
        <x:v>0</x:v>
      </x:c>
      <x:c r="R886" s="37" t="n">
        <x:v>0</x:v>
      </x:c>
      <x:c r="S886" s="37" t="n">
        <x:v>0</x:v>
      </x:c>
      <x:c r="T886" s="37" t="n">
        <x:v>0</x:v>
      </x:c>
      <x:c r="U886" s="37" t="n">
        <x:v>18078.95687293657</x:v>
      </x:c>
      <x:c r="V886" s="37" t="n">
        <x:v>0</x:v>
      </x:c>
      <x:c r="W886" s="37" t="n">
        <x:v>228676.32962332852</x:v>
      </x:c>
      <x:c r="X886" s="37" t="n">
        <x:v>0</x:v>
      </x:c>
      <x:c r="Y886" s="37" t="n">
        <x:v>2404.245957223995</x:v>
      </x:c>
      <x:c r="Z886" s="37" t="n">
        <x:v>10617391.574600447</x:v>
      </x:c>
      <x:c r="AA886" s="37" t="n">
        <x:v>0</x:v>
      </x:c>
      <x:c r="AB886" s="37" t="n">
        <x:v>10617391.574600447</x:v>
      </x:c>
      <x:c r="AC886" s="37" t="n">
        <x:v>2563159.1350071505</x:v>
      </x:c>
      <x:c r="AD886" s="37" t="n">
        <x:v>0</x:v>
      </x:c>
      <x:c r="AE886" s="37" t="n">
        <x:v>0</x:v>
      </x:c>
      <x:c r="AF886" s="47" t="b">
        <x:v>0</x:v>
      </x:c>
      <x:c r="AG886" s="47" t="b">
        <x:v>0</x:v>
      </x:c>
      <x:c r="AH886" s="48" t="n">
        <x:v>0</x:v>
      </x:c>
      <x:c r="AI886" s="48" t="n">
        <x:v>1.1920928955078125e-7</x:v>
      </x:c>
      <x:c r="AJ886" s="37" t="str">
        <x:v>passed</x:v>
      </x:c>
    </x:row>
    <x:row r="887" ht="21" customHeight="1">
      <x:c r="A887" s="2"/>
      <x:c r="B887" s="2"/>
      <x:c r="C887" s="2" t="str">
        <x:v>2022</x:v>
      </x:c>
      <x:c r="D887" s="5" t="n">
        <x:v>44883</x:v>
      </x:c>
      <x:c r="E887" s="2" t="str">
        <x:v>unhedged</x:v>
      </x:c>
      <x:c r="F887" s="37" t="n">
        <x:v>1348545.9909664367</x:v>
      </x:c>
      <x:c r="G887" s="37" t="n">
        <x:v>10340057.25213258</x:v>
      </x:c>
      <x:c r="H887" s="37" t="n">
        <x:v>21971.91028104732</x:v>
      </x:c>
      <x:c r="I887" s="37" t="n">
        <x:v>10318085.341851532</x:v>
      </x:c>
      <x:c r="J887" s="37" t="n">
        <x:v>10340057.25213258</x:v>
      </x:c>
      <x:c r="K887" s="37" t="n">
        <x:v>0</x:v>
      </x:c>
      <x:c r="L887" s="37" t="n">
        <x:v>11688603.243099017</x:v>
      </x:c>
      <x:c r="M887" s="37" t="n">
        <x:v>0</x:v>
      </x:c>
      <x:c r="N887" s="37" t="n">
        <x:v>0</x:v>
      </x:c>
      <x:c r="O887" s="37" t="n">
        <x:v>73.88888230617158</x:v>
      </x:c>
      <x:c r="P887" s="37" t="n">
        <x:v>0</x:v>
      </x:c>
      <x:c r="Q887" s="37" t="n">
        <x:v>0</x:v>
      </x:c>
      <x:c r="R887" s="37" t="n">
        <x:v>0</x:v>
      </x:c>
      <x:c r="S887" s="37" t="n">
        <x:v>0</x:v>
      </x:c>
      <x:c r="T887" s="37" t="n">
        <x:v>0</x:v>
      </x:c>
      <x:c r="U887" s="37" t="n">
        <x:v>127500</x:v>
      </x:c>
      <x:c r="V887" s="37" t="n">
        <x:v>0</x:v>
      </x:c>
      <x:c r="W887" s="37" t="n">
        <x:v>22220.710283162305</x:v>
      </x:c>
      <x:c r="X887" s="37" t="n">
        <x:v>0</x:v>
      </x:c>
      <x:c r="Y887" s="37" t="n">
        <x:v>1174.7193167256753</x:v>
      </x:c>
      <x:c r="Z887" s="37" t="n">
        <x:v>0</x:v>
      </x:c>
      <x:c r="AA887" s="37" t="n">
        <x:v>0</x:v>
      </x:c>
      <x:c r="AB887" s="37" t="n">
        <x:v>0</x:v>
      </x:c>
      <x:c r="AC887" s="37" t="n">
        <x:v>1348545.9909664367</x:v>
      </x:c>
      <x:c r="AD887" s="37" t="n">
        <x:v>0</x:v>
      </x:c>
      <x:c r="AE887" s="37" t="n">
        <x:v>0</x:v>
      </x:c>
      <x:c r="AF887" s="47" t="b">
        <x:v>0</x:v>
      </x:c>
      <x:c r="AG887" s="47" t="b">
        <x:v>0</x:v>
      </x:c>
      <x:c r="AH887" s="48" t="n">
        <x:v>0</x:v>
      </x:c>
      <x:c r="AI887" s="48" t="n">
        <x:v>1.1920928955078125e-7</x:v>
      </x:c>
      <x:c r="AJ887" s="37" t="str">
        <x:v>passed</x:v>
      </x:c>
    </x:row>
    <x:row r="888" ht="21" customHeight="1">
      <x:c r="A888" s="2"/>
      <x:c r="B888" s="2"/>
      <x:c r="C888" s="2" t="str">
        <x:v>2022</x:v>
      </x:c>
      <x:c r="D888" s="5" t="n">
        <x:v>44883</x:v>
      </x:c>
      <x:c r="E888" s="2" t="str">
        <x:v>duration</x:v>
      </x:c>
      <x:c r="F888" s="37" t="n">
        <x:v>9355760.775276026</x:v>
      </x:c>
      <x:c r="G888" s="37" t="n">
        <x:v>3680092.4662765646</x:v>
      </x:c>
      <x:c r="H888" s="37" t="n">
        <x:v>21036.21724884406</x:v>
      </x:c>
      <x:c r="I888" s="37" t="n">
        <x:v>3659056.2490277207</x:v>
      </x:c>
      <x:c r="J888" s="37" t="n">
        <x:v>10340057.25213258</x:v>
      </x:c>
      <x:c r="K888" s="37" t="n">
        <x:v>6659964.785856014</x:v>
      </x:c>
      <x:c r="L888" s="37" t="n">
        <x:v>13035853.241552591</x:v>
      </x:c>
      <x:c r="M888" s="37" t="n">
        <x:v>0</x:v>
      </x:c>
      <x:c r="N888" s="37" t="n">
        <x:v>0</x:v>
      </x:c>
      <x:c r="O888" s="37" t="n">
        <x:v>512.6163374781609</x:v>
      </x:c>
      <x:c r="P888" s="37" t="n">
        <x:v>0</x:v>
      </x:c>
      <x:c r="Q888" s="37" t="n">
        <x:v>0</x:v>
      </x:c>
      <x:c r="R888" s="37" t="n">
        <x:v>0</x:v>
      </x:c>
      <x:c r="S888" s="37" t="n">
        <x:v>0</x:v>
      </x:c>
      <x:c r="T888" s="37" t="n">
        <x:v>0</x:v>
      </x:c>
      <x:c r="U888" s="37" t="n">
        <x:v>13941.618642774301</x:v>
      </x:c>
      <x:c r="V888" s="37" t="n">
        <x:v>0</x:v>
      </x:c>
      <x:c r="W888" s="37" t="n">
        <x:v>162859.8354490213</x:v>
      </x:c>
      <x:c r="X888" s="37" t="n">
        <x:v>0</x:v>
      </x:c>
      <x:c r="Y888" s="37" t="n">
        <x:v>2009.596223258864</x:v>
      </x:c>
      <x:c r="Z888" s="37" t="n">
        <x:v>6793164.081573134</x:v>
      </x:c>
      <x:c r="AA888" s="37" t="n">
        <x:v>0</x:v>
      </x:c>
      <x:c r="AB888" s="37" t="n">
        <x:v>6793164.081573134</x:v>
      </x:c>
      <x:c r="AC888" s="37" t="n">
        <x:v>2562596.6937028915</x:v>
      </x:c>
      <x:c r="AD888" s="37" t="n">
        <x:v>0</x:v>
      </x:c>
      <x:c r="AE888" s="37" t="n">
        <x:v>0</x:v>
      </x:c>
      <x:c r="AF888" s="47" t="b">
        <x:v>0</x:v>
      </x:c>
      <x:c r="AG888" s="47" t="b">
        <x:v>0</x:v>
      </x:c>
      <x:c r="AH888" s="48" t="n">
        <x:v>0</x:v>
      </x:c>
      <x:c r="AI888" s="48" t="n">
        <x:v>1.1920928955078125e-7</x:v>
      </x:c>
      <x:c r="AJ888" s="37" t="str">
        <x:v>passed</x:v>
      </x:c>
    </x:row>
    <x:row r="889" ht="21" customHeight="1">
      <x:c r="A889" s="2"/>
      <x:c r="B889" s="2"/>
      <x:c r="C889" s="2" t="str">
        <x:v>2022</x:v>
      </x:c>
      <x:c r="D889" s="5" t="n">
        <x:v>44883</x:v>
      </x:c>
      <x:c r="E889" s="2" t="str">
        <x:v>unweighted</x:v>
      </x:c>
      <x:c r="F889" s="37" t="n">
        <x:v>12653160.198176457</x:v>
      </x:c>
      <x:c r="G889" s="37" t="n">
        <x:v>429077.73298251815</x:v>
      </x:c>
      <x:c r="H889" s="37" t="n">
        <x:v>-6073.513592616279</x:v>
      </x:c>
      <x:c r="I889" s="37" t="n">
        <x:v>435151.24657513446</x:v>
      </x:c>
      <x:c r="J889" s="37" t="n">
        <x:v>10364332.185471348</x:v>
      </x:c>
      <x:c r="K889" s="37" t="n">
        <x:v>9935254.45248883</x:v>
      </x:c>
      <x:c r="L889" s="37" t="n">
        <x:v>13082237.931158975</x:v>
      </x:c>
      <x:c r="M889" s="37" t="n">
        <x:v>0</x:v>
      </x:c>
      <x:c r="N889" s="37" t="n">
        <x:v>0</x:v>
      </x:c>
      <x:c r="O889" s="37" t="n">
        <x:v>693.2858582101762</x:v>
      </x:c>
      <x:c r="P889" s="37" t="n">
        <x:v>0</x:v>
      </x:c>
      <x:c r="Q889" s="37" t="n">
        <x:v>0</x:v>
      </x:c>
      <x:c r="R889" s="37" t="n">
        <x:v>0</x:v>
      </x:c>
      <x:c r="S889" s="37" t="n">
        <x:v>0</x:v>
      </x:c>
      <x:c r="T889" s="37" t="n">
        <x:v>0</x:v>
      </x:c>
      <x:c r="U889" s="37" t="n">
        <x:v>23865.148035056256</x:v>
      </x:c>
      <x:c r="V889" s="37" t="n">
        <x:v>0</x:v>
      </x:c>
      <x:c r="W889" s="37" t="n">
        <x:v>214661.50260451622</x:v>
      </x:c>
      <x:c r="X889" s="37" t="n">
        <x:v>0</x:v>
      </x:c>
      <x:c r="Y889" s="37" t="n">
        <x:v>2306.4102741803476</x:v>
      </x:c>
      <x:c r="Z889" s="37" t="n">
        <x:v>10133959.541538607</x:v>
      </x:c>
      <x:c r="AA889" s="37" t="n">
        <x:v>0</x:v>
      </x:c>
      <x:c r="AB889" s="37" t="n">
        <x:v>10133959.541538607</x:v>
      </x:c>
      <x:c r="AC889" s="37" t="n">
        <x:v>2519200.6566378493</x:v>
      </x:c>
      <x:c r="AD889" s="37" t="n">
        <x:v>0</x:v>
      </x:c>
      <x:c r="AE889" s="37" t="n">
        <x:v>0</x:v>
      </x:c>
      <x:c r="AF889" s="47" t="b">
        <x:v>0</x:v>
      </x:c>
      <x:c r="AG889" s="47" t="b">
        <x:v>0</x:v>
      </x:c>
      <x:c r="AH889" s="48" t="n">
        <x:v>0</x:v>
      </x:c>
      <x:c r="AI889" s="48" t="n">
        <x:v>1.1920928955078125e-7</x:v>
      </x:c>
      <x:c r="AJ889" s="37" t="str">
        <x:v>passed</x:v>
      </x:c>
    </x:row>
    <x:row r="890" ht="21" customHeight="1">
      <x:c r="A890" s="2"/>
      <x:c r="B890" s="2"/>
      <x:c r="C890" s="2" t="str">
        <x:v>2022</x:v>
      </x:c>
      <x:c r="D890" s="5" t="n">
        <x:v>44883</x:v>
      </x:c>
      <x:c r="E890" s="2" t="str">
        <x:v>constrained</x:v>
      </x:c>
      <x:c r="F890" s="37" t="n">
        <x:v>13181272.93156429</x:v>
      </x:c>
      <x:c r="G890" s="37" t="n">
        <x:v>-4313.611581536982</x:v>
      </x:c>
      <x:c r="H890" s="37" t="n">
        <x:v>-8038.493120992603</x:v>
      </x:c>
      <x:c r="I890" s="37" t="n">
        <x:v>3724.8815394556204</x:v>
      </x:c>
      <x:c r="J890" s="37" t="n">
        <x:v>10377570.019016564</x:v>
      </x:c>
      <x:c r="K890" s="37" t="n">
        <x:v>10381883.6305981</x:v>
      </x:c>
      <x:c r="L890" s="37" t="n">
        <x:v>13176959.319982752</x:v>
      </x:c>
      <x:c r="M890" s="37" t="n">
        <x:v>0</x:v>
      </x:c>
      <x:c r="N890" s="37" t="n">
        <x:v>0</x:v>
      </x:c>
      <x:c r="O890" s="37" t="n">
        <x:v>722.221956692636</x:v>
      </x:c>
      <x:c r="P890" s="37" t="n">
        <x:v>0</x:v>
      </x:c>
      <x:c r="Q890" s="37" t="n">
        <x:v>0</x:v>
      </x:c>
      <x:c r="R890" s="37" t="n">
        <x:v>0</x:v>
      </x:c>
      <x:c r="S890" s="37" t="n">
        <x:v>0</x:v>
      </x:c>
      <x:c r="T890" s="37" t="n">
        <x:v>0</x:v>
      </x:c>
      <x:c r="U890" s="37" t="n">
        <x:v>18078.95687293657</x:v>
      </x:c>
      <x:c r="V890" s="37" t="n">
        <x:v>0</x:v>
      </x:c>
      <x:c r="W890" s="37" t="n">
        <x:v>229398.55158002116</x:v>
      </x:c>
      <x:c r="X890" s="37" t="n">
        <x:v>0</x:v>
      </x:c>
      <x:c r="Y890" s="37" t="n">
        <x:v>2404.245957223995</x:v>
      </x:c>
      <x:c r="Z890" s="37" t="n">
        <x:v>10589521.303210063</x:v>
      </x:c>
      <x:c r="AA890" s="37" t="n">
        <x:v>0</x:v>
      </x:c>
      <x:c r="AB890" s="37" t="n">
        <x:v>10589521.303210063</x:v>
      </x:c>
      <x:c r="AC890" s="37" t="n">
        <x:v>2591751.628354227</x:v>
      </x:c>
      <x:c r="AD890" s="37" t="n">
        <x:v>0</x:v>
      </x:c>
      <x:c r="AE890" s="37" t="n">
        <x:v>0</x:v>
      </x:c>
      <x:c r="AF890" s="47" t="b">
        <x:v>0</x:v>
      </x:c>
      <x:c r="AG890" s="47" t="b">
        <x:v>0</x:v>
      </x:c>
      <x:c r="AH890" s="48" t="n">
        <x:v>0</x:v>
      </x:c>
      <x:c r="AI890" s="48" t="n">
        <x:v>1.1920928955078125e-7</x:v>
      </x:c>
      <x:c r="AJ890" s="37" t="str">
        <x:v>passed</x:v>
      </x:c>
    </x:row>
    <x:row r="891" ht="21" customHeight="1">
      <x:c r="A891" s="2"/>
      <x:c r="B891" s="2"/>
      <x:c r="C891" s="2" t="str">
        <x:v>2022</x:v>
      </x:c>
      <x:c r="D891" s="5" t="n">
        <x:v>44886</x:v>
      </x:c>
      <x:c r="E891" s="2" t="str">
        <x:v>unhedged</x:v>
      </x:c>
      <x:c r="F891" s="37" t="n">
        <x:v>1348767.6819064775</x:v>
      </x:c>
      <x:c r="G891" s="37" t="n">
        <x:v>10325324.44859095</x:v>
      </x:c>
      <x:c r="H891" s="37" t="n">
        <x:v>23018.40619745376</x:v>
      </x:c>
      <x:c r="I891" s="37" t="n">
        <x:v>10302306.042393496</x:v>
      </x:c>
      <x:c r="J891" s="37" t="n">
        <x:v>10325324.44859095</x:v>
      </x:c>
      <x:c r="K891" s="37" t="n">
        <x:v>0</x:v>
      </x:c>
      <x:c r="L891" s="37" t="n">
        <x:v>11674092.130497426</x:v>
      </x:c>
      <x:c r="M891" s="37" t="n">
        <x:v>0</x:v>
      </x:c>
      <x:c r="N891" s="37" t="n">
        <x:v>0</x:v>
      </x:c>
      <x:c r="O891" s="37" t="n">
        <x:v>221.6909400408622</x:v>
      </x:c>
      <x:c r="P891" s="37" t="n">
        <x:v>0</x:v>
      </x:c>
      <x:c r="Q891" s="37" t="n">
        <x:v>0</x:v>
      </x:c>
      <x:c r="R891" s="37" t="n">
        <x:v>0</x:v>
      </x:c>
      <x:c r="S891" s="37" t="n">
        <x:v>0</x:v>
      </x:c>
      <x:c r="T891" s="37" t="n">
        <x:v>0</x:v>
      </x:c>
      <x:c r="U891" s="37" t="n">
        <x:v>127500</x:v>
      </x:c>
      <x:c r="V891" s="37" t="n">
        <x:v>0</x:v>
      </x:c>
      <x:c r="W891" s="37" t="n">
        <x:v>22442.401223203167</x:v>
      </x:c>
      <x:c r="X891" s="37" t="n">
        <x:v>0</x:v>
      </x:c>
      <x:c r="Y891" s="37" t="n">
        <x:v>1174.7193167256753</x:v>
      </x:c>
      <x:c r="Z891" s="37" t="n">
        <x:v>0</x:v>
      </x:c>
      <x:c r="AA891" s="37" t="n">
        <x:v>0</x:v>
      </x:c>
      <x:c r="AB891" s="37" t="n">
        <x:v>0</x:v>
      </x:c>
      <x:c r="AC891" s="37" t="n">
        <x:v>1348767.6819064775</x:v>
      </x:c>
      <x:c r="AD891" s="37" t="n">
        <x:v>0</x:v>
      </x:c>
      <x:c r="AE891" s="37" t="n">
        <x:v>0</x:v>
      </x:c>
      <x:c r="AF891" s="47" t="b">
        <x:v>0</x:v>
      </x:c>
      <x:c r="AG891" s="47" t="b">
        <x:v>0</x:v>
      </x:c>
      <x:c r="AH891" s="48" t="n">
        <x:v>0</x:v>
      </x:c>
      <x:c r="AI891" s="48" t="n">
        <x:v>1.1920928955078125e-7</x:v>
      </x:c>
      <x:c r="AJ891" s="37" t="str">
        <x:v>passed</x:v>
      </x:c>
    </x:row>
    <x:row r="892" ht="21" customHeight="1">
      <x:c r="A892" s="2"/>
      <x:c r="B892" s="2"/>
      <x:c r="C892" s="2" t="str">
        <x:v>2022</x:v>
      </x:c>
      <x:c r="D892" s="5" t="n">
        <x:v>44886</x:v>
      </x:c>
      <x:c r="E892" s="2" t="str">
        <x:v>duration</x:v>
      </x:c>
      <x:c r="F892" s="37" t="n">
        <x:v>9357298.792826012</x:v>
      </x:c>
      <x:c r="G892" s="37" t="n">
        <x:v>3693258.507804266</x:v>
      </x:c>
      <x:c r="H892" s="37" t="n">
        <x:v>21147.020133047237</x:v>
      </x:c>
      <x:c r="I892" s="37" t="n">
        <x:v>3672111.487671219</x:v>
      </x:c>
      <x:c r="J892" s="37" t="n">
        <x:v>10325324.44859095</x:v>
      </x:c>
      <x:c r="K892" s="37" t="n">
        <x:v>6632065.940786683</x:v>
      </x:c>
      <x:c r="L892" s="37" t="n">
        <x:v>13050557.300630279</x:v>
      </x:c>
      <x:c r="M892" s="37" t="n">
        <x:v>0</x:v>
      </x:c>
      <x:c r="N892" s="37" t="n">
        <x:v>0</x:v>
      </x:c>
      <x:c r="O892" s="37" t="n">
        <x:v>1538.0175499860197</x:v>
      </x:c>
      <x:c r="P892" s="37" t="n">
        <x:v>0</x:v>
      </x:c>
      <x:c r="Q892" s="37" t="n">
        <x:v>0</x:v>
      </x:c>
      <x:c r="R892" s="37" t="n">
        <x:v>0</x:v>
      </x:c>
      <x:c r="S892" s="37" t="n">
        <x:v>0</x:v>
      </x:c>
      <x:c r="T892" s="37" t="n">
        <x:v>0</x:v>
      </x:c>
      <x:c r="U892" s="37" t="n">
        <x:v>13941.618642774301</x:v>
      </x:c>
      <x:c r="V892" s="37" t="n">
        <x:v>0</x:v>
      </x:c>
      <x:c r="W892" s="37" t="n">
        <x:v>164397.85299900733</x:v>
      </x:c>
      <x:c r="X892" s="37" t="n">
        <x:v>0</x:v>
      </x:c>
      <x:c r="Y892" s="37" t="n">
        <x:v>2009.596223258864</x:v>
      </x:c>
      <x:c r="Z892" s="37" t="n">
        <x:v>6764707.259602417</x:v>
      </x:c>
      <x:c r="AA892" s="37" t="n">
        <x:v>0</x:v>
      </x:c>
      <x:c r="AB892" s="37" t="n">
        <x:v>6764707.259602417</x:v>
      </x:c>
      <x:c r="AC892" s="37" t="n">
        <x:v>2592591.5332235945</x:v>
      </x:c>
      <x:c r="AD892" s="37" t="n">
        <x:v>0</x:v>
      </x:c>
      <x:c r="AE892" s="37" t="n">
        <x:v>0</x:v>
      </x:c>
      <x:c r="AF892" s="47" t="b">
        <x:v>0</x:v>
      </x:c>
      <x:c r="AG892" s="47" t="b">
        <x:v>0</x:v>
      </x:c>
      <x:c r="AH892" s="48" t="n">
        <x:v>0</x:v>
      </x:c>
      <x:c r="AI892" s="48" t="n">
        <x:v>1.1920928955078125e-7</x:v>
      </x:c>
      <x:c r="AJ892" s="37" t="str">
        <x:v>passed</x:v>
      </x:c>
    </x:row>
    <x:row r="893" ht="21" customHeight="1">
      <x:c r="A893" s="2"/>
      <x:c r="B893" s="2"/>
      <x:c r="C893" s="2" t="str">
        <x:v>2022</x:v>
      </x:c>
      <x:c r="D893" s="5" t="n">
        <x:v>44886</x:v>
      </x:c>
      <x:c r="E893" s="2" t="str">
        <x:v>unweighted</x:v>
      </x:c>
      <x:c r="F893" s="37" t="n">
        <x:v>12655240.28368901</x:v>
      </x:c>
      <x:c r="G893" s="37" t="n">
        <x:v>429879.81259553076</x:v>
      </x:c>
      <x:c r="H893" s="37" t="n">
        <x:v>-6138.090348669492</x:v>
      </x:c>
      <x:c r="I893" s="37" t="n">
        <x:v>436017.90294420026</x:v>
      </x:c>
      <x:c r="J893" s="37" t="n">
        <x:v>10349615.055714857</x:v>
      </x:c>
      <x:c r="K893" s="37" t="n">
        <x:v>9919735.243119325</x:v>
      </x:c>
      <x:c r="L893" s="37" t="n">
        <x:v>13085120.096284542</x:v>
      </x:c>
      <x:c r="M893" s="37" t="n">
        <x:v>0</x:v>
      </x:c>
      <x:c r="N893" s="37" t="n">
        <x:v>0</x:v>
      </x:c>
      <x:c r="O893" s="37" t="n">
        <x:v>2080.085512554273</x:v>
      </x:c>
      <x:c r="P893" s="37" t="n">
        <x:v>0</x:v>
      </x:c>
      <x:c r="Q893" s="37" t="n">
        <x:v>0</x:v>
      </x:c>
      <x:c r="R893" s="37" t="n">
        <x:v>0</x:v>
      </x:c>
      <x:c r="S893" s="37" t="n">
        <x:v>0</x:v>
      </x:c>
      <x:c r="T893" s="37" t="n">
        <x:v>0</x:v>
      </x:c>
      <x:c r="U893" s="37" t="n">
        <x:v>23865.148035056256</x:v>
      </x:c>
      <x:c r="V893" s="37" t="n">
        <x:v>0</x:v>
      </x:c>
      <x:c r="W893" s="37" t="n">
        <x:v>216741.5881170705</x:v>
      </x:c>
      <x:c r="X893" s="37" t="n">
        <x:v>0</x:v>
      </x:c>
      <x:c r="Y893" s="37" t="n">
        <x:v>2306.4102741803476</x:v>
      </x:c>
      <x:c r="Z893" s="37" t="n">
        <x:v>10118129.947981711</x:v>
      </x:c>
      <x:c r="AA893" s="37" t="n">
        <x:v>0</x:v>
      </x:c>
      <x:c r="AB893" s="37" t="n">
        <x:v>10118129.947981711</x:v>
      </x:c>
      <x:c r="AC893" s="37" t="n">
        <x:v>2537110.3357072994</x:v>
      </x:c>
      <x:c r="AD893" s="37" t="n">
        <x:v>0</x:v>
      </x:c>
      <x:c r="AE893" s="37" t="n">
        <x:v>0</x:v>
      </x:c>
      <x:c r="AF893" s="47" t="b">
        <x:v>0</x:v>
      </x:c>
      <x:c r="AG893" s="47" t="b">
        <x:v>0</x:v>
      </x:c>
      <x:c r="AH893" s="48" t="n">
        <x:v>0</x:v>
      </x:c>
      <x:c r="AI893" s="48" t="n">
        <x:v>1.1920928955078125e-7</x:v>
      </x:c>
      <x:c r="AJ893" s="37" t="str">
        <x:v>passed</x:v>
      </x:c>
    </x:row>
    <x:row r="894" ht="21" customHeight="1">
      <x:c r="A894" s="2"/>
      <x:c r="B894" s="2"/>
      <x:c r="C894" s="2" t="str">
        <x:v>2022</x:v>
      </x:c>
      <x:c r="D894" s="5" t="n">
        <x:v>44886</x:v>
      </x:c>
      <x:c r="E894" s="2" t="str">
        <x:v>constrained</x:v>
      </x:c>
      <x:c r="F894" s="37" t="n">
        <x:v>13183439.834885875</x:v>
      </x:c>
      <x:c r="G894" s="37" t="n">
        <x:v>-3338.805919647283</x:v>
      </x:c>
      <x:c r="H894" s="37" t="n">
        <x:v>-8152.612776557708</x:v>
      </x:c>
      <x:c r="I894" s="37" t="n">
        <x:v>4813.806856910424</x:v>
      </x:c>
      <x:c r="J894" s="37" t="n">
        <x:v>10362858.800339723</x:v>
      </x:c>
      <x:c r="K894" s="37" t="n">
        <x:v>10366197.60625937</x:v>
      </x:c>
      <x:c r="L894" s="37" t="n">
        <x:v>13180101.028966228</x:v>
      </x:c>
      <x:c r="M894" s="37" t="n">
        <x:v>0</x:v>
      </x:c>
      <x:c r="N894" s="37" t="n">
        <x:v>0</x:v>
      </x:c>
      <x:c r="O894" s="37" t="n">
        <x:v>2166.9033215846866</x:v>
      </x:c>
      <x:c r="P894" s="37" t="n">
        <x:v>0</x:v>
      </x:c>
      <x:c r="Q894" s="37" t="n">
        <x:v>0</x:v>
      </x:c>
      <x:c r="R894" s="37" t="n">
        <x:v>0</x:v>
      </x:c>
      <x:c r="S894" s="37" t="n">
        <x:v>0</x:v>
      </x:c>
      <x:c r="T894" s="37" t="n">
        <x:v>0</x:v>
      </x:c>
      <x:c r="U894" s="37" t="n">
        <x:v>18078.95687293657</x:v>
      </x:c>
      <x:c r="V894" s="37" t="n">
        <x:v>0</x:v>
      </x:c>
      <x:c r="W894" s="37" t="n">
        <x:v>231565.45490160584</x:v>
      </x:c>
      <x:c r="X894" s="37" t="n">
        <x:v>0</x:v>
      </x:c>
      <x:c r="Y894" s="37" t="n">
        <x:v>2404.245957223995</x:v>
      </x:c>
      <x:c r="Z894" s="37" t="n">
        <x:v>10573521.558384558</x:v>
      </x:c>
      <x:c r="AA894" s="37" t="n">
        <x:v>0</x:v>
      </x:c>
      <x:c r="AB894" s="37" t="n">
        <x:v>10573521.558384558</x:v>
      </x:c>
      <x:c r="AC894" s="37" t="n">
        <x:v>2609918.2765013166</x:v>
      </x:c>
      <x:c r="AD894" s="37" t="n">
        <x:v>0</x:v>
      </x:c>
      <x:c r="AE894" s="37" t="n">
        <x:v>0</x:v>
      </x:c>
      <x:c r="AF894" s="47" t="b">
        <x:v>0</x:v>
      </x:c>
      <x:c r="AG894" s="47" t="b">
        <x:v>0</x:v>
      </x:c>
      <x:c r="AH894" s="48" t="n">
        <x:v>0</x:v>
      </x:c>
      <x:c r="AI894" s="48" t="n">
        <x:v>1.1920928955078125e-7</x:v>
      </x:c>
      <x:c r="AJ894" s="37" t="str">
        <x:v>passed</x:v>
      </x:c>
    </x:row>
    <x:row r="895" ht="21" customHeight="1">
      <x:c r="A895" s="2"/>
      <x:c r="B895" s="2"/>
      <x:c r="C895" s="2" t="str">
        <x:v>2022</x:v>
      </x:c>
      <x:c r="D895" s="5" t="n">
        <x:v>44887</x:v>
      </x:c>
      <x:c r="E895" s="2" t="str">
        <x:v>unhedged</x:v>
      </x:c>
      <x:c r="F895" s="37" t="n">
        <x:v>1348841.5869849382</x:v>
      </x:c>
      <x:c r="G895" s="37" t="n">
        <x:v>10369614.40732268</x:v>
      </x:c>
      <x:c r="H895" s="37" t="n">
        <x:v>23367.238169589236</x:v>
      </x:c>
      <x:c r="I895" s="37" t="n">
        <x:v>10346247.16915309</x:v>
      </x:c>
      <x:c r="J895" s="37" t="n">
        <x:v>10369614.40732268</x:v>
      </x:c>
      <x:c r="K895" s="37" t="n">
        <x:v>0</x:v>
      </x:c>
      <x:c r="L895" s="37" t="n">
        <x:v>11718455.994307619</x:v>
      </x:c>
      <x:c r="M895" s="37" t="n">
        <x:v>0</x:v>
      </x:c>
      <x:c r="N895" s="37" t="n">
        <x:v>0</x:v>
      </x:c>
      <x:c r="O895" s="37" t="n">
        <x:v>73.90507846069522</x:v>
      </x:c>
      <x:c r="P895" s="37" t="n">
        <x:v>0</x:v>
      </x:c>
      <x:c r="Q895" s="37" t="n">
        <x:v>0</x:v>
      </x:c>
      <x:c r="R895" s="37" t="n">
        <x:v>0</x:v>
      </x:c>
      <x:c r="S895" s="37" t="n">
        <x:v>0</x:v>
      </x:c>
      <x:c r="T895" s="37" t="n">
        <x:v>0</x:v>
      </x:c>
      <x:c r="U895" s="37" t="n">
        <x:v>127500</x:v>
      </x:c>
      <x:c r="V895" s="37" t="n">
        <x:v>0</x:v>
      </x:c>
      <x:c r="W895" s="37" t="n">
        <x:v>22516.306301663863</x:v>
      </x:c>
      <x:c r="X895" s="37" t="n">
        <x:v>0</x:v>
      </x:c>
      <x:c r="Y895" s="37" t="n">
        <x:v>1174.7193167256753</x:v>
      </x:c>
      <x:c r="Z895" s="37" t="n">
        <x:v>0</x:v>
      </x:c>
      <x:c r="AA895" s="37" t="n">
        <x:v>0</x:v>
      </x:c>
      <x:c r="AB895" s="37" t="n">
        <x:v>0</x:v>
      </x:c>
      <x:c r="AC895" s="37" t="n">
        <x:v>1348841.5869849382</x:v>
      </x:c>
      <x:c r="AD895" s="37" t="n">
        <x:v>0</x:v>
      </x:c>
      <x:c r="AE895" s="37" t="n">
        <x:v>0</x:v>
      </x:c>
      <x:c r="AF895" s="47" t="b">
        <x:v>0</x:v>
      </x:c>
      <x:c r="AG895" s="47" t="b">
        <x:v>0</x:v>
      </x:c>
      <x:c r="AH895" s="48" t="n">
        <x:v>0</x:v>
      </x:c>
      <x:c r="AI895" s="48" t="n">
        <x:v>1.1920928955078125e-7</x:v>
      </x:c>
      <x:c r="AJ895" s="37" t="str">
        <x:v>passed</x:v>
      </x:c>
    </x:row>
    <x:row r="896" ht="21" customHeight="1">
      <x:c r="A896" s="2"/>
      <x:c r="B896" s="2"/>
      <x:c r="C896" s="2" t="str">
        <x:v>2022</x:v>
      </x:c>
      <x:c r="D896" s="5" t="n">
        <x:v>44887</x:v>
      </x:c>
      <x:c r="E896" s="2" t="str">
        <x:v>duration</x:v>
      </x:c>
      <x:c r="F896" s="37" t="n">
        <x:v>9357811.521526989</x:v>
      </x:c>
      <x:c r="G896" s="37" t="n">
        <x:v>3673419.7586098807</x:v>
      </x:c>
      <x:c r="H896" s="37" t="n">
        <x:v>21183.954427781628</x:v>
      </x:c>
      <x:c r="I896" s="37" t="n">
        <x:v>3652235.804182099</x:v>
      </x:c>
      <x:c r="J896" s="37" t="n">
        <x:v>10369614.40732268</x:v>
      </x:c>
      <x:c r="K896" s="37" t="n">
        <x:v>6696194.6487128</x:v>
      </x:c>
      <x:c r="L896" s="37" t="n">
        <x:v>13031231.280136868</x:v>
      </x:c>
      <x:c r="M896" s="37" t="n">
        <x:v>0</x:v>
      </x:c>
      <x:c r="N896" s="37" t="n">
        <x:v>0</x:v>
      </x:c>
      <x:c r="O896" s="37" t="n">
        <x:v>512.7287009768188</x:v>
      </x:c>
      <x:c r="P896" s="37" t="n">
        <x:v>0</x:v>
      </x:c>
      <x:c r="Q896" s="37" t="n">
        <x:v>0</x:v>
      </x:c>
      <x:c r="R896" s="37" t="n">
        <x:v>0</x:v>
      </x:c>
      <x:c r="S896" s="37" t="n">
        <x:v>0</x:v>
      </x:c>
      <x:c r="T896" s="37" t="n">
        <x:v>0</x:v>
      </x:c>
      <x:c r="U896" s="37" t="n">
        <x:v>13941.618642774301</x:v>
      </x:c>
      <x:c r="V896" s="37" t="n">
        <x:v>0</x:v>
      </x:c>
      <x:c r="W896" s="37" t="n">
        <x:v>164910.58169998415</x:v>
      </x:c>
      <x:c r="X896" s="37" t="n">
        <x:v>0</x:v>
      </x:c>
      <x:c r="Y896" s="37" t="n">
        <x:v>2009.596223258864</x:v>
      </x:c>
      <x:c r="Z896" s="37" t="n">
        <x:v>6830118.541687056</x:v>
      </x:c>
      <x:c r="AA896" s="37" t="n">
        <x:v>0</x:v>
      </x:c>
      <x:c r="AB896" s="37" t="n">
        <x:v>6830118.541687056</x:v>
      </x:c>
      <x:c r="AC896" s="37" t="n">
        <x:v>2527692.979839932</x:v>
      </x:c>
      <x:c r="AD896" s="37" t="n">
        <x:v>0</x:v>
      </x:c>
      <x:c r="AE896" s="37" t="n">
        <x:v>0</x:v>
      </x:c>
      <x:c r="AF896" s="47" t="b">
        <x:v>0</x:v>
      </x:c>
      <x:c r="AG896" s="47" t="b">
        <x:v>0</x:v>
      </x:c>
      <x:c r="AH896" s="48" t="n">
        <x:v>0</x:v>
      </x:c>
      <x:c r="AI896" s="48" t="n">
        <x:v>1.1920928955078125e-7</x:v>
      </x:c>
      <x:c r="AJ896" s="37" t="str">
        <x:v>passed</x:v>
      </x:c>
    </x:row>
    <x:row r="897" ht="21" customHeight="1">
      <x:c r="A897" s="2"/>
      <x:c r="B897" s="2"/>
      <x:c r="C897" s="2" t="str">
        <x:v>2022</x:v>
      </x:c>
      <x:c r="D897" s="5" t="n">
        <x:v>44887</x:v>
      </x:c>
      <x:c r="E897" s="2" t="str">
        <x:v>unweighted</x:v>
      </x:c>
      <x:c r="F897" s="37" t="n">
        <x:v>12655933.721512778</x:v>
      </x:c>
      <x:c r="G897" s="37" t="n">
        <x:v>429986.41265086643</x:v>
      </x:c>
      <x:c r="H897" s="37" t="n">
        <x:v>-6159.615934020563</x:v>
      </x:c>
      <x:c r="I897" s="37" t="n">
        <x:v>436146.028584887</x:v>
      </x:c>
      <x:c r="J897" s="37" t="n">
        <x:v>10394236.363425568</x:v>
      </x:c>
      <x:c r="K897" s="37" t="n">
        <x:v>9964249.950774701</x:v>
      </x:c>
      <x:c r="L897" s="37" t="n">
        <x:v>13085920.134163644</x:v>
      </x:c>
      <x:c r="M897" s="37" t="n">
        <x:v>0</x:v>
      </x:c>
      <x:c r="N897" s="37" t="n">
        <x:v>0</x:v>
      </x:c>
      <x:c r="O897" s="37" t="n">
        <x:v>693.4378237668425</x:v>
      </x:c>
      <x:c r="P897" s="37" t="n">
        <x:v>0</x:v>
      </x:c>
      <x:c r="Q897" s="37" t="n">
        <x:v>0</x:v>
      </x:c>
      <x:c r="R897" s="37" t="n">
        <x:v>0</x:v>
      </x:c>
      <x:c r="S897" s="37" t="n">
        <x:v>0</x:v>
      </x:c>
      <x:c r="T897" s="37" t="n">
        <x:v>0</x:v>
      </x:c>
      <x:c r="U897" s="37" t="n">
        <x:v>23865.148035056256</x:v>
      </x:c>
      <x:c r="V897" s="37" t="n">
        <x:v>0</x:v>
      </x:c>
      <x:c r="W897" s="37" t="n">
        <x:v>217435.02594083734</x:v>
      </x:c>
      <x:c r="X897" s="37" t="n">
        <x:v>0</x:v>
      </x:c>
      <x:c r="Y897" s="37" t="n">
        <x:v>2306.4102741803476</x:v>
      </x:c>
      <x:c r="Z897" s="37" t="n">
        <x:v>10163534.949790195</x:v>
      </x:c>
      <x:c r="AA897" s="37" t="n">
        <x:v>0</x:v>
      </x:c>
      <x:c r="AB897" s="37" t="n">
        <x:v>10163534.949790195</x:v>
      </x:c>
      <x:c r="AC897" s="37" t="n">
        <x:v>2492398.771722583</x:v>
      </x:c>
      <x:c r="AD897" s="37" t="n">
        <x:v>0</x:v>
      </x:c>
      <x:c r="AE897" s="37" t="n">
        <x:v>0</x:v>
      </x:c>
      <x:c r="AF897" s="47" t="b">
        <x:v>0</x:v>
      </x:c>
      <x:c r="AG897" s="47" t="b">
        <x:v>0</x:v>
      </x:c>
      <x:c r="AH897" s="48" t="n">
        <x:v>0</x:v>
      </x:c>
      <x:c r="AI897" s="48" t="n">
        <x:v>1.1920928955078125e-7</x:v>
      </x:c>
      <x:c r="AJ897" s="37" t="str">
        <x:v>passed</x:v>
      </x:c>
    </x:row>
    <x:row r="898" ht="21" customHeight="1">
      <x:c r="A898" s="2"/>
      <x:c r="B898" s="2"/>
      <x:c r="C898" s="2" t="str">
        <x:v>2022</x:v>
      </x:c>
      <x:c r="D898" s="5" t="n">
        <x:v>44887</x:v>
      </x:c>
      <x:c r="E898" s="2" t="str">
        <x:v>constrained</x:v>
      </x:c>
      <x:c r="F898" s="37" t="n">
        <x:v>13184162.215150801</x:v>
      </x:c>
      <x:c r="G898" s="37" t="n">
        <x:v>-4329.644805377292</x:v>
      </x:c>
      <x:c r="H898" s="37" t="n">
        <x:v>-8190.652661746077</x:v>
      </x:c>
      <x:c r="I898" s="37" t="n">
        <x:v>3861.007856368785</x:v>
      </x:c>
      <x:c r="J898" s="37" t="n">
        <x:v>10407655.632068878</x:v>
      </x:c>
      <x:c r="K898" s="37" t="n">
        <x:v>10411985.276874255</x:v>
      </x:c>
      <x:c r="L898" s="37" t="n">
        <x:v>13179832.570345424</x:v>
      </x:c>
      <x:c r="M898" s="37" t="n">
        <x:v>0</x:v>
      </x:c>
      <x:c r="N898" s="37" t="n">
        <x:v>0</x:v>
      </x:c>
      <x:c r="O898" s="37" t="n">
        <x:v>722.3802649267018</x:v>
      </x:c>
      <x:c r="P898" s="37" t="n">
        <x:v>0</x:v>
      </x:c>
      <x:c r="Q898" s="37" t="n">
        <x:v>0</x:v>
      </x:c>
      <x:c r="R898" s="37" t="n">
        <x:v>0</x:v>
      </x:c>
      <x:c r="S898" s="37" t="n">
        <x:v>0</x:v>
      </x:c>
      <x:c r="T898" s="37" t="n">
        <x:v>0</x:v>
      </x:c>
      <x:c r="U898" s="37" t="n">
        <x:v>18078.95687293657</x:v>
      </x:c>
      <x:c r="V898" s="37" t="n">
        <x:v>0</x:v>
      </x:c>
      <x:c r="W898" s="37" t="n">
        <x:v>232287.83516653255</x:v>
      </x:c>
      <x:c r="X898" s="37" t="n">
        <x:v>0</x:v>
      </x:c>
      <x:c r="Y898" s="37" t="n">
        <x:v>2404.245957223995</x:v>
      </x:c>
      <x:c r="Z898" s="37" t="n">
        <x:v>10620224.98241174</x:v>
      </x:c>
      <x:c r="AA898" s="37" t="n">
        <x:v>0</x:v>
      </x:c>
      <x:c r="AB898" s="37" t="n">
        <x:v>10620224.98241174</x:v>
      </x:c>
      <x:c r="AC898" s="37" t="n">
        <x:v>2563937.232739061</x:v>
      </x:c>
      <x:c r="AD898" s="37" t="n">
        <x:v>0</x:v>
      </x:c>
      <x:c r="AE898" s="37" t="n">
        <x:v>0</x:v>
      </x:c>
      <x:c r="AF898" s="47" t="b">
        <x:v>0</x:v>
      </x:c>
      <x:c r="AG898" s="47" t="b">
        <x:v>0</x:v>
      </x:c>
      <x:c r="AH898" s="48" t="n">
        <x:v>0</x:v>
      </x:c>
      <x:c r="AI898" s="48" t="n">
        <x:v>1.1920928955078125e-7</x:v>
      </x:c>
      <x:c r="AJ898" s="37" t="str">
        <x:v>passed</x:v>
      </x:c>
    </x:row>
    <x:row r="899" ht="21" customHeight="1">
      <x:c r="A899" s="2"/>
      <x:c r="B899" s="2"/>
      <x:c r="C899" s="2" t="str">
        <x:v>2022</x:v>
      </x:c>
      <x:c r="D899" s="5" t="n">
        <x:v>44888</x:v>
      </x:c>
      <x:c r="E899" s="2" t="str">
        <x:v>unhedged</x:v>
      </x:c>
      <x:c r="F899" s="37" t="n">
        <x:v>1348915.4961129925</x:v>
      </x:c>
      <x:c r="G899" s="37" t="n">
        <x:v>10400970.702858485</x:v>
      </x:c>
      <x:c r="H899" s="37" t="n">
        <x:v>23716.07014172472</x:v>
      </x:c>
      <x:c r="I899" s="37" t="n">
        <x:v>10377254.63271676</x:v>
      </x:c>
      <x:c r="J899" s="37" t="n">
        <x:v>10400970.702858485</x:v>
      </x:c>
      <x:c r="K899" s="37" t="n">
        <x:v>0</x:v>
      </x:c>
      <x:c r="L899" s="37" t="n">
        <x:v>11749886.198971478</x:v>
      </x:c>
      <x:c r="M899" s="37" t="n">
        <x:v>0</x:v>
      </x:c>
      <x:c r="N899" s="37" t="n">
        <x:v>0</x:v>
      </x:c>
      <x:c r="O899" s="37" t="n">
        <x:v>73.90912805427797</x:v>
      </x:c>
      <x:c r="P899" s="37" t="n">
        <x:v>0</x:v>
      </x:c>
      <x:c r="Q899" s="37" t="n">
        <x:v>0</x:v>
      </x:c>
      <x:c r="R899" s="37" t="n">
        <x:v>0</x:v>
      </x:c>
      <x:c r="S899" s="37" t="n">
        <x:v>0</x:v>
      </x:c>
      <x:c r="T899" s="37" t="n">
        <x:v>0</x:v>
      </x:c>
      <x:c r="U899" s="37" t="n">
        <x:v>127500</x:v>
      </x:c>
      <x:c r="V899" s="37" t="n">
        <x:v>0</x:v>
      </x:c>
      <x:c r="W899" s="37" t="n">
        <x:v>22590.21542971814</x:v>
      </x:c>
      <x:c r="X899" s="37" t="n">
        <x:v>0</x:v>
      </x:c>
      <x:c r="Y899" s="37" t="n">
        <x:v>1174.7193167256753</x:v>
      </x:c>
      <x:c r="Z899" s="37" t="n">
        <x:v>0</x:v>
      </x:c>
      <x:c r="AA899" s="37" t="n">
        <x:v>0</x:v>
      </x:c>
      <x:c r="AB899" s="37" t="n">
        <x:v>0</x:v>
      </x:c>
      <x:c r="AC899" s="37" t="n">
        <x:v>1348915.4961129925</x:v>
      </x:c>
      <x:c r="AD899" s="37" t="n">
        <x:v>0</x:v>
      </x:c>
      <x:c r="AE899" s="37" t="n">
        <x:v>0</x:v>
      </x:c>
      <x:c r="AF899" s="47" t="b">
        <x:v>0</x:v>
      </x:c>
      <x:c r="AG899" s="47" t="b">
        <x:v>0</x:v>
      </x:c>
      <x:c r="AH899" s="48" t="n">
        <x:v>0</x:v>
      </x:c>
      <x:c r="AI899" s="48" t="n">
        <x:v>1.1920928955078125e-7</x:v>
      </x:c>
      <x:c r="AJ899" s="37" t="str">
        <x:v>passed</x:v>
      </x:c>
    </x:row>
    <x:row r="900" ht="21" customHeight="1">
      <x:c r="A900" s="2"/>
      <x:c r="B900" s="2"/>
      <x:c r="C900" s="2" t="str">
        <x:v>2022</x:v>
      </x:c>
      <x:c r="D900" s="5" t="n">
        <x:v>44888</x:v>
      </x:c>
      <x:c r="E900" s="2" t="str">
        <x:v>duration</x:v>
      </x:c>
      <x:c r="F900" s="37" t="n">
        <x:v>9358324.27832269</x:v>
      </x:c>
      <x:c r="G900" s="37" t="n">
        <x:v>3669358.7300936</x:v>
      </x:c>
      <x:c r="H900" s="37" t="n">
        <x:v>21220.888722516018</x:v>
      </x:c>
      <x:c r="I900" s="37" t="n">
        <x:v>3648137.841371084</x:v>
      </x:c>
      <x:c r="J900" s="37" t="n">
        <x:v>10400970.702858485</x:v>
      </x:c>
      <x:c r="K900" s="37" t="n">
        <x:v>6731611.972764884</x:v>
      </x:c>
      <x:c r="L900" s="37" t="n">
        <x:v>13027683.00841629</x:v>
      </x:c>
      <x:c r="M900" s="37" t="n">
        <x:v>0</x:v>
      </x:c>
      <x:c r="N900" s="37" t="n">
        <x:v>0</x:v>
      </x:c>
      <x:c r="O900" s="37" t="n">
        <x:v>512.7567957006395</x:v>
      </x:c>
      <x:c r="P900" s="37" t="n">
        <x:v>0</x:v>
      </x:c>
      <x:c r="Q900" s="37" t="n">
        <x:v>0</x:v>
      </x:c>
      <x:c r="R900" s="37" t="n">
        <x:v>0</x:v>
      </x:c>
      <x:c r="S900" s="37" t="n">
        <x:v>0</x:v>
      </x:c>
      <x:c r="T900" s="37" t="n">
        <x:v>0</x:v>
      </x:c>
      <x:c r="U900" s="37" t="n">
        <x:v>13941.618642774301</x:v>
      </x:c>
      <x:c r="V900" s="37" t="n">
        <x:v>0</x:v>
      </x:c>
      <x:c r="W900" s="37" t="n">
        <x:v>165423.3384956848</x:v>
      </x:c>
      <x:c r="X900" s="37" t="n">
        <x:v>0</x:v>
      </x:c>
      <x:c r="Y900" s="37" t="n">
        <x:v>2009.596223258864</x:v>
      </x:c>
      <x:c r="Z900" s="37" t="n">
        <x:v>6866244.212220182</x:v>
      </x:c>
      <x:c r="AA900" s="37" t="n">
        <x:v>0</x:v>
      </x:c>
      <x:c r="AB900" s="37" t="n">
        <x:v>6866244.212220182</x:v>
      </x:c>
      <x:c r="AC900" s="37" t="n">
        <x:v>2492080.0661025075</x:v>
      </x:c>
      <x:c r="AD900" s="37" t="n">
        <x:v>0</x:v>
      </x:c>
      <x:c r="AE900" s="37" t="n">
        <x:v>0</x:v>
      </x:c>
      <x:c r="AF900" s="47" t="b">
        <x:v>0</x:v>
      </x:c>
      <x:c r="AG900" s="47" t="b">
        <x:v>0</x:v>
      </x:c>
      <x:c r="AH900" s="48" t="n">
        <x:v>0</x:v>
      </x:c>
      <x:c r="AI900" s="48" t="n">
        <x:v>1.1920928955078125e-7</x:v>
      </x:c>
      <x:c r="AJ900" s="37" t="str">
        <x:v>passed</x:v>
      </x:c>
    </x:row>
    <x:row r="901" ht="21" customHeight="1">
      <x:c r="A901" s="2"/>
      <x:c r="B901" s="2"/>
      <x:c r="C901" s="2" t="str">
        <x:v>2022</x:v>
      </x:c>
      <x:c r="D901" s="5" t="n">
        <x:v>44888</x:v>
      </x:c>
      <x:c r="E901" s="2" t="str">
        <x:v>unweighted</x:v>
      </x:c>
      <x:c r="F901" s="37" t="n">
        <x:v>12656627.197333135</x:v>
      </x:c>
      <x:c r="G901" s="37" t="n">
        <x:v>431200.39048116904</x:v>
      </x:c>
      <x:c r="H901" s="37" t="n">
        <x:v>-6181.141519371633</x:v>
      </x:c>
      <x:c r="I901" s="37" t="n">
        <x:v>437381.5320005407</x:v>
      </x:c>
      <x:c r="J901" s="37" t="n">
        <x:v>10425891.064464366</x:v>
      </x:c>
      <x:c r="K901" s="37" t="n">
        <x:v>9994690.673983198</x:v>
      </x:c>
      <x:c r="L901" s="37" t="n">
        <x:v>13087827.587814303</x:v>
      </x:c>
      <x:c r="M901" s="37" t="n">
        <x:v>0</x:v>
      </x:c>
      <x:c r="N901" s="37" t="n">
        <x:v>0</x:v>
      </x:c>
      <x:c r="O901" s="37" t="n">
        <x:v>693.47582035698</x:v>
      </x:c>
      <x:c r="P901" s="37" t="n">
        <x:v>0</x:v>
      </x:c>
      <x:c r="Q901" s="37" t="n">
        <x:v>0</x:v>
      </x:c>
      <x:c r="R901" s="37" t="n">
        <x:v>0</x:v>
      </x:c>
      <x:c r="S901" s="37" t="n">
        <x:v>0</x:v>
      </x:c>
      <x:c r="T901" s="37" t="n">
        <x:v>0</x:v>
      </x:c>
      <x:c r="U901" s="37" t="n">
        <x:v>23865.148035056256</x:v>
      </x:c>
      <x:c r="V901" s="37" t="n">
        <x:v>0</x:v>
      </x:c>
      <x:c r="W901" s="37" t="n">
        <x:v>218128.50176119432</x:v>
      </x:c>
      <x:c r="X901" s="37" t="n">
        <x:v>0</x:v>
      </x:c>
      <x:c r="Y901" s="37" t="n">
        <x:v>2306.4102741803476</x:v>
      </x:c>
      <x:c r="Z901" s="37" t="n">
        <x:v>10194584.487462861</x:v>
      </x:c>
      <x:c r="AA901" s="37" t="n">
        <x:v>0</x:v>
      </x:c>
      <x:c r="AB901" s="37" t="n">
        <x:v>10194584.487462861</x:v>
      </x:c>
      <x:c r="AC901" s="37" t="n">
        <x:v>2462042.7098702732</x:v>
      </x:c>
      <x:c r="AD901" s="37" t="n">
        <x:v>0</x:v>
      </x:c>
      <x:c r="AE901" s="37" t="n">
        <x:v>0</x:v>
      </x:c>
      <x:c r="AF901" s="47" t="b">
        <x:v>0</x:v>
      </x:c>
      <x:c r="AG901" s="47" t="b">
        <x:v>0</x:v>
      </x:c>
      <x:c r="AH901" s="48" t="n">
        <x:v>0</x:v>
      </x:c>
      <x:c r="AI901" s="48" t="n">
        <x:v>1.1920928955078125e-7</x:v>
      </x:c>
      <x:c r="AJ901" s="37" t="str">
        <x:v>passed</x:v>
      </x:c>
    </x:row>
    <x:row r="902" ht="21" customHeight="1">
      <x:c r="A902" s="2"/>
      <x:c r="B902" s="2"/>
      <x:c r="C902" s="2" t="str">
        <x:v>2022</x:v>
      </x:c>
      <x:c r="D902" s="5" t="n">
        <x:v>44888</x:v>
      </x:c>
      <x:c r="E902" s="2" t="str">
        <x:v>constrained</x:v>
      </x:c>
      <x:c r="F902" s="37" t="n">
        <x:v>13184884.634998208</x:v>
      </x:c>
      <x:c r="G902" s="37" t="n">
        <x:v>-4257.37712576243</x:v>
      </x:c>
      <x:c r="H902" s="37" t="n">
        <x:v>-8228.692546934442</x:v>
      </x:c>
      <x:c r="I902" s="37" t="n">
        <x:v>3971.315421172012</x:v>
      </x:c>
      <x:c r="J902" s="37" t="n">
        <x:v>10439457.812825402</x:v>
      </x:c>
      <x:c r="K902" s="37" t="n">
        <x:v>10443715.189951165</x:v>
      </x:c>
      <x:c r="L902" s="37" t="n">
        <x:v>13180627.257872446</x:v>
      </x:c>
      <x:c r="M902" s="37" t="n">
        <x:v>0</x:v>
      </x:c>
      <x:c r="N902" s="37" t="n">
        <x:v>0</x:v>
      </x:c>
      <x:c r="O902" s="37" t="n">
        <x:v>722.4198474064469</x:v>
      </x:c>
      <x:c r="P902" s="37" t="n">
        <x:v>0</x:v>
      </x:c>
      <x:c r="Q902" s="37" t="n">
        <x:v>0</x:v>
      </x:c>
      <x:c r="R902" s="37" t="n">
        <x:v>0</x:v>
      </x:c>
      <x:c r="S902" s="37" t="n">
        <x:v>0</x:v>
      </x:c>
      <x:c r="T902" s="37" t="n">
        <x:v>0</x:v>
      </x:c>
      <x:c r="U902" s="37" t="n">
        <x:v>18078.95687293657</x:v>
      </x:c>
      <x:c r="V902" s="37" t="n">
        <x:v>0</x:v>
      </x:c>
      <x:c r="W902" s="37" t="n">
        <x:v>233010.255013939</x:v>
      </x:c>
      <x:c r="X902" s="37" t="n">
        <x:v>0</x:v>
      </x:c>
      <x:c r="Y902" s="37" t="n">
        <x:v>2404.245957223995</x:v>
      </x:c>
      <x:c r="Z902" s="37" t="n">
        <x:v>10652589.493750188</x:v>
      </x:c>
      <x:c r="AA902" s="37" t="n">
        <x:v>0</x:v>
      </x:c>
      <x:c r="AB902" s="37" t="n">
        <x:v>10652589.493750188</x:v>
      </x:c>
      <x:c r="AC902" s="37" t="n">
        <x:v>2532295.1412480194</x:v>
      </x:c>
      <x:c r="AD902" s="37" t="n">
        <x:v>0</x:v>
      </x:c>
      <x:c r="AE902" s="37" t="n">
        <x:v>0</x:v>
      </x:c>
      <x:c r="AF902" s="47" t="b">
        <x:v>0</x:v>
      </x:c>
      <x:c r="AG902" s="47" t="b">
        <x:v>0</x:v>
      </x:c>
      <x:c r="AH902" s="48" t="n">
        <x:v>0</x:v>
      </x:c>
      <x:c r="AI902" s="48" t="n">
        <x:v>1.1920928955078125e-7</x:v>
      </x:c>
      <x:c r="AJ902" s="37" t="str">
        <x:v>passed</x:v>
      </x:c>
    </x:row>
    <x:row r="903" ht="21" customHeight="1">
      <x:c r="A903" s="2"/>
      <x:c r="B903" s="2"/>
      <x:c r="C903" s="2" t="str">
        <x:v>2022</x:v>
      </x:c>
      <x:c r="D903" s="5" t="n">
        <x:v>44890</x:v>
      </x:c>
      <x:c r="E903" s="2" t="str">
        <x:v>unhedged</x:v>
      </x:c>
      <x:c r="F903" s="37" t="n">
        <x:v>1349063.3265187682</x:v>
      </x:c>
      <x:c r="G903" s="37" t="n">
        <x:v>10420171.378115272</x:v>
      </x:c>
      <x:c r="H903" s="37" t="n">
        <x:v>24413.73408599568</x:v>
      </x:c>
      <x:c r="I903" s="37" t="n">
        <x:v>10395757.644029276</x:v>
      </x:c>
      <x:c r="J903" s="37" t="n">
        <x:v>10420171.378115272</x:v>
      </x:c>
      <x:c r="K903" s="37" t="n">
        <x:v>0</x:v>
      </x:c>
      <x:c r="L903" s="37" t="n">
        <x:v>11769234.70463404</x:v>
      </x:c>
      <x:c r="M903" s="37" t="n">
        <x:v>0</x:v>
      </x:c>
      <x:c r="N903" s="37" t="n">
        <x:v>0</x:v>
      </x:c>
      <x:c r="O903" s="37" t="n">
        <x:v>147.83040577569045</x:v>
      </x:c>
      <x:c r="P903" s="37" t="n">
        <x:v>0</x:v>
      </x:c>
      <x:c r="Q903" s="37" t="n">
        <x:v>0</x:v>
      </x:c>
      <x:c r="R903" s="37" t="n">
        <x:v>0</x:v>
      </x:c>
      <x:c r="S903" s="37" t="n">
        <x:v>0</x:v>
      </x:c>
      <x:c r="T903" s="37" t="n">
        <x:v>0</x:v>
      </x:c>
      <x:c r="U903" s="37" t="n">
        <x:v>127500</x:v>
      </x:c>
      <x:c r="V903" s="37" t="n">
        <x:v>0</x:v>
      </x:c>
      <x:c r="W903" s="37" t="n">
        <x:v>22738.04583549383</x:v>
      </x:c>
      <x:c r="X903" s="37" t="n">
        <x:v>0</x:v>
      </x:c>
      <x:c r="Y903" s="37" t="n">
        <x:v>1174.7193167256753</x:v>
      </x:c>
      <x:c r="Z903" s="37" t="n">
        <x:v>0</x:v>
      </x:c>
      <x:c r="AA903" s="37" t="n">
        <x:v>0</x:v>
      </x:c>
      <x:c r="AB903" s="37" t="n">
        <x:v>0</x:v>
      </x:c>
      <x:c r="AC903" s="37" t="n">
        <x:v>1349063.3265187682</x:v>
      </x:c>
      <x:c r="AD903" s="37" t="n">
        <x:v>0</x:v>
      </x:c>
      <x:c r="AE903" s="37" t="n">
        <x:v>0</x:v>
      </x:c>
      <x:c r="AF903" s="47" t="b">
        <x:v>0</x:v>
      </x:c>
      <x:c r="AG903" s="47" t="b">
        <x:v>0</x:v>
      </x:c>
      <x:c r="AH903" s="48" t="n">
        <x:v>0</x:v>
      </x:c>
      <x:c r="AI903" s="48" t="n">
        <x:v>1.1920928955078125e-7</x:v>
      </x:c>
      <x:c r="AJ903" s="37" t="str">
        <x:v>passed</x:v>
      </x:c>
    </x:row>
    <x:row r="904" ht="21" customHeight="1">
      <x:c r="A904" s="2"/>
      <x:c r="B904" s="2"/>
      <x:c r="C904" s="2" t="str">
        <x:v>2022</x:v>
      </x:c>
      <x:c r="D904" s="5" t="n">
        <x:v>44890</x:v>
      </x:c>
      <x:c r="E904" s="2" t="str">
        <x:v>duration</x:v>
      </x:c>
      <x:c r="F904" s="37" t="n">
        <x:v>9359349.876204418</x:v>
      </x:c>
      <x:c r="G904" s="37" t="n">
        <x:v>3670493.153816576</x:v>
      </x:c>
      <x:c r="H904" s="37" t="n">
        <x:v>21294.757311984806</x:v>
      </x:c>
      <x:c r="I904" s="37" t="n">
        <x:v>3649198.396504591</x:v>
      </x:c>
      <x:c r="J904" s="37" t="n">
        <x:v>10420171.378115272</x:v>
      </x:c>
      <x:c r="K904" s="37" t="n">
        <x:v>6749678.224298697</x:v>
      </x:c>
      <x:c r="L904" s="37" t="n">
        <x:v>13029843.030020993</x:v>
      </x:c>
      <x:c r="M904" s="37" t="n">
        <x:v>0</x:v>
      </x:c>
      <x:c r="N904" s="37" t="n">
        <x:v>0</x:v>
      </x:c>
      <x:c r="O904" s="37" t="n">
        <x:v>1025.5978817287832</x:v>
      </x:c>
      <x:c r="P904" s="37" t="n">
        <x:v>0</x:v>
      </x:c>
      <x:c r="Q904" s="37" t="n">
        <x:v>0</x:v>
      </x:c>
      <x:c r="R904" s="37" t="n">
        <x:v>0</x:v>
      </x:c>
      <x:c r="S904" s="37" t="n">
        <x:v>0</x:v>
      </x:c>
      <x:c r="T904" s="37" t="n">
        <x:v>0</x:v>
      </x:c>
      <x:c r="U904" s="37" t="n">
        <x:v>13941.618642774301</x:v>
      </x:c>
      <x:c r="V904" s="37" t="n">
        <x:v>0</x:v>
      </x:c>
      <x:c r="W904" s="37" t="n">
        <x:v>166448.93637741357</x:v>
      </x:c>
      <x:c r="X904" s="37" t="n">
        <x:v>0</x:v>
      </x:c>
      <x:c r="Y904" s="37" t="n">
        <x:v>2009.596223258864</x:v>
      </x:c>
      <x:c r="Z904" s="37" t="n">
        <x:v>6884671.788784671</x:v>
      </x:c>
      <x:c r="AA904" s="37" t="n">
        <x:v>0</x:v>
      </x:c>
      <x:c r="AB904" s="37" t="n">
        <x:v>6884671.788784671</x:v>
      </x:c>
      <x:c r="AC904" s="37" t="n">
        <x:v>2474678.0874197474</x:v>
      </x:c>
      <x:c r="AD904" s="37" t="n">
        <x:v>0</x:v>
      </x:c>
      <x:c r="AE904" s="37" t="n">
        <x:v>0</x:v>
      </x:c>
      <x:c r="AF904" s="47" t="b">
        <x:v>0</x:v>
      </x:c>
      <x:c r="AG904" s="47" t="b">
        <x:v>0</x:v>
      </x:c>
      <x:c r="AH904" s="48" t="n">
        <x:v>0</x:v>
      </x:c>
      <x:c r="AI904" s="48" t="n">
        <x:v>1.1920928955078125e-7</x:v>
      </x:c>
      <x:c r="AJ904" s="37" t="str">
        <x:v>passed</x:v>
      </x:c>
    </x:row>
    <x:row r="905" ht="21" customHeight="1">
      <x:c r="A905" s="2"/>
      <x:c r="B905" s="2"/>
      <x:c r="C905" s="2" t="str">
        <x:v>2022</x:v>
      </x:c>
      <x:c r="D905" s="5" t="n">
        <x:v>44890</x:v>
      </x:c>
      <x:c r="E905" s="2" t="str">
        <x:v>unweighted</x:v>
      </x:c>
      <x:c r="F905" s="37" t="n">
        <x:v>12658014.262971956</x:v>
      </x:c>
      <x:c r="G905" s="37" t="n">
        <x:v>432095.09821911814</x:v>
      </x:c>
      <x:c r="H905" s="37" t="n">
        <x:v>-6224.19269007377</x:v>
      </x:c>
      <x:c r="I905" s="37" t="n">
        <x:v>438319.2909091919</x:v>
      </x:c>
      <x:c r="J905" s="37" t="n">
        <x:v>10445098.396413963</x:v>
      </x:c>
      <x:c r="K905" s="37" t="n">
        <x:v>10013003.298194846</x:v>
      </x:c>
      <x:c r="L905" s="37" t="n">
        <x:v>13090109.361191075</x:v>
      </x:c>
      <x:c r="M905" s="37" t="n">
        <x:v>0</x:v>
      </x:c>
      <x:c r="N905" s="37" t="n">
        <x:v>0</x:v>
      </x:c>
      <x:c r="O905" s="37" t="n">
        <x:v>1387.065638821572</x:v>
      </x:c>
      <x:c r="P905" s="37" t="n">
        <x:v>0</x:v>
      </x:c>
      <x:c r="Q905" s="37" t="n">
        <x:v>0</x:v>
      </x:c>
      <x:c r="R905" s="37" t="n">
        <x:v>0</x:v>
      </x:c>
      <x:c r="S905" s="37" t="n">
        <x:v>0</x:v>
      </x:c>
      <x:c r="T905" s="37" t="n">
        <x:v>0</x:v>
      </x:c>
      <x:c r="U905" s="37" t="n">
        <x:v>23865.148035056256</x:v>
      </x:c>
      <x:c r="V905" s="37" t="n">
        <x:v>0</x:v>
      </x:c>
      <x:c r="W905" s="37" t="n">
        <x:v>219515.5674000159</x:v>
      </x:c>
      <x:c r="X905" s="37" t="n">
        <x:v>0</x:v>
      </x:c>
      <x:c r="Y905" s="37" t="n">
        <x:v>2306.4102741803476</x:v>
      </x:c>
      <x:c r="Z905" s="37" t="n">
        <x:v>10213263.364158744</x:v>
      </x:c>
      <x:c r="AA905" s="37" t="n">
        <x:v>0</x:v>
      </x:c>
      <x:c r="AB905" s="37" t="n">
        <x:v>10213263.364158744</x:v>
      </x:c>
      <x:c r="AC905" s="37" t="n">
        <x:v>2444750.8988132123</x:v>
      </x:c>
      <x:c r="AD905" s="37" t="n">
        <x:v>0</x:v>
      </x:c>
      <x:c r="AE905" s="37" t="n">
        <x:v>0</x:v>
      </x:c>
      <x:c r="AF905" s="47" t="b">
        <x:v>0</x:v>
      </x:c>
      <x:c r="AG905" s="47" t="b">
        <x:v>0</x:v>
      </x:c>
      <x:c r="AH905" s="48" t="n">
        <x:v>0</x:v>
      </x:c>
      <x:c r="AI905" s="48" t="n">
        <x:v>1.1920928955078125e-7</x:v>
      </x:c>
      <x:c r="AJ905" s="37" t="str">
        <x:v>passed</x:v>
      </x:c>
    </x:row>
    <x:row r="906" ht="21" customHeight="1">
      <x:c r="A906" s="2"/>
      <x:c r="B906" s="2"/>
      <x:c r="C906" s="2" t="str">
        <x:v>2022</x:v>
      </x:c>
      <x:c r="D906" s="5" t="n">
        <x:v>44890</x:v>
      </x:c>
      <x:c r="E906" s="2" t="str">
        <x:v>constrained</x:v>
      </x:c>
      <x:c r="F906" s="37" t="n">
        <x:v>13186329.593449138</x:v>
      </x:c>
      <x:c r="G906" s="37" t="n">
        <x:v>-4122.494316691627</x:v>
      </x:c>
      <x:c r="H906" s="37" t="n">
        <x:v>-8304.772317311179</x:v>
      </x:c>
      <x:c r="I906" s="37" t="n">
        <x:v>4182.278000619552</x:v>
      </x:c>
      <x:c r="J906" s="37" t="n">
        <x:v>10458670.502418498</x:v>
      </x:c>
      <x:c r="K906" s="37" t="n">
        <x:v>10462792.99673519</x:v>
      </x:c>
      <x:c r="L906" s="37" t="n">
        <x:v>13182207.099132447</x:v>
      </x:c>
      <x:c r="M906" s="37" t="n">
        <x:v>0</x:v>
      </x:c>
      <x:c r="N906" s="37" t="n">
        <x:v>0</x:v>
      </x:c>
      <x:c r="O906" s="37" t="n">
        <x:v>1444.958450930193</x:v>
      </x:c>
      <x:c r="P906" s="37" t="n">
        <x:v>0</x:v>
      </x:c>
      <x:c r="Q906" s="37" t="n">
        <x:v>0</x:v>
      </x:c>
      <x:c r="R906" s="37" t="n">
        <x:v>0</x:v>
      </x:c>
      <x:c r="S906" s="37" t="n">
        <x:v>0</x:v>
      </x:c>
      <x:c r="T906" s="37" t="n">
        <x:v>0</x:v>
      </x:c>
      <x:c r="U906" s="37" t="n">
        <x:v>18078.95687293657</x:v>
      </x:c>
      <x:c r="V906" s="37" t="n">
        <x:v>0</x:v>
      </x:c>
      <x:c r="W906" s="37" t="n">
        <x:v>234455.2134648692</x:v>
      </x:c>
      <x:c r="X906" s="37" t="n">
        <x:v>0</x:v>
      </x:c>
      <x:c r="Y906" s="37" t="n">
        <x:v>2404.245957223995</x:v>
      </x:c>
      <x:c r="Z906" s="37" t="n">
        <x:v>10672048.856669893</x:v>
      </x:c>
      <x:c r="AA906" s="37" t="n">
        <x:v>0</x:v>
      </x:c>
      <x:c r="AB906" s="37" t="n">
        <x:v>10672048.856669893</x:v>
      </x:c>
      <x:c r="AC906" s="37" t="n">
        <x:v>2514280.7367792446</x:v>
      </x:c>
      <x:c r="AD906" s="37" t="n">
        <x:v>0</x:v>
      </x:c>
      <x:c r="AE906" s="37" t="n">
        <x:v>0</x:v>
      </x:c>
      <x:c r="AF906" s="47" t="b">
        <x:v>0</x:v>
      </x:c>
      <x:c r="AG906" s="47" t="b">
        <x:v>0</x:v>
      </x:c>
      <x:c r="AH906" s="48" t="n">
        <x:v>0</x:v>
      </x:c>
      <x:c r="AI906" s="48" t="n">
        <x:v>1.1920928955078125e-7</x:v>
      </x:c>
      <x:c r="AJ906" s="37" t="str">
        <x:v>passed</x:v>
      </x:c>
    </x:row>
    <x:row r="907" ht="21" customHeight="1">
      <x:c r="A907" s="2"/>
      <x:c r="B907" s="2"/>
      <x:c r="C907" s="2" t="str">
        <x:v>2022</x:v>
      </x:c>
      <x:c r="D907" s="5" t="n">
        <x:v>44893</x:v>
      </x:c>
      <x:c r="E907" s="2" t="str">
        <x:v>unhedged</x:v>
      </x:c>
      <x:c r="F907" s="37" t="n">
        <x:v>1349285.1025049295</x:v>
      </x:c>
      <x:c r="G907" s="37" t="n">
        <x:v>10413784.056403978</x:v>
      </x:c>
      <x:c r="H907" s="37" t="n">
        <x:v>25460.230002402113</x:v>
      </x:c>
      <x:c r="I907" s="37" t="n">
        <x:v>10388323.826401576</x:v>
      </x:c>
      <x:c r="J907" s="37" t="n">
        <x:v>10413784.056403978</x:v>
      </x:c>
      <x:c r="K907" s="37" t="n">
        <x:v>0</x:v>
      </x:c>
      <x:c r="L907" s="37" t="n">
        <x:v>11763069.158908907</x:v>
      </x:c>
      <x:c r="M907" s="37" t="n">
        <x:v>0</x:v>
      </x:c>
      <x:c r="N907" s="37" t="n">
        <x:v>0</x:v>
      </x:c>
      <x:c r="O907" s="37" t="n">
        <x:v>221.7759861613158</x:v>
      </x:c>
      <x:c r="P907" s="37" t="n">
        <x:v>0</x:v>
      </x:c>
      <x:c r="Q907" s="37" t="n">
        <x:v>0</x:v>
      </x:c>
      <x:c r="R907" s="37" t="n">
        <x:v>0</x:v>
      </x:c>
      <x:c r="S907" s="37" t="n">
        <x:v>0</x:v>
      </x:c>
      <x:c r="T907" s="37" t="n">
        <x:v>0</x:v>
      </x:c>
      <x:c r="U907" s="37" t="n">
        <x:v>127500</x:v>
      </x:c>
      <x:c r="V907" s="37" t="n">
        <x:v>0</x:v>
      </x:c>
      <x:c r="W907" s="37" t="n">
        <x:v>22959.821821655147</x:v>
      </x:c>
      <x:c r="X907" s="37" t="n">
        <x:v>0</x:v>
      </x:c>
      <x:c r="Y907" s="37" t="n">
        <x:v>1174.7193167256753</x:v>
      </x:c>
      <x:c r="Z907" s="37" t="n">
        <x:v>0</x:v>
      </x:c>
      <x:c r="AA907" s="37" t="n">
        <x:v>0</x:v>
      </x:c>
      <x:c r="AB907" s="37" t="n">
        <x:v>0</x:v>
      </x:c>
      <x:c r="AC907" s="37" t="n">
        <x:v>1349285.1025049295</x:v>
      </x:c>
      <x:c r="AD907" s="37" t="n">
        <x:v>0</x:v>
      </x:c>
      <x:c r="AE907" s="37" t="n">
        <x:v>0</x:v>
      </x:c>
      <x:c r="AF907" s="47" t="b">
        <x:v>0</x:v>
      </x:c>
      <x:c r="AG907" s="47" t="b">
        <x:v>0</x:v>
      </x:c>
      <x:c r="AH907" s="48" t="n">
        <x:v>0</x:v>
      </x:c>
      <x:c r="AI907" s="48" t="n">
        <x:v>1.1920928955078125e-7</x:v>
      </x:c>
      <x:c r="AJ907" s="37" t="str">
        <x:v>passed</x:v>
      </x:c>
    </x:row>
    <x:row r="908" ht="21" customHeight="1">
      <x:c r="A908" s="2"/>
      <x:c r="B908" s="2"/>
      <x:c r="C908" s="2" t="str">
        <x:v>2022</x:v>
      </x:c>
      <x:c r="D908" s="5" t="n">
        <x:v>44893</x:v>
      </x:c>
      <x:c r="E908" s="2" t="str">
        <x:v>duration</x:v>
      </x:c>
      <x:c r="F908" s="37" t="n">
        <x:v>9360888.483775927</x:v>
      </x:c>
      <x:c r="G908" s="37" t="n">
        <x:v>3671762.82103964</x:v>
      </x:c>
      <x:c r="H908" s="37" t="n">
        <x:v>21405.560196187977</x:v>
      </x:c>
      <x:c r="I908" s="37" t="n">
        <x:v>3650357.260843452</x:v>
      </x:c>
      <x:c r="J908" s="37" t="n">
        <x:v>10413784.056403978</x:v>
      </x:c>
      <x:c r="K908" s="37" t="n">
        <x:v>6742021.235364338</x:v>
      </x:c>
      <x:c r="L908" s="37" t="n">
        <x:v>13032651.304815566</x:v>
      </x:c>
      <x:c r="M908" s="37" t="n">
        <x:v>0</x:v>
      </x:c>
      <x:c r="N908" s="37" t="n">
        <x:v>0</x:v>
      </x:c>
      <x:c r="O908" s="37" t="n">
        <x:v>1538.6075715087354</x:v>
      </x:c>
      <x:c r="P908" s="37" t="n">
        <x:v>0</x:v>
      </x:c>
      <x:c r="Q908" s="37" t="n">
        <x:v>0</x:v>
      </x:c>
      <x:c r="R908" s="37" t="n">
        <x:v>0</x:v>
      </x:c>
      <x:c r="S908" s="37" t="n">
        <x:v>0</x:v>
      </x:c>
      <x:c r="T908" s="37" t="n">
        <x:v>0</x:v>
      </x:c>
      <x:c r="U908" s="37" t="n">
        <x:v>13941.618642774301</x:v>
      </x:c>
      <x:c r="V908" s="37" t="n">
        <x:v>0</x:v>
      </x:c>
      <x:c r="W908" s="37" t="n">
        <x:v>167987.5439489223</x:v>
      </x:c>
      <x:c r="X908" s="37" t="n">
        <x:v>0</x:v>
      </x:c>
      <x:c r="Y908" s="37" t="n">
        <x:v>2009.596223258864</x:v>
      </x:c>
      <x:c r="Z908" s="37" t="n">
        <x:v>6876861.660071625</x:v>
      </x:c>
      <x:c r="AA908" s="37" t="n">
        <x:v>0</x:v>
      </x:c>
      <x:c r="AB908" s="37" t="n">
        <x:v>6876861.660071625</x:v>
      </x:c>
      <x:c r="AC908" s="37" t="n">
        <x:v>2484026.8237043014</x:v>
      </x:c>
      <x:c r="AD908" s="37" t="n">
        <x:v>0</x:v>
      </x:c>
      <x:c r="AE908" s="37" t="n">
        <x:v>0</x:v>
      </x:c>
      <x:c r="AF908" s="47" t="b">
        <x:v>0</x:v>
      </x:c>
      <x:c r="AG908" s="47" t="b">
        <x:v>0</x:v>
      </x:c>
      <x:c r="AH908" s="48" t="n">
        <x:v>0</x:v>
      </x:c>
      <x:c r="AI908" s="48" t="n">
        <x:v>1.1920928955078125e-7</x:v>
      </x:c>
      <x:c r="AJ908" s="37" t="str">
        <x:v>passed</x:v>
      </x:c>
    </x:row>
    <x:row r="909" ht="21" customHeight="1">
      <x:c r="A909" s="2"/>
      <x:c r="B909" s="2"/>
      <x:c r="C909" s="2" t="str">
        <x:v>2022</x:v>
      </x:c>
      <x:c r="D909" s="5" t="n">
        <x:v>44893</x:v>
      </x:c>
      <x:c r="E909" s="2" t="str">
        <x:v>unweighted</x:v>
      </x:c>
      <x:c r="F909" s="37" t="n">
        <x:v>12660095.146456692</x:v>
      </x:c>
      <x:c r="G909" s="37" t="n">
        <x:v>431836.9420278828</x:v>
      </x:c>
      <x:c r="H909" s="37" t="n">
        <x:v>-6288.769446126989</x:v>
      </x:c>
      <x:c r="I909" s="37" t="n">
        <x:v>438125.7114740098</x:v>
      </x:c>
      <x:c r="J909" s="37" t="n">
        <x:v>10438737.945514495</x:v>
      </x:c>
      <x:c r="K909" s="37" t="n">
        <x:v>10006901.003486613</x:v>
      </x:c>
      <x:c r="L909" s="37" t="n">
        <x:v>13091932.088484576</x:v>
      </x:c>
      <x:c r="M909" s="37" t="n">
        <x:v>0</x:v>
      </x:c>
      <x:c r="N909" s="37" t="n">
        <x:v>0</x:v>
      </x:c>
      <x:c r="O909" s="37" t="n">
        <x:v>2080.883484736085</x:v>
      </x:c>
      <x:c r="P909" s="37" t="n">
        <x:v>0</x:v>
      </x:c>
      <x:c r="Q909" s="37" t="n">
        <x:v>0</x:v>
      </x:c>
      <x:c r="R909" s="37" t="n">
        <x:v>0</x:v>
      </x:c>
      <x:c r="S909" s="37" t="n">
        <x:v>0</x:v>
      </x:c>
      <x:c r="T909" s="37" t="n">
        <x:v>0</x:v>
      </x:c>
      <x:c r="U909" s="37" t="n">
        <x:v>23865.148035056256</x:v>
      </x:c>
      <x:c r="V909" s="37" t="n">
        <x:v>0</x:v>
      </x:c>
      <x:c r="W909" s="37" t="n">
        <x:v>221596.45088475198</x:v>
      </x:c>
      <x:c r="X909" s="37" t="n">
        <x:v>0</x:v>
      </x:c>
      <x:c r="Y909" s="37" t="n">
        <x:v>2306.4102741803476</x:v>
      </x:c>
      <x:c r="Z909" s="37" t="n">
        <x:v>10207039.023556346</x:v>
      </x:c>
      <x:c r="AA909" s="37" t="n">
        <x:v>0</x:v>
      </x:c>
      <x:c r="AB909" s="37" t="n">
        <x:v>10207039.023556346</x:v>
      </x:c>
      <x:c r="AC909" s="37" t="n">
        <x:v>2453056.1229003463</x:v>
      </x:c>
      <x:c r="AD909" s="37" t="n">
        <x:v>0</x:v>
      </x:c>
      <x:c r="AE909" s="37" t="n">
        <x:v>0</x:v>
      </x:c>
      <x:c r="AF909" s="47" t="b">
        <x:v>0</x:v>
      </x:c>
      <x:c r="AG909" s="47" t="b">
        <x:v>0</x:v>
      </x:c>
      <x:c r="AH909" s="48" t="n">
        <x:v>0</x:v>
      </x:c>
      <x:c r="AI909" s="48" t="n">
        <x:v>1.1920928955078125e-7</x:v>
      </x:c>
      <x:c r="AJ909" s="37" t="str">
        <x:v>passed</x:v>
      </x:c>
    </x:row>
    <x:row r="910" ht="21" customHeight="1">
      <x:c r="A910" s="2"/>
      <x:c r="B910" s="2"/>
      <x:c r="C910" s="2" t="str">
        <x:v>2022</x:v>
      </x:c>
      <x:c r="D910" s="5" t="n">
        <x:v>44893</x:v>
      </x:c>
      <x:c r="E910" s="2" t="str">
        <x:v>constrained</x:v>
      </x:c>
      <x:c r="F910" s="37" t="n">
        <x:v>13188497.32804836</x:v>
      </x:c>
      <x:c r="G910" s="37" t="n">
        <x:v>-4172.159933145351</x:v>
      </x:c>
      <x:c r="H910" s="37" t="n">
        <x:v>-8418.89197287629</x:v>
      </x:c>
      <x:c r="I910" s="37" t="n">
        <x:v>4246.7320397309395</x:v>
      </x:c>
      <x:c r="J910" s="37" t="n">
        <x:v>10452317.860893894</x:v>
      </x:c>
      <x:c r="K910" s="37" t="n">
        <x:v>10456490.02082704</x:v>
      </x:c>
      <x:c r="L910" s="37" t="n">
        <x:v>13184325.168115214</x:v>
      </x:c>
      <x:c r="M910" s="37" t="n">
        <x:v>0</x:v>
      </x:c>
      <x:c r="N910" s="37" t="n">
        <x:v>0</x:v>
      </x:c>
      <x:c r="O910" s="37" t="n">
        <x:v>2167.734599221498</x:v>
      </x:c>
      <x:c r="P910" s="37" t="n">
        <x:v>0</x:v>
      </x:c>
      <x:c r="Q910" s="37" t="n">
        <x:v>0</x:v>
      </x:c>
      <x:c r="R910" s="37" t="n">
        <x:v>0</x:v>
      </x:c>
      <x:c r="S910" s="37" t="n">
        <x:v>0</x:v>
      </x:c>
      <x:c r="T910" s="37" t="n">
        <x:v>0</x:v>
      </x:c>
      <x:c r="U910" s="37" t="n">
        <x:v>18078.95687293657</x:v>
      </x:c>
      <x:c r="V910" s="37" t="n">
        <x:v>0</x:v>
      </x:c>
      <x:c r="W910" s="37" t="n">
        <x:v>236622.94806409068</x:v>
      </x:c>
      <x:c r="X910" s="37" t="n">
        <x:v>0</x:v>
      </x:c>
      <x:c r="Y910" s="37" t="n">
        <x:v>2404.245957223995</x:v>
      </x:c>
      <x:c r="Z910" s="37" t="n">
        <x:v>10665619.82124358</x:v>
      </x:c>
      <x:c r="AA910" s="37" t="n">
        <x:v>0</x:v>
      </x:c>
      <x:c r="AB910" s="37" t="n">
        <x:v>10665619.82124358</x:v>
      </x:c>
      <x:c r="AC910" s="37" t="n">
        <x:v>2522877.506804779</x:v>
      </x:c>
      <x:c r="AD910" s="37" t="n">
        <x:v>0</x:v>
      </x:c>
      <x:c r="AE910" s="37" t="n">
        <x:v>0</x:v>
      </x:c>
      <x:c r="AF910" s="47" t="b">
        <x:v>0</x:v>
      </x:c>
      <x:c r="AG910" s="47" t="b">
        <x:v>0</x:v>
      </x:c>
      <x:c r="AH910" s="48" t="n">
        <x:v>0</x:v>
      </x:c>
      <x:c r="AI910" s="48" t="n">
        <x:v>1.1920928955078125e-7</x:v>
      </x:c>
      <x:c r="AJ910" s="37" t="str">
        <x:v>passed</x:v>
      </x:c>
    </x:row>
    <x:row r="911" ht="21" customHeight="1">
      <x:c r="A911" s="2"/>
      <x:c r="B911" s="2"/>
      <x:c r="C911" s="2" t="str">
        <x:v>2022</x:v>
      </x:c>
      <x:c r="D911" s="5" t="n">
        <x:v>44894</x:v>
      </x:c>
      <x:c r="E911" s="2" t="str">
        <x:v>unhedged</x:v>
      </x:c>
      <x:c r="F911" s="37" t="n">
        <x:v>1349359.0359352038</x:v>
      </x:c>
      <x:c r="G911" s="37" t="n">
        <x:v>10389464.253493357</x:v>
      </x:c>
      <x:c r="H911" s="37" t="n">
        <x:v>25809.061974537595</x:v>
      </x:c>
      <x:c r="I911" s="37" t="n">
        <x:v>10363655.191518819</x:v>
      </x:c>
      <x:c r="J911" s="37" t="n">
        <x:v>10389464.253493357</x:v>
      </x:c>
      <x:c r="K911" s="37" t="n">
        <x:v>0</x:v>
      </x:c>
      <x:c r="L911" s="37" t="n">
        <x:v>11738823.289428562</x:v>
      </x:c>
      <x:c r="M911" s="37" t="n">
        <x:v>0</x:v>
      </x:c>
      <x:c r="N911" s="37" t="n">
        <x:v>0</x:v>
      </x:c>
      <x:c r="O911" s="37" t="n">
        <x:v>73.93343027424999</x:v>
      </x:c>
      <x:c r="P911" s="37" t="n">
        <x:v>0</x:v>
      </x:c>
      <x:c r="Q911" s="37" t="n">
        <x:v>0</x:v>
      </x:c>
      <x:c r="R911" s="37" t="n">
        <x:v>0</x:v>
      </x:c>
      <x:c r="S911" s="37" t="n">
        <x:v>0</x:v>
      </x:c>
      <x:c r="T911" s="37" t="n">
        <x:v>0</x:v>
      </x:c>
      <x:c r="U911" s="37" t="n">
        <x:v>127500</x:v>
      </x:c>
      <x:c r="V911" s="37" t="n">
        <x:v>0</x:v>
      </x:c>
      <x:c r="W911" s="37" t="n">
        <x:v>23033.755251929397</x:v>
      </x:c>
      <x:c r="X911" s="37" t="n">
        <x:v>0</x:v>
      </x:c>
      <x:c r="Y911" s="37" t="n">
        <x:v>1174.7193167256753</x:v>
      </x:c>
      <x:c r="Z911" s="37" t="n">
        <x:v>0</x:v>
      </x:c>
      <x:c r="AA911" s="37" t="n">
        <x:v>0</x:v>
      </x:c>
      <x:c r="AB911" s="37" t="n">
        <x:v>0</x:v>
      </x:c>
      <x:c r="AC911" s="37" t="n">
        <x:v>1349359.0359352038</x:v>
      </x:c>
      <x:c r="AD911" s="37" t="n">
        <x:v>0</x:v>
      </x:c>
      <x:c r="AE911" s="37" t="n">
        <x:v>0</x:v>
      </x:c>
      <x:c r="AF911" s="47" t="b">
        <x:v>0</x:v>
      </x:c>
      <x:c r="AG911" s="47" t="b">
        <x:v>0</x:v>
      </x:c>
      <x:c r="AH911" s="48" t="n">
        <x:v>0</x:v>
      </x:c>
      <x:c r="AI911" s="48" t="n">
        <x:v>1.1920928955078125e-7</x:v>
      </x:c>
      <x:c r="AJ911" s="37" t="str">
        <x:v>passed</x:v>
      </x:c>
    </x:row>
    <x:row r="912" ht="21" customHeight="1">
      <x:c r="A912" s="2"/>
      <x:c r="B912" s="2"/>
      <x:c r="C912" s="2" t="str">
        <x:v>2022</x:v>
      </x:c>
      <x:c r="D912" s="5" t="n">
        <x:v>44894</x:v>
      </x:c>
      <x:c r="E912" s="2" t="str">
        <x:v>duration</x:v>
      </x:c>
      <x:c r="F912" s="37" t="n">
        <x:v>9361401.409172298</x:v>
      </x:c>
      <x:c r="G912" s="37" t="n">
        <x:v>3676667.7021051124</x:v>
      </x:c>
      <x:c r="H912" s="37" t="n">
        <x:v>21442.494490922374</x:v>
      </x:c>
      <x:c r="I912" s="37" t="n">
        <x:v>3655225.20761419</x:v>
      </x:c>
      <x:c r="J912" s="37" t="n">
        <x:v>10389464.253493357</x:v>
      </x:c>
      <x:c r="K912" s="37" t="n">
        <x:v>6712796.551388244</x:v>
      </x:c>
      <x:c r="L912" s="37" t="n">
        <x:v>13038069.11127741</x:v>
      </x:c>
      <x:c r="M912" s="37" t="n">
        <x:v>0</x:v>
      </x:c>
      <x:c r="N912" s="37" t="n">
        <x:v>0</x:v>
      </x:c>
      <x:c r="O912" s="37" t="n">
        <x:v>512.9253963716328</x:v>
      </x:c>
      <x:c r="P912" s="37" t="n">
        <x:v>0</x:v>
      </x:c>
      <x:c r="Q912" s="37" t="n">
        <x:v>0</x:v>
      </x:c>
      <x:c r="R912" s="37" t="n">
        <x:v>0</x:v>
      </x:c>
      <x:c r="S912" s="37" t="n">
        <x:v>0</x:v>
      </x:c>
      <x:c r="T912" s="37" t="n">
        <x:v>0</x:v>
      </x:c>
      <x:c r="U912" s="37" t="n">
        <x:v>13941.618642774301</x:v>
      </x:c>
      <x:c r="V912" s="37" t="n">
        <x:v>0</x:v>
      </x:c>
      <x:c r="W912" s="37" t="n">
        <x:v>168500.46934529394</x:v>
      </x:c>
      <x:c r="X912" s="37" t="n">
        <x:v>0</x:v>
      </x:c>
      <x:c r="Y912" s="37" t="n">
        <x:v>2009.596223258864</x:v>
      </x:c>
      <x:c r="Z912" s="37" t="n">
        <x:v>6847052.4824160095</x:v>
      </x:c>
      <x:c r="AA912" s="37" t="n">
        <x:v>0</x:v>
      </x:c>
      <x:c r="AB912" s="37" t="n">
        <x:v>6847052.4824160095</x:v>
      </x:c>
      <x:c r="AC912" s="37" t="n">
        <x:v>2514348.926756289</x:v>
      </x:c>
      <x:c r="AD912" s="37" t="n">
        <x:v>0</x:v>
      </x:c>
      <x:c r="AE912" s="37" t="n">
        <x:v>0</x:v>
      </x:c>
      <x:c r="AF912" s="47" t="b">
        <x:v>0</x:v>
      </x:c>
      <x:c r="AG912" s="47" t="b">
        <x:v>0</x:v>
      </x:c>
      <x:c r="AH912" s="48" t="n">
        <x:v>0</x:v>
      </x:c>
      <x:c r="AI912" s="48" t="n">
        <x:v>1.1920928955078125e-7</x:v>
      </x:c>
      <x:c r="AJ912" s="37" t="str">
        <x:v>passed</x:v>
      </x:c>
    </x:row>
    <x:row r="913" ht="21" customHeight="1">
      <x:c r="A913" s="2"/>
      <x:c r="B913" s="2"/>
      <x:c r="C913" s="2" t="str">
        <x:v>2022</x:v>
      </x:c>
      <x:c r="D913" s="5" t="n">
        <x:v>44894</x:v>
      </x:c>
      <x:c r="E913" s="2" t="str">
        <x:v>unweighted</x:v>
      </x:c>
      <x:c r="F913" s="37" t="n">
        <x:v>12660788.850300336</x:v>
      </x:c>
      <x:c r="G913" s="37" t="n">
        <x:v>430992.8777047313</x:v>
      </x:c>
      <x:c r="H913" s="37" t="n">
        <x:v>-6310.295031478054</x:v>
      </x:c>
      <x:c r="I913" s="37" t="n">
        <x:v>437303.17273620935</x:v>
      </x:c>
      <x:c r="J913" s="37" t="n">
        <x:v>10414180.808306776</x:v>
      </x:c>
      <x:c r="K913" s="37" t="n">
        <x:v>9983187.930602044</x:v>
      </x:c>
      <x:c r="L913" s="37" t="n">
        <x:v>13091781.728005068</x:v>
      </x:c>
      <x:c r="M913" s="37" t="n">
        <x:v>0</x:v>
      </x:c>
      <x:c r="N913" s="37" t="n">
        <x:v>0</x:v>
      </x:c>
      <x:c r="O913" s="37" t="n">
        <x:v>693.7038436438888</x:v>
      </x:c>
      <x:c r="P913" s="37" t="n">
        <x:v>0</x:v>
      </x:c>
      <x:c r="Q913" s="37" t="n">
        <x:v>0</x:v>
      </x:c>
      <x:c r="R913" s="37" t="n">
        <x:v>0</x:v>
      </x:c>
      <x:c r="S913" s="37" t="n">
        <x:v>0</x:v>
      </x:c>
      <x:c r="T913" s="37" t="n">
        <x:v>0</x:v>
      </x:c>
      <x:c r="U913" s="37" t="n">
        <x:v>23865.148035056256</x:v>
      </x:c>
      <x:c r="V913" s="37" t="n">
        <x:v>0</x:v>
      </x:c>
      <x:c r="W913" s="37" t="n">
        <x:v>222290.15472839586</x:v>
      </x:c>
      <x:c r="X913" s="37" t="n">
        <x:v>0</x:v>
      </x:c>
      <x:c r="Y913" s="37" t="n">
        <x:v>2306.4102741803476</x:v>
      </x:c>
      <x:c r="Z913" s="37" t="n">
        <x:v>10182851.689214084</x:v>
      </x:c>
      <x:c r="AA913" s="37" t="n">
        <x:v>0</x:v>
      </x:c>
      <x:c r="AB913" s="37" t="n">
        <x:v>10182851.689214084</x:v>
      </x:c>
      <x:c r="AC913" s="37" t="n">
        <x:v>2477937.161086252</x:v>
      </x:c>
      <x:c r="AD913" s="37" t="n">
        <x:v>0</x:v>
      </x:c>
      <x:c r="AE913" s="37" t="n">
        <x:v>0</x:v>
      </x:c>
      <x:c r="AF913" s="47" t="b">
        <x:v>0</x:v>
      </x:c>
      <x:c r="AG913" s="47" t="b">
        <x:v>0</x:v>
      </x:c>
      <x:c r="AH913" s="48" t="n">
        <x:v>0</x:v>
      </x:c>
      <x:c r="AI913" s="48" t="n">
        <x:v>1.1920928955078125e-7</x:v>
      </x:c>
      <x:c r="AJ913" s="37" t="str">
        <x:v>passed</x:v>
      </x:c>
    </x:row>
    <x:row r="914" ht="21" customHeight="1">
      <x:c r="A914" s="2"/>
      <x:c r="B914" s="2"/>
      <x:c r="C914" s="2" t="str">
        <x:v>2022</x:v>
      </x:c>
      <x:c r="D914" s="5" t="n">
        <x:v>44894</x:v>
      </x:c>
      <x:c r="E914" s="2" t="str">
        <x:v>constrained</x:v>
      </x:c>
      <x:c r="F914" s="37" t="n">
        <x:v>13189219.9854362</x:v>
      </x:c>
      <x:c r="G914" s="37" t="n">
        <x:v>-4199.3711376965275</x:v>
      </x:c>
      <x:c r="H914" s="37" t="n">
        <x:v>-8456.931858064649</x:v>
      </x:c>
      <x:c r="I914" s="37" t="n">
        <x:v>4257.560720368121</x:v>
      </x:c>
      <x:c r="J914" s="37" t="n">
        <x:v>10427637.213882567</x:v>
      </x:c>
      <x:c r="K914" s="37" t="n">
        <x:v>10431836.585020263</x:v>
      </x:c>
      <x:c r="L914" s="37" t="n">
        <x:v>13185020.614298502</x:v>
      </x:c>
      <x:c r="M914" s="37" t="n">
        <x:v>0</x:v>
      </x:c>
      <x:c r="N914" s="37" t="n">
        <x:v>0</x:v>
      </x:c>
      <x:c r="O914" s="37" t="n">
        <x:v>722.6573878396302</x:v>
      </x:c>
      <x:c r="P914" s="37" t="n">
        <x:v>0</x:v>
      </x:c>
      <x:c r="Q914" s="37" t="n">
        <x:v>0</x:v>
      </x:c>
      <x:c r="R914" s="37" t="n">
        <x:v>0</x:v>
      </x:c>
      <x:c r="S914" s="37" t="n">
        <x:v>0</x:v>
      </x:c>
      <x:c r="T914" s="37" t="n">
        <x:v>0</x:v>
      </x:c>
      <x:c r="U914" s="37" t="n">
        <x:v>18078.95687293657</x:v>
      </x:c>
      <x:c r="V914" s="37" t="n">
        <x:v>0</x:v>
      </x:c>
      <x:c r="W914" s="37" t="n">
        <x:v>237345.6054519303</x:v>
      </x:c>
      <x:c r="X914" s="37" t="n">
        <x:v>0</x:v>
      </x:c>
      <x:c r="Y914" s="37" t="n">
        <x:v>2404.245957223995</x:v>
      </x:c>
      <x:c r="Z914" s="37" t="n">
        <x:v>10640473.316720668</x:v>
      </x:c>
      <x:c r="AA914" s="37" t="n">
        <x:v>0</x:v>
      </x:c>
      <x:c r="AB914" s="37" t="n">
        <x:v>10640473.316720668</x:v>
      </x:c>
      <x:c r="AC914" s="37" t="n">
        <x:v>2548746.668715531</x:v>
      </x:c>
      <x:c r="AD914" s="37" t="n">
        <x:v>0</x:v>
      </x:c>
      <x:c r="AE914" s="37" t="n">
        <x:v>0</x:v>
      </x:c>
      <x:c r="AF914" s="47" t="b">
        <x:v>0</x:v>
      </x:c>
      <x:c r="AG914" s="47" t="b">
        <x:v>0</x:v>
      </x:c>
      <x:c r="AH914" s="48" t="n">
        <x:v>0</x:v>
      </x:c>
      <x:c r="AI914" s="48" t="n">
        <x:v>1.1920928955078125e-7</x:v>
      </x:c>
      <x:c r="AJ914" s="37" t="str">
        <x:v>passed</x:v>
      </x:c>
    </x:row>
    <x:row r="915" ht="21" customHeight="1">
      <x:c r="A915" s="2"/>
      <x:c r="B915" s="2"/>
      <x:c r="C915" s="2" t="str">
        <x:v>2022</x:v>
      </x:c>
      <x:c r="D915" s="5" t="n">
        <x:v>44895</x:v>
      </x:c>
      <x:c r="E915" s="2" t="str">
        <x:v>unhedged</x:v>
      </x:c>
      <x:c r="F915" s="37" t="n">
        <x:v>1349432.973416625</x:v>
      </x:c>
      <x:c r="G915" s="37" t="n">
        <x:v>10443087.335263375</x:v>
      </x:c>
      <x:c r="H915" s="37" t="n">
        <x:v>26157.893946673074</x:v>
      </x:c>
      <x:c r="I915" s="37" t="n">
        <x:v>10416929.441316701</x:v>
      </x:c>
      <x:c r="J915" s="37" t="n">
        <x:v>10443087.335263375</x:v>
      </x:c>
      <x:c r="K915" s="37" t="n">
        <x:v>0</x:v>
      </x:c>
      <x:c r="L915" s="37" t="n">
        <x:v>11792520.30868</x:v>
      </x:c>
      <x:c r="M915" s="37" t="n">
        <x:v>0</x:v>
      </x:c>
      <x:c r="N915" s="37" t="n">
        <x:v>0</x:v>
      </x:c>
      <x:c r="O915" s="37" t="n">
        <x:v>73.93748142127879</x:v>
      </x:c>
      <x:c r="P915" s="37" t="n">
        <x:v>0</x:v>
      </x:c>
      <x:c r="Q915" s="37" t="n">
        <x:v>0</x:v>
      </x:c>
      <x:c r="R915" s="37" t="n">
        <x:v>0</x:v>
      </x:c>
      <x:c r="S915" s="37" t="n">
        <x:v>0</x:v>
      </x:c>
      <x:c r="T915" s="37" t="n">
        <x:v>0</x:v>
      </x:c>
      <x:c r="U915" s="37" t="n">
        <x:v>127500</x:v>
      </x:c>
      <x:c r="V915" s="37" t="n">
        <x:v>0</x:v>
      </x:c>
      <x:c r="W915" s="37" t="n">
        <x:v>23107.692733350676</x:v>
      </x:c>
      <x:c r="X915" s="37" t="n">
        <x:v>0</x:v>
      </x:c>
      <x:c r="Y915" s="37" t="n">
        <x:v>1174.7193167256753</x:v>
      </x:c>
      <x:c r="Z915" s="37" t="n">
        <x:v>0</x:v>
      </x:c>
      <x:c r="AA915" s="37" t="n">
        <x:v>0</x:v>
      </x:c>
      <x:c r="AB915" s="37" t="n">
        <x:v>0</x:v>
      </x:c>
      <x:c r="AC915" s="37" t="n">
        <x:v>1349432.973416625</x:v>
      </x:c>
      <x:c r="AD915" s="37" t="n">
        <x:v>0</x:v>
      </x:c>
      <x:c r="AE915" s="37" t="n">
        <x:v>0</x:v>
      </x:c>
      <x:c r="AF915" s="47" t="b">
        <x:v>0</x:v>
      </x:c>
      <x:c r="AG915" s="47" t="b">
        <x:v>0</x:v>
      </x:c>
      <x:c r="AH915" s="48" t="n">
        <x:v>0</x:v>
      </x:c>
      <x:c r="AI915" s="48" t="n">
        <x:v>1.1920928955078125e-7</x:v>
      </x:c>
      <x:c r="AJ915" s="37" t="str">
        <x:v>passed</x:v>
      </x:c>
    </x:row>
    <x:row r="916" ht="21" customHeight="1">
      <x:c r="A916" s="2"/>
      <x:c r="B916" s="2"/>
      <x:c r="C916" s="2" t="str">
        <x:v>2022</x:v>
      </x:c>
      <x:c r="D916" s="5" t="n">
        <x:v>44895</x:v>
      </x:c>
      <x:c r="E916" s="2" t="str">
        <x:v>duration</x:v>
      </x:c>
      <x:c r="F916" s="37" t="n">
        <x:v>9361914.362674171</x:v>
      </x:c>
      <x:c r="G916" s="37" t="n">
        <x:v>3681057.3734887904</x:v>
      </x:c>
      <x:c r="H916" s="37" t="n">
        <x:v>21479.42878565676</x:v>
      </x:c>
      <x:c r="I916" s="37" t="n">
        <x:v>3659577.944703134</x:v>
      </x:c>
      <x:c r="J916" s="37" t="n">
        <x:v>10443087.335263375</x:v>
      </x:c>
      <x:c r="K916" s="37" t="n">
        <x:v>6762029.961774586</x:v>
      </x:c>
      <x:c r="L916" s="37" t="n">
        <x:v>13042971.73616296</x:v>
      </x:c>
      <x:c r="M916" s="37" t="n">
        <x:v>0</x:v>
      </x:c>
      <x:c r="N916" s="37" t="n">
        <x:v>0</x:v>
      </x:c>
      <x:c r="O916" s="37" t="n">
        <x:v>512.9535018727183</x:v>
      </x:c>
      <x:c r="P916" s="37" t="n">
        <x:v>0</x:v>
      </x:c>
      <x:c r="Q916" s="37" t="n">
        <x:v>0</x:v>
      </x:c>
      <x:c r="R916" s="37" t="n">
        <x:v>0</x:v>
      </x:c>
      <x:c r="S916" s="37" t="n">
        <x:v>0</x:v>
      </x:c>
      <x:c r="T916" s="37" t="n">
        <x:v>0</x:v>
      </x:c>
      <x:c r="U916" s="37" t="n">
        <x:v>13941.618642774301</x:v>
      </x:c>
      <x:c r="V916" s="37" t="n">
        <x:v>0</x:v>
      </x:c>
      <x:c r="W916" s="37" t="n">
        <x:v>169013.42284716666</x:v>
      </x:c>
      <x:c r="X916" s="37" t="n">
        <x:v>0</x:v>
      </x:c>
      <x:c r="Y916" s="37" t="n">
        <x:v>2009.596223258864</x:v>
      </x:c>
      <x:c r="Z916" s="37" t="n">
        <x:v>6897270.561010078</x:v>
      </x:c>
      <x:c r="AA916" s="37" t="n">
        <x:v>0</x:v>
      </x:c>
      <x:c r="AB916" s="37" t="n">
        <x:v>6897270.561010078</x:v>
      </x:c>
      <x:c r="AC916" s="37" t="n">
        <x:v>2464643.8016640935</x:v>
      </x:c>
      <x:c r="AD916" s="37" t="n">
        <x:v>0</x:v>
      </x:c>
      <x:c r="AE916" s="37" t="n">
        <x:v>0</x:v>
      </x:c>
      <x:c r="AF916" s="47" t="b">
        <x:v>0</x:v>
      </x:c>
      <x:c r="AG916" s="47" t="b">
        <x:v>0</x:v>
      </x:c>
      <x:c r="AH916" s="48" t="n">
        <x:v>0</x:v>
      </x:c>
      <x:c r="AI916" s="48" t="n">
        <x:v>1.1920928955078125e-7</x:v>
      </x:c>
      <x:c r="AJ916" s="37" t="str">
        <x:v>passed</x:v>
      </x:c>
    </x:row>
    <x:row r="917" ht="21" customHeight="1">
      <x:c r="A917" s="2"/>
      <x:c r="B917" s="2"/>
      <x:c r="C917" s="2" t="str">
        <x:v>2022</x:v>
      </x:c>
      <x:c r="D917" s="5" t="n">
        <x:v>44895</x:v>
      </x:c>
      <x:c r="E917" s="2" t="str">
        <x:v>unweighted</x:v>
      </x:c>
      <x:c r="F917" s="37" t="n">
        <x:v>12632143.38816812</x:v>
      </x:c>
      <x:c r="G917" s="37" t="n">
        <x:v>463017.74576690776</x:v>
      </x:c>
      <x:c r="H917" s="37" t="n">
        <x:v>23007.383370196607</x:v>
      </x:c>
      <x:c r="I917" s="37" t="n">
        <x:v>440010.36239671113</x:v>
      </x:c>
      <x:c r="J917" s="37" t="n">
        <x:v>10467853.945130326</x:v>
      </x:c>
      <x:c r="K917" s="37" t="n">
        <x:v>10004836.199363418</x:v>
      </x:c>
      <x:c r="L917" s="37" t="n">
        <x:v>13095161.133935029</x:v>
      </x:c>
      <x:c r="M917" s="37" t="n">
        <x:v>-29339.203987025736</x:v>
      </x:c>
      <x:c r="N917" s="37" t="n">
        <x:v>0</x:v>
      </x:c>
      <x:c r="O917" s="37" t="n">
        <x:v>693.7418548110873</x:v>
      </x:c>
      <x:c r="P917" s="37" t="n">
        <x:v>0</x:v>
      </x:c>
      <x:c r="Q917" s="37" t="n">
        <x:v>0</x:v>
      </x:c>
      <x:c r="R917" s="37" t="n">
        <x:v>0</x:v>
      </x:c>
      <x:c r="S917" s="37" t="n">
        <x:v>0</x:v>
      </x:c>
      <x:c r="T917" s="37" t="n">
        <x:v>0</x:v>
      </x:c>
      <x:c r="U917" s="37" t="n">
        <x:v>-5474.05595196948</x:v>
      </x:c>
      <x:c r="V917" s="37" t="n">
        <x:v>0</x:v>
      </x:c>
      <x:c r="W917" s="37" t="n">
        <x:v>222983.89658320695</x:v>
      </x:c>
      <x:c r="X917" s="37" t="n">
        <x:v>0</x:v>
      </x:c>
      <x:c r="Y917" s="37" t="n">
        <x:v>2306.4102741803476</x:v>
      </x:c>
      <x:c r="Z917" s="37" t="n">
        <x:v>10204932.923350686</x:v>
      </x:c>
      <x:c r="AA917" s="37" t="n">
        <x:v>0</x:v>
      </x:c>
      <x:c r="AB917" s="37" t="n">
        <x:v>10204932.923350686</x:v>
      </x:c>
      <x:c r="AC917" s="37" t="n">
        <x:v>2427210.4648174345</x:v>
      </x:c>
      <x:c r="AD917" s="37" t="n">
        <x:v>0</x:v>
      </x:c>
      <x:c r="AE917" s="37" t="n">
        <x:v>0</x:v>
      </x:c>
      <x:c r="AF917" s="47" t="b">
        <x:v>0</x:v>
      </x:c>
      <x:c r="AG917" s="47" t="b">
        <x:v>0</x:v>
      </x:c>
      <x:c r="AH917" s="48" t="n">
        <x:v>-8.512870408594608e-10</x:v>
      </x:c>
      <x:c r="AI917" s="48" t="n">
        <x:v>1.1920928955078125e-7</x:v>
      </x:c>
      <x:c r="AJ917" s="37" t="str">
        <x:v>passed</x:v>
      </x:c>
    </x:row>
    <x:row r="918" ht="21" customHeight="1">
      <x:c r="A918" s="2"/>
      <x:c r="B918" s="2"/>
      <x:c r="C918" s="2" t="str">
        <x:v>2022</x:v>
      </x:c>
      <x:c r="D918" s="5" t="n">
        <x:v>44895</x:v>
      </x:c>
      <x:c r="E918" s="2" t="str">
        <x:v>constrained</x:v>
      </x:c>
      <x:c r="F918" s="37" t="n">
        <x:v>13158517.020678235</x:v>
      </x:c>
      <x:c r="G918" s="37" t="n">
        <x:v>27656.34728582311</x:v>
      </x:c>
      <x:c r="H918" s="37" t="n">
        <x:v>22930.690000214323</x:v>
      </x:c>
      <x:c r="I918" s="37" t="n">
        <x:v>4725.657285608788</x:v>
      </x:c>
      <x:c r="J918" s="37" t="n">
        <x:v>10481330.405751007</x:v>
      </x:c>
      <x:c r="K918" s="37" t="n">
        <x:v>10453674.058465183</x:v>
      </x:c>
      <x:c r="L918" s="37" t="n">
        <x:v>13186173.36796406</x:v>
      </x:c>
      <x:c r="M918" s="37" t="n">
        <x:v>-31425.661743467346</x:v>
      </x:c>
      <x:c r="N918" s="37" t="n">
        <x:v>0</x:v>
      </x:c>
      <x:c r="O918" s="37" t="n">
        <x:v>722.6969855036587</x:v>
      </x:c>
      <x:c r="P918" s="37" t="n">
        <x:v>0</x:v>
      </x:c>
      <x:c r="Q918" s="37" t="n">
        <x:v>0</x:v>
      </x:c>
      <x:c r="R918" s="37" t="n">
        <x:v>0</x:v>
      </x:c>
      <x:c r="S918" s="37" t="n">
        <x:v>0</x:v>
      </x:c>
      <x:c r="T918" s="37" t="n">
        <x:v>0</x:v>
      </x:c>
      <x:c r="U918" s="37" t="n">
        <x:v>-13346.704870530775</x:v>
      </x:c>
      <x:c r="V918" s="37" t="n">
        <x:v>0</x:v>
      </x:c>
      <x:c r="W918" s="37" t="n">
        <x:v>238068.30243743397</x:v>
      </x:c>
      <x:c r="X918" s="37" t="n">
        <x:v>0</x:v>
      </x:c>
      <x:c r="Y918" s="37" t="n">
        <x:v>2404.245957223995</x:v>
      </x:c>
      <x:c r="Z918" s="37" t="n">
        <x:v>10662747.539634487</x:v>
      </x:c>
      <x:c r="AA918" s="37" t="n">
        <x:v>0</x:v>
      </x:c>
      <x:c r="AB918" s="37" t="n">
        <x:v>10662747.539634487</x:v>
      </x:c>
      <x:c r="AC918" s="37" t="n">
        <x:v>2495769.4810437486</x:v>
      </x:c>
      <x:c r="AD918" s="37" t="n">
        <x:v>0</x:v>
      </x:c>
      <x:c r="AE918" s="37" t="n">
        <x:v>0</x:v>
      </x:c>
      <x:c r="AF918" s="47" t="b">
        <x:v>0</x:v>
      </x:c>
      <x:c r="AG918" s="47" t="b">
        <x:v>0</x:v>
      </x:c>
      <x:c r="AH918" s="48" t="n">
        <x:v>-3.2741809263825417e-10</x:v>
      </x:c>
      <x:c r="AI918" s="48" t="n">
        <x:v>1.1920928955078125e-7</x:v>
      </x:c>
      <x:c r="AJ918" s="37" t="str">
        <x:v>passed</x:v>
      </x:c>
    </x:row>
    <x:row r="919" ht="21" customHeight="1">
      <x:c r="A919" s="2"/>
      <x:c r="B919" s="2"/>
      <x:c r="C919" s="2" t="str">
        <x:v>2022</x:v>
      </x:c>
      <x:c r="D919" s="5" t="n">
        <x:v>44896</x:v>
      </x:c>
      <x:c r="E919" s="2" t="str">
        <x:v>unhedged</x:v>
      </x:c>
      <x:c r="F919" s="37" t="n">
        <x:v>1349506.9149494153</x:v>
      </x:c>
      <x:c r="G919" s="37" t="n">
        <x:v>10525052.953972345</x:v>
      </x:c>
      <x:c r="H919" s="37" t="n">
        <x:v>26506.72591880855</x:v>
      </x:c>
      <x:c r="I919" s="37" t="n">
        <x:v>10498546.228053536</x:v>
      </x:c>
      <x:c r="J919" s="37" t="n">
        <x:v>10525052.953972345</x:v>
      </x:c>
      <x:c r="K919" s="37" t="n">
        <x:v>0</x:v>
      </x:c>
      <x:c r="L919" s="37" t="n">
        <x:v>11874559.86892176</x:v>
      </x:c>
      <x:c r="M919" s="37" t="n">
        <x:v>0</x:v>
      </x:c>
      <x:c r="N919" s="37" t="n">
        <x:v>0</x:v>
      </x:c>
      <x:c r="O919" s="37" t="n">
        <x:v>73.9415327901952</x:v>
      </x:c>
      <x:c r="P919" s="37" t="n">
        <x:v>0</x:v>
      </x:c>
      <x:c r="Q919" s="37" t="n">
        <x:v>0</x:v>
      </x:c>
      <x:c r="R919" s="37" t="n">
        <x:v>0</x:v>
      </x:c>
      <x:c r="S919" s="37" t="n">
        <x:v>0</x:v>
      </x:c>
      <x:c r="T919" s="37" t="n">
        <x:v>0</x:v>
      </x:c>
      <x:c r="U919" s="37" t="n">
        <x:v>127500</x:v>
      </x:c>
      <x:c r="V919" s="37" t="n">
        <x:v>0</x:v>
      </x:c>
      <x:c r="W919" s="37" t="n">
        <x:v>23181.63426614087</x:v>
      </x:c>
      <x:c r="X919" s="37" t="n">
        <x:v>0</x:v>
      </x:c>
      <x:c r="Y919" s="37" t="n">
        <x:v>1174.7193167256753</x:v>
      </x:c>
      <x:c r="Z919" s="37" t="n">
        <x:v>0</x:v>
      </x:c>
      <x:c r="AA919" s="37" t="n">
        <x:v>0</x:v>
      </x:c>
      <x:c r="AB919" s="37" t="n">
        <x:v>0</x:v>
      </x:c>
      <x:c r="AC919" s="37" t="n">
        <x:v>1349506.9149494153</x:v>
      </x:c>
      <x:c r="AD919" s="37" t="n">
        <x:v>0</x:v>
      </x:c>
      <x:c r="AE919" s="37" t="n">
        <x:v>0</x:v>
      </x:c>
      <x:c r="AF919" s="47" t="b">
        <x:v>0</x:v>
      </x:c>
      <x:c r="AG919" s="47" t="b">
        <x:v>0</x:v>
      </x:c>
      <x:c r="AH919" s="48" t="n">
        <x:v>0</x:v>
      </x:c>
      <x:c r="AI919" s="48" t="n">
        <x:v>1.1920928955078125e-7</x:v>
      </x:c>
      <x:c r="AJ919" s="37" t="str">
        <x:v>passed</x:v>
      </x:c>
    </x:row>
    <x:row r="920" ht="21" customHeight="1">
      <x:c r="A920" s="2"/>
      <x:c r="B920" s="2"/>
      <x:c r="C920" s="2" t="str">
        <x:v>2022</x:v>
      </x:c>
      <x:c r="D920" s="5" t="n">
        <x:v>44896</x:v>
      </x:c>
      <x:c r="E920" s="2" t="str">
        <x:v>duration</x:v>
      </x:c>
      <x:c r="F920" s="37" t="n">
        <x:v>9256212.91224631</x:v>
      </x:c>
      <x:c r="G920" s="37" t="n">
        <x:v>3785396.785989682</x:v>
      </x:c>
      <x:c r="H920" s="37" t="n">
        <x:v>21593.781484588846</x:v>
      </x:c>
      <x:c r="I920" s="37" t="n">
        <x:v>3763803.004505093</x:v>
      </x:c>
      <x:c r="J920" s="37" t="n">
        <x:v>10525052.953972345</x:v>
      </x:c>
      <x:c r="K920" s="37" t="n">
        <x:v>6739656.167982664</x:v>
      </x:c>
      <x:c r="L920" s="37" t="n">
        <x:v>13041609.698235992</x:v>
      </x:c>
      <x:c r="M920" s="37" t="n">
        <x:v>0</x:v>
      </x:c>
      <x:c r="N920" s="37" t="n">
        <x:v>0</x:v>
      </x:c>
      <x:c r="O920" s="37" t="n">
        <x:v>512.9816089142114</x:v>
      </x:c>
      <x:c r="P920" s="37" t="n">
        <x:v>0</x:v>
      </x:c>
      <x:c r="Q920" s="37" t="n">
        <x:v>10.620381165561128</x:v>
      </x:c>
      <x:c r="R920" s="37" t="n">
        <x:v>-106203.81165561127</x:v>
      </x:c>
      <x:c r="S920" s="37" t="n">
        <x:v>106203.81165561127</x:v>
      </x:c>
      <x:c r="T920" s="37" t="n">
        <x:v>0</x:v>
      </x:c>
      <x:c r="U920" s="37" t="n">
        <x:v>13941.618642774301</x:v>
      </x:c>
      <x:c r="V920" s="37" t="n">
        <x:v>0</x:v>
      </x:c>
      <x:c r="W920" s="37" t="n">
        <x:v>169526.40445608087</x:v>
      </x:c>
      <x:c r="X920" s="37" t="n">
        <x:v>0</x:v>
      </x:c>
      <x:c r="Y920" s="37" t="n">
        <x:v>2020.2166044244252</x:v>
      </x:c>
      <x:c r="Z920" s="37" t="n">
        <x:v>6874449.291342317</x:v>
      </x:c>
      <x:c r="AA920" s="37" t="n">
        <x:v>0</x:v>
      </x:c>
      <x:c r="AB920" s="37" t="n">
        <x:v>6874449.291342317</x:v>
      </x:c>
      <x:c r="AC920" s="37" t="n">
        <x:v>2381763.620903992</x:v>
      </x:c>
      <x:c r="AD920" s="37" t="n">
        <x:v>0</x:v>
      </x:c>
      <x:c r="AE920" s="37" t="n">
        <x:v>0</x:v>
      </x:c>
      <x:c r="AF920" s="47" t="b">
        <x:v>0</x:v>
      </x:c>
      <x:c r="AG920" s="47" t="b">
        <x:v>0</x:v>
      </x:c>
      <x:c r="AH920" s="48" t="n">
        <x:v>7.309495231311303e-10</x:v>
      </x:c>
      <x:c r="AI920" s="48" t="n">
        <x:v>1.1920928955078125e-7</x:v>
      </x:c>
      <x:c r="AJ920" s="37" t="str">
        <x:v>passed</x:v>
      </x:c>
    </x:row>
    <x:row r="921" ht="21" customHeight="1">
      <x:c r="A921" s="2"/>
      <x:c r="B921" s="2"/>
      <x:c r="C921" s="2" t="str">
        <x:v>2022</x:v>
      </x:c>
      <x:c r="D921" s="5" t="n">
        <x:v>44896</x:v>
      </x:c>
      <x:c r="E921" s="2" t="str">
        <x:v>unweighted</x:v>
      </x:c>
      <x:c r="F921" s="37" t="n">
        <x:v>12241805.81617814</x:v>
      </x:c>
      <x:c r="G921" s="37" t="n">
        <x:v>857485.9612472448</x:v>
      </x:c>
      <x:c r="H921" s="37" t="n">
        <x:v>22976.837284258636</x:v>
      </x:c>
      <x:c r="I921" s="37" t="n">
        <x:v>834509.1239629862</x:v>
      </x:c>
      <x:c r="J921" s="37" t="n">
        <x:v>10555446.234720038</x:v>
      </x:c>
      <x:c r="K921" s="37" t="n">
        <x:v>9697960.273472793</x:v>
      </x:c>
      <x:c r="L921" s="37" t="n">
        <x:v>13099291.777425384</x:v>
      </x:c>
      <x:c r="M921" s="37" t="n">
        <x:v>0</x:v>
      </x:c>
      <x:c r="N921" s="37" t="n">
        <x:v>0</x:v>
      </x:c>
      <x:c r="O921" s="37" t="n">
        <x:v>692.1722404491156</x:v>
      </x:c>
      <x:c r="P921" s="37" t="n">
        <x:v>0</x:v>
      </x:c>
      <x:c r="Q921" s="37" t="n">
        <x:v>48.0750383726565</x:v>
      </x:c>
      <x:c r="R921" s="37" t="n">
        <x:v>-390981.6691920565</x:v>
      </x:c>
      <x:c r="S921" s="37" t="n">
        <x:v>480750.383726565</x:v>
      </x:c>
      <x:c r="T921" s="37" t="n">
        <x:v>0</x:v>
      </x:c>
      <x:c r="U921" s="37" t="n">
        <x:v>-5474.05595196948</x:v>
      </x:c>
      <x:c r="V921" s="37" t="n">
        <x:v>0</x:v>
      </x:c>
      <x:c r="W921" s="37" t="n">
        <x:v>223676.06882365607</x:v>
      </x:c>
      <x:c r="X921" s="37" t="n">
        <x:v>0</x:v>
      </x:c>
      <x:c r="Y921" s="37" t="n">
        <x:v>2354.485312553004</x:v>
      </x:c>
      <x:c r="Z921" s="37" t="n">
        <x:v>9891919.478942249</x:v>
      </x:c>
      <x:c r="AA921" s="37" t="n">
        <x:v>0</x:v>
      </x:c>
      <x:c r="AB921" s="37" t="n">
        <x:v>9891919.478942249</x:v>
      </x:c>
      <x:c r="AC921" s="37" t="n">
        <x:v>2349886.3372358903</x:v>
      </x:c>
      <x:c r="AD921" s="37" t="n">
        <x:v>0</x:v>
      </x:c>
      <x:c r="AE921" s="37" t="n">
        <x:v>0</x:v>
      </x:c>
      <x:c r="AF921" s="47" t="b">
        <x:v>0</x:v>
      </x:c>
      <x:c r="AG921" s="47" t="b">
        <x:v>0</x:v>
      </x:c>
      <x:c r="AH921" s="48" t="n">
        <x:v>-1.3958825206827896e-9</x:v>
      </x:c>
      <x:c r="AI921" s="48" t="n">
        <x:v>1.1920928955078125e-7</x:v>
      </x:c>
      <x:c r="AJ921" s="37" t="str">
        <x:v>passed</x:v>
      </x:c>
    </x:row>
    <x:row r="922" ht="21" customHeight="1">
      <x:c r="A922" s="2"/>
      <x:c r="B922" s="2"/>
      <x:c r="C922" s="2" t="str">
        <x:v>2022</x:v>
      </x:c>
      <x:c r="D922" s="5" t="n">
        <x:v>44896</x:v>
      </x:c>
      <x:c r="E922" s="2" t="str">
        <x:v>constrained</x:v>
      </x:c>
      <x:c r="F922" s="37" t="n">
        <x:v>13071966.985975502</x:v>
      </x:c>
      <x:c r="G922" s="37" t="n">
        <x:v>115183.8034202371</x:v>
      </x:c>
      <x:c r="H922" s="37" t="n">
        <x:v>22903.043514168454</x:v>
      </x:c>
      <x:c r="I922" s="37" t="n">
        <x:v>92280.75990606865</x:v>
      </x:c>
      <x:c r="J922" s="37" t="n">
        <x:v>10559166.219388783</x:v>
      </x:c>
      <x:c r="K922" s="37" t="n">
        <x:v>10443982.415968545</x:v>
      </x:c>
      <x:c r="L922" s="37" t="n">
        <x:v>13187150.789395738</x:v>
      </x:c>
      <x:c r="M922" s="37" t="n">
        <x:v>0</x:v>
      </x:c>
      <x:c r="N922" s="37" t="n">
        <x:v>0</x:v>
      </x:c>
      <x:c r="O922" s="37" t="n">
        <x:v>721.0146312713623</x:v>
      </x:c>
      <x:c r="P922" s="37" t="n">
        <x:v>0</x:v>
      </x:c>
      <x:c r="Q922" s="37" t="n">
        <x:v>21.52715705316105</x:v>
      </x:c>
      <x:c r="R922" s="37" t="n">
        <x:v>-87249.52217695033</x:v>
      </x:c>
      <x:c r="S922" s="37" t="n">
        <x:v>215271.5705316105</x:v>
      </x:c>
      <x:c r="T922" s="37" t="n">
        <x:v>0</x:v>
      </x:c>
      <x:c r="U922" s="37" t="n">
        <x:v>-13346.704870530775</x:v>
      </x:c>
      <x:c r="V922" s="37" t="n">
        <x:v>0</x:v>
      </x:c>
      <x:c r="W922" s="37" t="n">
        <x:v>238789.31706870534</x:v>
      </x:c>
      <x:c r="X922" s="37" t="n">
        <x:v>0</x:v>
      </x:c>
      <x:c r="Y922" s="37" t="n">
        <x:v>2425.773114277156</x:v>
      </x:c>
      <x:c r="Z922" s="37" t="n">
        <x:v>10652862.064287916</x:v>
      </x:c>
      <x:c r="AA922" s="37" t="n">
        <x:v>0</x:v>
      </x:c>
      <x:c r="AB922" s="37" t="n">
        <x:v>10652862.064287916</x:v>
      </x:c>
      <x:c r="AC922" s="37" t="n">
        <x:v>2419104.9216875862</x:v>
      </x:c>
      <x:c r="AD922" s="37" t="n">
        <x:v>0</x:v>
      </x:c>
      <x:c r="AE922" s="37" t="n">
        <x:v>0</x:v>
      </x:c>
      <x:c r="AF922" s="47" t="b">
        <x:v>0</x:v>
      </x:c>
      <x:c r="AG922" s="47" t="b">
        <x:v>0</x:v>
      </x:c>
      <x:c r="AH922" s="48" t="n">
        <x:v>-1.0343619294417294e-9</x:v>
      </x:c>
      <x:c r="AI922" s="48" t="n">
        <x:v>1.1920928955078125e-7</x:v>
      </x:c>
      <x:c r="AJ922" s="37" t="str">
        <x:v>passed</x:v>
      </x:c>
    </x:row>
    <x:row r="923" ht="21" customHeight="1">
      <x:c r="A923" s="2"/>
      <x:c r="B923" s="2"/>
      <x:c r="C923" s="2" t="str">
        <x:v>2022</x:v>
      </x:c>
      <x:c r="D923" s="5" t="n">
        <x:v>44897</x:v>
      </x:c>
      <x:c r="E923" s="2" t="str">
        <x:v>unhedged</x:v>
      </x:c>
      <x:c r="F923" s="37" t="n">
        <x:v>1349580.860533796</x:v>
      </x:c>
      <x:c r="G923" s="37" t="n">
        <x:v>10531727.10392435</x:v>
      </x:c>
      <x:c r="H923" s="37" t="n">
        <x:v>26855.55789094403</x:v>
      </x:c>
      <x:c r="I923" s="37" t="n">
        <x:v>10504871.546033407</x:v>
      </x:c>
      <x:c r="J923" s="37" t="n">
        <x:v>10531727.10392435</x:v>
      </x:c>
      <x:c r="K923" s="37" t="n">
        <x:v>0</x:v>
      </x:c>
      <x:c r="L923" s="37" t="n">
        <x:v>11881307.964458147</x:v>
      </x:c>
      <x:c r="M923" s="37" t="n">
        <x:v>0</x:v>
      </x:c>
      <x:c r="N923" s="37" t="n">
        <x:v>0</x:v>
      </x:c>
      <x:c r="O923" s="37" t="n">
        <x:v>73.94558438076638</x:v>
      </x:c>
      <x:c r="P923" s="37" t="n">
        <x:v>0</x:v>
      </x:c>
      <x:c r="Q923" s="37" t="n">
        <x:v>0</x:v>
      </x:c>
      <x:c r="R923" s="37" t="n">
        <x:v>0</x:v>
      </x:c>
      <x:c r="S923" s="37" t="n">
        <x:v>0</x:v>
      </x:c>
      <x:c r="T923" s="37" t="n">
        <x:v>0</x:v>
      </x:c>
      <x:c r="U923" s="37" t="n">
        <x:v>127500</x:v>
      </x:c>
      <x:c r="V923" s="37" t="n">
        <x:v>0</x:v>
      </x:c>
      <x:c r="W923" s="37" t="n">
        <x:v>23255.579850521637</x:v>
      </x:c>
      <x:c r="X923" s="37" t="n">
        <x:v>0</x:v>
      </x:c>
      <x:c r="Y923" s="37" t="n">
        <x:v>1174.7193167256753</x:v>
      </x:c>
      <x:c r="Z923" s="37" t="n">
        <x:v>0</x:v>
      </x:c>
      <x:c r="AA923" s="37" t="n">
        <x:v>0</x:v>
      </x:c>
      <x:c r="AB923" s="37" t="n">
        <x:v>0</x:v>
      </x:c>
      <x:c r="AC923" s="37" t="n">
        <x:v>1349580.860533796</x:v>
      </x:c>
      <x:c r="AD923" s="37" t="n">
        <x:v>0</x:v>
      </x:c>
      <x:c r="AE923" s="37" t="n">
        <x:v>0</x:v>
      </x:c>
      <x:c r="AF923" s="47" t="b">
        <x:v>0</x:v>
      </x:c>
      <x:c r="AG923" s="47" t="b">
        <x:v>0</x:v>
      </x:c>
      <x:c r="AH923" s="48" t="n">
        <x:v>0</x:v>
      </x:c>
      <x:c r="AI923" s="48" t="n">
        <x:v>1.1920928955078125e-7</x:v>
      </x:c>
      <x:c r="AJ923" s="37" t="str">
        <x:v>passed</x:v>
      </x:c>
    </x:row>
    <x:row r="924" ht="21" customHeight="1">
      <x:c r="A924" s="2"/>
      <x:c r="B924" s="2"/>
      <x:c r="C924" s="2" t="str">
        <x:v>2022</x:v>
      </x:c>
      <x:c r="D924" s="5" t="n">
        <x:v>44897</x:v>
      </x:c>
      <x:c r="E924" s="2" t="str">
        <x:v>duration</x:v>
      </x:c>
      <x:c r="F924" s="37" t="n">
        <x:v>9256720.101994926</x:v>
      </x:c>
      <x:c r="G924" s="37" t="n">
        <x:v>3782196.823498588</x:v>
      </x:c>
      <x:c r="H924" s="37" t="n">
        <x:v>21635.554429585594</x:v>
      </x:c>
      <x:c r="I924" s="37" t="n">
        <x:v>3760561.2690690025</x:v>
      </x:c>
      <x:c r="J924" s="37" t="n">
        <x:v>10531727.10392435</x:v>
      </x:c>
      <x:c r="K924" s="37" t="n">
        <x:v>6749530.280425763</x:v>
      </x:c>
      <x:c r="L924" s="37" t="n">
        <x:v>13038916.925493514</x:v>
      </x:c>
      <x:c r="M924" s="37" t="n">
        <x:v>0</x:v>
      </x:c>
      <x:c r="N924" s="37" t="n">
        <x:v>0</x:v>
      </x:c>
      <x:c r="O924" s="37" t="n">
        <x:v>507.1897486168891</x:v>
      </x:c>
      <x:c r="P924" s="37" t="n">
        <x:v>0</x:v>
      </x:c>
      <x:c r="Q924" s="37" t="n">
        <x:v>0</x:v>
      </x:c>
      <x:c r="R924" s="37" t="n">
        <x:v>0</x:v>
      </x:c>
      <x:c r="S924" s="37" t="n">
        <x:v>0</x:v>
      </x:c>
      <x:c r="T924" s="37" t="n">
        <x:v>0</x:v>
      </x:c>
      <x:c r="U924" s="37" t="n">
        <x:v>13941.618642774301</x:v>
      </x:c>
      <x:c r="V924" s="37" t="n">
        <x:v>0</x:v>
      </x:c>
      <x:c r="W924" s="37" t="n">
        <x:v>170033.59420469776</x:v>
      </x:c>
      <x:c r="X924" s="37" t="n">
        <x:v>0</x:v>
      </x:c>
      <x:c r="Y924" s="37" t="n">
        <x:v>2020.2166044244252</x:v>
      </x:c>
      <x:c r="Z924" s="37" t="n">
        <x:v>6884520.886034278</x:v>
      </x:c>
      <x:c r="AA924" s="37" t="n">
        <x:v>0</x:v>
      </x:c>
      <x:c r="AB924" s="37" t="n">
        <x:v>6884520.886034278</x:v>
      </x:c>
      <x:c r="AC924" s="37" t="n">
        <x:v>2372199.215960648</x:v>
      </x:c>
      <x:c r="AD924" s="37" t="n">
        <x:v>0</x:v>
      </x:c>
      <x:c r="AE924" s="37" t="n">
        <x:v>0</x:v>
      </x:c>
      <x:c r="AF924" s="47" t="b">
        <x:v>0</x:v>
      </x:c>
      <x:c r="AG924" s="47" t="b">
        <x:v>0</x:v>
      </x:c>
      <x:c r="AH924" s="48" t="n">
        <x:v>0</x:v>
      </x:c>
      <x:c r="AI924" s="48" t="n">
        <x:v>1.1920928955078125e-7</x:v>
      </x:c>
      <x:c r="AJ924" s="37" t="str">
        <x:v>passed</x:v>
      </x:c>
    </x:row>
    <x:row r="925" ht="21" customHeight="1">
      <x:c r="A925" s="2"/>
      <x:c r="B925" s="2"/>
      <x:c r="C925" s="2" t="str">
        <x:v>2022</x:v>
      </x:c>
      <x:c r="D925" s="5" t="n">
        <x:v>44897</x:v>
      </x:c>
      <x:c r="E925" s="2" t="str">
        <x:v>unweighted</x:v>
      </x:c>
      <x:c r="F925" s="37" t="n">
        <x:v>12242476.60005848</x:v>
      </x:c>
      <x:c r="G925" s="37" t="n">
        <x:v>857628.8353124431</x:v>
      </x:c>
      <x:c r="H925" s="37" t="n">
        <x:v>22959.060252230338</x:v>
      </x:c>
      <x:c r="I925" s="37" t="n">
        <x:v>834669.7750602127</x:v>
      </x:c>
      <x:c r="J925" s="37" t="n">
        <x:v>10562376.84625532</x:v>
      </x:c>
      <x:c r="K925" s="37" t="n">
        <x:v>9704748.010942876</x:v>
      </x:c>
      <x:c r="L925" s="37" t="n">
        <x:v>13100105.435370922</x:v>
      </x:c>
      <x:c r="M925" s="37" t="n">
        <x:v>0</x:v>
      </x:c>
      <x:c r="N925" s="37" t="n">
        <x:v>0</x:v>
      </x:c>
      <x:c r="O925" s="37" t="n">
        <x:v>670.7838803399354</x:v>
      </x:c>
      <x:c r="P925" s="37" t="n">
        <x:v>0</x:v>
      </x:c>
      <x:c r="Q925" s="37" t="n">
        <x:v>0</x:v>
      </x:c>
      <x:c r="R925" s="37" t="n">
        <x:v>0</x:v>
      </x:c>
      <x:c r="S925" s="37" t="n">
        <x:v>0</x:v>
      </x:c>
      <x:c r="T925" s="37" t="n">
        <x:v>0</x:v>
      </x:c>
      <x:c r="U925" s="37" t="n">
        <x:v>-5474.05595196948</x:v>
      </x:c>
      <x:c r="V925" s="37" t="n">
        <x:v>0</x:v>
      </x:c>
      <x:c r="W925" s="37" t="n">
        <x:v>224346.852703996</x:v>
      </x:c>
      <x:c r="X925" s="37" t="n">
        <x:v>0</x:v>
      </x:c>
      <x:c r="Y925" s="37" t="n">
        <x:v>2354.485312553004</x:v>
      </x:c>
      <x:c r="Z925" s="37" t="n">
        <x:v>9898842.971161734</x:v>
      </x:c>
      <x:c r="AA925" s="37" t="n">
        <x:v>0</x:v>
      </x:c>
      <x:c r="AB925" s="37" t="n">
        <x:v>9898842.971161734</x:v>
      </x:c>
      <x:c r="AC925" s="37" t="n">
        <x:v>2343633.628896745</x:v>
      </x:c>
      <x:c r="AD925" s="37" t="n">
        <x:v>0</x:v>
      </x:c>
      <x:c r="AE925" s="37" t="n">
        <x:v>0</x:v>
      </x:c>
      <x:c r="AF925" s="47" t="b">
        <x:v>0</x:v>
      </x:c>
      <x:c r="AG925" s="47" t="b">
        <x:v>0</x:v>
      </x:c>
      <x:c r="AH925" s="48" t="n">
        <x:v>0</x:v>
      </x:c>
      <x:c r="AI925" s="48" t="n">
        <x:v>1.1920928955078125e-7</x:v>
      </x:c>
      <x:c r="AJ925" s="37" t="str">
        <x:v>passed</x:v>
      </x:c>
    </x:row>
    <x:row r="926" ht="21" customHeight="1">
      <x:c r="A926" s="2"/>
      <x:c r="B926" s="2"/>
      <x:c r="C926" s="2" t="str">
        <x:v>2022</x:v>
      </x:c>
      <x:c r="D926" s="5" t="n">
        <x:v>44897</x:v>
      </x:c>
      <x:c r="E926" s="2" t="str">
        <x:v>constrained</x:v>
      </x:c>
      <x:c r="F926" s="37" t="n">
        <x:v>13072683.258139119</x:v>
      </x:c>
      <x:c r="G926" s="37" t="n">
        <x:v>115098.44486945572</x:v>
      </x:c>
      <x:c r="H926" s="37" t="n">
        <x:v>22864.41969506928</x:v>
      </x:c>
      <x:c r="I926" s="37" t="n">
        <x:v>92234.02517438645</x:v>
      </x:c>
      <x:c r="J926" s="37" t="n">
        <x:v>10566119.100776028</x:v>
      </x:c>
      <x:c r="K926" s="37" t="n">
        <x:v>10451020.655906573</x:v>
      </x:c>
      <x:c r="L926" s="37" t="n">
        <x:v>13187781.703008574</x:v>
      </x:c>
      <x:c r="M926" s="37" t="n">
        <x:v>0</x:v>
      </x:c>
      <x:c r="N926" s="37" t="n">
        <x:v>0</x:v>
      </x:c>
      <x:c r="O926" s="37" t="n">
        <x:v>716.2721636164933</x:v>
      </x:c>
      <x:c r="P926" s="37" t="n">
        <x:v>0</x:v>
      </x:c>
      <x:c r="Q926" s="37" t="n">
        <x:v>0</x:v>
      </x:c>
      <x:c r="R926" s="37" t="n">
        <x:v>0</x:v>
      </x:c>
      <x:c r="S926" s="37" t="n">
        <x:v>0</x:v>
      </x:c>
      <x:c r="T926" s="37" t="n">
        <x:v>0</x:v>
      </x:c>
      <x:c r="U926" s="37" t="n">
        <x:v>-13346.704870530775</x:v>
      </x:c>
      <x:c r="V926" s="37" t="n">
        <x:v>0</x:v>
      </x:c>
      <x:c r="W926" s="37" t="n">
        <x:v>239505.58923232183</x:v>
      </x:c>
      <x:c r="X926" s="37" t="n">
        <x:v>0</x:v>
      </x:c>
      <x:c r="Y926" s="37" t="n">
        <x:v>2425.773114277156</x:v>
      </x:c>
      <x:c r="Z926" s="37" t="n">
        <x:v>10660041.069024704</x:v>
      </x:c>
      <x:c r="AA926" s="37" t="n">
        <x:v>0</x:v>
      </x:c>
      <x:c r="AB926" s="37" t="n">
        <x:v>10660041.069024704</x:v>
      </x:c>
      <x:c r="AC926" s="37" t="n">
        <x:v>2412642.189114414</x:v>
      </x:c>
      <x:c r="AD926" s="37" t="n">
        <x:v>0</x:v>
      </x:c>
      <x:c r="AE926" s="37" t="n">
        <x:v>0</x:v>
      </x:c>
      <x:c r="AF926" s="47" t="b">
        <x:v>0</x:v>
      </x:c>
      <x:c r="AG926" s="47" t="b">
        <x:v>0</x:v>
      </x:c>
      <x:c r="AH926" s="48" t="n">
        <x:v>0</x:v>
      </x:c>
      <x:c r="AI926" s="48" t="n">
        <x:v>1.1920928955078125e-7</x:v>
      </x:c>
      <x:c r="AJ926" s="37" t="str">
        <x:v>passed</x:v>
      </x:c>
    </x:row>
    <x:row r="927" ht="21" customHeight="1">
      <x:c r="A927" s="2"/>
      <x:c r="B927" s="2"/>
      <x:c r="C927" s="2" t="str">
        <x:v>2022</x:v>
      </x:c>
      <x:c r="D927" s="5" t="n">
        <x:v>44900</x:v>
      </x:c>
      <x:c r="E927" s="2" t="str">
        <x:v>unhedged</x:v>
      </x:c>
      <x:c r="F927" s="37" t="n">
        <x:v>1349802.7215987039</x:v>
      </x:c>
      <x:c r="G927" s="37" t="n">
        <x:v>10472203.674906963</x:v>
      </x:c>
      <x:c r="H927" s="37" t="n">
        <x:v>27902.05380735047</x:v>
      </x:c>
      <x:c r="I927" s="37" t="n">
        <x:v>10444301.621099614</x:v>
      </x:c>
      <x:c r="J927" s="37" t="n">
        <x:v>10472203.674906963</x:v>
      </x:c>
      <x:c r="K927" s="37" t="n">
        <x:v>0</x:v>
      </x:c>
      <x:c r="L927" s="37" t="n">
        <x:v>11822006.396505667</x:v>
      </x:c>
      <x:c r="M927" s="37" t="n">
        <x:v>0</x:v>
      </x:c>
      <x:c r="N927" s="37" t="n">
        <x:v>0</x:v>
      </x:c>
      <x:c r="O927" s="37" t="n">
        <x:v>221.86106490786187</x:v>
      </x:c>
      <x:c r="P927" s="37" t="n">
        <x:v>0</x:v>
      </x:c>
      <x:c r="Q927" s="37" t="n">
        <x:v>0</x:v>
      </x:c>
      <x:c r="R927" s="37" t="n">
        <x:v>0</x:v>
      </x:c>
      <x:c r="S927" s="37" t="n">
        <x:v>0</x:v>
      </x:c>
      <x:c r="T927" s="37" t="n">
        <x:v>0</x:v>
      </x:c>
      <x:c r="U927" s="37" t="n">
        <x:v>127500</x:v>
      </x:c>
      <x:c r="V927" s="37" t="n">
        <x:v>0</x:v>
      </x:c>
      <x:c r="W927" s="37" t="n">
        <x:v>23477.4409154295</x:v>
      </x:c>
      <x:c r="X927" s="37" t="n">
        <x:v>0</x:v>
      </x:c>
      <x:c r="Y927" s="37" t="n">
        <x:v>1174.7193167256753</x:v>
      </x:c>
      <x:c r="Z927" s="37" t="n">
        <x:v>0</x:v>
      </x:c>
      <x:c r="AA927" s="37" t="n">
        <x:v>0</x:v>
      </x:c>
      <x:c r="AB927" s="37" t="n">
        <x:v>0</x:v>
      </x:c>
      <x:c r="AC927" s="37" t="n">
        <x:v>1349802.7215987039</x:v>
      </x:c>
      <x:c r="AD927" s="37" t="n">
        <x:v>0</x:v>
      </x:c>
      <x:c r="AE927" s="37" t="n">
        <x:v>0</x:v>
      </x:c>
      <x:c r="AF927" s="47" t="b">
        <x:v>0</x:v>
      </x:c>
      <x:c r="AG927" s="47" t="b">
        <x:v>0</x:v>
      </x:c>
      <x:c r="AH927" s="48" t="n">
        <x:v>0</x:v>
      </x:c>
      <x:c r="AI927" s="48" t="n">
        <x:v>1.1920928955078125e-7</x:v>
      </x:c>
      <x:c r="AJ927" s="37" t="str">
        <x:v>passed</x:v>
      </x:c>
    </x:row>
    <x:row r="928" ht="21" customHeight="1">
      <x:c r="A928" s="2"/>
      <x:c r="B928" s="2"/>
      <x:c r="C928" s="2" t="str">
        <x:v>2022</x:v>
      </x:c>
      <x:c r="D928" s="5" t="n">
        <x:v>44900</x:v>
      </x:c>
      <x:c r="E928" s="2" t="str">
        <x:v>duration</x:v>
      </x:c>
      <x:c r="F928" s="37" t="n">
        <x:v>9258241.837994182</x:v>
      </x:c>
      <x:c r="G928" s="37" t="n">
        <x:v>3777287.524845114</x:v>
      </x:c>
      <x:c r="H928" s="37" t="n">
        <x:v>21760.87326457584</x:v>
      </x:c>
      <x:c r="I928" s="37" t="n">
        <x:v>3755526.651580538</x:v>
      </x:c>
      <x:c r="J928" s="37" t="n">
        <x:v>10472203.674906963</x:v>
      </x:c>
      <x:c r="K928" s="37" t="n">
        <x:v>6694916.1500618495</x:v>
      </x:c>
      <x:c r="L928" s="37" t="n">
        <x:v>13035529.362839296</x:v>
      </x:c>
      <x:c r="M928" s="37" t="n">
        <x:v>0</x:v>
      </x:c>
      <x:c r="N928" s="37" t="n">
        <x:v>0</x:v>
      </x:c>
      <x:c r="O928" s="37" t="n">
        <x:v>1521.7359992563725</x:v>
      </x:c>
      <x:c r="P928" s="37" t="n">
        <x:v>0</x:v>
      </x:c>
      <x:c r="Q928" s="37" t="n">
        <x:v>0</x:v>
      </x:c>
      <x:c r="R928" s="37" t="n">
        <x:v>0</x:v>
      </x:c>
      <x:c r="S928" s="37" t="n">
        <x:v>0</x:v>
      </x:c>
      <x:c r="T928" s="37" t="n">
        <x:v>0</x:v>
      </x:c>
      <x:c r="U928" s="37" t="n">
        <x:v>13941.618642774301</x:v>
      </x:c>
      <x:c r="V928" s="37" t="n">
        <x:v>0</x:v>
      </x:c>
      <x:c r="W928" s="37" t="n">
        <x:v>171555.33020395413</x:v>
      </x:c>
      <x:c r="X928" s="37" t="n">
        <x:v>0</x:v>
      </x:c>
      <x:c r="Y928" s="37" t="n">
        <x:v>2020.2166044244252</x:v>
      </x:c>
      <x:c r="Z928" s="37" t="n">
        <x:v>6828814.473063086</x:v>
      </x:c>
      <x:c r="AA928" s="37" t="n">
        <x:v>0</x:v>
      </x:c>
      <x:c r="AB928" s="37" t="n">
        <x:v>6828814.473063086</x:v>
      </x:c>
      <x:c r="AC928" s="37" t="n">
        <x:v>2429427.3649310963</x:v>
      </x:c>
      <x:c r="AD928" s="37" t="n">
        <x:v>0</x:v>
      </x:c>
      <x:c r="AE928" s="37" t="n">
        <x:v>0</x:v>
      </x:c>
      <x:c r="AF928" s="47" t="b">
        <x:v>0</x:v>
      </x:c>
      <x:c r="AG928" s="47" t="b">
        <x:v>0</x:v>
      </x:c>
      <x:c r="AH928" s="48" t="n">
        <x:v>0</x:v>
      </x:c>
      <x:c r="AI928" s="48" t="n">
        <x:v>1.1920928955078125e-7</x:v>
      </x:c>
      <x:c r="AJ928" s="37" t="str">
        <x:v>passed</x:v>
      </x:c>
    </x:row>
    <x:row r="929" ht="21" customHeight="1">
      <x:c r="A929" s="2"/>
      <x:c r="B929" s="2"/>
      <x:c r="C929" s="2" t="str">
        <x:v>2022</x:v>
      </x:c>
      <x:c r="D929" s="5" t="n">
        <x:v>44900</x:v>
      </x:c>
      <x:c r="E929" s="2" t="str">
        <x:v>unweighted</x:v>
      </x:c>
      <x:c r="F929" s="37" t="n">
        <x:v>12244489.17223924</x:v>
      </x:c>
      <x:c r="G929" s="37" t="n">
        <x:v>854784.970401852</x:v>
      </x:c>
      <x:c r="H929" s="37" t="n">
        <x:v>22905.729156145455</x:v>
      </x:c>
      <x:c r="I929" s="37" t="n">
        <x:v>831879.2412457066</x:v>
      </x:c>
      <x:c r="J929" s="37" t="n">
        <x:v>10502668.138956996</x:v>
      </x:c>
      <x:c r="K929" s="37" t="n">
        <x:v>9647883.168555144</x:v>
      </x:c>
      <x:c r="L929" s="37" t="n">
        <x:v>13099274.142641092</x:v>
      </x:c>
      <x:c r="M929" s="37" t="n">
        <x:v>0</x:v>
      </x:c>
      <x:c r="N929" s="37" t="n">
        <x:v>0</x:v>
      </x:c>
      <x:c r="O929" s="37" t="n">
        <x:v>2012.5721807610244</x:v>
      </x:c>
      <x:c r="P929" s="37" t="n">
        <x:v>0</x:v>
      </x:c>
      <x:c r="Q929" s="37" t="n">
        <x:v>0</x:v>
      </x:c>
      <x:c r="R929" s="37" t="n">
        <x:v>0</x:v>
      </x:c>
      <x:c r="S929" s="37" t="n">
        <x:v>0</x:v>
      </x:c>
      <x:c r="T929" s="37" t="n">
        <x:v>0</x:v>
      </x:c>
      <x:c r="U929" s="37" t="n">
        <x:v>-5474.05595196948</x:v>
      </x:c>
      <x:c r="V929" s="37" t="n">
        <x:v>0</x:v>
      </x:c>
      <x:c r="W929" s="37" t="n">
        <x:v>226359.42488475703</x:v>
      </x:c>
      <x:c r="X929" s="37" t="n">
        <x:v>0</x:v>
      </x:c>
      <x:c r="Y929" s="37" t="n">
        <x:v>2354.485312553004</x:v>
      </x:c>
      <x:c r="Z929" s="37" t="n">
        <x:v>9840840.831926247</x:v>
      </x:c>
      <x:c r="AA929" s="37" t="n">
        <x:v>0</x:v>
      </x:c>
      <x:c r="AB929" s="37" t="n">
        <x:v>9840840.831926247</x:v>
      </x:c>
      <x:c r="AC929" s="37" t="n">
        <x:v>2403648.340312993</x:v>
      </x:c>
      <x:c r="AD929" s="37" t="n">
        <x:v>0</x:v>
      </x:c>
      <x:c r="AE929" s="37" t="n">
        <x:v>0</x:v>
      </x:c>
      <x:c r="AF929" s="47" t="b">
        <x:v>0</x:v>
      </x:c>
      <x:c r="AG929" s="47" t="b">
        <x:v>0</x:v>
      </x:c>
      <x:c r="AH929" s="48" t="n">
        <x:v>0</x:v>
      </x:c>
      <x:c r="AI929" s="48" t="n">
        <x:v>1.1920928955078125e-7</x:v>
      </x:c>
      <x:c r="AJ929" s="37" t="str">
        <x:v>passed</x:v>
      </x:c>
    </x:row>
    <x:row r="930" ht="21" customHeight="1">
      <x:c r="A930" s="2"/>
      <x:c r="B930" s="2"/>
      <x:c r="C930" s="2" t="str">
        <x:v>2022</x:v>
      </x:c>
      <x:c r="D930" s="5" t="n">
        <x:v>44900</x:v>
      </x:c>
      <x:c r="E930" s="2" t="str">
        <x:v>constrained</x:v>
      </x:c>
      <x:c r="F930" s="37" t="n">
        <x:v>13074832.310125308</x:v>
      </x:c>
      <x:c r="G930" s="37" t="n">
        <x:v>114744.20537071009</x:v>
      </x:c>
      <x:c r="H930" s="37" t="n">
        <x:v>22748.54823777177</x:v>
      </x:c>
      <x:c r="I930" s="37" t="n">
        <x:v>91995.65713293832</x:v>
      </x:c>
      <x:c r="J930" s="37" t="n">
        <x:v>10506397.788908858</x:v>
      </x:c>
      <x:c r="K930" s="37" t="n">
        <x:v>10391653.583538149</x:v>
      </x:c>
      <x:c r="L930" s="37" t="n">
        <x:v>13189576.515496017</x:v>
      </x:c>
      <x:c r="M930" s="37" t="n">
        <x:v>0</x:v>
      </x:c>
      <x:c r="N930" s="37" t="n">
        <x:v>0</x:v>
      </x:c>
      <x:c r="O930" s="37" t="n">
        <x:v>2149.051986189559</x:v>
      </x:c>
      <x:c r="P930" s="37" t="n">
        <x:v>0</x:v>
      </x:c>
      <x:c r="Q930" s="37" t="n">
        <x:v>0</x:v>
      </x:c>
      <x:c r="R930" s="37" t="n">
        <x:v>0</x:v>
      </x:c>
      <x:c r="S930" s="37" t="n">
        <x:v>0</x:v>
      </x:c>
      <x:c r="T930" s="37" t="n">
        <x:v>0</x:v>
      </x:c>
      <x:c r="U930" s="37" t="n">
        <x:v>-13346.704870530775</x:v>
      </x:c>
      <x:c r="V930" s="37" t="n">
        <x:v>0</x:v>
      </x:c>
      <x:c r="W930" s="37" t="n">
        <x:v>241654.6412185114</x:v>
      </x:c>
      <x:c r="X930" s="37" t="n">
        <x:v>0</x:v>
      </x:c>
      <x:c r="Y930" s="37" t="n">
        <x:v>2425.773114277156</x:v>
      </x:c>
      <x:c r="Z930" s="37" t="n">
        <x:v>10599486.655208912</x:v>
      </x:c>
      <x:c r="AA930" s="37" t="n">
        <x:v>0</x:v>
      </x:c>
      <x:c r="AB930" s="37" t="n">
        <x:v>10599486.655208912</x:v>
      </x:c>
      <x:c r="AC930" s="37" t="n">
        <x:v>2475345.6549163964</x:v>
      </x:c>
      <x:c r="AD930" s="37" t="n">
        <x:v>0</x:v>
      </x:c>
      <x:c r="AE930" s="37" t="n">
        <x:v>0</x:v>
      </x:c>
      <x:c r="AF930" s="47" t="b">
        <x:v>0</x:v>
      </x:c>
      <x:c r="AG930" s="47" t="b">
        <x:v>0</x:v>
      </x:c>
      <x:c r="AH930" s="48" t="n">
        <x:v>0</x:v>
      </x:c>
      <x:c r="AI930" s="48" t="n">
        <x:v>1.1920928955078125e-7</x:v>
      </x:c>
      <x:c r="AJ930" s="37" t="str">
        <x:v>passed</x:v>
      </x:c>
    </x:row>
    <x:row r="931" ht="21" customHeight="1">
      <x:c r="A931" s="2"/>
      <x:c r="B931" s="2"/>
      <x:c r="C931" s="2" t="str">
        <x:v>2022</x:v>
      </x:c>
      <x:c r="D931" s="5" t="n">
        <x:v>44901</x:v>
      </x:c>
      <x:c r="E931" s="2" t="str">
        <x:v>unhedged</x:v>
      </x:c>
      <x:c r="F931" s="37" t="n">
        <x:v>1349876.6833916684</x:v>
      </x:c>
      <x:c r="G931" s="37" t="n">
        <x:v>10519687.195701381</x:v>
      </x:c>
      <x:c r="H931" s="37" t="n">
        <x:v>28250.885779485947</x:v>
      </x:c>
      <x:c r="I931" s="37" t="n">
        <x:v>10491436.309921896</x:v>
      </x:c>
      <x:c r="J931" s="37" t="n">
        <x:v>10519687.195701381</x:v>
      </x:c>
      <x:c r="K931" s="37" t="n">
        <x:v>0</x:v>
      </x:c>
      <x:c r="L931" s="37" t="n">
        <x:v>11869563.87909305</x:v>
      </x:c>
      <x:c r="M931" s="37" t="n">
        <x:v>0</x:v>
      </x:c>
      <x:c r="N931" s="37" t="n">
        <x:v>0</x:v>
      </x:c>
      <x:c r="O931" s="37" t="n">
        <x:v>73.96179296448827</x:v>
      </x:c>
      <x:c r="P931" s="37" t="n">
        <x:v>0</x:v>
      </x:c>
      <x:c r="Q931" s="37" t="n">
        <x:v>0</x:v>
      </x:c>
      <x:c r="R931" s="37" t="n">
        <x:v>0</x:v>
      </x:c>
      <x:c r="S931" s="37" t="n">
        <x:v>0</x:v>
      </x:c>
      <x:c r="T931" s="37" t="n">
        <x:v>0</x:v>
      </x:c>
      <x:c r="U931" s="37" t="n">
        <x:v>127500</x:v>
      </x:c>
      <x:c r="V931" s="37" t="n">
        <x:v>0</x:v>
      </x:c>
      <x:c r="W931" s="37" t="n">
        <x:v>23551.402708393987</x:v>
      </x:c>
      <x:c r="X931" s="37" t="n">
        <x:v>0</x:v>
      </x:c>
      <x:c r="Y931" s="37" t="n">
        <x:v>1174.7193167256753</x:v>
      </x:c>
      <x:c r="Z931" s="37" t="n">
        <x:v>0</x:v>
      </x:c>
      <x:c r="AA931" s="37" t="n">
        <x:v>0</x:v>
      </x:c>
      <x:c r="AB931" s="37" t="n">
        <x:v>0</x:v>
      </x:c>
      <x:c r="AC931" s="37" t="n">
        <x:v>1349876.6833916684</x:v>
      </x:c>
      <x:c r="AD931" s="37" t="n">
        <x:v>0</x:v>
      </x:c>
      <x:c r="AE931" s="37" t="n">
        <x:v>0</x:v>
      </x:c>
      <x:c r="AF931" s="47" t="b">
        <x:v>0</x:v>
      </x:c>
      <x:c r="AG931" s="47" t="b">
        <x:v>0</x:v>
      </x:c>
      <x:c r="AH931" s="48" t="n">
        <x:v>0</x:v>
      </x:c>
      <x:c r="AI931" s="48" t="n">
        <x:v>1.1920928955078125e-7</x:v>
      </x:c>
      <x:c r="AJ931" s="37" t="str">
        <x:v>passed</x:v>
      </x:c>
    </x:row>
    <x:row r="932" ht="21" customHeight="1">
      <x:c r="A932" s="2"/>
      <x:c r="B932" s="2"/>
      <x:c r="C932" s="2" t="str">
        <x:v>2022</x:v>
      </x:c>
      <x:c r="D932" s="5" t="n">
        <x:v>44901</x:v>
      </x:c>
      <x:c r="E932" s="2" t="str">
        <x:v>duration</x:v>
      </x:c>
      <x:c r="F932" s="37" t="n">
        <x:v>9258749.138916815</x:v>
      </x:c>
      <x:c r="G932" s="37" t="n">
        <x:v>3774054.4252218404</x:v>
      </x:c>
      <x:c r="H932" s="37" t="n">
        <x:v>21802.646209572584</x:v>
      </x:c>
      <x:c r="I932" s="37" t="n">
        <x:v>3752251.779012268</x:v>
      </x:c>
      <x:c r="J932" s="37" t="n">
        <x:v>10519687.195701381</x:v>
      </x:c>
      <x:c r="K932" s="37" t="n">
        <x:v>6745632.77047954</x:v>
      </x:c>
      <x:c r="L932" s="37" t="n">
        <x:v>13032803.564138655</x:v>
      </x:c>
      <x:c r="M932" s="37" t="n">
        <x:v>0</x:v>
      </x:c>
      <x:c r="N932" s="37" t="n">
        <x:v>0</x:v>
      </x:c>
      <x:c r="O932" s="37" t="n">
        <x:v>507.3009226322174</x:v>
      </x:c>
      <x:c r="P932" s="37" t="n">
        <x:v>0</x:v>
      </x:c>
      <x:c r="Q932" s="37" t="n">
        <x:v>0</x:v>
      </x:c>
      <x:c r="R932" s="37" t="n">
        <x:v>0</x:v>
      </x:c>
      <x:c r="S932" s="37" t="n">
        <x:v>0</x:v>
      </x:c>
      <x:c r="T932" s="37" t="n">
        <x:v>0</x:v>
      </x:c>
      <x:c r="U932" s="37" t="n">
        <x:v>13941.618642774301</x:v>
      </x:c>
      <x:c r="V932" s="37" t="n">
        <x:v>0</x:v>
      </x:c>
      <x:c r="W932" s="37" t="n">
        <x:v>172062.63112658635</x:v>
      </x:c>
      <x:c r="X932" s="37" t="n">
        <x:v>0</x:v>
      </x:c>
      <x:c r="Y932" s="37" t="n">
        <x:v>2020.2166044244252</x:v>
      </x:c>
      <x:c r="Z932" s="37" t="n">
        <x:v>6880545.425889132</x:v>
      </x:c>
      <x:c r="AA932" s="37" t="n">
        <x:v>0</x:v>
      </x:c>
      <x:c r="AB932" s="37" t="n">
        <x:v>6880545.425889132</x:v>
      </x:c>
      <x:c r="AC932" s="37" t="n">
        <x:v>2378203.713027683</x:v>
      </x:c>
      <x:c r="AD932" s="37" t="n">
        <x:v>0</x:v>
      </x:c>
      <x:c r="AE932" s="37" t="n">
        <x:v>0</x:v>
      </x:c>
      <x:c r="AF932" s="47" t="b">
        <x:v>0</x:v>
      </x:c>
      <x:c r="AG932" s="47" t="b">
        <x:v>0</x:v>
      </x:c>
      <x:c r="AH932" s="48" t="n">
        <x:v>0</x:v>
      </x:c>
      <x:c r="AI932" s="48" t="n">
        <x:v>1.1920928955078125e-7</x:v>
      </x:c>
      <x:c r="AJ932" s="37" t="str">
        <x:v>passed</x:v>
      </x:c>
    </x:row>
    <x:row r="933" ht="21" customHeight="1">
      <x:c r="A933" s="2"/>
      <x:c r="B933" s="2"/>
      <x:c r="C933" s="2" t="str">
        <x:v>2022</x:v>
      </x:c>
      <x:c r="D933" s="5" t="n">
        <x:v>44901</x:v>
      </x:c>
      <x:c r="E933" s="2" t="str">
        <x:v>unweighted</x:v>
      </x:c>
      <x:c r="F933" s="37" t="n">
        <x:v>12245160.10315279</x:v>
      </x:c>
      <x:c r="G933" s="37" t="n">
        <x:v>856601.7806098977</x:v>
      </x:c>
      <x:c r="H933" s="37" t="n">
        <x:v>22887.952124117157</x:v>
      </x:c>
      <x:c r="I933" s="37" t="n">
        <x:v>833713.8284857805</x:v>
      </x:c>
      <x:c r="J933" s="37" t="n">
        <x:v>10550581.486763615</x:v>
      </x:c>
      <x:c r="K933" s="37" t="n">
        <x:v>9693979.706153717</x:v>
      </x:c>
      <x:c r="L933" s="37" t="n">
        <x:v>13101761.883762687</x:v>
      </x:c>
      <x:c r="M933" s="37" t="n">
        <x:v>0</x:v>
      </x:c>
      <x:c r="N933" s="37" t="n">
        <x:v>0</x:v>
      </x:c>
      <x:c r="O933" s="37" t="n">
        <x:v>670.9309135489166</x:v>
      </x:c>
      <x:c r="P933" s="37" t="n">
        <x:v>0</x:v>
      </x:c>
      <x:c r="Q933" s="37" t="n">
        <x:v>0</x:v>
      </x:c>
      <x:c r="R933" s="37" t="n">
        <x:v>0</x:v>
      </x:c>
      <x:c r="S933" s="37" t="n">
        <x:v>0</x:v>
      </x:c>
      <x:c r="T933" s="37" t="n">
        <x:v>0</x:v>
      </x:c>
      <x:c r="U933" s="37" t="n">
        <x:v>-5474.05595196948</x:v>
      </x:c>
      <x:c r="V933" s="37" t="n">
        <x:v>0</x:v>
      </x:c>
      <x:c r="W933" s="37" t="n">
        <x:v>227030.35579830594</x:v>
      </x:c>
      <x:c r="X933" s="37" t="n">
        <x:v>0</x:v>
      </x:c>
      <x:c r="Y933" s="37" t="n">
        <x:v>2354.485312553004</x:v>
      </x:c>
      <x:c r="Z933" s="37" t="n">
        <x:v>9887859.300276792</x:v>
      </x:c>
      <x:c r="AA933" s="37" t="n">
        <x:v>0</x:v>
      </x:c>
      <x:c r="AB933" s="37" t="n">
        <x:v>9887859.300276792</x:v>
      </x:c>
      <x:c r="AC933" s="37" t="n">
        <x:v>2357300.8028759975</x:v>
      </x:c>
      <x:c r="AD933" s="37" t="n">
        <x:v>0</x:v>
      </x:c>
      <x:c r="AE933" s="37" t="n">
        <x:v>0</x:v>
      </x:c>
      <x:c r="AF933" s="47" t="b">
        <x:v>0</x:v>
      </x:c>
      <x:c r="AG933" s="47" t="b">
        <x:v>0</x:v>
      </x:c>
      <x:c r="AH933" s="48" t="n">
        <x:v>0</x:v>
      </x:c>
      <x:c r="AI933" s="48" t="n">
        <x:v>1.1920928955078125e-7</x:v>
      </x:c>
      <x:c r="AJ933" s="37" t="str">
        <x:v>passed</x:v>
      </x:c>
    </x:row>
    <x:row r="934" ht="21" customHeight="1">
      <x:c r="A934" s="2"/>
      <x:c r="B934" s="2"/>
      <x:c r="C934" s="2" t="str">
        <x:v>2022</x:v>
      </x:c>
      <x:c r="D934" s="5" t="n">
        <x:v>44901</x:v>
      </x:c>
      <x:c r="E934" s="2" t="str">
        <x:v>constrained</x:v>
      </x:c>
      <x:c r="F934" s="37" t="n">
        <x:v>13075548.739292987</x:v>
      </x:c>
      <x:c r="G934" s="37" t="n">
        <x:v>114808.93353070074</x:v>
      </x:c>
      <x:c r="H934" s="37" t="n">
        <x:v>22709.9244186726</x:v>
      </x:c>
      <x:c r="I934" s="37" t="n">
        <x:v>92099.00911202814</x:v>
      </x:c>
      <x:c r="J934" s="37" t="n">
        <x:v>10554357.782444412</x:v>
      </x:c>
      <x:c r="K934" s="37" t="n">
        <x:v>10439548.84891371</x:v>
      </x:c>
      <x:c r="L934" s="37" t="n">
        <x:v>13190357.672823688</x:v>
      </x:c>
      <x:c r="M934" s="37" t="n">
        <x:v>0</x:v>
      </x:c>
      <x:c r="N934" s="37" t="n">
        <x:v>0</x:v>
      </x:c>
      <x:c r="O934" s="37" t="n">
        <x:v>716.4291676785797</x:v>
      </x:c>
      <x:c r="P934" s="37" t="n">
        <x:v>0</x:v>
      </x:c>
      <x:c r="Q934" s="37" t="n">
        <x:v>0</x:v>
      </x:c>
      <x:c r="R934" s="37" t="n">
        <x:v>0</x:v>
      </x:c>
      <x:c r="S934" s="37" t="n">
        <x:v>0</x:v>
      </x:c>
      <x:c r="T934" s="37" t="n">
        <x:v>0</x:v>
      </x:c>
      <x:c r="U934" s="37" t="n">
        <x:v>-13346.704870530775</x:v>
      </x:c>
      <x:c r="V934" s="37" t="n">
        <x:v>0</x:v>
      </x:c>
      <x:c r="W934" s="37" t="n">
        <x:v>242371.07038618997</x:v>
      </x:c>
      <x:c r="X934" s="37" t="n">
        <x:v>0</x:v>
      </x:c>
      <x:c r="Y934" s="37" t="n">
        <x:v>2425.773114277156</x:v>
      </x:c>
      <x:c r="Z934" s="37" t="n">
        <x:v>10648339.825891985</x:v>
      </x:c>
      <x:c r="AA934" s="37" t="n">
        <x:v>0</x:v>
      </x:c>
      <x:c r="AB934" s="37" t="n">
        <x:v>10648339.825891985</x:v>
      </x:c>
      <x:c r="AC934" s="37" t="n">
        <x:v>2427208.913401002</x:v>
      </x:c>
      <x:c r="AD934" s="37" t="n">
        <x:v>0</x:v>
      </x:c>
      <x:c r="AE934" s="37" t="n">
        <x:v>0</x:v>
      </x:c>
      <x:c r="AF934" s="47" t="b">
        <x:v>0</x:v>
      </x:c>
      <x:c r="AG934" s="47" t="b">
        <x:v>0</x:v>
      </x:c>
      <x:c r="AH934" s="48" t="n">
        <x:v>0</x:v>
      </x:c>
      <x:c r="AI934" s="48" t="n">
        <x:v>1.1920928955078125e-7</x:v>
      </x:c>
      <x:c r="AJ934" s="37" t="str">
        <x:v>passed</x:v>
      </x:c>
    </x:row>
    <x:row r="935" ht="21" customHeight="1">
      <x:c r="A935" s="2"/>
      <x:c r="B935" s="2"/>
      <x:c r="C935" s="2" t="str">
        <x:v>2022</x:v>
      </x:c>
      <x:c r="D935" s="5" t="n">
        <x:v>44902</x:v>
      </x:c>
      <x:c r="E935" s="2" t="str">
        <x:v>unhedged</x:v>
      </x:c>
      <x:c r="F935" s="37" t="n">
        <x:v>1349950.6492373336</x:v>
      </x:c>
      <x:c r="G935" s="37" t="n">
        <x:v>10576583.32519722</x:v>
      </x:c>
      <x:c r="H935" s="37" t="n">
        <x:v>28599.71775162143</x:v>
      </x:c>
      <x:c r="I935" s="37" t="n">
        <x:v>10547983.607445598</x:v>
      </x:c>
      <x:c r="J935" s="37" t="n">
        <x:v>10576583.32519722</x:v>
      </x:c>
      <x:c r="K935" s="37" t="n">
        <x:v>0</x:v>
      </x:c>
      <x:c r="L935" s="37" t="n">
        <x:v>11926533.974434553</x:v>
      </x:c>
      <x:c r="M935" s="37" t="n">
        <x:v>0</x:v>
      </x:c>
      <x:c r="N935" s="37" t="n">
        <x:v>0</x:v>
      </x:c>
      <x:c r="O935" s="37" t="n">
        <x:v>73.96584566519596</x:v>
      </x:c>
      <x:c r="P935" s="37" t="n">
        <x:v>0</x:v>
      </x:c>
      <x:c r="Q935" s="37" t="n">
        <x:v>0</x:v>
      </x:c>
      <x:c r="R935" s="37" t="n">
        <x:v>0</x:v>
      </x:c>
      <x:c r="S935" s="37" t="n">
        <x:v>0</x:v>
      </x:c>
      <x:c r="T935" s="37" t="n">
        <x:v>0</x:v>
      </x:c>
      <x:c r="U935" s="37" t="n">
        <x:v>127500</x:v>
      </x:c>
      <x:c r="V935" s="37" t="n">
        <x:v>0</x:v>
      </x:c>
      <x:c r="W935" s="37" t="n">
        <x:v>23625.368554059183</x:v>
      </x:c>
      <x:c r="X935" s="37" t="n">
        <x:v>0</x:v>
      </x:c>
      <x:c r="Y935" s="37" t="n">
        <x:v>1174.7193167256753</x:v>
      </x:c>
      <x:c r="Z935" s="37" t="n">
        <x:v>0</x:v>
      </x:c>
      <x:c r="AA935" s="37" t="n">
        <x:v>0</x:v>
      </x:c>
      <x:c r="AB935" s="37" t="n">
        <x:v>0</x:v>
      </x:c>
      <x:c r="AC935" s="37" t="n">
        <x:v>1349950.6492373336</x:v>
      </x:c>
      <x:c r="AD935" s="37" t="n">
        <x:v>0</x:v>
      </x:c>
      <x:c r="AE935" s="37" t="n">
        <x:v>0</x:v>
      </x:c>
      <x:c r="AF935" s="47" t="b">
        <x:v>0</x:v>
      </x:c>
      <x:c r="AG935" s="47" t="b">
        <x:v>0</x:v>
      </x:c>
      <x:c r="AH935" s="48" t="n">
        <x:v>0</x:v>
      </x:c>
      <x:c r="AI935" s="48" t="n">
        <x:v>1.1920928955078125e-7</x:v>
      </x:c>
      <x:c r="AJ935" s="37" t="str">
        <x:v>passed</x:v>
      </x:c>
    </x:row>
    <x:row r="936" ht="21" customHeight="1">
      <x:c r="A936" s="2"/>
      <x:c r="B936" s="2"/>
      <x:c r="C936" s="2" t="str">
        <x:v>2022</x:v>
      </x:c>
      <x:c r="D936" s="5" t="n">
        <x:v>44902</x:v>
      </x:c>
      <x:c r="E936" s="2" t="str">
        <x:v>duration</x:v>
      </x:c>
      <x:c r="F936" s="37" t="n">
        <x:v>9259256.467636755</x:v>
      </x:c>
      <x:c r="G936" s="37" t="n">
        <x:v>3774160.3571834974</x:v>
      </x:c>
      <x:c r="H936" s="37" t="n">
        <x:v>21844.419154569336</x:v>
      </x:c>
      <x:c r="I936" s="37" t="n">
        <x:v>3752315.938028928</x:v>
      </x:c>
      <x:c r="J936" s="37" t="n">
        <x:v>10576583.32519722</x:v>
      </x:c>
      <x:c r="K936" s="37" t="n">
        <x:v>6802422.9680137215</x:v>
      </x:c>
      <x:c r="L936" s="37" t="n">
        <x:v>13033416.824820252</x:v>
      </x:c>
      <x:c r="M936" s="37" t="n">
        <x:v>0</x:v>
      </x:c>
      <x:c r="N936" s="37" t="n">
        <x:v>0</x:v>
      </x:c>
      <x:c r="O936" s="37" t="n">
        <x:v>507.32871994003654</x:v>
      </x:c>
      <x:c r="P936" s="37" t="n">
        <x:v>0</x:v>
      </x:c>
      <x:c r="Q936" s="37" t="n">
        <x:v>0</x:v>
      </x:c>
      <x:c r="R936" s="37" t="n">
        <x:v>0</x:v>
      </x:c>
      <x:c r="S936" s="37" t="n">
        <x:v>0</x:v>
      </x:c>
      <x:c r="T936" s="37" t="n">
        <x:v>0</x:v>
      </x:c>
      <x:c r="U936" s="37" t="n">
        <x:v>13941.618642774301</x:v>
      </x:c>
      <x:c r="V936" s="37" t="n">
        <x:v>0</x:v>
      </x:c>
      <x:c r="W936" s="37" t="n">
        <x:v>172569.95984652638</x:v>
      </x:c>
      <x:c r="X936" s="37" t="n">
        <x:v>0</x:v>
      </x:c>
      <x:c r="Y936" s="37" t="n">
        <x:v>2020.2166044244252</x:v>
      </x:c>
      <x:c r="Z936" s="37" t="n">
        <x:v>6938471.427373996</x:v>
      </x:c>
      <x:c r="AA936" s="37" t="n">
        <x:v>0</x:v>
      </x:c>
      <x:c r="AB936" s="37" t="n">
        <x:v>6938471.427373996</x:v>
      </x:c>
      <x:c r="AC936" s="37" t="n">
        <x:v>2320785.0402627587</x:v>
      </x:c>
      <x:c r="AD936" s="37" t="n">
        <x:v>0</x:v>
      </x:c>
      <x:c r="AE936" s="37" t="n">
        <x:v>0</x:v>
      </x:c>
      <x:c r="AF936" s="47" t="b">
        <x:v>0</x:v>
      </x:c>
      <x:c r="AG936" s="47" t="b">
        <x:v>0</x:v>
      </x:c>
      <x:c r="AH936" s="48" t="n">
        <x:v>0</x:v>
      </x:c>
      <x:c r="AI936" s="48" t="n">
        <x:v>1.1920928955078125e-7</x:v>
      </x:c>
      <x:c r="AJ936" s="37" t="str">
        <x:v>passed</x:v>
      </x:c>
    </x:row>
    <x:row r="937" ht="21" customHeight="1">
      <x:c r="A937" s="2"/>
      <x:c r="B937" s="2"/>
      <x:c r="C937" s="2" t="str">
        <x:v>2022</x:v>
      </x:c>
      <x:c r="D937" s="5" t="n">
        <x:v>44902</x:v>
      </x:c>
      <x:c r="E937" s="2" t="str">
        <x:v>unweighted</x:v>
      </x:c>
      <x:c r="F937" s="37" t="n">
        <x:v>12245831.070829675</x:v>
      </x:c>
      <x:c r="G937" s="37" t="n">
        <x:v>859075.8208583615</x:v>
      </x:c>
      <x:c r="H937" s="37" t="n">
        <x:v>22870.175092088863</x:v>
      </x:c>
      <x:c r="I937" s="37" t="n">
        <x:v>836205.6457662727</x:v>
      </x:c>
      <x:c r="J937" s="37" t="n">
        <x:v>10607940.244025484</x:v>
      </x:c>
      <x:c r="K937" s="37" t="n">
        <x:v>9748864.42316712</x:v>
      </x:c>
      <x:c r="L937" s="37" t="n">
        <x:v>13104906.891688036</x:v>
      </x:c>
      <x:c r="M937" s="37" t="n">
        <x:v>0</x:v>
      </x:c>
      <x:c r="N937" s="37" t="n">
        <x:v>0</x:v>
      </x:c>
      <x:c r="O937" s="37" t="n">
        <x:v>670.967676885426</x:v>
      </x:c>
      <x:c r="P937" s="37" t="n">
        <x:v>0</x:v>
      </x:c>
      <x:c r="Q937" s="37" t="n">
        <x:v>0</x:v>
      </x:c>
      <x:c r="R937" s="37" t="n">
        <x:v>0</x:v>
      </x:c>
      <x:c r="S937" s="37" t="n">
        <x:v>0</x:v>
      </x:c>
      <x:c r="T937" s="37" t="n">
        <x:v>0</x:v>
      </x:c>
      <x:c r="U937" s="37" t="n">
        <x:v>-5474.05595196948</x:v>
      </x:c>
      <x:c r="V937" s="37" t="n">
        <x:v>0</x:v>
      </x:c>
      <x:c r="W937" s="37" t="n">
        <x:v>227701.32347519137</x:v>
      </x:c>
      <x:c r="X937" s="37" t="n">
        <x:v>0</x:v>
      </x:c>
      <x:c r="Y937" s="37" t="n">
        <x:v>2354.485312553004</x:v>
      </x:c>
      <x:c r="Z937" s="37" t="n">
        <x:v>9943841.711630464</x:v>
      </x:c>
      <x:c r="AA937" s="37" t="n">
        <x:v>0</x:v>
      </x:c>
      <x:c r="AB937" s="37" t="n">
        <x:v>9943841.711630464</x:v>
      </x:c>
      <x:c r="AC937" s="37" t="n">
        <x:v>2301989.359199211</x:v>
      </x:c>
      <x:c r="AD937" s="37" t="n">
        <x:v>0</x:v>
      </x:c>
      <x:c r="AE937" s="37" t="n">
        <x:v>0</x:v>
      </x:c>
      <x:c r="AF937" s="47" t="b">
        <x:v>0</x:v>
      </x:c>
      <x:c r="AG937" s="47" t="b">
        <x:v>0</x:v>
      </x:c>
      <x:c r="AH937" s="48" t="n">
        <x:v>0</x:v>
      </x:c>
      <x:c r="AI937" s="48" t="n">
        <x:v>1.1920928955078125e-7</x:v>
      </x:c>
      <x:c r="AJ937" s="37" t="str">
        <x:v>passed</x:v>
      </x:c>
    </x:row>
    <x:row r="938" ht="21" customHeight="1">
      <x:c r="A938" s="2"/>
      <x:c r="B938" s="2"/>
      <x:c r="C938" s="2" t="str">
        <x:v>2022</x:v>
      </x:c>
      <x:c r="D938" s="5" t="n">
        <x:v>44902</x:v>
      </x:c>
      <x:c r="E938" s="2" t="str">
        <x:v>constrained</x:v>
      </x:c>
      <x:c r="F938" s="37" t="n">
        <x:v>13076265.207717057</x:v>
      </x:c>
      <x:c r="G938" s="37" t="n">
        <x:v>114913.81862717669</x:v>
      </x:c>
      <x:c r="H938" s="37" t="n">
        <x:v>22671.30059957343</x:v>
      </x:c>
      <x:c r="I938" s="37" t="n">
        <x:v>92242.51802760326</x:v>
      </x:c>
      <x:c r="J938" s="37" t="n">
        <x:v>10611760.876809746</x:v>
      </x:c>
      <x:c r="K938" s="37" t="n">
        <x:v>10496847.05818257</x:v>
      </x:c>
      <x:c r="L938" s="37" t="n">
        <x:v>13191179.026344234</x:v>
      </x:c>
      <x:c r="M938" s="37" t="n">
        <x:v>0</x:v>
      </x:c>
      <x:c r="N938" s="37" t="n">
        <x:v>0</x:v>
      </x:c>
      <x:c r="O938" s="37" t="n">
        <x:v>716.4684240706265</x:v>
      </x:c>
      <x:c r="P938" s="37" t="n">
        <x:v>0</x:v>
      </x:c>
      <x:c r="Q938" s="37" t="n">
        <x:v>0</x:v>
      </x:c>
      <x:c r="R938" s="37" t="n">
        <x:v>0</x:v>
      </x:c>
      <x:c r="S938" s="37" t="n">
        <x:v>0</x:v>
      </x:c>
      <x:c r="T938" s="37" t="n">
        <x:v>0</x:v>
      </x:c>
      <x:c r="U938" s="37" t="n">
        <x:v>-13346.704870530775</x:v>
      </x:c>
      <x:c r="V938" s="37" t="n">
        <x:v>0</x:v>
      </x:c>
      <x:c r="W938" s="37" t="n">
        <x:v>243087.5388102606</x:v>
      </x:c>
      <x:c r="X938" s="37" t="n">
        <x:v>0</x:v>
      </x:c>
      <x:c r="Y938" s="37" t="n">
        <x:v>2425.773114277156</x:v>
      </x:c>
      <x:c r="Z938" s="37" t="n">
        <x:v>10706783.99934622</x:v>
      </x:c>
      <x:c r="AA938" s="37" t="n">
        <x:v>0</x:v>
      </x:c>
      <x:c r="AB938" s="37" t="n">
        <x:v>10706783.99934622</x:v>
      </x:c>
      <x:c r="AC938" s="37" t="n">
        <x:v>2369481.2083708365</x:v>
      </x:c>
      <x:c r="AD938" s="37" t="n">
        <x:v>0</x:v>
      </x:c>
      <x:c r="AE938" s="37" t="n">
        <x:v>0</x:v>
      </x:c>
      <x:c r="AF938" s="47" t="b">
        <x:v>0</x:v>
      </x:c>
      <x:c r="AG938" s="47" t="b">
        <x:v>0</x:v>
      </x:c>
      <x:c r="AH938" s="48" t="n">
        <x:v>0</x:v>
      </x:c>
      <x:c r="AI938" s="48" t="n">
        <x:v>1.1920928955078125e-7</x:v>
      </x:c>
      <x:c r="AJ938" s="37" t="str">
        <x:v>passed</x:v>
      </x:c>
    </x:row>
    <x:row r="939" ht="21" customHeight="1">
      <x:c r="A939" s="2"/>
      <x:c r="B939" s="2"/>
      <x:c r="C939" s="2" t="str">
        <x:v>2022</x:v>
      </x:c>
      <x:c r="D939" s="5" t="n">
        <x:v>44903</x:v>
      </x:c>
      <x:c r="E939" s="2" t="str">
        <x:v>unhedged</x:v>
      </x:c>
      <x:c r="F939" s="37" t="n">
        <x:v>1350024.619135922</x:v>
      </x:c>
      <x:c r="G939" s="37" t="n">
        <x:v>10533711.094319053</x:v>
      </x:c>
      <x:c r="H939" s="37" t="n">
        <x:v>28948.549723756907</x:v>
      </x:c>
      <x:c r="I939" s="37" t="n">
        <x:v>10504762.544595296</x:v>
      </x:c>
      <x:c r="J939" s="37" t="n">
        <x:v>10533711.094319053</x:v>
      </x:c>
      <x:c r="K939" s="37" t="n">
        <x:v>0</x:v>
      </x:c>
      <x:c r="L939" s="37" t="n">
        <x:v>11883735.713454975</x:v>
      </x:c>
      <x:c r="M939" s="37" t="n">
        <x:v>0</x:v>
      </x:c>
      <x:c r="N939" s="37" t="n">
        <x:v>0</x:v>
      </x:c>
      <x:c r="O939" s="37" t="n">
        <x:v>73.96989858848974</x:v>
      </x:c>
      <x:c r="P939" s="37" t="n">
        <x:v>0</x:v>
      </x:c>
      <x:c r="Q939" s="37" t="n">
        <x:v>0</x:v>
      </x:c>
      <x:c r="R939" s="37" t="n">
        <x:v>0</x:v>
      </x:c>
      <x:c r="S939" s="37" t="n">
        <x:v>0</x:v>
      </x:c>
      <x:c r="T939" s="37" t="n">
        <x:v>0</x:v>
      </x:c>
      <x:c r="U939" s="37" t="n">
        <x:v>127500</x:v>
      </x:c>
      <x:c r="V939" s="37" t="n">
        <x:v>0</x:v>
      </x:c>
      <x:c r="W939" s="37" t="n">
        <x:v>23699.338452647673</x:v>
      </x:c>
      <x:c r="X939" s="37" t="n">
        <x:v>0</x:v>
      </x:c>
      <x:c r="Y939" s="37" t="n">
        <x:v>1174.7193167256753</x:v>
      </x:c>
      <x:c r="Z939" s="37" t="n">
        <x:v>0</x:v>
      </x:c>
      <x:c r="AA939" s="37" t="n">
        <x:v>0</x:v>
      </x:c>
      <x:c r="AB939" s="37" t="n">
        <x:v>0</x:v>
      </x:c>
      <x:c r="AC939" s="37" t="n">
        <x:v>1350024.619135922</x:v>
      </x:c>
      <x:c r="AD939" s="37" t="n">
        <x:v>0</x:v>
      </x:c>
      <x:c r="AE939" s="37" t="n">
        <x:v>0</x:v>
      </x:c>
      <x:c r="AF939" s="47" t="b">
        <x:v>0</x:v>
      </x:c>
      <x:c r="AG939" s="47" t="b">
        <x:v>0</x:v>
      </x:c>
      <x:c r="AH939" s="48" t="n">
        <x:v>0</x:v>
      </x:c>
      <x:c r="AI939" s="48" t="n">
        <x:v>1.1920928955078125e-7</x:v>
      </x:c>
      <x:c r="AJ939" s="37" t="str">
        <x:v>passed</x:v>
      </x:c>
    </x:row>
    <x:row r="940" ht="21" customHeight="1">
      <x:c r="A940" s="2"/>
      <x:c r="B940" s="2"/>
      <x:c r="C940" s="2" t="str">
        <x:v>2022</x:v>
      </x:c>
      <x:c r="D940" s="5" t="n">
        <x:v>44903</x:v>
      </x:c>
      <x:c r="E940" s="2" t="str">
        <x:v>duration</x:v>
      </x:c>
      <x:c r="F940" s="37" t="n">
        <x:v>9259763.82415553</x:v>
      </x:c>
      <x:c r="G940" s="37" t="n">
        <x:v>3775685.580167109</x:v>
      </x:c>
      <x:c r="H940" s="37" t="n">
        <x:v>21886.19209956608</x:v>
      </x:c>
      <x:c r="I940" s="37" t="n">
        <x:v>3753799.388067543</x:v>
      </x:c>
      <x:c r="J940" s="37" t="n">
        <x:v>10533711.094319053</x:v>
      </x:c>
      <x:c r="K940" s="37" t="n">
        <x:v>6758025.514151943</x:v>
      </x:c>
      <x:c r="L940" s="37" t="n">
        <x:v>13035449.40432264</x:v>
      </x:c>
      <x:c r="M940" s="37" t="n">
        <x:v>0</x:v>
      </x:c>
      <x:c r="N940" s="37" t="n">
        <x:v>0</x:v>
      </x:c>
      <x:c r="O940" s="37" t="n">
        <x:v>507.3565187752247</x:v>
      </x:c>
      <x:c r="P940" s="37" t="n">
        <x:v>0</x:v>
      </x:c>
      <x:c r="Q940" s="37" t="n">
        <x:v>0</x:v>
      </x:c>
      <x:c r="R940" s="37" t="n">
        <x:v>0</x:v>
      </x:c>
      <x:c r="S940" s="37" t="n">
        <x:v>0</x:v>
      </x:c>
      <x:c r="T940" s="37" t="n">
        <x:v>0</x:v>
      </x:c>
      <x:c r="U940" s="37" t="n">
        <x:v>13941.618642774301</x:v>
      </x:c>
      <x:c r="V940" s="37" t="n">
        <x:v>0</x:v>
      </x:c>
      <x:c r="W940" s="37" t="n">
        <x:v>173077.3163653016</x:v>
      </x:c>
      <x:c r="X940" s="37" t="n">
        <x:v>0</x:v>
      </x:c>
      <x:c r="Y940" s="37" t="n">
        <x:v>2020.2166044244252</x:v>
      </x:c>
      <x:c r="Z940" s="37" t="n">
        <x:v>6893186.024434982</x:v>
      </x:c>
      <x:c r="AA940" s="37" t="n">
        <x:v>0</x:v>
      </x:c>
      <x:c r="AB940" s="37" t="n">
        <x:v>6893186.024434982</x:v>
      </x:c>
      <x:c r="AC940" s="37" t="n">
        <x:v>2366577.799720548</x:v>
      </x:c>
      <x:c r="AD940" s="37" t="n">
        <x:v>0</x:v>
      </x:c>
      <x:c r="AE940" s="37" t="n">
        <x:v>0</x:v>
      </x:c>
      <x:c r="AF940" s="47" t="b">
        <x:v>0</x:v>
      </x:c>
      <x:c r="AG940" s="47" t="b">
        <x:v>0</x:v>
      </x:c>
      <x:c r="AH940" s="48" t="n">
        <x:v>0</x:v>
      </x:c>
      <x:c r="AI940" s="48" t="n">
        <x:v>1.1920928955078125e-7</x:v>
      </x:c>
      <x:c r="AJ940" s="37" t="str">
        <x:v>passed</x:v>
      </x:c>
    </x:row>
    <x:row r="941" ht="21" customHeight="1">
      <x:c r="A941" s="2"/>
      <x:c r="B941" s="2"/>
      <x:c r="C941" s="2" t="str">
        <x:v>2022</x:v>
      </x:c>
      <x:c r="D941" s="5" t="n">
        <x:v>44903</x:v>
      </x:c>
      <x:c r="E941" s="2" t="str">
        <x:v>unweighted</x:v>
      </x:c>
      <x:c r="F941" s="37" t="n">
        <x:v>12246502.075271914</x:v>
      </x:c>
      <x:c r="G941" s="37" t="n">
        <x:v>857410.1542261274</x:v>
      </x:c>
      <x:c r="H941" s="37" t="n">
        <x:v>22852.398060060565</x:v>
      </x:c>
      <x:c r="I941" s="37" t="n">
        <x:v>834557.7561660669</x:v>
      </x:c>
      <x:c r="J941" s="37" t="n">
        <x:v>10564891.08072671</x:v>
      </x:c>
      <x:c r="K941" s="37" t="n">
        <x:v>9707480.926500581</x:v>
      </x:c>
      <x:c r="L941" s="37" t="n">
        <x:v>13103912.229498042</x:v>
      </x:c>
      <x:c r="M941" s="37" t="n">
        <x:v>0</x:v>
      </x:c>
      <x:c r="N941" s="37" t="n">
        <x:v>0</x:v>
      </x:c>
      <x:c r="O941" s="37" t="n">
        <x:v>671.0044422391802</x:v>
      </x:c>
      <x:c r="P941" s="37" t="n">
        <x:v>0</x:v>
      </x:c>
      <x:c r="Q941" s="37" t="n">
        <x:v>0</x:v>
      </x:c>
      <x:c r="R941" s="37" t="n">
        <x:v>0</x:v>
      </x:c>
      <x:c r="S941" s="37" t="n">
        <x:v>0</x:v>
      </x:c>
      <x:c r="T941" s="37" t="n">
        <x:v>0</x:v>
      </x:c>
      <x:c r="U941" s="37" t="n">
        <x:v>-5474.05595196948</x:v>
      </x:c>
      <x:c r="V941" s="37" t="n">
        <x:v>0</x:v>
      </x:c>
      <x:c r="W941" s="37" t="n">
        <x:v>228372.32791743055</x:v>
      </x:c>
      <x:c r="X941" s="37" t="n">
        <x:v>0</x:v>
      </x:c>
      <x:c r="Y941" s="37" t="n">
        <x:v>2354.485312553004</x:v>
      </x:c>
      <x:c r="Z941" s="37" t="n">
        <x:v>9901630.545030594</x:v>
      </x:c>
      <x:c r="AA941" s="37" t="n">
        <x:v>0</x:v>
      </x:c>
      <x:c r="AB941" s="37" t="n">
        <x:v>9901630.545030594</x:v>
      </x:c>
      <x:c r="AC941" s="37" t="n">
        <x:v>2344871.53024132</x:v>
      </x:c>
      <x:c r="AD941" s="37" t="n">
        <x:v>0</x:v>
      </x:c>
      <x:c r="AE941" s="37" t="n">
        <x:v>0</x:v>
      </x:c>
      <x:c r="AF941" s="47" t="b">
        <x:v>0</x:v>
      </x:c>
      <x:c r="AG941" s="47" t="b">
        <x:v>0</x:v>
      </x:c>
      <x:c r="AH941" s="48" t="n">
        <x:v>0</x:v>
      </x:c>
      <x:c r="AI941" s="48" t="n">
        <x:v>1.1920928955078125e-7</x:v>
      </x:c>
      <x:c r="AJ941" s="37" t="str">
        <x:v>passed</x:v>
      </x:c>
    </x:row>
    <x:row r="942" ht="21" customHeight="1">
      <x:c r="A942" s="2"/>
      <x:c r="B942" s="2"/>
      <x:c r="C942" s="2" t="str">
        <x:v>2022</x:v>
      </x:c>
      <x:c r="D942" s="5" t="n">
        <x:v>44903</x:v>
      </x:c>
      <x:c r="E942" s="2" t="str">
        <x:v>constrained</x:v>
      </x:c>
      <x:c r="F942" s="37" t="n">
        <x:v>13076981.715399675</x:v>
      </x:c>
      <x:c r="G942" s="37" t="n">
        <x:v>114691.07942573477</x:v>
      </x:c>
      <x:c r="H942" s="37" t="n">
        <x:v>22632.67678047426</x:v>
      </x:c>
      <x:c r="I942" s="37" t="n">
        <x:v>92058.40264526052</x:v>
      </x:c>
      <x:c r="J942" s="37" t="n">
        <x:v>10568687.749313142</x:v>
      </x:c>
      <x:c r="K942" s="37" t="n">
        <x:v>10453996.669887407</x:v>
      </x:c>
      <x:c r="L942" s="37" t="n">
        <x:v>13191672.79482541</x:v>
      </x:c>
      <x:c r="M942" s="37" t="n">
        <x:v>0</x:v>
      </x:c>
      <x:c r="N942" s="37" t="n">
        <x:v>0</x:v>
      </x:c>
      <x:c r="O942" s="37" t="n">
        <x:v>716.5076826177537</x:v>
      </x:c>
      <x:c r="P942" s="37" t="n">
        <x:v>0</x:v>
      </x:c>
      <x:c r="Q942" s="37" t="n">
        <x:v>0</x:v>
      </x:c>
      <x:c r="R942" s="37" t="n">
        <x:v>0</x:v>
      </x:c>
      <x:c r="S942" s="37" t="n">
        <x:v>0</x:v>
      </x:c>
      <x:c r="T942" s="37" t="n">
        <x:v>0</x:v>
      </x:c>
      <x:c r="U942" s="37" t="n">
        <x:v>-13346.704870530775</x:v>
      </x:c>
      <x:c r="V942" s="37" t="n">
        <x:v>0</x:v>
      </x:c>
      <x:c r="W942" s="37" t="n">
        <x:v>243804.04649287835</x:v>
      </x:c>
      <x:c r="X942" s="37" t="n">
        <x:v>0</x:v>
      </x:c>
      <x:c r="Y942" s="37" t="n">
        <x:v>2425.773114277156</x:v>
      </x:c>
      <x:c r="Z942" s="37" t="n">
        <x:v>10663076.603285154</x:v>
      </x:c>
      <x:c r="AA942" s="37" t="n">
        <x:v>0</x:v>
      </x:c>
      <x:c r="AB942" s="37" t="n">
        <x:v>10663076.603285154</x:v>
      </x:c>
      <x:c r="AC942" s="37" t="n">
        <x:v>2413905.1121145207</x:v>
      </x:c>
      <x:c r="AD942" s="37" t="n">
        <x:v>0</x:v>
      </x:c>
      <x:c r="AE942" s="37" t="n">
        <x:v>0</x:v>
      </x:c>
      <x:c r="AF942" s="47" t="b">
        <x:v>0</x:v>
      </x:c>
      <x:c r="AG942" s="47" t="b">
        <x:v>0</x:v>
      </x:c>
      <x:c r="AH942" s="48" t="n">
        <x:v>0</x:v>
      </x:c>
      <x:c r="AI942" s="48" t="n">
        <x:v>1.1920928955078125e-7</x:v>
      </x:c>
      <x:c r="AJ942" s="37" t="str">
        <x:v>passed</x:v>
      </x:c>
    </x:row>
    <x:row r="943" ht="21" customHeight="1">
      <x:c r="A943" s="2"/>
      <x:c r="B943" s="2"/>
      <x:c r="C943" s="2" t="str">
        <x:v>2022</x:v>
      </x:c>
      <x:c r="D943" s="5" t="n">
        <x:v>44904</x:v>
      </x:c>
      <x:c r="E943" s="2" t="str">
        <x:v>unhedged</x:v>
      </x:c>
      <x:c r="F943" s="37" t="n">
        <x:v>1350098.5930876557</x:v>
      </x:c>
      <x:c r="G943" s="37" t="n">
        <x:v>10501937.004309386</x:v>
      </x:c>
      <x:c r="H943" s="37" t="n">
        <x:v>29297.38169589238</x:v>
      </x:c>
      <x:c r="I943" s="37" t="n">
        <x:v>10472639.622613493</x:v>
      </x:c>
      <x:c r="J943" s="37" t="n">
        <x:v>10501937.004309386</x:v>
      </x:c>
      <x:c r="K943" s="37" t="n">
        <x:v>0</x:v>
      </x:c>
      <x:c r="L943" s="37" t="n">
        <x:v>11852035.597397042</x:v>
      </x:c>
      <x:c r="M943" s="37" t="n">
        <x:v>0</x:v>
      </x:c>
      <x:c r="N943" s="37" t="n">
        <x:v>0</x:v>
      </x:c>
      <x:c r="O943" s="37" t="n">
        <x:v>73.97395173367113</x:v>
      </x:c>
      <x:c r="P943" s="37" t="n">
        <x:v>0</x:v>
      </x:c>
      <x:c r="Q943" s="37" t="n">
        <x:v>0</x:v>
      </x:c>
      <x:c r="R943" s="37" t="n">
        <x:v>0</x:v>
      </x:c>
      <x:c r="S943" s="37" t="n">
        <x:v>0</x:v>
      </x:c>
      <x:c r="T943" s="37" t="n">
        <x:v>0</x:v>
      </x:c>
      <x:c r="U943" s="37" t="n">
        <x:v>127500</x:v>
      </x:c>
      <x:c r="V943" s="37" t="n">
        <x:v>0</x:v>
      </x:c>
      <x:c r="W943" s="37" t="n">
        <x:v>23773.312404381344</x:v>
      </x:c>
      <x:c r="X943" s="37" t="n">
        <x:v>0</x:v>
      </x:c>
      <x:c r="Y943" s="37" t="n">
        <x:v>1174.7193167256753</x:v>
      </x:c>
      <x:c r="Z943" s="37" t="n">
        <x:v>0</x:v>
      </x:c>
      <x:c r="AA943" s="37" t="n">
        <x:v>0</x:v>
      </x:c>
      <x:c r="AB943" s="37" t="n">
        <x:v>0</x:v>
      </x:c>
      <x:c r="AC943" s="37" t="n">
        <x:v>1350098.5930876557</x:v>
      </x:c>
      <x:c r="AD943" s="37" t="n">
        <x:v>0</x:v>
      </x:c>
      <x:c r="AE943" s="37" t="n">
        <x:v>0</x:v>
      </x:c>
      <x:c r="AF943" s="47" t="b">
        <x:v>0</x:v>
      </x:c>
      <x:c r="AG943" s="47" t="b">
        <x:v>0</x:v>
      </x:c>
      <x:c r="AH943" s="48" t="n">
        <x:v>0</x:v>
      </x:c>
      <x:c r="AI943" s="48" t="n">
        <x:v>1.1920928955078125e-7</x:v>
      </x:c>
      <x:c r="AJ943" s="37" t="str">
        <x:v>passed</x:v>
      </x:c>
    </x:row>
    <x:row r="944" ht="21" customHeight="1">
      <x:c r="A944" s="2"/>
      <x:c r="B944" s="2"/>
      <x:c r="C944" s="2" t="str">
        <x:v>2022</x:v>
      </x:c>
      <x:c r="D944" s="5" t="n">
        <x:v>44904</x:v>
      </x:c>
      <x:c r="E944" s="2" t="str">
        <x:v>duration</x:v>
      </x:c>
      <x:c r="F944" s="37" t="n">
        <x:v>9260271.208474662</x:v>
      </x:c>
      <x:c r="G944" s="37" t="n">
        <x:v>3782440.509392331</x:v>
      </x:c>
      <x:c r="H944" s="37" t="n">
        <x:v>21927.965044562825</x:v>
      </x:c>
      <x:c r="I944" s="37" t="n">
        <x:v>3760512.544347768</x:v>
      </x:c>
      <x:c r="J944" s="37" t="n">
        <x:v>10501937.004309386</x:v>
      </x:c>
      <x:c r="K944" s="37" t="n">
        <x:v>6719496.494917055</x:v>
      </x:c>
      <x:c r="L944" s="37" t="n">
        <x:v>13042711.717866993</x:v>
      </x:c>
      <x:c r="M944" s="37" t="n">
        <x:v>0</x:v>
      </x:c>
      <x:c r="N944" s="37" t="n">
        <x:v>0</x:v>
      </x:c>
      <x:c r="O944" s="37" t="n">
        <x:v>507.3843191321939</x:v>
      </x:c>
      <x:c r="P944" s="37" t="n">
        <x:v>0</x:v>
      </x:c>
      <x:c r="Q944" s="37" t="n">
        <x:v>0</x:v>
      </x:c>
      <x:c r="R944" s="37" t="n">
        <x:v>0</x:v>
      </x:c>
      <x:c r="S944" s="37" t="n">
        <x:v>0</x:v>
      </x:c>
      <x:c r="T944" s="37" t="n">
        <x:v>0</x:v>
      </x:c>
      <x:c r="U944" s="37" t="n">
        <x:v>13941.618642774301</x:v>
      </x:c>
      <x:c r="V944" s="37" t="n">
        <x:v>0</x:v>
      </x:c>
      <x:c r="W944" s="37" t="n">
        <x:v>173584.7006844338</x:v>
      </x:c>
      <x:c r="X944" s="37" t="n">
        <x:v>0</x:v>
      </x:c>
      <x:c r="Y944" s="37" t="n">
        <x:v>2020.2166044244252</x:v>
      </x:c>
      <x:c r="Z944" s="37" t="n">
        <x:v>6853886.424815396</x:v>
      </x:c>
      <x:c r="AA944" s="37" t="n">
        <x:v>0</x:v>
      </x:c>
      <x:c r="AB944" s="37" t="n">
        <x:v>6853886.424815396</x:v>
      </x:c>
      <x:c r="AC944" s="37" t="n">
        <x:v>2406384.7836592663</x:v>
      </x:c>
      <x:c r="AD944" s="37" t="n">
        <x:v>0</x:v>
      </x:c>
      <x:c r="AE944" s="37" t="n">
        <x:v>0</x:v>
      </x:c>
      <x:c r="AF944" s="47" t="b">
        <x:v>0</x:v>
      </x:c>
      <x:c r="AG944" s="47" t="b">
        <x:v>0</x:v>
      </x:c>
      <x:c r="AH944" s="48" t="n">
        <x:v>0</x:v>
      </x:c>
      <x:c r="AI944" s="48" t="n">
        <x:v>1.1920928955078125e-7</x:v>
      </x:c>
      <x:c r="AJ944" s="37" t="str">
        <x:v>passed</x:v>
      </x:c>
    </x:row>
    <x:row r="945" ht="21" customHeight="1">
      <x:c r="A945" s="2"/>
      <x:c r="B945" s="2"/>
      <x:c r="C945" s="2" t="str">
        <x:v>2022</x:v>
      </x:c>
      <x:c r="D945" s="5" t="n">
        <x:v>44904</x:v>
      </x:c>
      <x:c r="E945" s="2" t="str">
        <x:v>unweighted</x:v>
      </x:c>
      <x:c r="F945" s="37" t="n">
        <x:v>12247173.116481518</x:v>
      </x:c>
      <x:c r="G945" s="37" t="n">
        <x:v>856518.8053668188</x:v>
      </x:c>
      <x:c r="H945" s="37" t="n">
        <x:v>22834.621028032267</x:v>
      </x:c>
      <x:c r="I945" s="37" t="n">
        <x:v>833684.1843387865</x:v>
      </x:c>
      <x:c r="J945" s="37" t="n">
        <x:v>10532609.676745372</x:v>
      </x:c>
      <x:c r="K945" s="37" t="n">
        <x:v>9676090.871378554</x:v>
      </x:c>
      <x:c r="L945" s="37" t="n">
        <x:v>13103691.921848338</x:v>
      </x:c>
      <x:c r="M945" s="37" t="n">
        <x:v>0</x:v>
      </x:c>
      <x:c r="N945" s="37" t="n">
        <x:v>0</x:v>
      </x:c>
      <x:c r="O945" s="37" t="n">
        <x:v>671.0412096045911</x:v>
      </x:c>
      <x:c r="P945" s="37" t="n">
        <x:v>0</x:v>
      </x:c>
      <x:c r="Q945" s="37" t="n">
        <x:v>0</x:v>
      </x:c>
      <x:c r="R945" s="37" t="n">
        <x:v>0</x:v>
      </x:c>
      <x:c r="S945" s="37" t="n">
        <x:v>0</x:v>
      </x:c>
      <x:c r="T945" s="37" t="n">
        <x:v>0</x:v>
      </x:c>
      <x:c r="U945" s="37" t="n">
        <x:v>-5474.05595196948</x:v>
      </x:c>
      <x:c r="V945" s="37" t="n">
        <x:v>0</x:v>
      </x:c>
      <x:c r="W945" s="37" t="n">
        <x:v>229043.36912703514</x:v>
      </x:c>
      <x:c r="X945" s="37" t="n">
        <x:v>0</x:v>
      </x:c>
      <x:c r="Y945" s="37" t="n">
        <x:v>2354.485312553004</x:v>
      </x:c>
      <x:c r="Z945" s="37" t="n">
        <x:v>9869612.688806126</x:v>
      </x:c>
      <x:c r="AA945" s="37" t="n">
        <x:v>0</x:v>
      </x:c>
      <x:c r="AB945" s="37" t="n">
        <x:v>9869612.688806126</x:v>
      </x:c>
      <x:c r="AC945" s="37" t="n">
        <x:v>2377560.4276753925</x:v>
      </x:c>
      <x:c r="AD945" s="37" t="n">
        <x:v>0</x:v>
      </x:c>
      <x:c r="AE945" s="37" t="n">
        <x:v>0</x:v>
      </x:c>
      <x:c r="AF945" s="47" t="b">
        <x:v>0</x:v>
      </x:c>
      <x:c r="AG945" s="47" t="b">
        <x:v>0</x:v>
      </x:c>
      <x:c r="AH945" s="48" t="n">
        <x:v>0</x:v>
      </x:c>
      <x:c r="AI945" s="48" t="n">
        <x:v>1.1920928955078125e-7</x:v>
      </x:c>
      <x:c r="AJ945" s="37" t="str">
        <x:v>passed</x:v>
      </x:c>
    </x:row>
    <x:row r="946" ht="21" customHeight="1">
      <x:c r="A946" s="2"/>
      <x:c r="B946" s="2"/>
      <x:c r="C946" s="2" t="str">
        <x:v>2022</x:v>
      </x:c>
      <x:c r="D946" s="5" t="n">
        <x:v>44904</x:v>
      </x:c>
      <x:c r="E946" s="2" t="str">
        <x:v>constrained</x:v>
      </x:c>
      <x:c r="F946" s="37" t="n">
        <x:v>13077698.262342986</x:v>
      </x:c>
      <x:c r="G946" s="37" t="n">
        <x:v>114836.81179618146</x:v>
      </x:c>
      <x:c r="H946" s="37" t="n">
        <x:v>22594.052961375084</x:v>
      </x:c>
      <x:c r="I946" s="37" t="n">
        <x:v>92242.75883480637</x:v>
      </x:c>
      <x:c r="J946" s="37" t="n">
        <x:v>10536354.506239073</x:v>
      </x:c>
      <x:c r="K946" s="37" t="n">
        <x:v>10421517.694442892</x:v>
      </x:c>
      <x:c r="L946" s="37" t="n">
        <x:v>13192535.074139167</x:v>
      </x:c>
      <x:c r="M946" s="37" t="n">
        <x:v>0</x:v>
      </x:c>
      <x:c r="N946" s="37" t="n">
        <x:v>0</x:v>
      </x:c>
      <x:c r="O946" s="37" t="n">
        <x:v>716.5469433106482</x:v>
      </x:c>
      <x:c r="P946" s="37" t="n">
        <x:v>0</x:v>
      </x:c>
      <x:c r="Q946" s="37" t="n">
        <x:v>0</x:v>
      </x:c>
      <x:c r="R946" s="37" t="n">
        <x:v>0</x:v>
      </x:c>
      <x:c r="S946" s="37" t="n">
        <x:v>0</x:v>
      </x:c>
      <x:c r="T946" s="37" t="n">
        <x:v>0</x:v>
      </x:c>
      <x:c r="U946" s="37" t="n">
        <x:v>-13346.704870530775</x:v>
      </x:c>
      <x:c r="V946" s="37" t="n">
        <x:v>0</x:v>
      </x:c>
      <x:c r="W946" s="37" t="n">
        <x:v>244520.593436189</x:v>
      </x:c>
      <x:c r="X946" s="37" t="n">
        <x:v>0</x:v>
      </x:c>
      <x:c r="Y946" s="37" t="n">
        <x:v>2425.773114277156</x:v>
      </x:c>
      <x:c r="Z946" s="37" t="n">
        <x:v>10629948.04833175</x:v>
      </x:c>
      <x:c r="AA946" s="37" t="n">
        <x:v>0</x:v>
      </x:c>
      <x:c r="AB946" s="37" t="n">
        <x:v>10629948.04833175</x:v>
      </x:c>
      <x:c r="AC946" s="37" t="n">
        <x:v>2447750.214011235</x:v>
      </x:c>
      <x:c r="AD946" s="37" t="n">
        <x:v>0</x:v>
      </x:c>
      <x:c r="AE946" s="37" t="n">
        <x:v>0</x:v>
      </x:c>
      <x:c r="AF946" s="47" t="b">
        <x:v>0</x:v>
      </x:c>
      <x:c r="AG946" s="47" t="b">
        <x:v>0</x:v>
      </x:c>
      <x:c r="AH946" s="48" t="n">
        <x:v>0</x:v>
      </x:c>
      <x:c r="AI946" s="48" t="n">
        <x:v>1.1920928955078125e-7</x:v>
      </x:c>
      <x:c r="AJ946" s="37" t="str">
        <x:v>passed</x:v>
      </x:c>
    </x:row>
    <x:row r="947" ht="21" customHeight="1">
      <x:c r="A947" s="2"/>
      <x:c r="B947" s="2"/>
      <x:c r="C947" s="2" t="str">
        <x:v>2022</x:v>
      </x:c>
      <x:c r="D947" s="5" t="n">
        <x:v>44907</x:v>
      </x:c>
      <x:c r="E947" s="2" t="str">
        <x:v>unhedged</x:v>
      </x:c>
      <x:c r="F947" s="37" t="n">
        <x:v>1350320.539263948</x:v>
      </x:c>
      <x:c r="G947" s="37" t="n">
        <x:v>10484258.746809518</x:v>
      </x:c>
      <x:c r="H947" s="37" t="n">
        <x:v>30343.877612298824</x:v>
      </x:c>
      <x:c r="I947" s="37" t="n">
        <x:v>10453914.86919722</x:v>
      </x:c>
      <x:c r="J947" s="37" t="n">
        <x:v>10484258.746809518</x:v>
      </x:c>
      <x:c r="K947" s="37" t="n">
        <x:v>0</x:v>
      </x:c>
      <x:c r="L947" s="37" t="n">
        <x:v>11834579.286073467</x:v>
      </x:c>
      <x:c r="M947" s="37" t="n">
        <x:v>0</x:v>
      </x:c>
      <x:c r="N947" s="37" t="n">
        <x:v>0</x:v>
      </x:c>
      <x:c r="O947" s="37" t="n">
        <x:v>221.94617629237473</x:v>
      </x:c>
      <x:c r="P947" s="37" t="n">
        <x:v>0</x:v>
      </x:c>
      <x:c r="Q947" s="37" t="n">
        <x:v>0</x:v>
      </x:c>
      <x:c r="R947" s="37" t="n">
        <x:v>0</x:v>
      </x:c>
      <x:c r="S947" s="37" t="n">
        <x:v>0</x:v>
      </x:c>
      <x:c r="T947" s="37" t="n">
        <x:v>0</x:v>
      </x:c>
      <x:c r="U947" s="37" t="n">
        <x:v>127500</x:v>
      </x:c>
      <x:c r="V947" s="37" t="n">
        <x:v>0</x:v>
      </x:c>
      <x:c r="W947" s="37" t="n">
        <x:v>23995.25858067372</x:v>
      </x:c>
      <x:c r="X947" s="37" t="n">
        <x:v>0</x:v>
      </x:c>
      <x:c r="Y947" s="37" t="n">
        <x:v>1174.7193167256753</x:v>
      </x:c>
      <x:c r="Z947" s="37" t="n">
        <x:v>0</x:v>
      </x:c>
      <x:c r="AA947" s="37" t="n">
        <x:v>0</x:v>
      </x:c>
      <x:c r="AB947" s="37" t="n">
        <x:v>0</x:v>
      </x:c>
      <x:c r="AC947" s="37" t="n">
        <x:v>1350320.539263948</x:v>
      </x:c>
      <x:c r="AD947" s="37" t="n">
        <x:v>0</x:v>
      </x:c>
      <x:c r="AE947" s="37" t="n">
        <x:v>0</x:v>
      </x:c>
      <x:c r="AF947" s="47" t="b">
        <x:v>0</x:v>
      </x:c>
      <x:c r="AG947" s="47" t="b">
        <x:v>0</x:v>
      </x:c>
      <x:c r="AH947" s="48" t="n">
        <x:v>0</x:v>
      </x:c>
      <x:c r="AI947" s="48" t="n">
        <x:v>1.1920928955078125e-7</x:v>
      </x:c>
      <x:c r="AJ947" s="37" t="str">
        <x:v>passed</x:v>
      </x:c>
    </x:row>
    <x:row r="948" ht="21" customHeight="1">
      <x:c r="A948" s="2"/>
      <x:c r="B948" s="2"/>
      <x:c r="C948" s="2" t="str">
        <x:v>2022</x:v>
      </x:c>
      <x:c r="D948" s="5" t="n">
        <x:v>44907</x:v>
      </x:c>
      <x:c r="E948" s="2" t="str">
        <x:v>duration</x:v>
      </x:c>
      <x:c r="F948" s="37" t="n">
        <x:v>9261793.528249435</x:v>
      </x:c>
      <x:c r="G948" s="37" t="n">
        <x:v>3780381.813815534</x:v>
      </x:c>
      <x:c r="H948" s="37" t="n">
        <x:v>22053.28387955307</x:v>
      </x:c>
      <x:c r="I948" s="37" t="n">
        <x:v>3758328.529935981</x:v>
      </x:c>
      <x:c r="J948" s="37" t="n">
        <x:v>10484258.746809518</x:v>
      </x:c>
      <x:c r="K948" s="37" t="n">
        <x:v>6703876.932993984</x:v>
      </x:c>
      <x:c r="L948" s="37" t="n">
        <x:v>13042175.34206497</x:v>
      </x:c>
      <x:c r="M948" s="37" t="n">
        <x:v>0</x:v>
      </x:c>
      <x:c r="N948" s="37" t="n">
        <x:v>0</x:v>
      </x:c>
      <x:c r="O948" s="37" t="n">
        <x:v>1522.3197747729719</x:v>
      </x:c>
      <x:c r="P948" s="37" t="n">
        <x:v>0</x:v>
      </x:c>
      <x:c r="Q948" s="37" t="n">
        <x:v>0</x:v>
      </x:c>
      <x:c r="R948" s="37" t="n">
        <x:v>0</x:v>
      </x:c>
      <x:c r="S948" s="37" t="n">
        <x:v>0</x:v>
      </x:c>
      <x:c r="T948" s="37" t="n">
        <x:v>0</x:v>
      </x:c>
      <x:c r="U948" s="37" t="n">
        <x:v>13941.618642774301</x:v>
      </x:c>
      <x:c r="V948" s="37" t="n">
        <x:v>0</x:v>
      </x:c>
      <x:c r="W948" s="37" t="n">
        <x:v>175107.02045920677</x:v>
      </x:c>
      <x:c r="X948" s="37" t="n">
        <x:v>0</x:v>
      </x:c>
      <x:c r="Y948" s="37" t="n">
        <x:v>2020.2166044244252</x:v>
      </x:c>
      <x:c r="Z948" s="37" t="n">
        <x:v>6837954.471653864</x:v>
      </x:c>
      <x:c r="AA948" s="37" t="n">
        <x:v>0</x:v>
      </x:c>
      <x:c r="AB948" s="37" t="n">
        <x:v>6837954.471653864</x:v>
      </x:c>
      <x:c r="AC948" s="37" t="n">
        <x:v>2423839.0565955713</x:v>
      </x:c>
      <x:c r="AD948" s="37" t="n">
        <x:v>0</x:v>
      </x:c>
      <x:c r="AE948" s="37" t="n">
        <x:v>0</x:v>
      </x:c>
      <x:c r="AF948" s="47" t="b">
        <x:v>0</x:v>
      </x:c>
      <x:c r="AG948" s="47" t="b">
        <x:v>0</x:v>
      </x:c>
      <x:c r="AH948" s="48" t="n">
        <x:v>0</x:v>
      </x:c>
      <x:c r="AI948" s="48" t="n">
        <x:v>1.1920928955078125e-7</x:v>
      </x:c>
      <x:c r="AJ948" s="37" t="str">
        <x:v>passed</x:v>
      </x:c>
    </x:row>
    <x:row r="949" ht="21" customHeight="1">
      <x:c r="A949" s="2"/>
      <x:c r="B949" s="2"/>
      <x:c r="C949" s="2" t="str">
        <x:v>2022</x:v>
      </x:c>
      <x:c r="D949" s="5" t="n">
        <x:v>44907</x:v>
      </x:c>
      <x:c r="E949" s="2" t="str">
        <x:v>unweighted</x:v>
      </x:c>
      <x:c r="F949" s="37" t="n">
        <x:v>12249186.460734677</x:v>
      </x:c>
      <x:c r="G949" s="37" t="n">
        <x:v>855705.84372633</x:v>
      </x:c>
      <x:c r="H949" s="37" t="n">
        <x:v>22781.28993194738</x:v>
      </x:c>
      <x:c r="I949" s="37" t="n">
        <x:v>832924.5537943826</x:v>
      </x:c>
      <x:c r="J949" s="37" t="n">
        <x:v>10514912.42279728</x:v>
      </x:c>
      <x:c r="K949" s="37" t="n">
        <x:v>9659206.57907095</x:v>
      </x:c>
      <x:c r="L949" s="37" t="n">
        <x:v>13104892.304461006</x:v>
      </x:c>
      <x:c r="M949" s="37" t="n">
        <x:v>0</x:v>
      </x:c>
      <x:c r="N949" s="37" t="n">
        <x:v>0</x:v>
      </x:c>
      <x:c r="O949" s="37" t="n">
        <x:v>2013.3442531581968</x:v>
      </x:c>
      <x:c r="P949" s="37" t="n">
        <x:v>0</x:v>
      </x:c>
      <x:c r="Q949" s="37" t="n">
        <x:v>0</x:v>
      </x:c>
      <x:c r="R949" s="37" t="n">
        <x:v>0</x:v>
      </x:c>
      <x:c r="S949" s="37" t="n">
        <x:v>0</x:v>
      </x:c>
      <x:c r="T949" s="37" t="n">
        <x:v>0</x:v>
      </x:c>
      <x:c r="U949" s="37" t="n">
        <x:v>-5474.05595196948</x:v>
      </x:c>
      <x:c r="V949" s="37" t="n">
        <x:v>0</x:v>
      </x:c>
      <x:c r="W949" s="37" t="n">
        <x:v>231056.71338019334</x:v>
      </x:c>
      <x:c r="X949" s="37" t="n">
        <x:v>0</x:v>
      </x:c>
      <x:c r="Y949" s="37" t="n">
        <x:v>2354.485312553004</x:v>
      </x:c>
      <x:c r="Z949" s="37" t="n">
        <x:v>9852390.71065237</x:v>
      </x:c>
      <x:c r="AA949" s="37" t="n">
        <x:v>0</x:v>
      </x:c>
      <x:c r="AB949" s="37" t="n">
        <x:v>9852390.71065237</x:v>
      </x:c>
      <x:c r="AC949" s="37" t="n">
        <x:v>2396795.7500823066</x:v>
      </x:c>
      <x:c r="AD949" s="37" t="n">
        <x:v>0</x:v>
      </x:c>
      <x:c r="AE949" s="37" t="n">
        <x:v>0</x:v>
      </x:c>
      <x:c r="AF949" s="47" t="b">
        <x:v>0</x:v>
      </x:c>
      <x:c r="AG949" s="47" t="b">
        <x:v>0</x:v>
      </x:c>
      <x:c r="AH949" s="48" t="n">
        <x:v>0</x:v>
      </x:c>
      <x:c r="AI949" s="48" t="n">
        <x:v>1.1920928955078125e-7</x:v>
      </x:c>
      <x:c r="AJ949" s="37" t="str">
        <x:v>passed</x:v>
      </x:c>
    </x:row>
    <x:row r="950" ht="21" customHeight="1">
      <x:c r="A950" s="2"/>
      <x:c r="B950" s="2"/>
      <x:c r="C950" s="2" t="str">
        <x:v>2022</x:v>
      </x:c>
      <x:c r="D950" s="5" t="n">
        <x:v>44907</x:v>
      </x:c>
      <x:c r="E950" s="2" t="str">
        <x:v>constrained</x:v>
      </x:c>
      <x:c r="F950" s="37" t="n">
        <x:v>13079848.138758598</x:v>
      </x:c>
      <x:c r="G950" s="37" t="n">
        <x:v>114757.33965253732</x:v>
      </x:c>
      <x:c r="H950" s="37" t="n">
        <x:v>22478.181504077576</x:v>
      </x:c>
      <x:c r="I950" s="37" t="n">
        <x:v>92279.15814845974</x:v>
      </x:c>
      <x:c r="J950" s="37" t="n">
        <x:v>10518656.262429697</x:v>
      </x:c>
      <x:c r="K950" s="37" t="n">
        <x:v>10403898.92277716</x:v>
      </x:c>
      <x:c r="L950" s="37" t="n">
        <x:v>13194605.478411134</x:v>
      </x:c>
      <x:c r="M950" s="37" t="n">
        <x:v>0</x:v>
      </x:c>
      <x:c r="N950" s="37" t="n">
        <x:v>0</x:v>
      </x:c>
      <x:c r="O950" s="37" t="n">
        <x:v>2149.876415612176</x:v>
      </x:c>
      <x:c r="P950" s="37" t="n">
        <x:v>0</x:v>
      </x:c>
      <x:c r="Q950" s="37" t="n">
        <x:v>0</x:v>
      </x:c>
      <x:c r="R950" s="37" t="n">
        <x:v>0</x:v>
      </x:c>
      <x:c r="S950" s="37" t="n">
        <x:v>0</x:v>
      </x:c>
      <x:c r="T950" s="37" t="n">
        <x:v>0</x:v>
      </x:c>
      <x:c r="U950" s="37" t="n">
        <x:v>-13346.704870530775</x:v>
      </x:c>
      <x:c r="V950" s="37" t="n">
        <x:v>0</x:v>
      </x:c>
      <x:c r="W950" s="37" t="n">
        <x:v>246670.46985180117</x:v>
      </x:c>
      <x:c r="X950" s="37" t="n">
        <x:v>0</x:v>
      </x:c>
      <x:c r="Y950" s="37" t="n">
        <x:v>2425.773114277156</x:v>
      </x:c>
      <x:c r="Z950" s="37" t="n">
        <x:v>10611976.901232703</x:v>
      </x:c>
      <x:c r="AA950" s="37" t="n">
        <x:v>0</x:v>
      </x:c>
      <x:c r="AB950" s="37" t="n">
        <x:v>10611976.901232703</x:v>
      </x:c>
      <x:c r="AC950" s="37" t="n">
        <x:v>2467871.2375258952</x:v>
      </x:c>
      <x:c r="AD950" s="37" t="n">
        <x:v>0</x:v>
      </x:c>
      <x:c r="AE950" s="37" t="n">
        <x:v>0</x:v>
      </x:c>
      <x:c r="AF950" s="47" t="b">
        <x:v>0</x:v>
      </x:c>
      <x:c r="AG950" s="47" t="b">
        <x:v>0</x:v>
      </x:c>
      <x:c r="AH950" s="48" t="n">
        <x:v>0</x:v>
      </x:c>
      <x:c r="AI950" s="48" t="n">
        <x:v>1.1920928955078125e-7</x:v>
      </x:c>
      <x:c r="AJ950" s="37" t="str">
        <x:v>passed</x:v>
      </x:c>
    </x:row>
    <x:row r="951" ht="21" customHeight="1">
      <x:c r="A951" s="2"/>
      <x:c r="B951" s="2"/>
      <x:c r="C951" s="2" t="str">
        <x:v>2022</x:v>
      </x:c>
      <x:c r="D951" s="5" t="n">
        <x:v>44908</x:v>
      </x:c>
      <x:c r="E951" s="2" t="str">
        <x:v>unhedged</x:v>
      </x:c>
      <x:c r="F951" s="37" t="n">
        <x:v>1350394.529430483</x:v>
      </x:c>
      <x:c r="G951" s="37" t="n">
        <x:v>10559557.20243665</x:v>
      </x:c>
      <x:c r="H951" s="37" t="n">
        <x:v>30692.7095844343</x:v>
      </x:c>
      <x:c r="I951" s="37" t="n">
        <x:v>10528864.492852217</x:v>
      </x:c>
      <x:c r="J951" s="37" t="n">
        <x:v>10559557.20243665</x:v>
      </x:c>
      <x:c r="K951" s="37" t="n">
        <x:v>0</x:v>
      </x:c>
      <x:c r="L951" s="37" t="n">
        <x:v>11909951.731867133</x:v>
      </x:c>
      <x:c r="M951" s="37" t="n">
        <x:v>0</x:v>
      </x:c>
      <x:c r="N951" s="37" t="n">
        <x:v>0</x:v>
      </x:c>
      <x:c r="O951" s="37" t="n">
        <x:v>73.99016653490253</x:v>
      </x:c>
      <x:c r="P951" s="37" t="n">
        <x:v>0</x:v>
      </x:c>
      <x:c r="Q951" s="37" t="n">
        <x:v>0</x:v>
      </x:c>
      <x:c r="R951" s="37" t="n">
        <x:v>0</x:v>
      </x:c>
      <x:c r="S951" s="37" t="n">
        <x:v>0</x:v>
      </x:c>
      <x:c r="T951" s="37" t="n">
        <x:v>0</x:v>
      </x:c>
      <x:c r="U951" s="37" t="n">
        <x:v>127500</x:v>
      </x:c>
      <x:c r="V951" s="37" t="n">
        <x:v>0</x:v>
      </x:c>
      <x:c r="W951" s="37" t="n">
        <x:v>24069.24874720862</x:v>
      </x:c>
      <x:c r="X951" s="37" t="n">
        <x:v>0</x:v>
      </x:c>
      <x:c r="Y951" s="37" t="n">
        <x:v>1174.7193167256753</x:v>
      </x:c>
      <x:c r="Z951" s="37" t="n">
        <x:v>0</x:v>
      </x:c>
      <x:c r="AA951" s="37" t="n">
        <x:v>0</x:v>
      </x:c>
      <x:c r="AB951" s="37" t="n">
        <x:v>0</x:v>
      </x:c>
      <x:c r="AC951" s="37" t="n">
        <x:v>1350394.529430483</x:v>
      </x:c>
      <x:c r="AD951" s="37" t="n">
        <x:v>0</x:v>
      </x:c>
      <x:c r="AE951" s="37" t="n">
        <x:v>0</x:v>
      </x:c>
      <x:c r="AF951" s="47" t="b">
        <x:v>0</x:v>
      </x:c>
      <x:c r="AG951" s="47" t="b">
        <x:v>0</x:v>
      </x:c>
      <x:c r="AH951" s="48" t="n">
        <x:v>0</x:v>
      </x:c>
      <x:c r="AI951" s="48" t="n">
        <x:v>1.1920928955078125e-7</x:v>
      </x:c>
      <x:c r="AJ951" s="37" t="str">
        <x:v>passed</x:v>
      </x:c>
    </x:row>
    <x:row r="952" ht="21" customHeight="1">
      <x:c r="A952" s="2"/>
      <x:c r="B952" s="2"/>
      <x:c r="C952" s="2" t="str">
        <x:v>2022</x:v>
      </x:c>
      <x:c r="D952" s="5" t="n">
        <x:v>44908</x:v>
      </x:c>
      <x:c r="E952" s="2" t="str">
        <x:v>duration</x:v>
      </x:c>
      <x:c r="F952" s="37" t="n">
        <x:v>9262301.023785232</x:v>
      </x:c>
      <x:c r="G952" s="37" t="n">
        <x:v>3783476.129263973</x:v>
      </x:c>
      <x:c r="H952" s="37" t="n">
        <x:v>22095.056824549814</x:v>
      </x:c>
      <x:c r="I952" s="37" t="n">
        <x:v>3761381.072439423</x:v>
      </x:c>
      <x:c r="J952" s="37" t="n">
        <x:v>10559557.20243665</x:v>
      </x:c>
      <x:c r="K952" s="37" t="n">
        <x:v>6776081.073172677</x:v>
      </x:c>
      <x:c r="L952" s="37" t="n">
        <x:v>13045777.153049204</x:v>
      </x:c>
      <x:c r="M952" s="37" t="n">
        <x:v>0</x:v>
      </x:c>
      <x:c r="N952" s="37" t="n">
        <x:v>0</x:v>
      </x:c>
      <x:c r="O952" s="37" t="n">
        <x:v>507.4955357965082</x:v>
      </x:c>
      <x:c r="P952" s="37" t="n">
        <x:v>0</x:v>
      </x:c>
      <x:c r="Q952" s="37" t="n">
        <x:v>0</x:v>
      </x:c>
      <x:c r="R952" s="37" t="n">
        <x:v>0</x:v>
      </x:c>
      <x:c r="S952" s="37" t="n">
        <x:v>0</x:v>
      </x:c>
      <x:c r="T952" s="37" t="n">
        <x:v>0</x:v>
      </x:c>
      <x:c r="U952" s="37" t="n">
        <x:v>13941.618642774301</x:v>
      </x:c>
      <x:c r="V952" s="37" t="n">
        <x:v>0</x:v>
      </x:c>
      <x:c r="W952" s="37" t="n">
        <x:v>175614.51599500328</x:v>
      </x:c>
      <x:c r="X952" s="37" t="n">
        <x:v>0</x:v>
      </x:c>
      <x:c r="Y952" s="37" t="n">
        <x:v>2020.2166044244252</x:v>
      </x:c>
      <x:c r="Z952" s="37" t="n">
        <x:v>6911602.694636131</x:v>
      </x:c>
      <x:c r="AA952" s="37" t="n">
        <x:v>0</x:v>
      </x:c>
      <x:c r="AB952" s="37" t="n">
        <x:v>6911602.694636131</x:v>
      </x:c>
      <x:c r="AC952" s="37" t="n">
        <x:v>2350698.329149101</x:v>
      </x:c>
      <x:c r="AD952" s="37" t="n">
        <x:v>0</x:v>
      </x:c>
      <x:c r="AE952" s="37" t="n">
        <x:v>0</x:v>
      </x:c>
      <x:c r="AF952" s="47" t="b">
        <x:v>0</x:v>
      </x:c>
      <x:c r="AG952" s="47" t="b">
        <x:v>0</x:v>
      </x:c>
      <x:c r="AH952" s="48" t="n">
        <x:v>0</x:v>
      </x:c>
      <x:c r="AI952" s="48" t="n">
        <x:v>1.1920928955078125e-7</x:v>
      </x:c>
      <x:c r="AJ952" s="37" t="str">
        <x:v>passed</x:v>
      </x:c>
    </x:row>
    <x:row r="953" ht="21" customHeight="1">
      <x:c r="A953" s="2"/>
      <x:c r="B953" s="2"/>
      <x:c r="C953" s="2" t="str">
        <x:v>2022</x:v>
      </x:c>
      <x:c r="D953" s="5" t="n">
        <x:v>44908</x:v>
      </x:c>
      <x:c r="E953" s="2" t="str">
        <x:v>unweighted</x:v>
      </x:c>
      <x:c r="F953" s="37" t="n">
        <x:v>12249857.649033897</x:v>
      </x:c>
      <x:c r="G953" s="37" t="n">
        <x:v>859064.8698878983</x:v>
      </x:c>
      <x:c r="H953" s="37" t="n">
        <x:v>22763.512899919082</x:v>
      </x:c>
      <x:c r="I953" s="37" t="n">
        <x:v>836301.3569879793</x:v>
      </x:c>
      <x:c r="J953" s="37" t="n">
        <x:v>10590576.08462658</x:v>
      </x:c>
      <x:c r="K953" s="37" t="n">
        <x:v>9731511.214738682</x:v>
      </x:c>
      <x:c r="L953" s="37" t="n">
        <x:v>13108922.518921794</x:v>
      </x:c>
      <x:c r="M953" s="37" t="n">
        <x:v>0</x:v>
      </x:c>
      <x:c r="N953" s="37" t="n">
        <x:v>0</x:v>
      </x:c>
      <x:c r="O953" s="37" t="n">
        <x:v>671.1882992200553</x:v>
      </x:c>
      <x:c r="P953" s="37" t="n">
        <x:v>0</x:v>
      </x:c>
      <x:c r="Q953" s="37" t="n">
        <x:v>0</x:v>
      </x:c>
      <x:c r="R953" s="37" t="n">
        <x:v>0</x:v>
      </x:c>
      <x:c r="S953" s="37" t="n">
        <x:v>0</x:v>
      </x:c>
      <x:c r="T953" s="37" t="n">
        <x:v>0</x:v>
      </x:c>
      <x:c r="U953" s="37" t="n">
        <x:v>-5474.05595196948</x:v>
      </x:c>
      <x:c r="V953" s="37" t="n">
        <x:v>0</x:v>
      </x:c>
      <x:c r="W953" s="37" t="n">
        <x:v>231727.9016794134</x:v>
      </x:c>
      <x:c r="X953" s="37" t="n">
        <x:v>0</x:v>
      </x:c>
      <x:c r="Y953" s="37" t="n">
        <x:v>2354.485312553004</x:v>
      </x:c>
      <x:c r="Z953" s="37" t="n">
        <x:v>9926141.439033456</x:v>
      </x:c>
      <x:c r="AA953" s="37" t="n">
        <x:v>0</x:v>
      </x:c>
      <x:c r="AB953" s="37" t="n">
        <x:v>9926141.439033456</x:v>
      </x:c>
      <x:c r="AC953" s="37" t="n">
        <x:v>2323716.2100004405</x:v>
      </x:c>
      <x:c r="AD953" s="37" t="n">
        <x:v>0</x:v>
      </x:c>
      <x:c r="AE953" s="37" t="n">
        <x:v>0</x:v>
      </x:c>
      <x:c r="AF953" s="47" t="b">
        <x:v>0</x:v>
      </x:c>
      <x:c r="AG953" s="47" t="b">
        <x:v>0</x:v>
      </x:c>
      <x:c r="AH953" s="48" t="n">
        <x:v>0</x:v>
      </x:c>
      <x:c r="AI953" s="48" t="n">
        <x:v>1.1920928955078125e-7</x:v>
      </x:c>
      <x:c r="AJ953" s="37" t="str">
        <x:v>passed</x:v>
      </x:c>
    </x:row>
    <x:row r="954" ht="21" customHeight="1">
      <x:c r="A954" s="2"/>
      <x:c r="B954" s="2"/>
      <x:c r="C954" s="2" t="str">
        <x:v>2022</x:v>
      </x:c>
      <x:c r="D954" s="5" t="n">
        <x:v>44908</x:v>
      </x:c>
      <x:c r="E954" s="2" t="str">
        <x:v>constrained</x:v>
      </x:c>
      <x:c r="F954" s="37" t="n">
        <x:v>13080564.842766201</x:v>
      </x:c>
      <x:c r="G954" s="37" t="n">
        <x:v>115017.87751476753</x:v>
      </x:c>
      <x:c r="H954" s="37" t="n">
        <x:v>22439.5576849784</x:v>
      </x:c>
      <x:c r="I954" s="37" t="n">
        <x:v>92578.31982978914</x:v>
      </x:c>
      <x:c r="J954" s="37" t="n">
        <x:v>10594362.885034043</x:v>
      </x:c>
      <x:c r="K954" s="37" t="n">
        <x:v>10479345.007519277</x:v>
      </x:c>
      <x:c r="L954" s="37" t="n">
        <x:v>13195582.72028097</x:v>
      </x:c>
      <x:c r="M954" s="37" t="n">
        <x:v>0</x:v>
      </x:c>
      <x:c r="N954" s="37" t="n">
        <x:v>0</x:v>
      </x:c>
      <x:c r="O954" s="37" t="n">
        <x:v>716.7040076032281</x:v>
      </x:c>
      <x:c r="P954" s="37" t="n">
        <x:v>0</x:v>
      </x:c>
      <x:c r="Q954" s="37" t="n">
        <x:v>0</x:v>
      </x:c>
      <x:c r="R954" s="37" t="n">
        <x:v>0</x:v>
      </x:c>
      <x:c r="S954" s="37" t="n">
        <x:v>0</x:v>
      </x:c>
      <x:c r="T954" s="37" t="n">
        <x:v>0</x:v>
      </x:c>
      <x:c r="U954" s="37" t="n">
        <x:v>-13346.704870530775</x:v>
      </x:c>
      <x:c r="V954" s="37" t="n">
        <x:v>0</x:v>
      </x:c>
      <x:c r="W954" s="37" t="n">
        <x:v>247387.1738594044</x:v>
      </x:c>
      <x:c r="X954" s="37" t="n">
        <x:v>0</x:v>
      </x:c>
      <x:c r="Y954" s="37" t="n">
        <x:v>2425.773114277156</x:v>
      </x:c>
      <x:c r="Z954" s="37" t="n">
        <x:v>10688931.907669663</x:v>
      </x:c>
      <x:c r="AA954" s="37" t="n">
        <x:v>0</x:v>
      </x:c>
      <x:c r="AB954" s="37" t="n">
        <x:v>10688931.907669663</x:v>
      </x:c>
      <x:c r="AC954" s="37" t="n">
        <x:v>2391632.9350965377</x:v>
      </x:c>
      <x:c r="AD954" s="37" t="n">
        <x:v>0</x:v>
      </x:c>
      <x:c r="AE954" s="37" t="n">
        <x:v>0</x:v>
      </x:c>
      <x:c r="AF954" s="47" t="b">
        <x:v>0</x:v>
      </x:c>
      <x:c r="AG954" s="47" t="b">
        <x:v>0</x:v>
      </x:c>
      <x:c r="AH954" s="48" t="n">
        <x:v>0</x:v>
      </x:c>
      <x:c r="AI954" s="48" t="n">
        <x:v>1.1920928955078125e-7</x:v>
      </x:c>
      <x:c r="AJ954" s="37" t="str">
        <x:v>passed</x:v>
      </x:c>
    </x:row>
    <x:row r="955" ht="21" customHeight="1">
      <x:c r="A955" s="2"/>
      <x:c r="B955" s="2"/>
      <x:c r="C955" s="2" t="str">
        <x:v>2022</x:v>
      </x:c>
      <x:c r="D955" s="5" t="n">
        <x:v>44909</x:v>
      </x:c>
      <x:c r="E955" s="2" t="str">
        <x:v>unhedged</x:v>
      </x:c>
      <x:c r="F955" s="37" t="n">
        <x:v>1350468.5236512742</x:v>
      </x:c>
      <x:c r="G955" s="37" t="n">
        <x:v>10569794.650448173</x:v>
      </x:c>
      <x:c r="H955" s="37" t="n">
        <x:v>31041.541556569784</x:v>
      </x:c>
      <x:c r="I955" s="37" t="n">
        <x:v>10538753.108891603</x:v>
      </x:c>
      <x:c r="J955" s="37" t="n">
        <x:v>10569794.650448173</x:v>
      </x:c>
      <x:c r="K955" s="37" t="n">
        <x:v>0</x:v>
      </x:c>
      <x:c r="L955" s="37" t="n">
        <x:v>11920263.174099447</x:v>
      </x:c>
      <x:c r="M955" s="37" t="n">
        <x:v>0</x:v>
      </x:c>
      <x:c r="N955" s="37" t="n">
        <x:v>0</x:v>
      </x:c>
      <x:c r="O955" s="37" t="n">
        <x:v>73.99422079115175</x:v>
      </x:c>
      <x:c r="P955" s="37" t="n">
        <x:v>0</x:v>
      </x:c>
      <x:c r="Q955" s="37" t="n">
        <x:v>0</x:v>
      </x:c>
      <x:c r="R955" s="37" t="n">
        <x:v>0</x:v>
      </x:c>
      <x:c r="S955" s="37" t="n">
        <x:v>0</x:v>
      </x:c>
      <x:c r="T955" s="37" t="n">
        <x:v>0</x:v>
      </x:c>
      <x:c r="U955" s="37" t="n">
        <x:v>127500</x:v>
      </x:c>
      <x:c r="V955" s="37" t="n">
        <x:v>0</x:v>
      </x:c>
      <x:c r="W955" s="37" t="n">
        <x:v>24143.242967999773</x:v>
      </x:c>
      <x:c r="X955" s="37" t="n">
        <x:v>0</x:v>
      </x:c>
      <x:c r="Y955" s="37" t="n">
        <x:v>1174.7193167256753</x:v>
      </x:c>
      <x:c r="Z955" s="37" t="n">
        <x:v>0</x:v>
      </x:c>
      <x:c r="AA955" s="37" t="n">
        <x:v>0</x:v>
      </x:c>
      <x:c r="AB955" s="37" t="n">
        <x:v>0</x:v>
      </x:c>
      <x:c r="AC955" s="37" t="n">
        <x:v>1350468.5236512742</x:v>
      </x:c>
      <x:c r="AD955" s="37" t="n">
        <x:v>0</x:v>
      </x:c>
      <x:c r="AE955" s="37" t="n">
        <x:v>0</x:v>
      </x:c>
      <x:c r="AF955" s="47" t="b">
        <x:v>0</x:v>
      </x:c>
      <x:c r="AG955" s="47" t="b">
        <x:v>0</x:v>
      </x:c>
      <x:c r="AH955" s="48" t="n">
        <x:v>0</x:v>
      </x:c>
      <x:c r="AI955" s="48" t="n">
        <x:v>1.1920928955078125e-7</x:v>
      </x:c>
      <x:c r="AJ955" s="37" t="str">
        <x:v>passed</x:v>
      </x:c>
    </x:row>
    <x:row r="956" ht="21" customHeight="1">
      <x:c r="A956" s="2"/>
      <x:c r="B956" s="2"/>
      <x:c r="C956" s="2" t="str">
        <x:v>2022</x:v>
      </x:c>
      <x:c r="D956" s="5" t="n">
        <x:v>44909</x:v>
      </x:c>
      <x:c r="E956" s="2" t="str">
        <x:v>duration</x:v>
      </x:c>
      <x:c r="F956" s="37" t="n">
        <x:v>9262808.547129001</x:v>
      </x:c>
      <x:c r="G956" s="37" t="n">
        <x:v>3783549.1742882193</x:v>
      </x:c>
      <x:c r="H956" s="37" t="n">
        <x:v>22136.829769546566</x:v>
      </x:c>
      <x:c r="I956" s="37" t="n">
        <x:v>3761412.3445186727</x:v>
      </x:c>
      <x:c r="J956" s="37" t="n">
        <x:v>10569794.650448173</x:v>
      </x:c>
      <x:c r="K956" s="37" t="n">
        <x:v>6786245.476159954</x:v>
      </x:c>
      <x:c r="L956" s="37" t="n">
        <x:v>13046357.72141722</x:v>
      </x:c>
      <x:c r="M956" s="37" t="n">
        <x:v>0</x:v>
      </x:c>
      <x:c r="N956" s="37" t="n">
        <x:v>0</x:v>
      </x:c>
      <x:c r="O956" s="37" t="n">
        <x:v>507.52334376983345</x:v>
      </x:c>
      <x:c r="P956" s="37" t="n">
        <x:v>0</x:v>
      </x:c>
      <x:c r="Q956" s="37" t="n">
        <x:v>0</x:v>
      </x:c>
      <x:c r="R956" s="37" t="n">
        <x:v>0</x:v>
      </x:c>
      <x:c r="S956" s="37" t="n">
        <x:v>0</x:v>
      </x:c>
      <x:c r="T956" s="37" t="n">
        <x:v>0</x:v>
      </x:c>
      <x:c r="U956" s="37" t="n">
        <x:v>13941.618642774301</x:v>
      </x:c>
      <x:c r="V956" s="37" t="n">
        <x:v>0</x:v>
      </x:c>
      <x:c r="W956" s="37" t="n">
        <x:v>176122.03933877312</x:v>
      </x:c>
      <x:c r="X956" s="37" t="n">
        <x:v>0</x:v>
      </x:c>
      <x:c r="Y956" s="37" t="n">
        <x:v>2020.2166044244252</x:v>
      </x:c>
      <x:c r="Z956" s="37" t="n">
        <x:v>6921970.385683154</x:v>
      </x:c>
      <x:c r="AA956" s="37" t="n">
        <x:v>0</x:v>
      </x:c>
      <x:c r="AB956" s="37" t="n">
        <x:v>6921970.385683154</x:v>
      </x:c>
      <x:c r="AC956" s="37" t="n">
        <x:v>2340838.1614458477</x:v>
      </x:c>
      <x:c r="AD956" s="37" t="n">
        <x:v>0</x:v>
      </x:c>
      <x:c r="AE956" s="37" t="n">
        <x:v>0</x:v>
      </x:c>
      <x:c r="AF956" s="47" t="b">
        <x:v>0</x:v>
      </x:c>
      <x:c r="AG956" s="47" t="b">
        <x:v>0</x:v>
      </x:c>
      <x:c r="AH956" s="48" t="n">
        <x:v>0</x:v>
      </x:c>
      <x:c r="AI956" s="48" t="n">
        <x:v>1.1920928955078125e-7</x:v>
      </x:c>
      <x:c r="AJ956" s="37" t="str">
        <x:v>passed</x:v>
      </x:c>
    </x:row>
    <x:row r="957" ht="21" customHeight="1">
      <x:c r="A957" s="2"/>
      <x:c r="B957" s="2"/>
      <x:c r="C957" s="2" t="str">
        <x:v>2022</x:v>
      </x:c>
      <x:c r="D957" s="5" t="n">
        <x:v>44909</x:v>
      </x:c>
      <x:c r="E957" s="2" t="str">
        <x:v>unweighted</x:v>
      </x:c>
      <x:c r="F957" s="37" t="n">
        <x:v>12250528.874110559</x:v>
      </x:c>
      <x:c r="G957" s="37" t="n">
        <x:v>859544.2572551296</x:v>
      </x:c>
      <x:c r="H957" s="37" t="n">
        <x:v>22745.73586789079</x:v>
      </x:c>
      <x:c r="I957" s="37" t="n">
        <x:v>836798.5213872389</x:v>
      </x:c>
      <x:c r="J957" s="37" t="n">
        <x:v>10600853.6212959</x:v>
      </x:c>
      <x:c r="K957" s="37" t="n">
        <x:v>9741309.36404077</x:v>
      </x:c>
      <x:c r="L957" s="37" t="n">
        <x:v>13110073.131365689</x:v>
      </x:c>
      <x:c r="M957" s="37" t="n">
        <x:v>0</x:v>
      </x:c>
      <x:c r="N957" s="37" t="n">
        <x:v>0</x:v>
      </x:c>
      <x:c r="O957" s="37" t="n">
        <x:v>671.2250766623765</x:v>
      </x:c>
      <x:c r="P957" s="37" t="n">
        <x:v>0</x:v>
      </x:c>
      <x:c r="Q957" s="37" t="n">
        <x:v>0</x:v>
      </x:c>
      <x:c r="R957" s="37" t="n">
        <x:v>0</x:v>
      </x:c>
      <x:c r="S957" s="37" t="n">
        <x:v>0</x:v>
      </x:c>
      <x:c r="T957" s="37" t="n">
        <x:v>0</x:v>
      </x:c>
      <x:c r="U957" s="37" t="n">
        <x:v>-5474.05595196948</x:v>
      </x:c>
      <x:c r="V957" s="37" t="n">
        <x:v>0</x:v>
      </x:c>
      <x:c r="W957" s="37" t="n">
        <x:v>232399.12675607577</x:v>
      </x:c>
      <x:c r="X957" s="37" t="n">
        <x:v>0</x:v>
      </x:c>
      <x:c r="Y957" s="37" t="n">
        <x:v>2354.485312553004</x:v>
      </x:c>
      <x:c r="Z957" s="37" t="n">
        <x:v>9936135.551321585</x:v>
      </x:c>
      <x:c r="AA957" s="37" t="n">
        <x:v>0</x:v>
      </x:c>
      <x:c r="AB957" s="37" t="n">
        <x:v>9936135.551321585</x:v>
      </x:c>
      <x:c r="AC957" s="37" t="n">
        <x:v>2314393.3227889743</x:v>
      </x:c>
      <x:c r="AD957" s="37" t="n">
        <x:v>0</x:v>
      </x:c>
      <x:c r="AE957" s="37" t="n">
        <x:v>0</x:v>
      </x:c>
      <x:c r="AF957" s="47" t="b">
        <x:v>0</x:v>
      </x:c>
      <x:c r="AG957" s="47" t="b">
        <x:v>0</x:v>
      </x:c>
      <x:c r="AH957" s="48" t="n">
        <x:v>0</x:v>
      </x:c>
      <x:c r="AI957" s="48" t="n">
        <x:v>1.1920928955078125e-7</x:v>
      </x:c>
      <x:c r="AJ957" s="37" t="str">
        <x:v>passed</x:v>
      </x:c>
    </x:row>
    <x:row r="958" ht="21" customHeight="1">
      <x:c r="A958" s="2"/>
      <x:c r="B958" s="2"/>
      <x:c r="C958" s="2" t="str">
        <x:v>2022</x:v>
      </x:c>
      <x:c r="D958" s="5" t="n">
        <x:v>44909</x:v>
      </x:c>
      <x:c r="E958" s="2" t="str">
        <x:v>constrained</x:v>
      </x:c>
      <x:c r="F958" s="37" t="n">
        <x:v>13081281.58604526</x:v>
      </x:c>
      <x:c r="G958" s="37" t="n">
        <x:v>115110.7506123745</x:v>
      </x:c>
      <x:c r="H958" s="37" t="n">
        <x:v>22400.933865879237</x:v>
      </x:c>
      <x:c r="I958" s="37" t="n">
        <x:v>92709.81674649526</x:v>
      </x:c>
      <x:c r="J958" s="37" t="n">
        <x:v>10604644.14044628</x:v>
      </x:c>
      <x:c r="K958" s="37" t="n">
        <x:v>10489533.389833905</x:v>
      </x:c>
      <x:c r="L958" s="37" t="n">
        <x:v>13196392.336657634</x:v>
      </x:c>
      <x:c r="M958" s="37" t="n">
        <x:v>0</x:v>
      </x:c>
      <x:c r="N958" s="37" t="n">
        <x:v>0</x:v>
      </x:c>
      <x:c r="O958" s="37" t="n">
        <x:v>716.7432790584862</x:v>
      </x:c>
      <x:c r="P958" s="37" t="n">
        <x:v>0</x:v>
      </x:c>
      <x:c r="Q958" s="37" t="n">
        <x:v>0</x:v>
      </x:c>
      <x:c r="R958" s="37" t="n">
        <x:v>0</x:v>
      </x:c>
      <x:c r="S958" s="37" t="n">
        <x:v>0</x:v>
      </x:c>
      <x:c r="T958" s="37" t="n">
        <x:v>0</x:v>
      </x:c>
      <x:c r="U958" s="37" t="n">
        <x:v>-13346.704870530775</x:v>
      </x:c>
      <x:c r="V958" s="37" t="n">
        <x:v>0</x:v>
      </x:c>
      <x:c r="W958" s="37" t="n">
        <x:v>248103.9171384629</x:v>
      </x:c>
      <x:c r="X958" s="37" t="n">
        <x:v>0</x:v>
      </x:c>
      <x:c r="Y958" s="37" t="n">
        <x:v>2425.773114277156</x:v>
      </x:c>
      <x:c r="Z958" s="37" t="n">
        <x:v>10699324.057630584</x:v>
      </x:c>
      <x:c r="AA958" s="37" t="n">
        <x:v>0</x:v>
      </x:c>
      <x:c r="AB958" s="37" t="n">
        <x:v>10699324.057630584</x:v>
      </x:c>
      <x:c r="AC958" s="37" t="n">
        <x:v>2381957.528414676</x:v>
      </x:c>
      <x:c r="AD958" s="37" t="n">
        <x:v>0</x:v>
      </x:c>
      <x:c r="AE958" s="37" t="n">
        <x:v>0</x:v>
      </x:c>
      <x:c r="AF958" s="47" t="b">
        <x:v>0</x:v>
      </x:c>
      <x:c r="AG958" s="47" t="b">
        <x:v>0</x:v>
      </x:c>
      <x:c r="AH958" s="48" t="n">
        <x:v>0</x:v>
      </x:c>
      <x:c r="AI958" s="48" t="n">
        <x:v>1.1920928955078125e-7</x:v>
      </x:c>
      <x:c r="AJ958" s="37" t="str">
        <x:v>passed</x:v>
      </x:c>
    </x:row>
    <x:row r="959" ht="21" customHeight="1">
      <x:c r="A959" s="2"/>
      <x:c r="B959" s="2"/>
      <x:c r="C959" s="2" t="str">
        <x:v>2022</x:v>
      </x:c>
      <x:c r="D959" s="5" t="n">
        <x:v>44910</x:v>
      </x:c>
      <x:c r="E959" s="2" t="str">
        <x:v>unhedged</x:v>
      </x:c>
      <x:c r="F959" s="37" t="n">
        <x:v>1350542.5219265425</x:v>
      </x:c>
      <x:c r="G959" s="37" t="n">
        <x:v>10587931.533259813</x:v>
      </x:c>
      <x:c r="H959" s="37" t="n">
        <x:v>31390.37352870526</x:v>
      </x:c>
      <x:c r="I959" s="37" t="n">
        <x:v>10556541.159731107</x:v>
      </x:c>
      <x:c r="J959" s="37" t="n">
        <x:v>10587931.533259813</x:v>
      </x:c>
      <x:c r="K959" s="37" t="n">
        <x:v>0</x:v>
      </x:c>
      <x:c r="L959" s="37" t="n">
        <x:v>11938474.055186355</x:v>
      </x:c>
      <x:c r="M959" s="37" t="n">
        <x:v>0</x:v>
      </x:c>
      <x:c r="N959" s="37" t="n">
        <x:v>0</x:v>
      </x:c>
      <x:c r="O959" s="37" t="n">
        <x:v>73.99827526835725</x:v>
      </x:c>
      <x:c r="P959" s="37" t="n">
        <x:v>0</x:v>
      </x:c>
      <x:c r="Q959" s="37" t="n">
        <x:v>0</x:v>
      </x:c>
      <x:c r="R959" s="37" t="n">
        <x:v>0</x:v>
      </x:c>
      <x:c r="S959" s="37" t="n">
        <x:v>0</x:v>
      </x:c>
      <x:c r="T959" s="37" t="n">
        <x:v>0</x:v>
      </x:c>
      <x:c r="U959" s="37" t="n">
        <x:v>127500</x:v>
      </x:c>
      <x:c r="V959" s="37" t="n">
        <x:v>0</x:v>
      </x:c>
      <x:c r="W959" s="37" t="n">
        <x:v>24217.24124326813</x:v>
      </x:c>
      <x:c r="X959" s="37" t="n">
        <x:v>0</x:v>
      </x:c>
      <x:c r="Y959" s="37" t="n">
        <x:v>1174.7193167256753</x:v>
      </x:c>
      <x:c r="Z959" s="37" t="n">
        <x:v>0</x:v>
      </x:c>
      <x:c r="AA959" s="37" t="n">
        <x:v>0</x:v>
      </x:c>
      <x:c r="AB959" s="37" t="n">
        <x:v>0</x:v>
      </x:c>
      <x:c r="AC959" s="37" t="n">
        <x:v>1350542.5219265425</x:v>
      </x:c>
      <x:c r="AD959" s="37" t="n">
        <x:v>0</x:v>
      </x:c>
      <x:c r="AE959" s="37" t="n">
        <x:v>0</x:v>
      </x:c>
      <x:c r="AF959" s="47" t="b">
        <x:v>0</x:v>
      </x:c>
      <x:c r="AG959" s="47" t="b">
        <x:v>0</x:v>
      </x:c>
      <x:c r="AH959" s="48" t="n">
        <x:v>0</x:v>
      </x:c>
      <x:c r="AI959" s="48" t="n">
        <x:v>1.1920928955078125e-7</x:v>
      </x:c>
      <x:c r="AJ959" s="37" t="str">
        <x:v>passed</x:v>
      </x:c>
    </x:row>
    <x:row r="960" ht="21" customHeight="1">
      <x:c r="A960" s="2"/>
      <x:c r="B960" s="2"/>
      <x:c r="C960" s="2" t="str">
        <x:v>2022</x:v>
      </x:c>
      <x:c r="D960" s="5" t="n">
        <x:v>44910</x:v>
      </x:c>
      <x:c r="E960" s="2" t="str">
        <x:v>duration</x:v>
      </x:c>
      <x:c r="F960" s="37" t="n">
        <x:v>9263316.09828227</x:v>
      </x:c>
      <x:c r="G960" s="37" t="n">
        <x:v>3777668.1773577128</x:v>
      </x:c>
      <x:c r="H960" s="37" t="n">
        <x:v>22178.60271454331</x:v>
      </x:c>
      <x:c r="I960" s="37" t="n">
        <x:v>3755489.5746431695</x:v>
      </x:c>
      <x:c r="J960" s="37" t="n">
        <x:v>10587931.533259813</x:v>
      </x:c>
      <x:c r="K960" s="37" t="n">
        <x:v>6810263.3559021</x:v>
      </x:c>
      <x:c r="L960" s="37" t="n">
        <x:v>13040984.275639983</x:v>
      </x:c>
      <x:c r="M960" s="37" t="n">
        <x:v>0</x:v>
      </x:c>
      <x:c r="N960" s="37" t="n">
        <x:v>0</x:v>
      </x:c>
      <x:c r="O960" s="37" t="n">
        <x:v>507.5511532686651</x:v>
      </x:c>
      <x:c r="P960" s="37" t="n">
        <x:v>0</x:v>
      </x:c>
      <x:c r="Q960" s="37" t="n">
        <x:v>0</x:v>
      </x:c>
      <x:c r="R960" s="37" t="n">
        <x:v>0</x:v>
      </x:c>
      <x:c r="S960" s="37" t="n">
        <x:v>0</x:v>
      </x:c>
      <x:c r="T960" s="37" t="n">
        <x:v>0</x:v>
      </x:c>
      <x:c r="U960" s="37" t="n">
        <x:v>13941.618642774301</x:v>
      </x:c>
      <x:c r="V960" s="37" t="n">
        <x:v>0</x:v>
      </x:c>
      <x:c r="W960" s="37" t="n">
        <x:v>176629.59049204178</x:v>
      </x:c>
      <x:c r="X960" s="37" t="n">
        <x:v>0</x:v>
      </x:c>
      <x:c r="Y960" s="37" t="n">
        <x:v>2020.2166044244252</x:v>
      </x:c>
      <x:c r="Z960" s="37" t="n">
        <x:v>6946468.623020142</x:v>
      </x:c>
      <x:c r="AA960" s="37" t="n">
        <x:v>0</x:v>
      </x:c>
      <x:c r="AB960" s="37" t="n">
        <x:v>6946468.623020142</x:v>
      </x:c>
      <x:c r="AC960" s="37" t="n">
        <x:v>2316847.475262128</x:v>
      </x:c>
      <x:c r="AD960" s="37" t="n">
        <x:v>0</x:v>
      </x:c>
      <x:c r="AE960" s="37" t="n">
        <x:v>0</x:v>
      </x:c>
      <x:c r="AF960" s="47" t="b">
        <x:v>0</x:v>
      </x:c>
      <x:c r="AG960" s="47" t="b">
        <x:v>0</x:v>
      </x:c>
      <x:c r="AH960" s="48" t="n">
        <x:v>0</x:v>
      </x:c>
      <x:c r="AI960" s="48" t="n">
        <x:v>1.1920928955078125e-7</x:v>
      </x:c>
      <x:c r="AJ960" s="37" t="str">
        <x:v>passed</x:v>
      </x:c>
    </x:row>
    <x:row r="961" ht="21" customHeight="1">
      <x:c r="A961" s="2"/>
      <x:c r="B961" s="2"/>
      <x:c r="C961" s="2" t="str">
        <x:v>2022</x:v>
      </x:c>
      <x:c r="D961" s="5" t="n">
        <x:v>44910</x:v>
      </x:c>
      <x:c r="E961" s="2" t="str">
        <x:v>unweighted</x:v>
      </x:c>
      <x:c r="F961" s="37" t="n">
        <x:v>12251200.135966675</x:v>
      </x:c>
      <x:c r="G961" s="37" t="n">
        <x:v>859898.4612639055</x:v>
      </x:c>
      <x:c r="H961" s="37" t="n">
        <x:v>22727.95883586249</x:v>
      </x:c>
      <x:c r="I961" s="37" t="n">
        <x:v>837170.502428043</x:v>
      </x:c>
      <x:c r="J961" s="37" t="n">
        <x:v>10619238.652338317</x:v>
      </x:c>
      <x:c r="K961" s="37" t="n">
        <x:v>9759340.19107441</x:v>
      </x:c>
      <x:c r="L961" s="37" t="n">
        <x:v>13111098.597230582</x:v>
      </x:c>
      <x:c r="M961" s="37" t="n">
        <x:v>0</x:v>
      </x:c>
      <x:c r="N961" s="37" t="n">
        <x:v>0</x:v>
      </x:c>
      <x:c r="O961" s="37" t="n">
        <x:v>671.2618561163545</x:v>
      </x:c>
      <x:c r="P961" s="37" t="n">
        <x:v>0</x:v>
      </x:c>
      <x:c r="Q961" s="37" t="n">
        <x:v>0</x:v>
      </x:c>
      <x:c r="R961" s="37" t="n">
        <x:v>0</x:v>
      </x:c>
      <x:c r="S961" s="37" t="n">
        <x:v>0</x:v>
      </x:c>
      <x:c r="T961" s="37" t="n">
        <x:v>0</x:v>
      </x:c>
      <x:c r="U961" s="37" t="n">
        <x:v>-5474.05595196948</x:v>
      </x:c>
      <x:c r="V961" s="37" t="n">
        <x:v>0</x:v>
      </x:c>
      <x:c r="W961" s="37" t="n">
        <x:v>233070.38861219212</x:v>
      </x:c>
      <x:c r="X961" s="37" t="n">
        <x:v>0</x:v>
      </x:c>
      <x:c r="Y961" s="37" t="n">
        <x:v>2354.485312553004</x:v>
      </x:c>
      <x:c r="Z961" s="37" t="n">
        <x:v>9954526.9948959</x:v>
      </x:c>
      <x:c r="AA961" s="37" t="n">
        <x:v>0</x:v>
      </x:c>
      <x:c r="AB961" s="37" t="n">
        <x:v>9954526.9948959</x:v>
      </x:c>
      <x:c r="AC961" s="37" t="n">
        <x:v>2296673.1410707757</x:v>
      </x:c>
      <x:c r="AD961" s="37" t="n">
        <x:v>0</x:v>
      </x:c>
      <x:c r="AE961" s="37" t="n">
        <x:v>0</x:v>
      </x:c>
      <x:c r="AF961" s="47" t="b">
        <x:v>0</x:v>
      </x:c>
      <x:c r="AG961" s="47" t="b">
        <x:v>0</x:v>
      </x:c>
      <x:c r="AH961" s="48" t="n">
        <x:v>0</x:v>
      </x:c>
      <x:c r="AI961" s="48" t="n">
        <x:v>1.1920928955078125e-7</x:v>
      </x:c>
      <x:c r="AJ961" s="37" t="str">
        <x:v>passed</x:v>
      </x:c>
    </x:row>
    <x:row r="962" ht="21" customHeight="1">
      <x:c r="A962" s="2"/>
      <x:c r="B962" s="2"/>
      <x:c r="C962" s="2" t="str">
        <x:v>2022</x:v>
      </x:c>
      <x:c r="D962" s="5" t="n">
        <x:v>44910</x:v>
      </x:c>
      <x:c r="E962" s="2" t="str">
        <x:v>constrained</x:v>
      </x:c>
      <x:c r="F962" s="37" t="n">
        <x:v>13081998.368597921</x:v>
      </x:c>
      <x:c r="G962" s="37" t="n">
        <x:v>115071.97615670052</x:v>
      </x:c>
      <x:c r="H962" s="37" t="n">
        <x:v>22362.31004678006</x:v>
      </x:c>
      <x:c r="I962" s="37" t="n">
        <x:v>92709.66610992045</x:v>
      </x:c>
      <x:c r="J962" s="37" t="n">
        <x:v>10623062.382617945</x:v>
      </x:c>
      <x:c r="K962" s="37" t="n">
        <x:v>10507990.406461244</x:v>
      </x:c>
      <x:c r="L962" s="37" t="n">
        <x:v>13197070.344754621</x:v>
      </x:c>
      <x:c r="M962" s="37" t="n">
        <x:v>0</x:v>
      </x:c>
      <x:c r="N962" s="37" t="n">
        <x:v>0</x:v>
      </x:c>
      <x:c r="O962" s="37" t="n">
        <x:v>716.7825526613742</x:v>
      </x:c>
      <x:c r="P962" s="37" t="n">
        <x:v>0</x:v>
      </x:c>
      <x:c r="Q962" s="37" t="n">
        <x:v>0</x:v>
      </x:c>
      <x:c r="R962" s="37" t="n">
        <x:v>0</x:v>
      </x:c>
      <x:c r="S962" s="37" t="n">
        <x:v>0</x:v>
      </x:c>
      <x:c r="T962" s="37" t="n">
        <x:v>0</x:v>
      </x:c>
      <x:c r="U962" s="37" t="n">
        <x:v>-13346.704870530775</x:v>
      </x:c>
      <x:c r="V962" s="37" t="n">
        <x:v>0</x:v>
      </x:c>
      <x:c r="W962" s="37" t="n">
        <x:v>248820.69969112426</x:v>
      </x:c>
      <x:c r="X962" s="37" t="n">
        <x:v>0</x:v>
      </x:c>
      <x:c r="Y962" s="37" t="n">
        <x:v>2425.773114277156</x:v>
      </x:c>
      <x:c r="Z962" s="37" t="n">
        <x:v>10718150.21459047</x:v>
      </x:c>
      <x:c r="AA962" s="37" t="n">
        <x:v>0</x:v>
      </x:c>
      <x:c r="AB962" s="37" t="n">
        <x:v>10718150.21459047</x:v>
      </x:c>
      <x:c r="AC962" s="37" t="n">
        <x:v>2363848.1540074516</x:v>
      </x:c>
      <x:c r="AD962" s="37" t="n">
        <x:v>0</x:v>
      </x:c>
      <x:c r="AE962" s="37" t="n">
        <x:v>0</x:v>
      </x:c>
      <x:c r="AF962" s="47" t="b">
        <x:v>0</x:v>
      </x:c>
      <x:c r="AG962" s="47" t="b">
        <x:v>0</x:v>
      </x:c>
      <x:c r="AH962" s="48" t="n">
        <x:v>0</x:v>
      </x:c>
      <x:c r="AI962" s="48" t="n">
        <x:v>1.1920928955078125e-7</x:v>
      </x:c>
      <x:c r="AJ962" s="37" t="str">
        <x:v>passed</x:v>
      </x:c>
    </x:row>
    <x:row r="963" ht="21" customHeight="1">
      <x:c r="A963" s="2"/>
      <x:c r="B963" s="2"/>
      <x:c r="C963" s="2" t="str">
        <x:v>2022</x:v>
      </x:c>
      <x:c r="D963" s="5" t="n">
        <x:v>44911</x:v>
      </x:c>
      <x:c r="E963" s="2" t="str">
        <x:v>unhedged</x:v>
      </x:c>
      <x:c r="F963" s="37" t="n">
        <x:v>1350616.5242565114</x:v>
      </x:c>
      <x:c r="G963" s="37" t="n">
        <x:v>10580603.25707685</x:v>
      </x:c>
      <x:c r="H963" s="37" t="n">
        <x:v>31739.20550084074</x:v>
      </x:c>
      <x:c r="I963" s="37" t="n">
        <x:v>10548864.051576009</x:v>
      </x:c>
      <x:c r="J963" s="37" t="n">
        <x:v>10580603.25707685</x:v>
      </x:c>
      <x:c r="K963" s="37" t="n">
        <x:v>0</x:v>
      </x:c>
      <x:c r="L963" s="37" t="n">
        <x:v>11931219.78133336</x:v>
      </x:c>
      <x:c r="M963" s="37" t="n">
        <x:v>0</x:v>
      </x:c>
      <x:c r="N963" s="37" t="n">
        <x:v>0</x:v>
      </x:c>
      <x:c r="O963" s="37" t="n">
        <x:v>74.00232996884733</x:v>
      </x:c>
      <x:c r="P963" s="37" t="n">
        <x:v>0</x:v>
      </x:c>
      <x:c r="Q963" s="37" t="n">
        <x:v>0</x:v>
      </x:c>
      <x:c r="R963" s="37" t="n">
        <x:v>0</x:v>
      </x:c>
      <x:c r="S963" s="37" t="n">
        <x:v>0</x:v>
      </x:c>
      <x:c r="T963" s="37" t="n">
        <x:v>0</x:v>
      </x:c>
      <x:c r="U963" s="37" t="n">
        <x:v>127500</x:v>
      </x:c>
      <x:c r="V963" s="37" t="n">
        <x:v>0</x:v>
      </x:c>
      <x:c r="W963" s="37" t="n">
        <x:v>24291.243573236978</x:v>
      </x:c>
      <x:c r="X963" s="37" t="n">
        <x:v>0</x:v>
      </x:c>
      <x:c r="Y963" s="37" t="n">
        <x:v>1174.7193167256753</x:v>
      </x:c>
      <x:c r="Z963" s="37" t="n">
        <x:v>0</x:v>
      </x:c>
      <x:c r="AA963" s="37" t="n">
        <x:v>0</x:v>
      </x:c>
      <x:c r="AB963" s="37" t="n">
        <x:v>0</x:v>
      </x:c>
      <x:c r="AC963" s="37" t="n">
        <x:v>1350616.5242565114</x:v>
      </x:c>
      <x:c r="AD963" s="37" t="n">
        <x:v>0</x:v>
      </x:c>
      <x:c r="AE963" s="37" t="n">
        <x:v>0</x:v>
      </x:c>
      <x:c r="AF963" s="47" t="b">
        <x:v>0</x:v>
      </x:c>
      <x:c r="AG963" s="47" t="b">
        <x:v>0</x:v>
      </x:c>
      <x:c r="AH963" s="48" t="n">
        <x:v>0</x:v>
      </x:c>
      <x:c r="AI963" s="48" t="n">
        <x:v>1.1920928955078125e-7</x:v>
      </x:c>
      <x:c r="AJ963" s="37" t="str">
        <x:v>passed</x:v>
      </x:c>
    </x:row>
    <x:row r="964" ht="21" customHeight="1">
      <x:c r="A964" s="2"/>
      <x:c r="B964" s="2"/>
      <x:c r="C964" s="2" t="str">
        <x:v>2022</x:v>
      </x:c>
      <x:c r="D964" s="5" t="n">
        <x:v>44911</x:v>
      </x:c>
      <x:c r="E964" s="2" t="str">
        <x:v>duration</x:v>
      </x:c>
      <x:c r="F964" s="37" t="n">
        <x:v>9263823.67724656</x:v>
      </x:c>
      <x:c r="G964" s="37" t="n">
        <x:v>3788808.0596895255</x:v>
      </x:c>
      <x:c r="H964" s="37" t="n">
        <x:v>22220.375659540063</x:v>
      </x:c>
      <x:c r="I964" s="37" t="n">
        <x:v>3766587.684029985</x:v>
      </x:c>
      <x:c r="J964" s="37" t="n">
        <x:v>10580603.25707685</x:v>
      </x:c>
      <x:c r="K964" s="37" t="n">
        <x:v>6791795.197387325</x:v>
      </x:c>
      <x:c r="L964" s="37" t="n">
        <x:v>13052631.736936085</x:v>
      </x:c>
      <x:c r="M964" s="37" t="n">
        <x:v>0</x:v>
      </x:c>
      <x:c r="N964" s="37" t="n">
        <x:v>0</x:v>
      </x:c>
      <x:c r="O964" s="37" t="n">
        <x:v>507.5789642892778</x:v>
      </x:c>
      <x:c r="P964" s="37" t="n">
        <x:v>0</x:v>
      </x:c>
      <x:c r="Q964" s="37" t="n">
        <x:v>0</x:v>
      </x:c>
      <x:c r="R964" s="37" t="n">
        <x:v>0</x:v>
      </x:c>
      <x:c r="S964" s="37" t="n">
        <x:v>0</x:v>
      </x:c>
      <x:c r="T964" s="37" t="n">
        <x:v>0</x:v>
      </x:c>
      <x:c r="U964" s="37" t="n">
        <x:v>13941.618642774301</x:v>
      </x:c>
      <x:c r="V964" s="37" t="n">
        <x:v>0</x:v>
      </x:c>
      <x:c r="W964" s="37" t="n">
        <x:v>177137.16945633106</x:v>
      </x:c>
      <x:c r="X964" s="37" t="n">
        <x:v>0</x:v>
      </x:c>
      <x:c r="Y964" s="37" t="n">
        <x:v>2020.2166044244252</x:v>
      </x:c>
      <x:c r="Z964" s="37" t="n">
        <x:v>6927631.101335071</x:v>
      </x:c>
      <x:c r="AA964" s="37" t="n">
        <x:v>0</x:v>
      </x:c>
      <x:c r="AB964" s="37" t="n">
        <x:v>6927631.101335071</x:v>
      </x:c>
      <x:c r="AC964" s="37" t="n">
        <x:v>2336192.5759114884</x:v>
      </x:c>
      <x:c r="AD964" s="37" t="n">
        <x:v>0</x:v>
      </x:c>
      <x:c r="AE964" s="37" t="n">
        <x:v>0</x:v>
      </x:c>
      <x:c r="AF964" s="47" t="b">
        <x:v>0</x:v>
      </x:c>
      <x:c r="AG964" s="47" t="b">
        <x:v>0</x:v>
      </x:c>
      <x:c r="AH964" s="48" t="n">
        <x:v>0</x:v>
      </x:c>
      <x:c r="AI964" s="48" t="n">
        <x:v>1.1920928955078125e-7</x:v>
      </x:c>
      <x:c r="AJ964" s="37" t="str">
        <x:v>passed</x:v>
      </x:c>
    </x:row>
    <x:row r="965" ht="21" customHeight="1">
      <x:c r="A965" s="2"/>
      <x:c r="B965" s="2"/>
      <x:c r="C965" s="2" t="str">
        <x:v>2022</x:v>
      </x:c>
      <x:c r="D965" s="5" t="n">
        <x:v>44911</x:v>
      </x:c>
      <x:c r="E965" s="2" t="str">
        <x:v>unweighted</x:v>
      </x:c>
      <x:c r="F965" s="37" t="n">
        <x:v>12251871.434604263</x:v>
      </x:c>
      <x:c r="G965" s="37" t="n">
        <x:v>860400.6033099915</x:v>
      </x:c>
      <x:c r="H965" s="37" t="n">
        <x:v>22710.181803834195</x:v>
      </x:c>
      <x:c r="I965" s="37" t="n">
        <x:v>837690.4215061574</x:v>
      </x:c>
      <x:c r="J965" s="37" t="n">
        <x:v>10611604.986461425</x:v>
      </x:c>
      <x:c r="K965" s="37" t="n">
        <x:v>9751204.383151434</x:v>
      </x:c>
      <x:c r="L965" s="37" t="n">
        <x:v>13112272.037914254</x:v>
      </x:c>
      <x:c r="M965" s="37" t="n">
        <x:v>0</x:v>
      </x:c>
      <x:c r="N965" s="37" t="n">
        <x:v>0</x:v>
      </x:c>
      <x:c r="O965" s="37" t="n">
        <x:v>671.2986375875771</x:v>
      </x:c>
      <x:c r="P965" s="37" t="n">
        <x:v>0</x:v>
      </x:c>
      <x:c r="Q965" s="37" t="n">
        <x:v>0</x:v>
      </x:c>
      <x:c r="R965" s="37" t="n">
        <x:v>0</x:v>
      </x:c>
      <x:c r="S965" s="37" t="n">
        <x:v>0</x:v>
      </x:c>
      <x:c r="T965" s="37" t="n">
        <x:v>0</x:v>
      </x:c>
      <x:c r="U965" s="37" t="n">
        <x:v>-5474.05595196948</x:v>
      </x:c>
      <x:c r="V965" s="37" t="n">
        <x:v>0</x:v>
      </x:c>
      <x:c r="W965" s="37" t="n">
        <x:v>233741.6872497797</x:v>
      </x:c>
      <x:c r="X965" s="37" t="n">
        <x:v>0</x:v>
      </x:c>
      <x:c r="Y965" s="37" t="n">
        <x:v>2354.485312553004</x:v>
      </x:c>
      <x:c r="Z965" s="37" t="n">
        <x:v>9946228.470814463</x:v>
      </x:c>
      <x:c r="AA965" s="37" t="n">
        <x:v>0</x:v>
      </x:c>
      <x:c r="AB965" s="37" t="n">
        <x:v>9946228.470814463</x:v>
      </x:c>
      <x:c r="AC965" s="37" t="n">
        <x:v>2305642.9637898</x:v>
      </x:c>
      <x:c r="AD965" s="37" t="n">
        <x:v>0</x:v>
      </x:c>
      <x:c r="AE965" s="37" t="n">
        <x:v>0</x:v>
      </x:c>
      <x:c r="AF965" s="47" t="b">
        <x:v>0</x:v>
      </x:c>
      <x:c r="AG965" s="47" t="b">
        <x:v>0</x:v>
      </x:c>
      <x:c r="AH965" s="48" t="n">
        <x:v>0</x:v>
      </x:c>
      <x:c r="AI965" s="48" t="n">
        <x:v>1.1920928955078125e-7</x:v>
      </x:c>
      <x:c r="AJ965" s="37" t="str">
        <x:v>passed</x:v>
      </x:c>
    </x:row>
    <x:row r="966" ht="21" customHeight="1">
      <x:c r="A966" s="2"/>
      <x:c r="B966" s="2"/>
      <x:c r="C966" s="2" t="str">
        <x:v>2022</x:v>
      </x:c>
      <x:c r="D966" s="5" t="n">
        <x:v>44911</x:v>
      </x:c>
      <x:c r="E966" s="2" t="str">
        <x:v>constrained</x:v>
      </x:c>
      <x:c r="F966" s="37" t="n">
        <x:v>13082715.190426338</x:v>
      </x:c>
      <x:c r="G966" s="37" t="n">
        <x:v>115221.79622155106</x:v>
      </x:c>
      <x:c r="H966" s="37" t="n">
        <x:v>22323.686227680893</x:v>
      </x:c>
      <x:c r="I966" s="37" t="n">
        <x:v>92898.10999387017</x:v>
      </x:c>
      <x:c r="J966" s="37" t="n">
        <x:v>10615387.070881823</x:v>
      </x:c>
      <x:c r="K966" s="37" t="n">
        <x:v>10500165.274660273</x:v>
      </x:c>
      <x:c r="L966" s="37" t="n">
        <x:v>13197936.986647889</x:v>
      </x:c>
      <x:c r="M966" s="37" t="n">
        <x:v>0</x:v>
      </x:c>
      <x:c r="N966" s="37" t="n">
        <x:v>0</x:v>
      </x:c>
      <x:c r="O966" s="37" t="n">
        <x:v>716.82182841748</x:v>
      </x:c>
      <x:c r="P966" s="37" t="n">
        <x:v>0</x:v>
      </x:c>
      <x:c r="Q966" s="37" t="n">
        <x:v>0</x:v>
      </x:c>
      <x:c r="R966" s="37" t="n">
        <x:v>0</x:v>
      </x:c>
      <x:c r="S966" s="37" t="n">
        <x:v>0</x:v>
      </x:c>
      <x:c r="T966" s="37" t="n">
        <x:v>0</x:v>
      </x:c>
      <x:c r="U966" s="37" t="n">
        <x:v>-13346.704870530775</x:v>
      </x:c>
      <x:c r="V966" s="37" t="n">
        <x:v>0</x:v>
      </x:c>
      <x:c r="W966" s="37" t="n">
        <x:v>249537.52151954174</x:v>
      </x:c>
      <x:c r="X966" s="37" t="n">
        <x:v>0</x:v>
      </x:c>
      <x:c r="Y966" s="37" t="n">
        <x:v>2425.773114277156</x:v>
      </x:c>
      <x:c r="Z966" s="37" t="n">
        <x:v>10710168.580153478</x:v>
      </x:c>
      <x:c r="AA966" s="37" t="n">
        <x:v>0</x:v>
      </x:c>
      <x:c r="AB966" s="37" t="n">
        <x:v>10710168.580153478</x:v>
      </x:c>
      <x:c r="AC966" s="37" t="n">
        <x:v>2372546.61027286</x:v>
      </x:c>
      <x:c r="AD966" s="37" t="n">
        <x:v>0</x:v>
      </x:c>
      <x:c r="AE966" s="37" t="n">
        <x:v>0</x:v>
      </x:c>
      <x:c r="AF966" s="47" t="b">
        <x:v>0</x:v>
      </x:c>
      <x:c r="AG966" s="47" t="b">
        <x:v>0</x:v>
      </x:c>
      <x:c r="AH966" s="48" t="n">
        <x:v>0</x:v>
      </x:c>
      <x:c r="AI966" s="48" t="n">
        <x:v>1.1920928955078125e-7</x:v>
      </x:c>
      <x:c r="AJ966" s="37" t="str">
        <x:v>passed</x:v>
      </x:c>
    </x:row>
    <x:row r="967" ht="21" customHeight="1">
      <x:c r="A967" s="2"/>
      <x:c r="B967" s="2"/>
      <x:c r="C967" s="2" t="str">
        <x:v>2022</x:v>
      </x:c>
      <x:c r="D967" s="5" t="n">
        <x:v>44914</x:v>
      </x:c>
      <x:c r="E967" s="2" t="str">
        <x:v>unhedged</x:v>
      </x:c>
      <x:c r="F967" s="37" t="n">
        <x:v>1350838.5555768395</x:v>
      </x:c>
      <x:c r="G967" s="37" t="n">
        <x:v>10533751.531912621</x:v>
      </x:c>
      <x:c r="H967" s="37" t="n">
        <x:v>32785.701417247175</x:v>
      </x:c>
      <x:c r="I967" s="37" t="n">
        <x:v>10500965.830495374</x:v>
      </x:c>
      <x:c r="J967" s="37" t="n">
        <x:v>10533751.531912621</x:v>
      </x:c>
      <x:c r="K967" s="37" t="n">
        <x:v>0</x:v>
      </x:c>
      <x:c r="L967" s="37" t="n">
        <x:v>11884590.08748946</x:v>
      </x:c>
      <x:c r="M967" s="37" t="n">
        <x:v>0</x:v>
      </x:c>
      <x:c r="N967" s="37" t="n">
        <x:v>0</x:v>
      </x:c>
      <x:c r="O967" s="37" t="n">
        <x:v>222.03132032812573</x:v>
      </x:c>
      <x:c r="P967" s="37" t="n">
        <x:v>0</x:v>
      </x:c>
      <x:c r="Q967" s="37" t="n">
        <x:v>0</x:v>
      </x:c>
      <x:c r="R967" s="37" t="n">
        <x:v>0</x:v>
      </x:c>
      <x:c r="S967" s="37" t="n">
        <x:v>0</x:v>
      </x:c>
      <x:c r="T967" s="37" t="n">
        <x:v>0</x:v>
      </x:c>
      <x:c r="U967" s="37" t="n">
        <x:v>127500</x:v>
      </x:c>
      <x:c r="V967" s="37" t="n">
        <x:v>0</x:v>
      </x:c>
      <x:c r="W967" s="37" t="n">
        <x:v>24513.274893565103</x:v>
      </x:c>
      <x:c r="X967" s="37" t="n">
        <x:v>0</x:v>
      </x:c>
      <x:c r="Y967" s="37" t="n">
        <x:v>1174.7193167256753</x:v>
      </x:c>
      <x:c r="Z967" s="37" t="n">
        <x:v>0</x:v>
      </x:c>
      <x:c r="AA967" s="37" t="n">
        <x:v>0</x:v>
      </x:c>
      <x:c r="AB967" s="37" t="n">
        <x:v>0</x:v>
      </x:c>
      <x:c r="AC967" s="37" t="n">
        <x:v>1350838.5555768395</x:v>
      </x:c>
      <x:c r="AD967" s="37" t="n">
        <x:v>0</x:v>
      </x:c>
      <x:c r="AE967" s="37" t="n">
        <x:v>0</x:v>
      </x:c>
      <x:c r="AF967" s="47" t="b">
        <x:v>0</x:v>
      </x:c>
      <x:c r="AG967" s="47" t="b">
        <x:v>0</x:v>
      </x:c>
      <x:c r="AH967" s="48" t="n">
        <x:v>0</x:v>
      </x:c>
      <x:c r="AI967" s="48" t="n">
        <x:v>1.1920928955078125e-7</x:v>
      </x:c>
      <x:c r="AJ967" s="37" t="str">
        <x:v>passed</x:v>
      </x:c>
    </x:row>
    <x:row r="968" ht="21" customHeight="1">
      <x:c r="A968" s="2"/>
      <x:c r="B968" s="2"/>
      <x:c r="C968" s="2" t="str">
        <x:v>2022</x:v>
      </x:c>
      <x:c r="D968" s="5" t="n">
        <x:v>44914</x:v>
      </x:c>
      <x:c r="E968" s="2" t="str">
        <x:v>duration</x:v>
      </x:c>
      <x:c r="F968" s="37" t="n">
        <x:v>9265346.581020802</x:v>
      </x:c>
      <x:c r="G968" s="37" t="n">
        <x:v>3792167.5049505886</x:v>
      </x:c>
      <x:c r="H968" s="37" t="n">
        <x:v>22345.694494530304</x:v>
      </x:c>
      <x:c r="I968" s="37" t="n">
        <x:v>3769821.8104560585</x:v>
      </x:c>
      <x:c r="J968" s="37" t="n">
        <x:v>10533751.531912621</x:v>
      </x:c>
      <x:c r="K968" s="37" t="n">
        <x:v>6741584.026962033</x:v>
      </x:c>
      <x:c r="L968" s="37" t="n">
        <x:v>13057514.08597139</x:v>
      </x:c>
      <x:c r="M968" s="37" t="n">
        <x:v>0</x:v>
      </x:c>
      <x:c r="N968" s="37" t="n">
        <x:v>0</x:v>
      </x:c>
      <x:c r="O968" s="37" t="n">
        <x:v>1522.9037742428482</x:v>
      </x:c>
      <x:c r="P968" s="37" t="n">
        <x:v>0</x:v>
      </x:c>
      <x:c r="Q968" s="37" t="n">
        <x:v>0</x:v>
      </x:c>
      <x:c r="R968" s="37" t="n">
        <x:v>0</x:v>
      </x:c>
      <x:c r="S968" s="37" t="n">
        <x:v>0</x:v>
      </x:c>
      <x:c r="T968" s="37" t="n">
        <x:v>0</x:v>
      </x:c>
      <x:c r="U968" s="37" t="n">
        <x:v>13941.618642774301</x:v>
      </x:c>
      <x:c r="V968" s="37" t="n">
        <x:v>0</x:v>
      </x:c>
      <x:c r="W968" s="37" t="n">
        <x:v>178660.0732305739</x:v>
      </x:c>
      <x:c r="X968" s="37" t="n">
        <x:v>0</x:v>
      </x:c>
      <x:c r="Y968" s="37" t="n">
        <x:v>2020.2166044244252</x:v>
      </x:c>
      <x:c r="Z968" s="37" t="n">
        <x:v>6876415.707501274</x:v>
      </x:c>
      <x:c r="AA968" s="37" t="n">
        <x:v>0</x:v>
      </x:c>
      <x:c r="AB968" s="37" t="n">
        <x:v>6876415.707501274</x:v>
      </x:c>
      <x:c r="AC968" s="37" t="n">
        <x:v>2388930.8735195287</x:v>
      </x:c>
      <x:c r="AD968" s="37" t="n">
        <x:v>0</x:v>
      </x:c>
      <x:c r="AE968" s="37" t="n">
        <x:v>0</x:v>
      </x:c>
      <x:c r="AF968" s="47" t="b">
        <x:v>0</x:v>
      </x:c>
      <x:c r="AG968" s="47" t="b">
        <x:v>0</x:v>
      </x:c>
      <x:c r="AH968" s="48" t="n">
        <x:v>0</x:v>
      </x:c>
      <x:c r="AI968" s="48" t="n">
        <x:v>1.1920928955078125e-7</x:v>
      </x:c>
      <x:c r="AJ968" s="37" t="str">
        <x:v>passed</x:v>
      </x:c>
    </x:row>
    <x:row r="969" ht="21" customHeight="1">
      <x:c r="A969" s="2"/>
      <x:c r="B969" s="2"/>
      <x:c r="C969" s="2" t="str">
        <x:v>2022</x:v>
      </x:c>
      <x:c r="D969" s="5" t="n">
        <x:v>44914</x:v>
      </x:c>
      <x:c r="E969" s="2" t="str">
        <x:v>unweighted</x:v>
      </x:c>
      <x:c r="F969" s="37" t="n">
        <x:v>12253885.551226012</x:v>
      </x:c>
      <x:c r="G969" s="37" t="n">
        <x:v>858668.4640200386</x:v>
      </x:c>
      <x:c r="H969" s="37" t="n">
        <x:v>22656.85070774931</x:v>
      </x:c>
      <x:c r="I969" s="37" t="n">
        <x:v>836011.6133122894</x:v>
      </x:c>
      <x:c r="J969" s="37" t="n">
        <x:v>10564390.586457167</x:v>
      </x:c>
      <x:c r="K969" s="37" t="n">
        <x:v>9705722.122437129</x:v>
      </x:c>
      <x:c r="L969" s="37" t="n">
        <x:v>13112554.01524605</x:v>
      </x:c>
      <x:c r="M969" s="37" t="n">
        <x:v>0</x:v>
      </x:c>
      <x:c r="N969" s="37" t="n">
        <x:v>0</x:v>
      </x:c>
      <x:c r="O969" s="37" t="n">
        <x:v>2014.1166217494756</x:v>
      </x:c>
      <x:c r="P969" s="37" t="n">
        <x:v>0</x:v>
      </x:c>
      <x:c r="Q969" s="37" t="n">
        <x:v>0</x:v>
      </x:c>
      <x:c r="R969" s="37" t="n">
        <x:v>0</x:v>
      </x:c>
      <x:c r="S969" s="37" t="n">
        <x:v>0</x:v>
      </x:c>
      <x:c r="T969" s="37" t="n">
        <x:v>0</x:v>
      </x:c>
      <x:c r="U969" s="37" t="n">
        <x:v>-5474.05595196948</x:v>
      </x:c>
      <x:c r="V969" s="37" t="n">
        <x:v>0</x:v>
      </x:c>
      <x:c r="W969" s="37" t="n">
        <x:v>235755.80387152918</x:v>
      </x:c>
      <x:c r="X969" s="37" t="n">
        <x:v>0</x:v>
      </x:c>
      <x:c r="Y969" s="37" t="n">
        <x:v>2354.485312553004</x:v>
      </x:c>
      <x:c r="Z969" s="37" t="n">
        <x:v>9899836.564885871</x:v>
      </x:c>
      <x:c r="AA969" s="37" t="n">
        <x:v>0</x:v>
      </x:c>
      <x:c r="AB969" s="37" t="n">
        <x:v>9899836.564885871</x:v>
      </x:c>
      <x:c r="AC969" s="37" t="n">
        <x:v>2354048.986340141</x:v>
      </x:c>
      <x:c r="AD969" s="37" t="n">
        <x:v>0</x:v>
      </x:c>
      <x:c r="AE969" s="37" t="n">
        <x:v>0</x:v>
      </x:c>
      <x:c r="AF969" s="47" t="b">
        <x:v>0</x:v>
      </x:c>
      <x:c r="AG969" s="47" t="b">
        <x:v>0</x:v>
      </x:c>
      <x:c r="AH969" s="48" t="n">
        <x:v>0</x:v>
      </x:c>
      <x:c r="AI969" s="48" t="n">
        <x:v>1.1920928955078125e-7</x:v>
      </x:c>
      <x:c r="AJ969" s="37" t="str">
        <x:v>passed</x:v>
      </x:c>
    </x:row>
    <x:row r="970" ht="21" customHeight="1">
      <x:c r="A970" s="2"/>
      <x:c r="B970" s="2"/>
      <x:c r="C970" s="2" t="str">
        <x:v>2022</x:v>
      </x:c>
      <x:c r="D970" s="5" t="n">
        <x:v>44914</x:v>
      </x:c>
      <x:c r="E970" s="2" t="str">
        <x:v>constrained</x:v>
      </x:c>
      <x:c r="F970" s="37" t="n">
        <x:v>13084865.89158765</x:v>
      </x:c>
      <x:c r="G970" s="37" t="n">
        <x:v>115112.1950302158</x:v>
      </x:c>
      <x:c r="H970" s="37" t="n">
        <x:v>22207.814770383382</x:v>
      </x:c>
      <x:c r="I970" s="37" t="n">
        <x:v>92904.38025983241</x:v>
      </x:c>
      <x:c r="J970" s="37" t="n">
        <x:v>10568136.802895453</x:v>
      </x:c>
      <x:c r="K970" s="37" t="n">
        <x:v>10453024.607865239</x:v>
      </x:c>
      <x:c r="L970" s="37" t="n">
        <x:v>13199978.086617867</x:v>
      </x:c>
      <x:c r="M970" s="37" t="n">
        <x:v>0</x:v>
      </x:c>
      <x:c r="N970" s="37" t="n">
        <x:v>0</x:v>
      </x:c>
      <x:c r="O970" s="37" t="n">
        <x:v>2150.7011613119394</x:v>
      </x:c>
      <x:c r="P970" s="37" t="n">
        <x:v>0</x:v>
      </x:c>
      <x:c r="Q970" s="37" t="n">
        <x:v>0</x:v>
      </x:c>
      <x:c r="R970" s="37" t="n">
        <x:v>0</x:v>
      </x:c>
      <x:c r="S970" s="37" t="n">
        <x:v>0</x:v>
      </x:c>
      <x:c r="T970" s="37" t="n">
        <x:v>0</x:v>
      </x:c>
      <x:c r="U970" s="37" t="n">
        <x:v>-13346.704870530775</x:v>
      </x:c>
      <x:c r="V970" s="37" t="n">
        <x:v>0</x:v>
      </x:c>
      <x:c r="W970" s="37" t="n">
        <x:v>251688.22268085368</x:v>
      </x:c>
      <x:c r="X970" s="37" t="n">
        <x:v>0</x:v>
      </x:c>
      <x:c r="Y970" s="37" t="n">
        <x:v>2425.773114277156</x:v>
      </x:c>
      <x:c r="Z970" s="37" t="n">
        <x:v>10662085.100022543</x:v>
      </x:c>
      <x:c r="AA970" s="37" t="n">
        <x:v>0</x:v>
      </x:c>
      <x:c r="AB970" s="37" t="n">
        <x:v>10662085.100022543</x:v>
      </x:c>
      <x:c r="AC970" s="37" t="n">
        <x:v>2422780.791565107</x:v>
      </x:c>
      <x:c r="AD970" s="37" t="n">
        <x:v>0</x:v>
      </x:c>
      <x:c r="AE970" s="37" t="n">
        <x:v>0</x:v>
      </x:c>
      <x:c r="AF970" s="47" t="b">
        <x:v>0</x:v>
      </x:c>
      <x:c r="AG970" s="47" t="b">
        <x:v>0</x:v>
      </x:c>
      <x:c r="AH970" s="48" t="n">
        <x:v>0</x:v>
      </x:c>
      <x:c r="AI970" s="48" t="n">
        <x:v>1.1920928955078125e-7</x:v>
      </x:c>
      <x:c r="AJ970" s="37" t="str">
        <x:v>passed</x:v>
      </x:c>
    </x:row>
    <x:row r="971" ht="21" customHeight="1">
      <x:c r="A971" s="2"/>
      <x:c r="B971" s="2"/>
      <x:c r="C971" s="2" t="str">
        <x:v>2022</x:v>
      </x:c>
      <x:c r="D971" s="5" t="n">
        <x:v>44915</x:v>
      </x:c>
      <x:c r="E971" s="2" t="str">
        <x:v>unhedged</x:v>
      </x:c>
      <x:c r="F971" s="37" t="n">
        <x:v>1350912.5741278299</x:v>
      </x:c>
      <x:c r="G971" s="37" t="n">
        <x:v>10479637.780795695</x:v>
      </x:c>
      <x:c r="H971" s="37" t="n">
        <x:v>33134.53338938266</x:v>
      </x:c>
      <x:c r="I971" s="37" t="n">
        <x:v>10446503.247406313</x:v>
      </x:c>
      <x:c r="J971" s="37" t="n">
        <x:v>10479637.780795695</x:v>
      </x:c>
      <x:c r="K971" s="37" t="n">
        <x:v>0</x:v>
      </x:c>
      <x:c r="L971" s="37" t="n">
        <x:v>11830550.354923526</x:v>
      </x:c>
      <x:c r="M971" s="37" t="n">
        <x:v>0</x:v>
      </x:c>
      <x:c r="N971" s="37" t="n">
        <x:v>0</x:v>
      </x:c>
      <x:c r="O971" s="37" t="n">
        <x:v>74.01855099038221</x:v>
      </x:c>
      <x:c r="P971" s="37" t="n">
        <x:v>0</x:v>
      </x:c>
      <x:c r="Q971" s="37" t="n">
        <x:v>0</x:v>
      </x:c>
      <x:c r="R971" s="37" t="n">
        <x:v>0</x:v>
      </x:c>
      <x:c r="S971" s="37" t="n">
        <x:v>0</x:v>
      </x:c>
      <x:c r="T971" s="37" t="n">
        <x:v>0</x:v>
      </x:c>
      <x:c r="U971" s="37" t="n">
        <x:v>127500</x:v>
      </x:c>
      <x:c r="V971" s="37" t="n">
        <x:v>0</x:v>
      </x:c>
      <x:c r="W971" s="37" t="n">
        <x:v>24587.293444555486</x:v>
      </x:c>
      <x:c r="X971" s="37" t="n">
        <x:v>0</x:v>
      </x:c>
      <x:c r="Y971" s="37" t="n">
        <x:v>1174.7193167256753</x:v>
      </x:c>
      <x:c r="Z971" s="37" t="n">
        <x:v>0</x:v>
      </x:c>
      <x:c r="AA971" s="37" t="n">
        <x:v>0</x:v>
      </x:c>
      <x:c r="AB971" s="37" t="n">
        <x:v>0</x:v>
      </x:c>
      <x:c r="AC971" s="37" t="n">
        <x:v>1350912.5741278299</x:v>
      </x:c>
      <x:c r="AD971" s="37" t="n">
        <x:v>0</x:v>
      </x:c>
      <x:c r="AE971" s="37" t="n">
        <x:v>0</x:v>
      </x:c>
      <x:c r="AF971" s="47" t="b">
        <x:v>0</x:v>
      </x:c>
      <x:c r="AG971" s="47" t="b">
        <x:v>0</x:v>
      </x:c>
      <x:c r="AH971" s="48" t="n">
        <x:v>0</x:v>
      </x:c>
      <x:c r="AI971" s="48" t="n">
        <x:v>1.1920928955078125e-7</x:v>
      </x:c>
      <x:c r="AJ971" s="37" t="str">
        <x:v>passed</x:v>
      </x:c>
    </x:row>
    <x:row r="972" ht="21" customHeight="1">
      <x:c r="A972" s="2"/>
      <x:c r="B972" s="2"/>
      <x:c r="C972" s="2" t="str">
        <x:v>2022</x:v>
      </x:c>
      <x:c r="D972" s="5" t="n">
        <x:v>44915</x:v>
      </x:c>
      <x:c r="E972" s="2" t="str">
        <x:v>duration</x:v>
      </x:c>
      <x:c r="F972" s="37" t="n">
        <x:v>9265854.271244422</x:v>
      </x:c>
      <x:c r="G972" s="37" t="n">
        <x:v>3802647.9722306835</x:v>
      </x:c>
      <x:c r="H972" s="37" t="n">
        <x:v>22387.467439527056</x:v>
      </x:c>
      <x:c r="I972" s="37" t="n">
        <x:v>3780260.5047911564</x:v>
      </x:c>
      <x:c r="J972" s="37" t="n">
        <x:v>10479637.780795695</x:v>
      </x:c>
      <x:c r="K972" s="37" t="n">
        <x:v>6676989.808565011</x:v>
      </x:c>
      <x:c r="L972" s="37" t="n">
        <x:v>13068502.243475106</x:v>
      </x:c>
      <x:c r="M972" s="37" t="n">
        <x:v>0</x:v>
      </x:c>
      <x:c r="N972" s="37" t="n">
        <x:v>0</x:v>
      </x:c>
      <x:c r="O972" s="37" t="n">
        <x:v>507.69022361934185</x:v>
      </x:c>
      <x:c r="P972" s="37" t="n">
        <x:v>0</x:v>
      </x:c>
      <x:c r="Q972" s="37" t="n">
        <x:v>0</x:v>
      </x:c>
      <x:c r="R972" s="37" t="n">
        <x:v>0</x:v>
      </x:c>
      <x:c r="S972" s="37" t="n">
        <x:v>0</x:v>
      </x:c>
      <x:c r="T972" s="37" t="n">
        <x:v>0</x:v>
      </x:c>
      <x:c r="U972" s="37" t="n">
        <x:v>13941.618642774301</x:v>
      </x:c>
      <x:c r="V972" s="37" t="n">
        <x:v>0</x:v>
      </x:c>
      <x:c r="W972" s="37" t="n">
        <x:v>179167.76345419325</x:v>
      </x:c>
      <x:c r="X972" s="37" t="n">
        <x:v>0</x:v>
      </x:c>
      <x:c r="Y972" s="37" t="n">
        <x:v>2020.2166044244252</x:v>
      </x:c>
      <x:c r="Z972" s="37" t="n">
        <x:v>6810529.604736311</x:v>
      </x:c>
      <x:c r="AA972" s="37" t="n">
        <x:v>0</x:v>
      </x:c>
      <x:c r="AB972" s="37" t="n">
        <x:v>6810529.604736311</x:v>
      </x:c>
      <x:c r="AC972" s="37" t="n">
        <x:v>2455324.6665081102</x:v>
      </x:c>
      <x:c r="AD972" s="37" t="n">
        <x:v>0</x:v>
      </x:c>
      <x:c r="AE972" s="37" t="n">
        <x:v>0</x:v>
      </x:c>
      <x:c r="AF972" s="47" t="b">
        <x:v>0</x:v>
      </x:c>
      <x:c r="AG972" s="47" t="b">
        <x:v>0</x:v>
      </x:c>
      <x:c r="AH972" s="48" t="n">
        <x:v>0</x:v>
      </x:c>
      <x:c r="AI972" s="48" t="n">
        <x:v>1.1920928955078125e-7</x:v>
      </x:c>
      <x:c r="AJ972" s="37" t="str">
        <x:v>passed</x:v>
      </x:c>
    </x:row>
    <x:row r="973" ht="21" customHeight="1">
      <x:c r="A973" s="2"/>
      <x:c r="B973" s="2"/>
      <x:c r="C973" s="2" t="str">
        <x:v>2022</x:v>
      </x:c>
      <x:c r="D973" s="5" t="n">
        <x:v>44915</x:v>
      </x:c>
      <x:c r="E973" s="2" t="str">
        <x:v>unweighted</x:v>
      </x:c>
      <x:c r="F973" s="37" t="n">
        <x:v>12254556.997009642</x:v>
      </x:c>
      <x:c r="G973" s="37" t="n">
        <x:v>857097.558188382</x:v>
      </x:c>
      <x:c r="H973" s="37" t="n">
        <x:v>22639.073675721014</x:v>
      </x:c>
      <x:c r="I973" s="37" t="n">
        <x:v>834458.4845126609</x:v>
      </x:c>
      <x:c r="J973" s="37" t="n">
        <x:v>10509706.218930293</x:v>
      </x:c>
      <x:c r="K973" s="37" t="n">
        <x:v>9652608.66074191</x:v>
      </x:c>
      <x:c r="L973" s="37" t="n">
        <x:v>13111654.555198025</x:v>
      </x:c>
      <x:c r="M973" s="37" t="n">
        <x:v>0</x:v>
      </x:c>
      <x:c r="N973" s="37" t="n">
        <x:v>0</x:v>
      </x:c>
      <x:c r="O973" s="37" t="n">
        <x:v>671.4457836300135</x:v>
      </x:c>
      <x:c r="P973" s="37" t="n">
        <x:v>0</x:v>
      </x:c>
      <x:c r="Q973" s="37" t="n">
        <x:v>0</x:v>
      </x:c>
      <x:c r="R973" s="37" t="n">
        <x:v>0</x:v>
      </x:c>
      <x:c r="S973" s="37" t="n">
        <x:v>0</x:v>
      </x:c>
      <x:c r="T973" s="37" t="n">
        <x:v>0</x:v>
      </x:c>
      <x:c r="U973" s="37" t="n">
        <x:v>-5474.05595196948</x:v>
      </x:c>
      <x:c r="V973" s="37" t="n">
        <x:v>0</x:v>
      </x:c>
      <x:c r="W973" s="37" t="n">
        <x:v>236427.2496551592</x:v>
      </x:c>
      <x:c r="X973" s="37" t="n">
        <x:v>0</x:v>
      </x:c>
      <x:c r="Y973" s="37" t="n">
        <x:v>2354.485312553004</x:v>
      </x:c>
      <x:c r="Z973" s="37" t="n">
        <x:v>9845660.833956748</x:v>
      </x:c>
      <x:c r="AA973" s="37" t="n">
        <x:v>0</x:v>
      </x:c>
      <x:c r="AB973" s="37" t="n">
        <x:v>9845660.833956748</x:v>
      </x:c>
      <x:c r="AC973" s="37" t="n">
        <x:v>2408896.163052894</x:v>
      </x:c>
      <x:c r="AD973" s="37" t="n">
        <x:v>0</x:v>
      </x:c>
      <x:c r="AE973" s="37" t="n">
        <x:v>0</x:v>
      </x:c>
      <x:c r="AF973" s="47" t="b">
        <x:v>0</x:v>
      </x:c>
      <x:c r="AG973" s="47" t="b">
        <x:v>0</x:v>
      </x:c>
      <x:c r="AH973" s="48" t="n">
        <x:v>0</x:v>
      </x:c>
      <x:c r="AI973" s="48" t="n">
        <x:v>1.1920928955078125e-7</x:v>
      </x:c>
      <x:c r="AJ973" s="37" t="str">
        <x:v>passed</x:v>
      </x:c>
    </x:row>
    <x:row r="974" ht="21" customHeight="1">
      <x:c r="A974" s="2"/>
      <x:c r="B974" s="2"/>
      <x:c r="C974" s="2" t="str">
        <x:v>2022</x:v>
      </x:c>
      <x:c r="D974" s="5" t="n">
        <x:v>44915</x:v>
      </x:c>
      <x:c r="E974" s="2" t="str">
        <x:v>constrained</x:v>
      </x:c>
      <x:c r="F974" s="37" t="n">
        <x:v>13085582.870540615</x:v>
      </x:c>
      <x:c r="G974" s="37" t="n">
        <x:v>115079.85300203234</x:v>
      </x:c>
      <x:c r="H974" s="37" t="n">
        <x:v>22169.19095128421</x:v>
      </x:c>
      <x:c r="I974" s="37" t="n">
        <x:v>92910.66205074813</x:v>
      </x:c>
      <x:c r="J974" s="37" t="n">
        <x:v>10513387.201754613</x:v>
      </x:c>
      <x:c r="K974" s="37" t="n">
        <x:v>10398307.34875258</x:v>
      </x:c>
      <x:c r="L974" s="37" t="n">
        <x:v>13200662.723542647</x:v>
      </x:c>
      <x:c r="M974" s="37" t="n">
        <x:v>0</x:v>
      </x:c>
      <x:c r="N974" s="37" t="n">
        <x:v>0</x:v>
      </x:c>
      <x:c r="O974" s="37" t="n">
        <x:v>716.9789529647678</x:v>
      </x:c>
      <x:c r="P974" s="37" t="n">
        <x:v>0</x:v>
      </x:c>
      <x:c r="Q974" s="37" t="n">
        <x:v>0</x:v>
      </x:c>
      <x:c r="R974" s="37" t="n">
        <x:v>0</x:v>
      </x:c>
      <x:c r="S974" s="37" t="n">
        <x:v>0</x:v>
      </x:c>
      <x:c r="T974" s="37" t="n">
        <x:v>0</x:v>
      </x:c>
      <x:c r="U974" s="37" t="n">
        <x:v>-13346.704870530775</x:v>
      </x:c>
      <x:c r="V974" s="37" t="n">
        <x:v>0</x:v>
      </x:c>
      <x:c r="W974" s="37" t="n">
        <x:v>252405.20163381845</x:v>
      </x:c>
      <x:c r="X974" s="37" t="n">
        <x:v>0</x:v>
      </x:c>
      <x:c r="Y974" s="37" t="n">
        <x:v>2425.773114277156</x:v>
      </x:c>
      <x:c r="Z974" s="37" t="n">
        <x:v>10606273.495727632</x:v>
      </x:c>
      <x:c r="AA974" s="37" t="n">
        <x:v>0</x:v>
      </x:c>
      <x:c r="AB974" s="37" t="n">
        <x:v>10606273.495727632</x:v>
      </x:c>
      <x:c r="AC974" s="37" t="n">
        <x:v>2479309.374812983</x:v>
      </x:c>
      <x:c r="AD974" s="37" t="n">
        <x:v>0</x:v>
      </x:c>
      <x:c r="AE974" s="37" t="n">
        <x:v>0</x:v>
      </x:c>
      <x:c r="AF974" s="47" t="b">
        <x:v>0</x:v>
      </x:c>
      <x:c r="AG974" s="47" t="b">
        <x:v>0</x:v>
      </x:c>
      <x:c r="AH974" s="48" t="n">
        <x:v>0</x:v>
      </x:c>
      <x:c r="AI974" s="48" t="n">
        <x:v>1.1920928955078125e-7</x:v>
      </x:c>
      <x:c r="AJ974" s="37" t="str">
        <x:v>passed</x:v>
      </x:c>
    </x:row>
    <x:row r="975" ht="21" customHeight="1">
      <x:c r="A975" s="2"/>
      <x:c r="B975" s="2"/>
      <x:c r="C975" s="2" t="str">
        <x:v>2022</x:v>
      </x:c>
      <x:c r="D975" s="5" t="n">
        <x:v>44916</x:v>
      </x:c>
      <x:c r="E975" s="2" t="str">
        <x:v>unhedged</x:v>
      </x:c>
      <x:c r="F975" s="37" t="n">
        <x:v>1350986.5967346316</x:v>
      </x:c>
      <x:c r="G975" s="37" t="n">
        <x:v>10483374.198033547</x:v>
      </x:c>
      <x:c r="H975" s="37" t="n">
        <x:v>33483.36536151813</x:v>
      </x:c>
      <x:c r="I975" s="37" t="n">
        <x:v>10449890.83267203</x:v>
      </x:c>
      <x:c r="J975" s="37" t="n">
        <x:v>10483374.198033547</x:v>
      </x:c>
      <x:c r="K975" s="37" t="n">
        <x:v>0</x:v>
      </x:c>
      <x:c r="L975" s="37" t="n">
        <x:v>11834360.794768179</x:v>
      </x:c>
      <x:c r="M975" s="37" t="n">
        <x:v>0</x:v>
      </x:c>
      <x:c r="N975" s="37" t="n">
        <x:v>0</x:v>
      </x:c>
      <x:c r="O975" s="37" t="n">
        <x:v>74.0226068017073</x:v>
      </x:c>
      <x:c r="P975" s="37" t="n">
        <x:v>0</x:v>
      </x:c>
      <x:c r="Q975" s="37" t="n">
        <x:v>0</x:v>
      </x:c>
      <x:c r="R975" s="37" t="n">
        <x:v>0</x:v>
      </x:c>
      <x:c r="S975" s="37" t="n">
        <x:v>0</x:v>
      </x:c>
      <x:c r="T975" s="37" t="n">
        <x:v>0</x:v>
      </x:c>
      <x:c r="U975" s="37" t="n">
        <x:v>127500</x:v>
      </x:c>
      <x:c r="V975" s="37" t="n">
        <x:v>0</x:v>
      </x:c>
      <x:c r="W975" s="37" t="n">
        <x:v>24661.316051357193</x:v>
      </x:c>
      <x:c r="X975" s="37" t="n">
        <x:v>0</x:v>
      </x:c>
      <x:c r="Y975" s="37" t="n">
        <x:v>1174.7193167256753</x:v>
      </x:c>
      <x:c r="Z975" s="37" t="n">
        <x:v>0</x:v>
      </x:c>
      <x:c r="AA975" s="37" t="n">
        <x:v>0</x:v>
      </x:c>
      <x:c r="AB975" s="37" t="n">
        <x:v>0</x:v>
      </x:c>
      <x:c r="AC975" s="37" t="n">
        <x:v>1350986.5967346316</x:v>
      </x:c>
      <x:c r="AD975" s="37" t="n">
        <x:v>0</x:v>
      </x:c>
      <x:c r="AE975" s="37" t="n">
        <x:v>0</x:v>
      </x:c>
      <x:c r="AF975" s="47" t="b">
        <x:v>0</x:v>
      </x:c>
      <x:c r="AG975" s="47" t="b">
        <x:v>0</x:v>
      </x:c>
      <x:c r="AH975" s="48" t="n">
        <x:v>0</x:v>
      </x:c>
      <x:c r="AI975" s="48" t="n">
        <x:v>1.1920928955078125e-7</x:v>
      </x:c>
      <x:c r="AJ975" s="37" t="str">
        <x:v>passed</x:v>
      </x:c>
    </x:row>
    <x:row r="976" ht="21" customHeight="1">
      <x:c r="A976" s="2"/>
      <x:c r="B976" s="2"/>
      <x:c r="C976" s="2" t="str">
        <x:v>2022</x:v>
      </x:c>
      <x:c r="D976" s="5" t="n">
        <x:v>44916</x:v>
      </x:c>
      <x:c r="E976" s="2" t="str">
        <x:v>duration</x:v>
      </x:c>
      <x:c r="F976" s="37" t="n">
        <x:v>9266361.98928668</x:v>
      </x:c>
      <x:c r="G976" s="37" t="n">
        <x:v>3807617.2693127845</x:v>
      </x:c>
      <x:c r="H976" s="37" t="n">
        <x:v>22429.240384523797</x:v>
      </x:c>
      <x:c r="I976" s="37" t="n">
        <x:v>3785188.028928261</x:v>
      </x:c>
      <x:c r="J976" s="37" t="n">
        <x:v>10483374.198033547</x:v>
      </x:c>
      <x:c r="K976" s="37" t="n">
        <x:v>6675756.928720763</x:v>
      </x:c>
      <x:c r="L976" s="37" t="n">
        <x:v>13073979.258599464</x:v>
      </x:c>
      <x:c r="M976" s="37" t="n">
        <x:v>0</x:v>
      </x:c>
      <x:c r="N976" s="37" t="n">
        <x:v>0</x:v>
      </x:c>
      <x:c r="O976" s="37" t="n">
        <x:v>507.7180422581732</x:v>
      </x:c>
      <x:c r="P976" s="37" t="n">
        <x:v>0</x:v>
      </x:c>
      <x:c r="Q976" s="37" t="n">
        <x:v>0</x:v>
      </x:c>
      <x:c r="R976" s="37" t="n">
        <x:v>0</x:v>
      </x:c>
      <x:c r="S976" s="37" t="n">
        <x:v>0</x:v>
      </x:c>
      <x:c r="T976" s="37" t="n">
        <x:v>0</x:v>
      </x:c>
      <x:c r="U976" s="37" t="n">
        <x:v>13941.618642774301</x:v>
      </x:c>
      <x:c r="V976" s="37" t="n">
        <x:v>0</x:v>
      </x:c>
      <x:c r="W976" s="37" t="n">
        <x:v>179675.48149645142</x:v>
      </x:c>
      <x:c r="X976" s="37" t="n">
        <x:v>0</x:v>
      </x:c>
      <x:c r="Y976" s="37" t="n">
        <x:v>2020.2166044244252</x:v>
      </x:c>
      <x:c r="Z976" s="37" t="n">
        <x:v>6809272.067295179</x:v>
      </x:c>
      <x:c r="AA976" s="37" t="n">
        <x:v>0</x:v>
      </x:c>
      <x:c r="AB976" s="37" t="n">
        <x:v>6809272.067295179</x:v>
      </x:c>
      <x:c r="AC976" s="37" t="n">
        <x:v>2457089.921991501</x:v>
      </x:c>
      <x:c r="AD976" s="37" t="n">
        <x:v>0</x:v>
      </x:c>
      <x:c r="AE976" s="37" t="n">
        <x:v>0</x:v>
      </x:c>
      <x:c r="AF976" s="47" t="b">
        <x:v>0</x:v>
      </x:c>
      <x:c r="AG976" s="47" t="b">
        <x:v>0</x:v>
      </x:c>
      <x:c r="AH976" s="48" t="n">
        <x:v>0</x:v>
      </x:c>
      <x:c r="AI976" s="48" t="n">
        <x:v>1.1920928955078125e-7</x:v>
      </x:c>
      <x:c r="AJ976" s="37" t="str">
        <x:v>passed</x:v>
      </x:c>
    </x:row>
    <x:row r="977" ht="21" customHeight="1">
      <x:c r="A977" s="2"/>
      <x:c r="B977" s="2"/>
      <x:c r="C977" s="2" t="str">
        <x:v>2022</x:v>
      </x:c>
      <x:c r="D977" s="5" t="n">
        <x:v>44916</x:v>
      </x:c>
      <x:c r="E977" s="2" t="str">
        <x:v>unweighted</x:v>
      </x:c>
      <x:c r="F977" s="37" t="n">
        <x:v>12255228.479584819</x:v>
      </x:c>
      <x:c r="G977" s="37" t="n">
        <x:v>857549.9029322</x:v>
      </x:c>
      <x:c r="H977" s="37" t="n">
        <x:v>22621.296643692713</x:v>
      </x:c>
      <x:c r="I977" s="37" t="n">
        <x:v>834928.6062885072</x:v>
      </x:c>
      <x:c r="J977" s="37" t="n">
        <x:v>10513468.62042741</x:v>
      </x:c>
      <x:c r="K977" s="37" t="n">
        <x:v>9655918.71749521</x:v>
      </x:c>
      <x:c r="L977" s="37" t="n">
        <x:v>13112778.38251702</x:v>
      </x:c>
      <x:c r="M977" s="37" t="n">
        <x:v>0</x:v>
      </x:c>
      <x:c r="N977" s="37" t="n">
        <x:v>0</x:v>
      </x:c>
      <x:c r="O977" s="37" t="n">
        <x:v>671.4825751762837</x:v>
      </x:c>
      <x:c r="P977" s="37" t="n">
        <x:v>0</x:v>
      </x:c>
      <x:c r="Q977" s="37" t="n">
        <x:v>0</x:v>
      </x:c>
      <x:c r="R977" s="37" t="n">
        <x:v>0</x:v>
      </x:c>
      <x:c r="S977" s="37" t="n">
        <x:v>0</x:v>
      </x:c>
      <x:c r="T977" s="37" t="n">
        <x:v>0</x:v>
      </x:c>
      <x:c r="U977" s="37" t="n">
        <x:v>-5474.05595196948</x:v>
      </x:c>
      <x:c r="V977" s="37" t="n">
        <x:v>0</x:v>
      </x:c>
      <x:c r="W977" s="37" t="n">
        <x:v>237098.73223033547</x:v>
      </x:c>
      <x:c r="X977" s="37" t="n">
        <x:v>0</x:v>
      </x:c>
      <x:c r="Y977" s="37" t="n">
        <x:v>2354.485312553004</x:v>
      </x:c>
      <x:c r="Z977" s="37" t="n">
        <x:v>9849037.091845116</x:v>
      </x:c>
      <x:c r="AA977" s="37" t="n">
        <x:v>0</x:v>
      </x:c>
      <x:c r="AB977" s="37" t="n">
        <x:v>9849037.091845116</x:v>
      </x:c>
      <x:c r="AC977" s="37" t="n">
        <x:v>2406191.387739703</x:v>
      </x:c>
      <x:c r="AD977" s="37" t="n">
        <x:v>0</x:v>
      </x:c>
      <x:c r="AE977" s="37" t="n">
        <x:v>0</x:v>
      </x:c>
      <x:c r="AF977" s="47" t="b">
        <x:v>0</x:v>
      </x:c>
      <x:c r="AG977" s="47" t="b">
        <x:v>0</x:v>
      </x:c>
      <x:c r="AH977" s="48" t="n">
        <x:v>0</x:v>
      </x:c>
      <x:c r="AI977" s="48" t="n">
        <x:v>1.1920928955078125e-7</x:v>
      </x:c>
      <x:c r="AJ977" s="37" t="str">
        <x:v>passed</x:v>
      </x:c>
    </x:row>
    <x:row r="978" ht="21" customHeight="1">
      <x:c r="A978" s="2"/>
      <x:c r="B978" s="2"/>
      <x:c r="C978" s="2" t="str">
        <x:v>2022</x:v>
      </x:c>
      <x:c r="D978" s="5" t="n">
        <x:v>44916</x:v>
      </x:c>
      <x:c r="E978" s="2" t="str">
        <x:v>constrained</x:v>
      </x:c>
      <x:c r="F978" s="37" t="n">
        <x:v>13086299.888780095</x:v>
      </x:c>
      <x:c r="G978" s="37" t="n">
        <x:v>115081.71491347898</x:v>
      </x:c>
      <x:c r="H978" s="37" t="n">
        <x:v>22130.56713218504</x:v>
      </x:c>
      <x:c r="I978" s="37" t="n">
        <x:v>92951.14778129394</x:v>
      </x:c>
      <x:c r="J978" s="37" t="n">
        <x:v>10517154.328665406</x:v>
      </x:c>
      <x:c r="K978" s="37" t="n">
        <x:v>10402072.613751927</x:v>
      </x:c>
      <x:c r="L978" s="37" t="n">
        <x:v>13201381.603693573</x:v>
      </x:c>
      <x:c r="M978" s="37" t="n">
        <x:v>0</x:v>
      </x:c>
      <x:c r="N978" s="37" t="n">
        <x:v>0</x:v>
      </x:c>
      <x:c r="O978" s="37" t="n">
        <x:v>717.018239479512</x:v>
      </x:c>
      <x:c r="P978" s="37" t="n">
        <x:v>0</x:v>
      </x:c>
      <x:c r="Q978" s="37" t="n">
        <x:v>0</x:v>
      </x:c>
      <x:c r="R978" s="37" t="n">
        <x:v>0</x:v>
      </x:c>
      <x:c r="S978" s="37" t="n">
        <x:v>0</x:v>
      </x:c>
      <x:c r="T978" s="37" t="n">
        <x:v>0</x:v>
      </x:c>
      <x:c r="U978" s="37" t="n">
        <x:v>-13346.704870530775</x:v>
      </x:c>
      <x:c r="V978" s="37" t="n">
        <x:v>0</x:v>
      </x:c>
      <x:c r="W978" s="37" t="n">
        <x:v>253122.21987329796</x:v>
      </x:c>
      <x:c r="X978" s="37" t="n">
        <x:v>0</x:v>
      </x:c>
      <x:c r="Y978" s="37" t="n">
        <x:v>2425.773114277156</x:v>
      </x:c>
      <x:c r="Z978" s="37" t="n">
        <x:v>10610114.066026967</x:v>
      </x:c>
      <x:c r="AA978" s="37" t="n">
        <x:v>0</x:v>
      </x:c>
      <x:c r="AB978" s="37" t="n">
        <x:v>10610114.066026967</x:v>
      </x:c>
      <x:c r="AC978" s="37" t="n">
        <x:v>2476185.8227531277</x:v>
      </x:c>
      <x:c r="AD978" s="37" t="n">
        <x:v>0</x:v>
      </x:c>
      <x:c r="AE978" s="37" t="n">
        <x:v>0</x:v>
      </x:c>
      <x:c r="AF978" s="47" t="b">
        <x:v>0</x:v>
      </x:c>
      <x:c r="AG978" s="47" t="b">
        <x:v>0</x:v>
      </x:c>
      <x:c r="AH978" s="48" t="n">
        <x:v>0</x:v>
      </x:c>
      <x:c r="AI978" s="48" t="n">
        <x:v>1.1920928955078125e-7</x:v>
      </x:c>
      <x:c r="AJ978" s="37" t="str">
        <x:v>passed</x:v>
      </x:c>
    </x:row>
    <x:row r="979" ht="21" customHeight="1">
      <x:c r="A979" s="2"/>
      <x:c r="B979" s="2"/>
      <x:c r="C979" s="2" t="str">
        <x:v>2022</x:v>
      </x:c>
      <x:c r="D979" s="5" t="n">
        <x:v>44917</x:v>
      </x:c>
      <x:c r="E979" s="2" t="str">
        <x:v>unhedged</x:v>
      </x:c>
      <x:c r="F979" s="37" t="n">
        <x:v>1351060.6233974663</x:v>
      </x:c>
      <x:c r="G979" s="37" t="n">
        <x:v>10486509.85322788</x:v>
      </x:c>
      <x:c r="H979" s="37" t="n">
        <x:v>33832.19733365362</x:v>
      </x:c>
      <x:c r="I979" s="37" t="n">
        <x:v>10452677.655894225</x:v>
      </x:c>
      <x:c r="J979" s="37" t="n">
        <x:v>10486509.85322788</x:v>
      </x:c>
      <x:c r="K979" s="37" t="n">
        <x:v>0</x:v>
      </x:c>
      <x:c r="L979" s="37" t="n">
        <x:v>11837570.476625346</x:v>
      </x:c>
      <x:c r="M979" s="37" t="n">
        <x:v>0</x:v>
      </x:c>
      <x:c r="N979" s="37" t="n">
        <x:v>0</x:v>
      </x:c>
      <x:c r="O979" s="37" t="n">
        <x:v>74.02666283468716</x:v>
      </x:c>
      <x:c r="P979" s="37" t="n">
        <x:v>0</x:v>
      </x:c>
      <x:c r="Q979" s="37" t="n">
        <x:v>0</x:v>
      </x:c>
      <x:c r="R979" s="37" t="n">
        <x:v>0</x:v>
      </x:c>
      <x:c r="S979" s="37" t="n">
        <x:v>0</x:v>
      </x:c>
      <x:c r="T979" s="37" t="n">
        <x:v>0</x:v>
      </x:c>
      <x:c r="U979" s="37" t="n">
        <x:v>127500</x:v>
      </x:c>
      <x:c r="V979" s="37" t="n">
        <x:v>0</x:v>
      </x:c>
      <x:c r="W979" s="37" t="n">
        <x:v>24735.34271419188</x:v>
      </x:c>
      <x:c r="X979" s="37" t="n">
        <x:v>0</x:v>
      </x:c>
      <x:c r="Y979" s="37" t="n">
        <x:v>1174.7193167256753</x:v>
      </x:c>
      <x:c r="Z979" s="37" t="n">
        <x:v>0</x:v>
      </x:c>
      <x:c r="AA979" s="37" t="n">
        <x:v>0</x:v>
      </x:c>
      <x:c r="AB979" s="37" t="n">
        <x:v>0</x:v>
      </x:c>
      <x:c r="AC979" s="37" t="n">
        <x:v>1351060.6233974663</x:v>
      </x:c>
      <x:c r="AD979" s="37" t="n">
        <x:v>0</x:v>
      </x:c>
      <x:c r="AE979" s="37" t="n">
        <x:v>0</x:v>
      </x:c>
      <x:c r="AF979" s="47" t="b">
        <x:v>0</x:v>
      </x:c>
      <x:c r="AG979" s="47" t="b">
        <x:v>0</x:v>
      </x:c>
      <x:c r="AH979" s="48" t="n">
        <x:v>0</x:v>
      </x:c>
      <x:c r="AI979" s="48" t="n">
        <x:v>1.1920928955078125e-7</x:v>
      </x:c>
      <x:c r="AJ979" s="37" t="str">
        <x:v>passed</x:v>
      </x:c>
    </x:row>
    <x:row r="980" ht="21" customHeight="1">
      <x:c r="A980" s="2"/>
      <x:c r="B980" s="2"/>
      <x:c r="C980" s="2" t="str">
        <x:v>2022</x:v>
      </x:c>
      <x:c r="D980" s="5" t="n">
        <x:v>44917</x:v>
      </x:c>
      <x:c r="E980" s="2" t="str">
        <x:v>duration</x:v>
      </x:c>
      <x:c r="F980" s="37" t="n">
        <x:v>9266869.735149108</x:v>
      </x:c>
      <x:c r="G980" s="37" t="n">
        <x:v>3801343.9114633137</x:v>
      </x:c>
      <x:c r="H980" s="37" t="n">
        <x:v>22471.01332952055</x:v>
      </x:c>
      <x:c r="I980" s="37" t="n">
        <x:v>3778872.8981337934</x:v>
      </x:c>
      <x:c r="J980" s="37" t="n">
        <x:v>10486509.85322788</x:v>
      </x:c>
      <x:c r="K980" s="37" t="n">
        <x:v>6685165.941764566</x:v>
      </x:c>
      <x:c r="L980" s="37" t="n">
        <x:v>13068213.64661242</x:v>
      </x:c>
      <x:c r="M980" s="37" t="n">
        <x:v>0</x:v>
      </x:c>
      <x:c r="N980" s="37" t="n">
        <x:v>0</x:v>
      </x:c>
      <x:c r="O980" s="37" t="n">
        <x:v>507.7458624280989</x:v>
      </x:c>
      <x:c r="P980" s="37" t="n">
        <x:v>0</x:v>
      </x:c>
      <x:c r="Q980" s="37" t="n">
        <x:v>0</x:v>
      </x:c>
      <x:c r="R980" s="37" t="n">
        <x:v>0</x:v>
      </x:c>
      <x:c r="S980" s="37" t="n">
        <x:v>0</x:v>
      </x:c>
      <x:c r="T980" s="37" t="n">
        <x:v>0</x:v>
      </x:c>
      <x:c r="U980" s="37" t="n">
        <x:v>13941.618642774301</x:v>
      </x:c>
      <x:c r="V980" s="37" t="n">
        <x:v>0</x:v>
      </x:c>
      <x:c r="W980" s="37" t="n">
        <x:v>180183.22735887952</x:v>
      </x:c>
      <x:c r="X980" s="37" t="n">
        <x:v>0</x:v>
      </x:c>
      <x:c r="Y980" s="37" t="n">
        <x:v>2020.2166044244252</x:v>
      </x:c>
      <x:c r="Z980" s="37" t="n">
        <x:v>6818869.260599857</x:v>
      </x:c>
      <x:c r="AA980" s="37" t="n">
        <x:v>0</x:v>
      </x:c>
      <x:c r="AB980" s="37" t="n">
        <x:v>6818869.260599857</x:v>
      </x:c>
      <x:c r="AC980" s="37" t="n">
        <x:v>2448000.4745492507</x:v>
      </x:c>
      <x:c r="AD980" s="37" t="n">
        <x:v>0</x:v>
      </x:c>
      <x:c r="AE980" s="37" t="n">
        <x:v>0</x:v>
      </x:c>
      <x:c r="AF980" s="47" t="b">
        <x:v>0</x:v>
      </x:c>
      <x:c r="AG980" s="47" t="b">
        <x:v>0</x:v>
      </x:c>
      <x:c r="AH980" s="48" t="n">
        <x:v>0</x:v>
      </x:c>
      <x:c r="AI980" s="48" t="n">
        <x:v>1.1920928955078125e-7</x:v>
      </x:c>
      <x:c r="AJ980" s="37" t="str">
        <x:v>passed</x:v>
      </x:c>
    </x:row>
    <x:row r="981" ht="21" customHeight="1">
      <x:c r="A981" s="2"/>
      <x:c r="B981" s="2"/>
      <x:c r="C981" s="2" t="str">
        <x:v>2022</x:v>
      </x:c>
      <x:c r="D981" s="5" t="n">
        <x:v>44917</x:v>
      </x:c>
      <x:c r="E981" s="2" t="str">
        <x:v>unweighted</x:v>
      </x:c>
      <x:c r="F981" s="37" t="n">
        <x:v>12255899.998953566</x:v>
      </x:c>
      <x:c r="G981" s="37" t="n">
        <x:v>857317.9614501474</x:v>
      </x:c>
      <x:c r="H981" s="37" t="n">
        <x:v>22603.519611664422</x:v>
      </x:c>
      <x:c r="I981" s="37" t="n">
        <x:v>834714.441838483</x:v>
      </x:c>
      <x:c r="J981" s="37" t="n">
        <x:v>10516685.31006567</x:v>
      </x:c>
      <x:c r="K981" s="37" t="n">
        <x:v>9659367.348615523</x:v>
      </x:c>
      <x:c r="L981" s="37" t="n">
        <x:v>13113217.960403714</x:v>
      </x:c>
      <x:c r="M981" s="37" t="n">
        <x:v>0</x:v>
      </x:c>
      <x:c r="N981" s="37" t="n">
        <x:v>0</x:v>
      </x:c>
      <x:c r="O981" s="37" t="n">
        <x:v>671.5193687472492</x:v>
      </x:c>
      <x:c r="P981" s="37" t="n">
        <x:v>0</x:v>
      </x:c>
      <x:c r="Q981" s="37" t="n">
        <x:v>0</x:v>
      </x:c>
      <x:c r="R981" s="37" t="n">
        <x:v>0</x:v>
      </x:c>
      <x:c r="S981" s="37" t="n">
        <x:v>0</x:v>
      </x:c>
      <x:c r="T981" s="37" t="n">
        <x:v>0</x:v>
      </x:c>
      <x:c r="U981" s="37" t="n">
        <x:v>-5474.05595196948</x:v>
      </x:c>
      <x:c r="V981" s="37" t="n">
        <x:v>0</x:v>
      </x:c>
      <x:c r="W981" s="37" t="n">
        <x:v>237770.25159908272</x:v>
      </x:c>
      <x:c r="X981" s="37" t="n">
        <x:v>0</x:v>
      </x:c>
      <x:c r="Y981" s="37" t="n">
        <x:v>2354.485312553004</x:v>
      </x:c>
      <x:c r="Z981" s="37" t="n">
        <x:v>9852554.695587834</x:v>
      </x:c>
      <x:c r="AA981" s="37" t="n">
        <x:v>0</x:v>
      </x:c>
      <x:c r="AB981" s="37" t="n">
        <x:v>9852554.695587834</x:v>
      </x:c>
      <x:c r="AC981" s="37" t="n">
        <x:v>2403345.3033657316</x:v>
      </x:c>
      <x:c r="AD981" s="37" t="n">
        <x:v>0</x:v>
      </x:c>
      <x:c r="AE981" s="37" t="n">
        <x:v>0</x:v>
      </x:c>
      <x:c r="AF981" s="47" t="b">
        <x:v>0</x:v>
      </x:c>
      <x:c r="AG981" s="47" t="b">
        <x:v>0</x:v>
      </x:c>
      <x:c r="AH981" s="48" t="n">
        <x:v>0</x:v>
      </x:c>
      <x:c r="AI981" s="48" t="n">
        <x:v>1.1920928955078125e-7</x:v>
      </x:c>
      <x:c r="AJ981" s="37" t="str">
        <x:v>passed</x:v>
      </x:c>
    </x:row>
    <x:row r="982" ht="21" customHeight="1">
      <x:c r="A982" s="2"/>
      <x:c r="B982" s="2"/>
      <x:c r="C982" s="2" t="str">
        <x:v>2022</x:v>
      </x:c>
      <x:c r="D982" s="5" t="n">
        <x:v>44917</x:v>
      </x:c>
      <x:c r="E982" s="2" t="str">
        <x:v>constrained</x:v>
      </x:c>
      <x:c r="F982" s="37" t="n">
        <x:v>13087016.94630825</x:v>
      </x:c>
      <x:c r="G982" s="37" t="n">
        <x:v>115037.49163986964</x:v>
      </x:c>
      <x:c r="H982" s="37" t="n">
        <x:v>22091.94331308587</x:v>
      </x:c>
      <x:c r="I982" s="37" t="n">
        <x:v>92945.54832678377</x:v>
      </x:c>
      <x:c r="J982" s="37" t="n">
        <x:v>10520380.269185774</x:v>
      </x:c>
      <x:c r="K982" s="37" t="n">
        <x:v>10405342.777545905</x:v>
      </x:c>
      <x:c r="L982" s="37" t="n">
        <x:v>13202054.437948119</x:v>
      </x:c>
      <x:c r="M982" s="37" t="n">
        <x:v>0</x:v>
      </x:c>
      <x:c r="N982" s="37" t="n">
        <x:v>0</x:v>
      </x:c>
      <x:c r="O982" s="37" t="n">
        <x:v>717.0575281549245</x:v>
      </x:c>
      <x:c r="P982" s="37" t="n">
        <x:v>0</x:v>
      </x:c>
      <x:c r="Q982" s="37" t="n">
        <x:v>0</x:v>
      </x:c>
      <x:c r="R982" s="37" t="n">
        <x:v>0</x:v>
      </x:c>
      <x:c r="S982" s="37" t="n">
        <x:v>0</x:v>
      </x:c>
      <x:c r="T982" s="37" t="n">
        <x:v>0</x:v>
      </x:c>
      <x:c r="U982" s="37" t="n">
        <x:v>-13346.704870530775</x:v>
      </x:c>
      <x:c r="V982" s="37" t="n">
        <x:v>0</x:v>
      </x:c>
      <x:c r="W982" s="37" t="n">
        <x:v>253839.27740145288</x:v>
      </x:c>
      <x:c r="X982" s="37" t="n">
        <x:v>0</x:v>
      </x:c>
      <x:c r="Y982" s="37" t="n">
        <x:v>2425.773114277156</x:v>
      </x:c>
      <x:c r="Z982" s="37" t="n">
        <x:v>10613449.633096823</x:v>
      </x:c>
      <x:c r="AA982" s="37" t="n">
        <x:v>0</x:v>
      </x:c>
      <x:c r="AB982" s="37" t="n">
        <x:v>10613449.633096823</x:v>
      </x:c>
      <x:c r="AC982" s="37" t="n">
        <x:v>2473567.313211426</x:v>
      </x:c>
      <x:c r="AD982" s="37" t="n">
        <x:v>0</x:v>
      </x:c>
      <x:c r="AE982" s="37" t="n">
        <x:v>0</x:v>
      </x:c>
      <x:c r="AF982" s="47" t="b">
        <x:v>0</x:v>
      </x:c>
      <x:c r="AG982" s="47" t="b">
        <x:v>0</x:v>
      </x:c>
      <x:c r="AH982" s="48" t="n">
        <x:v>0</x:v>
      </x:c>
      <x:c r="AI982" s="48" t="n">
        <x:v>1.1920928955078125e-7</x:v>
      </x:c>
      <x:c r="AJ982" s="37" t="str">
        <x:v>passed</x:v>
      </x:c>
    </x:row>
    <x:row r="983" ht="21" customHeight="1">
      <x:c r="A983" s="2"/>
      <x:c r="B983" s="2"/>
      <x:c r="C983" s="2" t="str">
        <x:v>2022</x:v>
      </x:c>
      <x:c r="D983" s="5" t="n">
        <x:v>44918</x:v>
      </x:c>
      <x:c r="E983" s="2" t="str">
        <x:v>unhedged</x:v>
      </x:c>
      <x:c r="F983" s="37" t="n">
        <x:v>1351134.6541165567</x:v>
      </x:c>
      <x:c r="G983" s="37" t="n">
        <x:v>10449746.21879755</x:v>
      </x:c>
      <x:c r="H983" s="37" t="n">
        <x:v>34181.029305789096</x:v>
      </x:c>
      <x:c r="I983" s="37" t="n">
        <x:v>10415565.18949176</x:v>
      </x:c>
      <x:c r="J983" s="37" t="n">
        <x:v>10449746.21879755</x:v>
      </x:c>
      <x:c r="K983" s="37" t="n">
        <x:v>0</x:v>
      </x:c>
      <x:c r="L983" s="37" t="n">
        <x:v>11800880.872914106</x:v>
      </x:c>
      <x:c r="M983" s="37" t="n">
        <x:v>0</x:v>
      </x:c>
      <x:c r="N983" s="37" t="n">
        <x:v>0</x:v>
      </x:c>
      <x:c r="O983" s="37" t="n">
        <x:v>74.03071909048595</x:v>
      </x:c>
      <x:c r="P983" s="37" t="n">
        <x:v>0</x:v>
      </x:c>
      <x:c r="Q983" s="37" t="n">
        <x:v>0</x:v>
      </x:c>
      <x:c r="R983" s="37" t="n">
        <x:v>0</x:v>
      </x:c>
      <x:c r="S983" s="37" t="n">
        <x:v>0</x:v>
      </x:c>
      <x:c r="T983" s="37" t="n">
        <x:v>0</x:v>
      </x:c>
      <x:c r="U983" s="37" t="n">
        <x:v>127500</x:v>
      </x:c>
      <x:c r="V983" s="37" t="n">
        <x:v>0</x:v>
      </x:c>
      <x:c r="W983" s="37" t="n">
        <x:v>24809.373433282366</x:v>
      </x:c>
      <x:c r="X983" s="37" t="n">
        <x:v>0</x:v>
      </x:c>
      <x:c r="Y983" s="37" t="n">
        <x:v>1174.7193167256753</x:v>
      </x:c>
      <x:c r="Z983" s="37" t="n">
        <x:v>0</x:v>
      </x:c>
      <x:c r="AA983" s="37" t="n">
        <x:v>0</x:v>
      </x:c>
      <x:c r="AB983" s="37" t="n">
        <x:v>0</x:v>
      </x:c>
      <x:c r="AC983" s="37" t="n">
        <x:v>1351134.6541165567</x:v>
      </x:c>
      <x:c r="AD983" s="37" t="n">
        <x:v>0</x:v>
      </x:c>
      <x:c r="AE983" s="37" t="n">
        <x:v>0</x:v>
      </x:c>
      <x:c r="AF983" s="47" t="b">
        <x:v>0</x:v>
      </x:c>
      <x:c r="AG983" s="47" t="b">
        <x:v>0</x:v>
      </x:c>
      <x:c r="AH983" s="48" t="n">
        <x:v>0</x:v>
      </x:c>
      <x:c r="AI983" s="48" t="n">
        <x:v>1.1920928955078125e-7</x:v>
      </x:c>
      <x:c r="AJ983" s="37" t="str">
        <x:v>passed</x:v>
      </x:c>
    </x:row>
    <x:row r="984" ht="21" customHeight="1">
      <x:c r="A984" s="2"/>
      <x:c r="B984" s="2"/>
      <x:c r="C984" s="2" t="str">
        <x:v>2022</x:v>
      </x:c>
      <x:c r="D984" s="5" t="n">
        <x:v>44918</x:v>
      </x:c>
      <x:c r="E984" s="2" t="str">
        <x:v>duration</x:v>
      </x:c>
      <x:c r="F984" s="37" t="n">
        <x:v>9267377.508833226</x:v>
      </x:c>
      <x:c r="G984" s="37" t="n">
        <x:v>3804064.4613736905</x:v>
      </x:c>
      <x:c r="H984" s="37" t="n">
        <x:v>22512.786274517293</x:v>
      </x:c>
      <x:c r="I984" s="37" t="n">
        <x:v>3781551.675099173</x:v>
      </x:c>
      <x:c r="J984" s="37" t="n">
        <x:v>10449746.21879755</x:v>
      </x:c>
      <x:c r="K984" s="37" t="n">
        <x:v>6645681.757423858</x:v>
      </x:c>
      <x:c r="L984" s="37" t="n">
        <x:v>13071441.970206916</x:v>
      </x:c>
      <x:c r="M984" s="37" t="n">
        <x:v>0</x:v>
      </x:c>
      <x:c r="N984" s="37" t="n">
        <x:v>0</x:v>
      </x:c>
      <x:c r="O984" s="37" t="n">
        <x:v>507.77368411794305</x:v>
      </x:c>
      <x:c r="P984" s="37" t="n">
        <x:v>0</x:v>
      </x:c>
      <x:c r="Q984" s="37" t="n">
        <x:v>0</x:v>
      </x:c>
      <x:c r="R984" s="37" t="n">
        <x:v>0</x:v>
      </x:c>
      <x:c r="S984" s="37" t="n">
        <x:v>0</x:v>
      </x:c>
      <x:c r="T984" s="37" t="n">
        <x:v>0</x:v>
      </x:c>
      <x:c r="U984" s="37" t="n">
        <x:v>13941.618642774301</x:v>
      </x:c>
      <x:c r="V984" s="37" t="n">
        <x:v>0</x:v>
      </x:c>
      <x:c r="W984" s="37" t="n">
        <x:v>180691.00104299746</x:v>
      </x:c>
      <x:c r="X984" s="37" t="n">
        <x:v>0</x:v>
      </x:c>
      <x:c r="Y984" s="37" t="n">
        <x:v>2020.2166044244252</x:v>
      </x:c>
      <x:c r="Z984" s="37" t="n">
        <x:v>6778595.392572336</x:v>
      </x:c>
      <x:c r="AA984" s="37" t="n">
        <x:v>0</x:v>
      </x:c>
      <x:c r="AB984" s="37" t="n">
        <x:v>6778595.392572336</x:v>
      </x:c>
      <x:c r="AC984" s="37" t="n">
        <x:v>2488782.11626089</x:v>
      </x:c>
      <x:c r="AD984" s="37" t="n">
        <x:v>0</x:v>
      </x:c>
      <x:c r="AE984" s="37" t="n">
        <x:v>0</x:v>
      </x:c>
      <x:c r="AF984" s="47" t="b">
        <x:v>0</x:v>
      </x:c>
      <x:c r="AG984" s="47" t="b">
        <x:v>0</x:v>
      </x:c>
      <x:c r="AH984" s="48" t="n">
        <x:v>0</x:v>
      </x:c>
      <x:c r="AI984" s="48" t="n">
        <x:v>1.1920928955078125e-7</x:v>
      </x:c>
      <x:c r="AJ984" s="37" t="str">
        <x:v>passed</x:v>
      </x:c>
    </x:row>
    <x:row r="985" ht="21" customHeight="1">
      <x:c r="A985" s="2"/>
      <x:c r="B985" s="2"/>
      <x:c r="C985" s="2" t="str">
        <x:v>2022</x:v>
      </x:c>
      <x:c r="D985" s="5" t="n">
        <x:v>44918</x:v>
      </x:c>
      <x:c r="E985" s="2" t="str">
        <x:v>unweighted</x:v>
      </x:c>
      <x:c r="F985" s="37" t="n">
        <x:v>12256571.555117892</x:v>
      </x:c>
      <x:c r="G985" s="37" t="n">
        <x:v>855967.1117457933</x:v>
      </x:c>
      <x:c r="H985" s="37" t="n">
        <x:v>22585.742579636124</x:v>
      </x:c>
      <x:c r="I985" s="37" t="n">
        <x:v>833381.3691661571</x:v>
      </x:c>
      <x:c r="J985" s="37" t="n">
        <x:v>10479536.813037068</x:v>
      </x:c>
      <x:c r="K985" s="37" t="n">
        <x:v>9623569.701291274</x:v>
      </x:c>
      <x:c r="L985" s="37" t="n">
        <x:v>13112538.666863685</x:v>
      </x:c>
      <x:c r="M985" s="37" t="n">
        <x:v>0</x:v>
      </x:c>
      <x:c r="N985" s="37" t="n">
        <x:v>0</x:v>
      </x:c>
      <x:c r="O985" s="37" t="n">
        <x:v>671.5561643261462</x:v>
      </x:c>
      <x:c r="P985" s="37" t="n">
        <x:v>0</x:v>
      </x:c>
      <x:c r="Q985" s="37" t="n">
        <x:v>0</x:v>
      </x:c>
      <x:c r="R985" s="37" t="n">
        <x:v>0</x:v>
      </x:c>
      <x:c r="S985" s="37" t="n">
        <x:v>0</x:v>
      </x:c>
      <x:c r="T985" s="37" t="n">
        <x:v>0</x:v>
      </x:c>
      <x:c r="U985" s="37" t="n">
        <x:v>-5474.05595196948</x:v>
      </x:c>
      <x:c r="V985" s="37" t="n">
        <x:v>0</x:v>
      </x:c>
      <x:c r="W985" s="37" t="n">
        <x:v>238441.80776340887</x:v>
      </x:c>
      <x:c r="X985" s="37" t="n">
        <x:v>0</x:v>
      </x:c>
      <x:c r="Y985" s="37" t="n">
        <x:v>2354.485312553004</x:v>
      </x:c>
      <x:c r="Z985" s="37" t="n">
        <x:v>9816041.0953171</x:v>
      </x:c>
      <x:c r="AA985" s="37" t="n">
        <x:v>0</x:v>
      </x:c>
      <x:c r="AB985" s="37" t="n">
        <x:v>9816041.0953171</x:v>
      </x:c>
      <x:c r="AC985" s="37" t="n">
        <x:v>2440530.459800793</x:v>
      </x:c>
      <x:c r="AD985" s="37" t="n">
        <x:v>0</x:v>
      </x:c>
      <x:c r="AE985" s="37" t="n">
        <x:v>0</x:v>
      </x:c>
      <x:c r="AF985" s="47" t="b">
        <x:v>0</x:v>
      </x:c>
      <x:c r="AG985" s="47" t="b">
        <x:v>0</x:v>
      </x:c>
      <x:c r="AH985" s="48" t="n">
        <x:v>0</x:v>
      </x:c>
      <x:c r="AI985" s="48" t="n">
        <x:v>1.1920928955078125e-7</x:v>
      </x:c>
      <x:c r="AJ985" s="37" t="str">
        <x:v>passed</x:v>
      </x:c>
    </x:row>
    <x:row r="986" ht="21" customHeight="1">
      <x:c r="A986" s="2"/>
      <x:c r="B986" s="2"/>
      <x:c r="C986" s="2" t="str">
        <x:v>2022</x:v>
      </x:c>
      <x:c r="D986" s="5" t="n">
        <x:v>44918</x:v>
      </x:c>
      <x:c r="E986" s="2" t="str">
        <x:v>constrained</x:v>
      </x:c>
      <x:c r="F986" s="37" t="n">
        <x:v>13087734.043127226</x:v>
      </x:c>
      <x:c r="G986" s="37" t="n">
        <x:v>115071.50489145693</x:v>
      </x:c>
      <x:c r="H986" s="37" t="n">
        <x:v>22053.3194939867</x:v>
      </x:c>
      <x:c r="I986" s="37" t="n">
        <x:v>93018.18539747024</x:v>
      </x:c>
      <x:c r="J986" s="37" t="n">
        <x:v>10483191.917239256</x:v>
      </x:c>
      <x:c r="K986" s="37" t="n">
        <x:v>10368120.4123478</x:v>
      </x:c>
      <x:c r="L986" s="37" t="n">
        <x:v>13202805.548018683</x:v>
      </x:c>
      <x:c r="M986" s="37" t="n">
        <x:v>0</x:v>
      </x:c>
      <x:c r="N986" s="37" t="n">
        <x:v>0</x:v>
      </x:c>
      <x:c r="O986" s="37" t="n">
        <x:v>717.0968189761043</x:v>
      </x:c>
      <x:c r="P986" s="37" t="n">
        <x:v>0</x:v>
      </x:c>
      <x:c r="Q986" s="37" t="n">
        <x:v>0</x:v>
      </x:c>
      <x:c r="R986" s="37" t="n">
        <x:v>0</x:v>
      </x:c>
      <x:c r="S986" s="37" t="n">
        <x:v>0</x:v>
      </x:c>
      <x:c r="T986" s="37" t="n">
        <x:v>0</x:v>
      </x:c>
      <x:c r="U986" s="37" t="n">
        <x:v>-13346.704870530775</x:v>
      </x:c>
      <x:c r="V986" s="37" t="n">
        <x:v>0</x:v>
      </x:c>
      <x:c r="W986" s="37" t="n">
        <x:v>254556.374220429</x:v>
      </x:c>
      <x:c r="X986" s="37" t="n">
        <x:v>0</x:v>
      </x:c>
      <x:c r="Y986" s="37" t="n">
        <x:v>2425.773114277156</x:v>
      </x:c>
      <x:c r="Z986" s="37" t="n">
        <x:v>10575482.820594756</x:v>
      </x:c>
      <x:c r="AA986" s="37" t="n">
        <x:v>0</x:v>
      </x:c>
      <x:c r="AB986" s="37" t="n">
        <x:v>10575482.820594756</x:v>
      </x:c>
      <x:c r="AC986" s="37" t="n">
        <x:v>2512251.22253247</x:v>
      </x:c>
      <x:c r="AD986" s="37" t="n">
        <x:v>0</x:v>
      </x:c>
      <x:c r="AE986" s="37" t="n">
        <x:v>0</x:v>
      </x:c>
      <x:c r="AF986" s="47" t="b">
        <x:v>0</x:v>
      </x:c>
      <x:c r="AG986" s="47" t="b">
        <x:v>0</x:v>
      </x:c>
      <x:c r="AH986" s="48" t="n">
        <x:v>0</x:v>
      </x:c>
      <x:c r="AI986" s="48" t="n">
        <x:v>1.1920928955078125e-7</x:v>
      </x:c>
      <x:c r="AJ986" s="37" t="str">
        <x:v>passed</x:v>
      </x:c>
    </x:row>
    <x:row r="987" ht="21" customHeight="1">
      <x:c r="A987" s="2"/>
      <x:c r="B987" s="2"/>
      <x:c r="C987" s="2" t="str">
        <x:v>2022</x:v>
      </x:c>
      <x:c r="D987" s="5" t="n">
        <x:v>44922</x:v>
      </x:c>
      <x:c r="E987" s="2" t="str">
        <x:v>unhedged</x:v>
      </x:c>
      <x:c r="F987" s="37" t="n">
        <x:v>1351430.8175599186</x:v>
      </x:c>
      <x:c r="G987" s="37" t="n">
        <x:v>10401563.434434481</x:v>
      </x:c>
      <x:c r="H987" s="37" t="n">
        <x:v>35576.35719433101</x:v>
      </x:c>
      <x:c r="I987" s="37" t="n">
        <x:v>10365987.07724015</x:v>
      </x:c>
      <x:c r="J987" s="37" t="n">
        <x:v>10401563.434434481</x:v>
      </x:c>
      <x:c r="K987" s="37" t="n">
        <x:v>0</x:v>
      </x:c>
      <x:c r="L987" s="37" t="n">
        <x:v>11752994.2519944</x:v>
      </x:c>
      <x:c r="M987" s="37" t="n">
        <x:v>0</x:v>
      </x:c>
      <x:c r="N987" s="37" t="n">
        <x:v>0</x:v>
      </x:c>
      <x:c r="O987" s="37" t="n">
        <x:v>296.16344336187467</x:v>
      </x:c>
      <x:c r="P987" s="37" t="n">
        <x:v>0</x:v>
      </x:c>
      <x:c r="Q987" s="37" t="n">
        <x:v>0</x:v>
      </x:c>
      <x:c r="R987" s="37" t="n">
        <x:v>0</x:v>
      </x:c>
      <x:c r="S987" s="37" t="n">
        <x:v>0</x:v>
      </x:c>
      <x:c r="T987" s="37" t="n">
        <x:v>0</x:v>
      </x:c>
      <x:c r="U987" s="37" t="n">
        <x:v>127500</x:v>
      </x:c>
      <x:c r="V987" s="37" t="n">
        <x:v>0</x:v>
      </x:c>
      <x:c r="W987" s="37" t="n">
        <x:v>25105.53687664424</x:v>
      </x:c>
      <x:c r="X987" s="37" t="n">
        <x:v>0</x:v>
      </x:c>
      <x:c r="Y987" s="37" t="n">
        <x:v>1174.7193167256753</x:v>
      </x:c>
      <x:c r="Z987" s="37" t="n">
        <x:v>0</x:v>
      </x:c>
      <x:c r="AA987" s="37" t="n">
        <x:v>0</x:v>
      </x:c>
      <x:c r="AB987" s="37" t="n">
        <x:v>0</x:v>
      </x:c>
      <x:c r="AC987" s="37" t="n">
        <x:v>1351430.8175599186</x:v>
      </x:c>
      <x:c r="AD987" s="37" t="n">
        <x:v>0</x:v>
      </x:c>
      <x:c r="AE987" s="37" t="n">
        <x:v>0</x:v>
      </x:c>
      <x:c r="AF987" s="47" t="b">
        <x:v>0</x:v>
      </x:c>
      <x:c r="AG987" s="47" t="b">
        <x:v>0</x:v>
      </x:c>
      <x:c r="AH987" s="48" t="n">
        <x:v>0</x:v>
      </x:c>
      <x:c r="AI987" s="48" t="n">
        <x:v>1.1920928955078125e-7</x:v>
      </x:c>
      <x:c r="AJ987" s="37" t="str">
        <x:v>passed</x:v>
      </x:c>
    </x:row>
    <x:row r="988" ht="21" customHeight="1">
      <x:c r="A988" s="2"/>
      <x:c r="B988" s="2"/>
      <x:c r="C988" s="2" t="str">
        <x:v>2022</x:v>
      </x:c>
      <x:c r="D988" s="5" t="n">
        <x:v>44922</x:v>
      </x:c>
      <x:c r="E988" s="2" t="str">
        <x:v>duration</x:v>
      </x:c>
      <x:c r="F988" s="37" t="n">
        <x:v>9269408.881817102</x:v>
      </x:c>
      <x:c r="G988" s="37" t="n">
        <x:v>3809020.4003960313</x:v>
      </x:c>
      <x:c r="H988" s="37" t="n">
        <x:v>22679.878054504286</x:v>
      </x:c>
      <x:c r="I988" s="37" t="n">
        <x:v>3786340.522341527</x:v>
      </x:c>
      <x:c r="J988" s="37" t="n">
        <x:v>10401563.434434481</x:v>
      </x:c>
      <x:c r="K988" s="37" t="n">
        <x:v>6592543.03403845</x:v>
      </x:c>
      <x:c r="L988" s="37" t="n">
        <x:v>13078429.282213133</x:v>
      </x:c>
      <x:c r="M988" s="37" t="n">
        <x:v>0</x:v>
      </x:c>
      <x:c r="N988" s="37" t="n">
        <x:v>0</x:v>
      </x:c>
      <x:c r="O988" s="37" t="n">
        <x:v>2031.3729838766158</x:v>
      </x:c>
      <x:c r="P988" s="37" t="n">
        <x:v>0</x:v>
      </x:c>
      <x:c r="Q988" s="37" t="n">
        <x:v>0</x:v>
      </x:c>
      <x:c r="R988" s="37" t="n">
        <x:v>0</x:v>
      </x:c>
      <x:c r="S988" s="37" t="n">
        <x:v>0</x:v>
      </x:c>
      <x:c r="T988" s="37" t="n">
        <x:v>0</x:v>
      </x:c>
      <x:c r="U988" s="37" t="n">
        <x:v>13941.618642774301</x:v>
      </x:c>
      <x:c r="V988" s="37" t="n">
        <x:v>0</x:v>
      </x:c>
      <x:c r="W988" s="37" t="n">
        <x:v>182722.37402687408</x:v>
      </x:c>
      <x:c r="X988" s="37" t="n">
        <x:v>0</x:v>
      </x:c>
      <x:c r="Y988" s="37" t="n">
        <x:v>2020.2166044244252</x:v>
      </x:c>
      <x:c r="Z988" s="37" t="n">
        <x:v>6724393.894719219</x:v>
      </x:c>
      <x:c r="AA988" s="37" t="n">
        <x:v>0</x:v>
      </x:c>
      <x:c r="AB988" s="37" t="n">
        <x:v>6724393.894719219</x:v>
      </x:c>
      <x:c r="AC988" s="37" t="n">
        <x:v>2545014.9870978836</x:v>
      </x:c>
      <x:c r="AD988" s="37" t="n">
        <x:v>0</x:v>
      </x:c>
      <x:c r="AE988" s="37" t="n">
        <x:v>0</x:v>
      </x:c>
      <x:c r="AF988" s="47" t="b">
        <x:v>0</x:v>
      </x:c>
      <x:c r="AG988" s="47" t="b">
        <x:v>0</x:v>
      </x:c>
      <x:c r="AH988" s="48" t="n">
        <x:v>0</x:v>
      </x:c>
      <x:c r="AI988" s="48" t="n">
        <x:v>1.1920928955078125e-7</x:v>
      </x:c>
      <x:c r="AJ988" s="37" t="str">
        <x:v>passed</x:v>
      </x:c>
    </x:row>
    <x:row r="989" ht="21" customHeight="1">
      <x:c r="A989" s="2"/>
      <x:c r="B989" s="2"/>
      <x:c r="C989" s="2" t="str">
        <x:v>2022</x:v>
      </x:c>
      <x:c r="D989" s="5" t="n">
        <x:v>44922</x:v>
      </x:c>
      <x:c r="E989" s="2" t="str">
        <x:v>unweighted</x:v>
      </x:c>
      <x:c r="F989" s="37" t="n">
        <x:v>12259258.147771347</x:v>
      </x:c>
      <x:c r="G989" s="37" t="n">
        <x:v>854353.3009307872</x:v>
      </x:c>
      <x:c r="H989" s="37" t="n">
        <x:v>22514.63445152294</x:v>
      </x:c>
      <x:c r="I989" s="37" t="n">
        <x:v>831838.6664792643</x:v>
      </x:c>
      <x:c r="J989" s="37" t="n">
        <x:v>10430909.911390094</x:v>
      </x:c>
      <x:c r="K989" s="37" t="n">
        <x:v>9576556.610459305</x:v>
      </x:c>
      <x:c r="L989" s="37" t="n">
        <x:v>13113611.448702134</x:v>
      </x:c>
      <x:c r="M989" s="37" t="n">
        <x:v>0</x:v>
      </x:c>
      <x:c r="N989" s="37" t="n">
        <x:v>0</x:v>
      </x:c>
      <x:c r="O989" s="37" t="n">
        <x:v>2686.5926534552127</x:v>
      </x:c>
      <x:c r="P989" s="37" t="n">
        <x:v>0</x:v>
      </x:c>
      <x:c r="Q989" s="37" t="n">
        <x:v>0</x:v>
      </x:c>
      <x:c r="R989" s="37" t="n">
        <x:v>0</x:v>
      </x:c>
      <x:c r="S989" s="37" t="n">
        <x:v>0</x:v>
      </x:c>
      <x:c r="T989" s="37" t="n">
        <x:v>0</x:v>
      </x:c>
      <x:c r="U989" s="37" t="n">
        <x:v>-5474.05595196948</x:v>
      </x:c>
      <x:c r="V989" s="37" t="n">
        <x:v>0</x:v>
      </x:c>
      <x:c r="W989" s="37" t="n">
        <x:v>241128.40041686408</x:v>
      </x:c>
      <x:c r="X989" s="37" t="n">
        <x:v>0</x:v>
      </x:c>
      <x:c r="Y989" s="37" t="n">
        <x:v>2354.485312553004</x:v>
      </x:c>
      <x:c r="Z989" s="37" t="n">
        <x:v>9768087.74266849</x:v>
      </x:c>
      <x:c r="AA989" s="37" t="n">
        <x:v>0</x:v>
      </x:c>
      <x:c r="AB989" s="37" t="n">
        <x:v>9768087.74266849</x:v>
      </x:c>
      <x:c r="AC989" s="37" t="n">
        <x:v>2491170.4051028565</x:v>
      </x:c>
      <x:c r="AD989" s="37" t="n">
        <x:v>0</x:v>
      </x:c>
      <x:c r="AE989" s="37" t="n">
        <x:v>0</x:v>
      </x:c>
      <x:c r="AF989" s="47" t="b">
        <x:v>0</x:v>
      </x:c>
      <x:c r="AG989" s="47" t="b">
        <x:v>0</x:v>
      </x:c>
      <x:c r="AH989" s="48" t="n">
        <x:v>0</x:v>
      </x:c>
      <x:c r="AI989" s="48" t="n">
        <x:v>1.1920928955078125e-7</x:v>
      </x:c>
      <x:c r="AJ989" s="37" t="str">
        <x:v>passed</x:v>
      </x:c>
    </x:row>
    <x:row r="990" ht="21" customHeight="1">
      <x:c r="A990" s="2"/>
      <x:c r="B990" s="2"/>
      <x:c r="C990" s="2" t="str">
        <x:v>2022</x:v>
      </x:c>
      <x:c r="D990" s="5" t="n">
        <x:v>44922</x:v>
      </x:c>
      <x:c r="E990" s="2" t="str">
        <x:v>constrained</x:v>
      </x:c>
      <x:c r="F990" s="37" t="n">
        <x:v>13090602.823354429</x:v>
      </x:c>
      <x:c r="G990" s="37" t="n">
        <x:v>115073.33133124787</x:v>
      </x:c>
      <x:c r="H990" s="37" t="n">
        <x:v>21898.824217590016</x:v>
      </x:c>
      <x:c r="I990" s="37" t="n">
        <x:v>93174.50711365786</x:v>
      </x:c>
      <x:c r="J990" s="37" t="n">
        <x:v>10434517.38841435</x:v>
      </x:c>
      <x:c r="K990" s="37" t="n">
        <x:v>10319444.0570831</x:v>
      </x:c>
      <x:c r="L990" s="37" t="n">
        <x:v>13205676.154685676</x:v>
      </x:c>
      <x:c r="M990" s="37" t="n">
        <x:v>0</x:v>
      </x:c>
      <x:c r="N990" s="37" t="n">
        <x:v>0</x:v>
      </x:c>
      <x:c r="O990" s="37" t="n">
        <x:v>2868.780227202922</x:v>
      </x:c>
      <x:c r="P990" s="37" t="n">
        <x:v>0</x:v>
      </x:c>
      <x:c r="Q990" s="37" t="n">
        <x:v>0</x:v>
      </x:c>
      <x:c r="R990" s="37" t="n">
        <x:v>0</x:v>
      </x:c>
      <x:c r="S990" s="37" t="n">
        <x:v>0</x:v>
      </x:c>
      <x:c r="T990" s="37" t="n">
        <x:v>0</x:v>
      </x:c>
      <x:c r="U990" s="37" t="n">
        <x:v>-13346.704870530775</x:v>
      </x:c>
      <x:c r="V990" s="37" t="n">
        <x:v>0</x:v>
      </x:c>
      <x:c r="W990" s="37" t="n">
        <x:v>257425.1544476319</x:v>
      </x:c>
      <x:c r="X990" s="37" t="n">
        <x:v>0</x:v>
      </x:c>
      <x:c r="Y990" s="37" t="n">
        <x:v>2425.773114277156</x:v>
      </x:c>
      <x:c r="Z990" s="37" t="n">
        <x:v>10525832.938224763</x:v>
      </x:c>
      <x:c r="AA990" s="37" t="n">
        <x:v>0</x:v>
      </x:c>
      <x:c r="AB990" s="37" t="n">
        <x:v>10525832.938224763</x:v>
      </x:c>
      <x:c r="AC990" s="37" t="n">
        <x:v>2564769.885129666</x:v>
      </x:c>
      <x:c r="AD990" s="37" t="n">
        <x:v>0</x:v>
      </x:c>
      <x:c r="AE990" s="37" t="n">
        <x:v>0</x:v>
      </x:c>
      <x:c r="AF990" s="47" t="b">
        <x:v>0</x:v>
      </x:c>
      <x:c r="AG990" s="47" t="b">
        <x:v>0</x:v>
      </x:c>
      <x:c r="AH990" s="48" t="n">
        <x:v>0</x:v>
      </x:c>
      <x:c r="AI990" s="48" t="n">
        <x:v>1.1920928955078125e-7</x:v>
      </x:c>
      <x:c r="AJ990" s="37" t="str">
        <x:v>passed</x:v>
      </x:c>
    </x:row>
    <x:row r="991" ht="21" customHeight="1">
      <x:c r="A991" s="2"/>
      <x:c r="B991" s="2"/>
      <x:c r="C991" s="2" t="str">
        <x:v>2022</x:v>
      </x:c>
      <x:c r="D991" s="5" t="n">
        <x:v>44923</x:v>
      </x:c>
      <x:c r="E991" s="2" t="str">
        <x:v>unhedged</x:v>
      </x:c>
      <x:c r="F991" s="37" t="n">
        <x:v>1351504.8685636206</x:v>
      </x:c>
      <x:c r="G991" s="37" t="n">
        <x:v>10386862.186705645</x:v>
      </x:c>
      <x:c r="H991" s="37" t="n">
        <x:v>35925.189166466494</x:v>
      </x:c>
      <x:c r="I991" s="37" t="n">
        <x:v>10350936.99753918</x:v>
      </x:c>
      <x:c r="J991" s="37" t="n">
        <x:v>10386862.186705645</x:v>
      </x:c>
      <x:c r="K991" s="37" t="n">
        <x:v>0</x:v>
      </x:c>
      <x:c r="L991" s="37" t="n">
        <x:v>11738367.055269266</x:v>
      </x:c>
      <x:c r="M991" s="37" t="n">
        <x:v>0</x:v>
      </x:c>
      <x:c r="N991" s="37" t="n">
        <x:v>0</x:v>
      </x:c>
      <x:c r="O991" s="37" t="n">
        <x:v>74.05100370198488</x:v>
      </x:c>
      <x:c r="P991" s="37" t="n">
        <x:v>0</x:v>
      </x:c>
      <x:c r="Q991" s="37" t="n">
        <x:v>0</x:v>
      </x:c>
      <x:c r="R991" s="37" t="n">
        <x:v>0</x:v>
      </x:c>
      <x:c r="S991" s="37" t="n">
        <x:v>0</x:v>
      </x:c>
      <x:c r="T991" s="37" t="n">
        <x:v>0</x:v>
      </x:c>
      <x:c r="U991" s="37" t="n">
        <x:v>127500</x:v>
      </x:c>
      <x:c r="V991" s="37" t="n">
        <x:v>0</x:v>
      </x:c>
      <x:c r="W991" s="37" t="n">
        <x:v>25179.587880346226</x:v>
      </x:c>
      <x:c r="X991" s="37" t="n">
        <x:v>0</x:v>
      </x:c>
      <x:c r="Y991" s="37" t="n">
        <x:v>1174.7193167256753</x:v>
      </x:c>
      <x:c r="Z991" s="37" t="n">
        <x:v>0</x:v>
      </x:c>
      <x:c r="AA991" s="37" t="n">
        <x:v>0</x:v>
      </x:c>
      <x:c r="AB991" s="37" t="n">
        <x:v>0</x:v>
      </x:c>
      <x:c r="AC991" s="37" t="n">
        <x:v>1351504.8685636206</x:v>
      </x:c>
      <x:c r="AD991" s="37" t="n">
        <x:v>0</x:v>
      </x:c>
      <x:c r="AE991" s="37" t="n">
        <x:v>0</x:v>
      </x:c>
      <x:c r="AF991" s="47" t="b">
        <x:v>0</x:v>
      </x:c>
      <x:c r="AG991" s="47" t="b">
        <x:v>0</x:v>
      </x:c>
      <x:c r="AH991" s="48" t="n">
        <x:v>0</x:v>
      </x:c>
      <x:c r="AI991" s="48" t="n">
        <x:v>1.1920928955078125e-7</x:v>
      </x:c>
      <x:c r="AJ991" s="37" t="str">
        <x:v>passed</x:v>
      </x:c>
    </x:row>
    <x:row r="992" ht="21" customHeight="1">
      <x:c r="A992" s="2"/>
      <x:c r="B992" s="2"/>
      <x:c r="C992" s="2" t="str">
        <x:v>2022</x:v>
      </x:c>
      <x:c r="D992" s="5" t="n">
        <x:v>44923</x:v>
      </x:c>
      <x:c r="E992" s="2" t="str">
        <x:v>duration</x:v>
      </x:c>
      <x:c r="F992" s="37" t="n">
        <x:v>9269916.794632545</x:v>
      </x:c>
      <x:c r="G992" s="37" t="n">
        <x:v>3813330.0481313635</x:v>
      </x:c>
      <x:c r="H992" s="37" t="n">
        <x:v>22721.650999501035</x:v>
      </x:c>
      <x:c r="I992" s="37" t="n">
        <x:v>3790608.3971318626</x:v>
      </x:c>
      <x:c r="J992" s="37" t="n">
        <x:v>10386862.186705645</x:v>
      </x:c>
      <x:c r="K992" s="37" t="n">
        <x:v>6573532.138574282</x:v>
      </x:c>
      <x:c r="L992" s="37" t="n">
        <x:v>13083246.842763908</x:v>
      </x:c>
      <x:c r="M992" s="37" t="n">
        <x:v>0</x:v>
      </x:c>
      <x:c r="N992" s="37" t="n">
        <x:v>0</x:v>
      </x:c>
      <x:c r="O992" s="37" t="n">
        <x:v>507.9128154423088</x:v>
      </x:c>
      <x:c r="P992" s="37" t="n">
        <x:v>0</x:v>
      </x:c>
      <x:c r="Q992" s="37" t="n">
        <x:v>0</x:v>
      </x:c>
      <x:c r="R992" s="37" t="n">
        <x:v>0</x:v>
      </x:c>
      <x:c r="S992" s="37" t="n">
        <x:v>0</x:v>
      </x:c>
      <x:c r="T992" s="37" t="n">
        <x:v>0</x:v>
      </x:c>
      <x:c r="U992" s="37" t="n">
        <x:v>13941.618642774301</x:v>
      </x:c>
      <x:c r="V992" s="37" t="n">
        <x:v>0</x:v>
      </x:c>
      <x:c r="W992" s="37" t="n">
        <x:v>183230.2868423164</x:v>
      </x:c>
      <x:c r="X992" s="37" t="n">
        <x:v>0</x:v>
      </x:c>
      <x:c r="Y992" s="37" t="n">
        <x:v>2020.2166044244252</x:v>
      </x:c>
      <x:c r="Z992" s="37" t="n">
        <x:v>6705002.781345768</x:v>
      </x:c>
      <x:c r="AA992" s="37" t="n">
        <x:v>0</x:v>
      </x:c>
      <x:c r="AB992" s="37" t="n">
        <x:v>6705002.781345768</x:v>
      </x:c>
      <x:c r="AC992" s="37" t="n">
        <x:v>2564914.013286777</x:v>
      </x:c>
      <x:c r="AD992" s="37" t="n">
        <x:v>0</x:v>
      </x:c>
      <x:c r="AE992" s="37" t="n">
        <x:v>0</x:v>
      </x:c>
      <x:c r="AF992" s="47" t="b">
        <x:v>0</x:v>
      </x:c>
      <x:c r="AG992" s="47" t="b">
        <x:v>0</x:v>
      </x:c>
      <x:c r="AH992" s="48" t="n">
        <x:v>0</x:v>
      </x:c>
      <x:c r="AI992" s="48" t="n">
        <x:v>1.1920928955078125e-7</x:v>
      </x:c>
      <x:c r="AJ992" s="37" t="str">
        <x:v>passed</x:v>
      </x:c>
    </x:row>
    <x:row r="993" ht="21" customHeight="1">
      <x:c r="A993" s="2"/>
      <x:c r="B993" s="2"/>
      <x:c r="C993" s="2" t="str">
        <x:v>2022</x:v>
      </x:c>
      <x:c r="D993" s="5" t="n">
        <x:v>44923</x:v>
      </x:c>
      <x:c r="E993" s="2" t="str">
        <x:v>unweighted</x:v>
      </x:c>
      <x:c r="F993" s="37" t="n">
        <x:v>12259929.887943828</x:v>
      </x:c>
      <x:c r="G993" s="37" t="n">
        <x:v>854046.159166806</x:v>
      </x:c>
      <x:c r="H993" s="37" t="n">
        <x:v>22496.857419494645</x:v>
      </x:c>
      <x:c r="I993" s="37" t="n">
        <x:v>831549.3017473114</x:v>
      </x:c>
      <x:c r="J993" s="37" t="n">
        <x:v>10416026.766137134</x:v>
      </x:c>
      <x:c r="K993" s="37" t="n">
        <x:v>9561980.606970329</x:v>
      </x:c>
      <x:c r="L993" s="37" t="n">
        <x:v>13113976.047110634</x:v>
      </x:c>
      <x:c r="M993" s="37" t="n">
        <x:v>0</x:v>
      </x:c>
      <x:c r="N993" s="37" t="n">
        <x:v>0</x:v>
      </x:c>
      <x:c r="O993" s="37" t="n">
        <x:v>671.7401724811643</x:v>
      </x:c>
      <x:c r="P993" s="37" t="n">
        <x:v>0</x:v>
      </x:c>
      <x:c r="Q993" s="37" t="n">
        <x:v>0</x:v>
      </x:c>
      <x:c r="R993" s="37" t="n">
        <x:v>0</x:v>
      </x:c>
      <x:c r="S993" s="37" t="n">
        <x:v>0</x:v>
      </x:c>
      <x:c r="T993" s="37" t="n">
        <x:v>0</x:v>
      </x:c>
      <x:c r="U993" s="37" t="n">
        <x:v>-5474.05595196948</x:v>
      </x:c>
      <x:c r="V993" s="37" t="n">
        <x:v>0</x:v>
      </x:c>
      <x:c r="W993" s="37" t="n">
        <x:v>241800.14058934525</x:v>
      </x:c>
      <x:c r="X993" s="37" t="n">
        <x:v>0</x:v>
      </x:c>
      <x:c r="Y993" s="37" t="n">
        <x:v>2354.485312553004</x:v>
      </x:c>
      <x:c r="Z993" s="37" t="n">
        <x:v>9753220.219109736</x:v>
      </x:c>
      <x:c r="AA993" s="37" t="n">
        <x:v>0</x:v>
      </x:c>
      <x:c r="AB993" s="37" t="n">
        <x:v>9753220.219109736</x:v>
      </x:c>
      <x:c r="AC993" s="37" t="n">
        <x:v>2506709.668834092</x:v>
      </x:c>
      <x:c r="AD993" s="37" t="n">
        <x:v>0</x:v>
      </x:c>
      <x:c r="AE993" s="37" t="n">
        <x:v>0</x:v>
      </x:c>
      <x:c r="AF993" s="47" t="b">
        <x:v>0</x:v>
      </x:c>
      <x:c r="AG993" s="47" t="b">
        <x:v>0</x:v>
      </x:c>
      <x:c r="AH993" s="48" t="n">
        <x:v>0</x:v>
      </x:c>
      <x:c r="AI993" s="48" t="n">
        <x:v>1.1920928955078125e-7</x:v>
      </x:c>
      <x:c r="AJ993" s="37" t="str">
        <x:v>passed</x:v>
      </x:c>
    </x:row>
    <x:row r="994" ht="21" customHeight="1">
      <x:c r="A994" s="2"/>
      <x:c r="B994" s="2"/>
      <x:c r="C994" s="2" t="str">
        <x:v>2022</x:v>
      </x:c>
      <x:c r="D994" s="5" t="n">
        <x:v>44923</x:v>
      </x:c>
      <x:c r="E994" s="2" t="str">
        <x:v>constrained</x:v>
      </x:c>
      <x:c r="F994" s="37" t="n">
        <x:v>13091320.11665982</x:v>
      </x:c>
      <x:c r="G994" s="37" t="n">
        <x:v>115088.27847027694</x:v>
      </x:c>
      <x:c r="H994" s="37" t="n">
        <x:v>21860.200398490848</x:v>
      </x:c>
      <x:c r="I994" s="37" t="n">
        <x:v>93228.07807178609</x:v>
      </x:c>
      <x:c r="J994" s="37" t="n">
        <x:v>10419612.539514696</x:v>
      </x:c>
      <x:c r="K994" s="37" t="n">
        <x:v>10304524.26104442</x:v>
      </x:c>
      <x:c r="L994" s="37" t="n">
        <x:v>13206408.395130098</x:v>
      </x:c>
      <x:c r="M994" s="37" t="n">
        <x:v>0</x:v>
      </x:c>
      <x:c r="N994" s="37" t="n">
        <x:v>0</x:v>
      </x:c>
      <x:c r="O994" s="37" t="n">
        <x:v>717.2933053914458</x:v>
      </x:c>
      <x:c r="P994" s="37" t="n">
        <x:v>0</x:v>
      </x:c>
      <x:c r="Q994" s="37" t="n">
        <x:v>0</x:v>
      </x:c>
      <x:c r="R994" s="37" t="n">
        <x:v>0</x:v>
      </x:c>
      <x:c r="S994" s="37" t="n">
        <x:v>0</x:v>
      </x:c>
      <x:c r="T994" s="37" t="n">
        <x:v>0</x:v>
      </x:c>
      <x:c r="U994" s="37" t="n">
        <x:v>-13346.704870530775</x:v>
      </x:c>
      <x:c r="V994" s="37" t="n">
        <x:v>0</x:v>
      </x:c>
      <x:c r="W994" s="37" t="n">
        <x:v>258142.44775302336</x:v>
      </x:c>
      <x:c r="X994" s="37" t="n">
        <x:v>0</x:v>
      </x:c>
      <x:c r="Y994" s="37" t="n">
        <x:v>2425.773114277156</x:v>
      </x:c>
      <x:c r="Z994" s="37" t="n">
        <x:v>10510614.746265309</x:v>
      </x:c>
      <x:c r="AA994" s="37" t="n">
        <x:v>0</x:v>
      </x:c>
      <x:c r="AB994" s="37" t="n">
        <x:v>10510614.746265309</x:v>
      </x:c>
      <x:c r="AC994" s="37" t="n">
        <x:v>2580705.370394511</x:v>
      </x:c>
      <x:c r="AD994" s="37" t="n">
        <x:v>0</x:v>
      </x:c>
      <x:c r="AE994" s="37" t="n">
        <x:v>0</x:v>
      </x:c>
      <x:c r="AF994" s="47" t="b">
        <x:v>0</x:v>
      </x:c>
      <x:c r="AG994" s="47" t="b">
        <x:v>0</x:v>
      </x:c>
      <x:c r="AH994" s="48" t="n">
        <x:v>0</x:v>
      </x:c>
      <x:c r="AI994" s="48" t="n">
        <x:v>1.1920928955078125e-7</x:v>
      </x:c>
      <x:c r="AJ994" s="37" t="str">
        <x:v>passed</x:v>
      </x:c>
    </x:row>
    <x:row r="995" ht="21" customHeight="1">
      <x:c r="A995" s="2"/>
      <x:c r="B995" s="2"/>
      <x:c r="C995" s="2" t="str">
        <x:v>2022</x:v>
      </x:c>
      <x:c r="D995" s="5" t="n">
        <x:v>44924</x:v>
      </x:c>
      <x:c r="E995" s="2" t="str">
        <x:v>unhedged</x:v>
      </x:c>
      <x:c r="F995" s="37" t="n">
        <x:v>1351578.923624912</x:v>
      </x:c>
      <x:c r="G995" s="37" t="n">
        <x:v>10405770.212333692</x:v>
      </x:c>
      <x:c r="H995" s="37" t="n">
        <x:v>36274.021138601966</x:v>
      </x:c>
      <x:c r="I995" s="37" t="n">
        <x:v>10369496.19119509</x:v>
      </x:c>
      <x:c r="J995" s="37" t="n">
        <x:v>10405770.212333692</x:v>
      </x:c>
      <x:c r="K995" s="37" t="n">
        <x:v>0</x:v>
      </x:c>
      <x:c r="L995" s="37" t="n">
        <x:v>11757349.135958605</x:v>
      </x:c>
      <x:c r="M995" s="37" t="n">
        <x:v>0</x:v>
      </x:c>
      <x:c r="N995" s="37" t="n">
        <x:v>0</x:v>
      </x:c>
      <x:c r="O995" s="37" t="n">
        <x:v>74.0550612914376</x:v>
      </x:c>
      <x:c r="P995" s="37" t="n">
        <x:v>0</x:v>
      </x:c>
      <x:c r="Q995" s="37" t="n">
        <x:v>0</x:v>
      </x:c>
      <x:c r="R995" s="37" t="n">
        <x:v>0</x:v>
      </x:c>
      <x:c r="S995" s="37" t="n">
        <x:v>0</x:v>
      </x:c>
      <x:c r="T995" s="37" t="n">
        <x:v>0</x:v>
      </x:c>
      <x:c r="U995" s="37" t="n">
        <x:v>127500</x:v>
      </x:c>
      <x:c r="V995" s="37" t="n">
        <x:v>0</x:v>
      </x:c>
      <x:c r="W995" s="37" t="n">
        <x:v>25253.642941637663</x:v>
      </x:c>
      <x:c r="X995" s="37" t="n">
        <x:v>0</x:v>
      </x:c>
      <x:c r="Y995" s="37" t="n">
        <x:v>1174.7193167256753</x:v>
      </x:c>
      <x:c r="Z995" s="37" t="n">
        <x:v>0</x:v>
      </x:c>
      <x:c r="AA995" s="37" t="n">
        <x:v>0</x:v>
      </x:c>
      <x:c r="AB995" s="37" t="n">
        <x:v>0</x:v>
      </x:c>
      <x:c r="AC995" s="37" t="n">
        <x:v>1351578.923624912</x:v>
      </x:c>
      <x:c r="AD995" s="37" t="n">
        <x:v>0</x:v>
      </x:c>
      <x:c r="AE995" s="37" t="n">
        <x:v>0</x:v>
      </x:c>
      <x:c r="AF995" s="47" t="b">
        <x:v>0</x:v>
      </x:c>
      <x:c r="AG995" s="47" t="b">
        <x:v>0</x:v>
      </x:c>
      <x:c r="AH995" s="48" t="n">
        <x:v>0</x:v>
      </x:c>
      <x:c r="AI995" s="48" t="n">
        <x:v>1.1920928955078125e-7</x:v>
      </x:c>
      <x:c r="AJ995" s="37" t="str">
        <x:v>passed</x:v>
      </x:c>
    </x:row>
    <x:row r="996" ht="21" customHeight="1">
      <x:c r="A996" s="2"/>
      <x:c r="B996" s="2"/>
      <x:c r="C996" s="2" t="str">
        <x:v>2022</x:v>
      </x:c>
      <x:c r="D996" s="5" t="n">
        <x:v>44924</x:v>
      </x:c>
      <x:c r="E996" s="2" t="str">
        <x:v>duration</x:v>
      </x:c>
      <x:c r="F996" s="37" t="n">
        <x:v>9270424.735278826</x:v>
      </x:c>
      <x:c r="G996" s="37" t="n">
        <x:v>3808854.2782450244</x:v>
      </x:c>
      <x:c r="H996" s="37" t="n">
        <x:v>22763.42394449778</x:v>
      </x:c>
      <x:c r="I996" s="37" t="n">
        <x:v>3786090.8543005264</x:v>
      </x:c>
      <x:c r="J996" s="37" t="n">
        <x:v>10405770.212333692</x:v>
      </x:c>
      <x:c r="K996" s="37" t="n">
        <x:v>6596915.934088668</x:v>
      </x:c>
      <x:c r="L996" s="37" t="n">
        <x:v>13079279.01352385</x:v>
      </x:c>
      <x:c r="M996" s="37" t="n">
        <x:v>0</x:v>
      </x:c>
      <x:c r="N996" s="37" t="n">
        <x:v>0</x:v>
      </x:c>
      <x:c r="O996" s="37" t="n">
        <x:v>507.9406462814659</x:v>
      </x:c>
      <x:c r="P996" s="37" t="n">
        <x:v>0</x:v>
      </x:c>
      <x:c r="Q996" s="37" t="n">
        <x:v>0</x:v>
      </x:c>
      <x:c r="R996" s="37" t="n">
        <x:v>0</x:v>
      </x:c>
      <x:c r="S996" s="37" t="n">
        <x:v>0</x:v>
      </x:c>
      <x:c r="T996" s="37" t="n">
        <x:v>0</x:v>
      </x:c>
      <x:c r="U996" s="37" t="n">
        <x:v>13941.618642774301</x:v>
      </x:c>
      <x:c r="V996" s="37" t="n">
        <x:v>0</x:v>
      </x:c>
      <x:c r="W996" s="37" t="n">
        <x:v>183738.22748859785</x:v>
      </x:c>
      <x:c r="X996" s="37" t="n">
        <x:v>0</x:v>
      </x:c>
      <x:c r="Y996" s="37" t="n">
        <x:v>2020.2166044244252</x:v>
      </x:c>
      <x:c r="Z996" s="37" t="n">
        <x:v>6728854.252770442</x:v>
      </x:c>
      <x:c r="AA996" s="37" t="n">
        <x:v>0</x:v>
      </x:c>
      <x:c r="AB996" s="37" t="n">
        <x:v>6728854.252770442</x:v>
      </x:c>
      <x:c r="AC996" s="37" t="n">
        <x:v>2541570.4825083846</x:v>
      </x:c>
      <x:c r="AD996" s="37" t="n">
        <x:v>0</x:v>
      </x:c>
      <x:c r="AE996" s="37" t="n">
        <x:v>0</x:v>
      </x:c>
      <x:c r="AF996" s="47" t="b">
        <x:v>0</x:v>
      </x:c>
      <x:c r="AG996" s="47" t="b">
        <x:v>0</x:v>
      </x:c>
      <x:c r="AH996" s="48" t="n">
        <x:v>0</x:v>
      </x:c>
      <x:c r="AI996" s="48" t="n">
        <x:v>1.1920928955078125e-7</x:v>
      </x:c>
      <x:c r="AJ996" s="37" t="str">
        <x:v>passed</x:v>
      </x:c>
    </x:row>
    <x:row r="997" ht="21" customHeight="1">
      <x:c r="A997" s="2"/>
      <x:c r="B997" s="2"/>
      <x:c r="C997" s="2" t="str">
        <x:v>2022</x:v>
      </x:c>
      <x:c r="D997" s="5" t="n">
        <x:v>44924</x:v>
      </x:c>
      <x:c r="E997" s="2" t="str">
        <x:v>unweighted</x:v>
      </x:c>
      <x:c r="F997" s="37" t="n">
        <x:v>12260601.664923988</x:v>
      </x:c>
      <x:c r="G997" s="37" t="n">
        <x:v>854600.163581664</x:v>
      </x:c>
      <x:c r="H997" s="37" t="n">
        <x:v>22479.080387466347</x:v>
      </x:c>
      <x:c r="I997" s="37" t="n">
        <x:v>832121.0831941976</x:v>
      </x:c>
      <x:c r="J997" s="37" t="n">
        <x:v>10435146.427573651</x:v>
      </x:c>
      <x:c r="K997" s="37" t="n">
        <x:v>9580546.263991987</x:v>
      </x:c>
      <x:c r="L997" s="37" t="n">
        <x:v>13115201.828505652</x:v>
      </x:c>
      <x:c r="M997" s="37" t="n">
        <x:v>0</x:v>
      </x:c>
      <x:c r="N997" s="37" t="n">
        <x:v>0</x:v>
      </x:c>
      <x:c r="O997" s="37" t="n">
        <x:v>671.7769801598042</x:v>
      </x:c>
      <x:c r="P997" s="37" t="n">
        <x:v>0</x:v>
      </x:c>
      <x:c r="Q997" s="37" t="n">
        <x:v>0</x:v>
      </x:c>
      <x:c r="R997" s="37" t="n">
        <x:v>0</x:v>
      </x:c>
      <x:c r="S997" s="37" t="n">
        <x:v>0</x:v>
      </x:c>
      <x:c r="T997" s="37" t="n">
        <x:v>0</x:v>
      </x:c>
      <x:c r="U997" s="37" t="n">
        <x:v>-5474.05595196948</x:v>
      </x:c>
      <x:c r="V997" s="37" t="n">
        <x:v>0</x:v>
      </x:c>
      <x:c r="W997" s="37" t="n">
        <x:v>242471.91756950505</x:v>
      </x:c>
      <x:c r="X997" s="37" t="n">
        <x:v>0</x:v>
      </x:c>
      <x:c r="Y997" s="37" t="n">
        <x:v>2354.485312553004</x:v>
      </x:c>
      <x:c r="Z997" s="37" t="n">
        <x:v>9772157.189271828</x:v>
      </x:c>
      <x:c r="AA997" s="37" t="n">
        <x:v>0</x:v>
      </x:c>
      <x:c r="AB997" s="37" t="n">
        <x:v>9772157.189271828</x:v>
      </x:c>
      <x:c r="AC997" s="37" t="n">
        <x:v>2488444.47565216</x:v>
      </x:c>
      <x:c r="AD997" s="37" t="n">
        <x:v>0</x:v>
      </x:c>
      <x:c r="AE997" s="37" t="n">
        <x:v>0</x:v>
      </x:c>
      <x:c r="AF997" s="47" t="b">
        <x:v>0</x:v>
      </x:c>
      <x:c r="AG997" s="47" t="b">
        <x:v>0</x:v>
      </x:c>
      <x:c r="AH997" s="48" t="n">
        <x:v>0</x:v>
      </x:c>
      <x:c r="AI997" s="48" t="n">
        <x:v>1.1920928955078125e-7</x:v>
      </x:c>
      <x:c r="AJ997" s="37" t="str">
        <x:v>passed</x:v>
      </x:c>
    </x:row>
    <x:row r="998" ht="21" customHeight="1">
      <x:c r="A998" s="2"/>
      <x:c r="B998" s="2"/>
      <x:c r="C998" s="2" t="str">
        <x:v>2022</x:v>
      </x:c>
      <x:c r="D998" s="5" t="n">
        <x:v>44924</x:v>
      </x:c>
      <x:c r="E998" s="2" t="str">
        <x:v>constrained</x:v>
      </x:c>
      <x:c r="F998" s="37" t="n">
        <x:v>13092037.44926895</x:v>
      </x:c>
      <x:c r="G998" s="37" t="n">
        <x:v>115145.4652551105</x:v>
      </x:c>
      <x:c r="H998" s="37" t="n">
        <x:v>21821.576579391673</x:v>
      </x:c>
      <x:c r="I998" s="37" t="n">
        <x:v>93323.88867571883</x:v>
      </x:c>
      <x:c r="J998" s="37" t="n">
        <x:v>10438755.432792695</x:v>
      </x:c>
      <x:c r="K998" s="37" t="n">
        <x:v>10323609.967537586</x:v>
      </x:c>
      <x:c r="L998" s="37" t="n">
        <x:v>13207182.91452406</x:v>
      </x:c>
      <x:c r="M998" s="37" t="n">
        <x:v>0</x:v>
      </x:c>
      <x:c r="N998" s="37" t="n">
        <x:v>0</x:v>
      </x:c>
      <x:c r="O998" s="37" t="n">
        <x:v>717.3326091300696</x:v>
      </x:c>
      <x:c r="P998" s="37" t="n">
        <x:v>0</x:v>
      </x:c>
      <x:c r="Q998" s="37" t="n">
        <x:v>0</x:v>
      </x:c>
      <x:c r="R998" s="37" t="n">
        <x:v>0</x:v>
      </x:c>
      <x:c r="S998" s="37" t="n">
        <x:v>0</x:v>
      </x:c>
      <x:c r="T998" s="37" t="n">
        <x:v>0</x:v>
      </x:c>
      <x:c r="U998" s="37" t="n">
        <x:v>-13346.704870530775</x:v>
      </x:c>
      <x:c r="V998" s="37" t="n">
        <x:v>0</x:v>
      </x:c>
      <x:c r="W998" s="37" t="n">
        <x:v>258859.78036215343</x:v>
      </x:c>
      <x:c r="X998" s="37" t="n">
        <x:v>0</x:v>
      </x:c>
      <x:c r="Y998" s="37" t="n">
        <x:v>2425.773114277156</x:v>
      </x:c>
      <x:c r="Z998" s="37" t="n">
        <x:v>10530082.166888338</x:v>
      </x:c>
      <x:c r="AA998" s="37" t="n">
        <x:v>0</x:v>
      </x:c>
      <x:c r="AB998" s="37" t="n">
        <x:v>10530082.166888338</x:v>
      </x:c>
      <x:c r="AC998" s="37" t="n">
        <x:v>2561955.2823806126</x:v>
      </x:c>
      <x:c r="AD998" s="37" t="n">
        <x:v>0</x:v>
      </x:c>
      <x:c r="AE998" s="37" t="n">
        <x:v>0</x:v>
      </x:c>
      <x:c r="AF998" s="47" t="b">
        <x:v>0</x:v>
      </x:c>
      <x:c r="AG998" s="47" t="b">
        <x:v>0</x:v>
      </x:c>
      <x:c r="AH998" s="48" t="n">
        <x:v>0</x:v>
      </x:c>
      <x:c r="AI998" s="48" t="n">
        <x:v>1.1920928955078125e-7</x:v>
      </x:c>
      <x:c r="AJ998" s="37" t="str">
        <x:v>passed</x:v>
      </x:c>
    </x:row>
    <x:row r="999" ht="21" customHeight="1">
      <x:c r="A999" s="2"/>
      <x:c r="B999" s="2"/>
      <x:c r="C999" s="2" t="str">
        <x:v>2022</x:v>
      </x:c>
      <x:c r="D999" s="5" t="n">
        <x:v>44925</x:v>
      </x:c>
      <x:c r="E999" s="2" t="str">
        <x:v>unhedged</x:v>
      </x:c>
      <x:c r="F999" s="37" t="n">
        <x:v>1351652.9827440148</x:v>
      </x:c>
      <x:c r="G999" s="37" t="n">
        <x:v>10381128.789404817</x:v>
      </x:c>
      <x:c r="H999" s="37" t="n">
        <x:v>36622.85311073745</x:v>
      </x:c>
      <x:c r="I999" s="37" t="n">
        <x:v>10344505.936294079</x:v>
      </x:c>
      <x:c r="J999" s="37" t="n">
        <x:v>10381128.789404817</x:v>
      </x:c>
      <x:c r="K999" s="37" t="n">
        <x:v>0</x:v>
      </x:c>
      <x:c r="L999" s="37" t="n">
        <x:v>11732781.772148833</x:v>
      </x:c>
      <x:c r="M999" s="37" t="n">
        <x:v>0</x:v>
      </x:c>
      <x:c r="N999" s="37" t="n">
        <x:v>0</x:v>
      </x:c>
      <x:c r="O999" s="37" t="n">
        <x:v>74.05911910277791</x:v>
      </x:c>
      <x:c r="P999" s="37" t="n">
        <x:v>0</x:v>
      </x:c>
      <x:c r="Q999" s="37" t="n">
        <x:v>0</x:v>
      </x:c>
      <x:c r="R999" s="37" t="n">
        <x:v>0</x:v>
      </x:c>
      <x:c r="S999" s="37" t="n">
        <x:v>0</x:v>
      </x:c>
      <x:c r="T999" s="37" t="n">
        <x:v>0</x:v>
      </x:c>
      <x:c r="U999" s="37" t="n">
        <x:v>127500</x:v>
      </x:c>
      <x:c r="V999" s="37" t="n">
        <x:v>0</x:v>
      </x:c>
      <x:c r="W999" s="37" t="n">
        <x:v>25327.70206074044</x:v>
      </x:c>
      <x:c r="X999" s="37" t="n">
        <x:v>0</x:v>
      </x:c>
      <x:c r="Y999" s="37" t="n">
        <x:v>1174.7193167256753</x:v>
      </x:c>
      <x:c r="Z999" s="37" t="n">
        <x:v>0</x:v>
      </x:c>
      <x:c r="AA999" s="37" t="n">
        <x:v>0</x:v>
      </x:c>
      <x:c r="AB999" s="37" t="n">
        <x:v>0</x:v>
      </x:c>
      <x:c r="AC999" s="37" t="n">
        <x:v>1351652.9827440148</x:v>
      </x:c>
      <x:c r="AD999" s="37" t="n">
        <x:v>0</x:v>
      </x:c>
      <x:c r="AE999" s="37" t="n">
        <x:v>0</x:v>
      </x:c>
      <x:c r="AF999" s="47" t="b">
        <x:v>0</x:v>
      </x:c>
      <x:c r="AG999" s="47" t="b">
        <x:v>0</x:v>
      </x:c>
      <x:c r="AH999" s="48" t="n">
        <x:v>0</x:v>
      </x:c>
      <x:c r="AI999" s="48" t="n">
        <x:v>1.1920928955078125e-7</x:v>
      </x:c>
      <x:c r="AJ999" s="37" t="str">
        <x:v>passed</x:v>
      </x:c>
    </x:row>
    <x:row r="1000" ht="21" customHeight="1">
      <x:c r="A1000" s="2"/>
      <x:c r="B1000" s="2"/>
      <x:c r="C1000" s="2" t="str">
        <x:v>2022</x:v>
      </x:c>
      <x:c r="D1000" s="5" t="n">
        <x:v>44925</x:v>
      </x:c>
      <x:c r="E1000" s="2" t="str">
        <x:v>duration</x:v>
      </x:c>
      <x:c r="F1000" s="37" t="n">
        <x:v>9270932.703757472</x:v>
      </x:c>
      <x:c r="G1000" s="37" t="n">
        <x:v>3807926.210220448</x:v>
      </x:c>
      <x:c r="H1000" s="37" t="n">
        <x:v>22805.19688949453</x:v>
      </x:c>
      <x:c r="I1000" s="37" t="n">
        <x:v>3785121.0133309537</x:v>
      </x:c>
      <x:c r="J1000" s="37" t="n">
        <x:v>10381128.789404817</x:v>
      </x:c>
      <x:c r="K1000" s="37" t="n">
        <x:v>6573202.579184368</x:v>
      </x:c>
      <x:c r="L1000" s="37" t="n">
        <x:v>13078858.913977921</x:v>
      </x:c>
      <x:c r="M1000" s="37" t="n">
        <x:v>0</x:v>
      </x:c>
      <x:c r="N1000" s="37" t="n">
        <x:v>0</x:v>
      </x:c>
      <x:c r="O1000" s="37" t="n">
        <x:v>507.96847864612937</x:v>
      </x:c>
      <x:c r="P1000" s="37" t="n">
        <x:v>0</x:v>
      </x:c>
      <x:c r="Q1000" s="37" t="n">
        <x:v>0</x:v>
      </x:c>
      <x:c r="R1000" s="37" t="n">
        <x:v>0</x:v>
      </x:c>
      <x:c r="S1000" s="37" t="n">
        <x:v>0</x:v>
      </x:c>
      <x:c r="T1000" s="37" t="n">
        <x:v>0</x:v>
      </x:c>
      <x:c r="U1000" s="37" t="n">
        <x:v>13941.618642774301</x:v>
      </x:c>
      <x:c r="V1000" s="37" t="n">
        <x:v>0</x:v>
      </x:c>
      <x:c r="W1000" s="37" t="n">
        <x:v>184246.19596724398</x:v>
      </x:c>
      <x:c r="X1000" s="37" t="n">
        <x:v>0</x:v>
      </x:c>
      <x:c r="Y1000" s="37" t="n">
        <x:v>2020.2166044244252</x:v>
      </x:c>
      <x:c r="Z1000" s="37" t="n">
        <x:v>6704666.630768056</x:v>
      </x:c>
      <x:c r="AA1000" s="37" t="n">
        <x:v>0</x:v>
      </x:c>
      <x:c r="AB1000" s="37" t="n">
        <x:v>6704666.630768056</x:v>
      </x:c>
      <x:c r="AC1000" s="37" t="n">
        <x:v>2566266.0729894163</x:v>
      </x:c>
      <x:c r="AD1000" s="37" t="n">
        <x:v>0</x:v>
      </x:c>
      <x:c r="AE1000" s="37" t="n">
        <x:v>0</x:v>
      </x:c>
      <x:c r="AF1000" s="47" t="b">
        <x:v>0</x:v>
      </x:c>
      <x:c r="AG1000" s="47" t="b">
        <x:v>0</x:v>
      </x:c>
      <x:c r="AH1000" s="48" t="n">
        <x:v>0</x:v>
      </x:c>
      <x:c r="AI1000" s="48" t="n">
        <x:v>1.1920928955078125e-7</x:v>
      </x:c>
      <x:c r="AJ1000" s="37" t="str">
        <x:v>passed</x:v>
      </x:c>
    </x:row>
    <x:row r="1001" ht="21" customHeight="1">
      <x:c r="A1001" s="2"/>
      <x:c r="B1001" s="2"/>
      <x:c r="C1001" s="2" t="str">
        <x:v>2022</x:v>
      </x:c>
      <x:c r="D1001" s="5" t="n">
        <x:v>44925</x:v>
      </x:c>
      <x:c r="E1001" s="2" t="str">
        <x:v>unweighted</x:v>
      </x:c>
      <x:c r="F1001" s="37" t="n">
        <x:v>12261273.478713848</x:v>
      </x:c>
      <x:c r="G1001" s="37" t="n">
        <x:v>853585.805185</x:v>
      </x:c>
      <x:c r="H1001" s="37" t="n">
        <x:v>22461.303355438056</x:v>
      </x:c>
      <x:c r="I1001" s="37" t="n">
        <x:v>831124.5018295619</x:v>
      </x:c>
      <x:c r="J1001" s="37" t="n">
        <x:v>10410295.49755774</x:v>
      </x:c>
      <x:c r="K1001" s="37" t="n">
        <x:v>9556709.692372741</x:v>
      </x:c>
      <x:c r="L1001" s="37" t="n">
        <x:v>13114859.283898847</x:v>
      </x:c>
      <x:c r="M1001" s="37" t="n">
        <x:v>0</x:v>
      </x:c>
      <x:c r="N1001" s="37" t="n">
        <x:v>0</x:v>
      </x:c>
      <x:c r="O1001" s="37" t="n">
        <x:v>671.8137898594141</x:v>
      </x:c>
      <x:c r="P1001" s="37" t="n">
        <x:v>0</x:v>
      </x:c>
      <x:c r="Q1001" s="37" t="n">
        <x:v>0</x:v>
      </x:c>
      <x:c r="R1001" s="37" t="n">
        <x:v>0</x:v>
      </x:c>
      <x:c r="S1001" s="37" t="n">
        <x:v>0</x:v>
      </x:c>
      <x:c r="T1001" s="37" t="n">
        <x:v>0</x:v>
      </x:c>
      <x:c r="U1001" s="37" t="n">
        <x:v>-5474.05595196948</x:v>
      </x:c>
      <x:c r="V1001" s="37" t="n">
        <x:v>0</x:v>
      </x:c>
      <x:c r="W1001" s="37" t="n">
        <x:v>243143.73135936446</x:v>
      </x:c>
      <x:c r="X1001" s="37" t="n">
        <x:v>0</x:v>
      </x:c>
      <x:c r="Y1001" s="37" t="n">
        <x:v>2354.485312553004</x:v>
      </x:c>
      <x:c r="Z1001" s="37" t="n">
        <x:v>9747843.886220196</x:v>
      </x:c>
      <x:c r="AA1001" s="37" t="n">
        <x:v>0</x:v>
      </x:c>
      <x:c r="AB1001" s="37" t="n">
        <x:v>9747843.886220196</x:v>
      </x:c>
      <x:c r="AC1001" s="37" t="n">
        <x:v>2513429.5924936514</x:v>
      </x:c>
      <x:c r="AD1001" s="37" t="n">
        <x:v>0</x:v>
      </x:c>
      <x:c r="AE1001" s="37" t="n">
        <x:v>0</x:v>
      </x:c>
      <x:c r="AF1001" s="47" t="b">
        <x:v>0</x:v>
      </x:c>
      <x:c r="AG1001" s="47" t="b">
        <x:v>0</x:v>
      </x:c>
      <x:c r="AH1001" s="48" t="n">
        <x:v>0</x:v>
      </x:c>
      <x:c r="AI1001" s="48" t="n">
        <x:v>1.1920928955078125e-7</x:v>
      </x:c>
      <x:c r="AJ1001" s="37" t="str">
        <x:v>passed</x:v>
      </x:c>
    </x:row>
    <x:row r="1002" ht="21" customHeight="1">
      <x:c r="A1002" s="2"/>
      <x:c r="B1002" s="2"/>
      <x:c r="C1002" s="2" t="str">
        <x:v>2022</x:v>
      </x:c>
      <x:c r="D1002" s="5" t="n">
        <x:v>44925</x:v>
      </x:c>
      <x:c r="E1002" s="2" t="str">
        <x:v>constrained</x:v>
      </x:c>
      <x:c r="F1002" s="37" t="n">
        <x:v>13092754.82118398</x:v>
      </x:c>
      <x:c r="G1002" s="37" t="n">
        <x:v>115208.53213950279</x:v>
      </x:c>
      <x:c r="H1002" s="37" t="n">
        <x:v>21782.952760292508</x:v>
      </x:c>
      <x:c r="I1002" s="37" t="n">
        <x:v>93425.57937921028</x:v>
      </x:c>
      <x:c r="J1002" s="37" t="n">
        <x:v>10413879.597966759</x:v>
      </x:c>
      <x:c r="K1002" s="37" t="n">
        <x:v>10298671.065827256</x:v>
      </x:c>
      <x:c r="L1002" s="37" t="n">
        <x:v>13207963.353323482</x:v>
      </x:c>
      <x:c r="M1002" s="37" t="n">
        <x:v>0</x:v>
      </x:c>
      <x:c r="N1002" s="37" t="n">
        <x:v>0</x:v>
      </x:c>
      <x:c r="O1002" s="37" t="n">
        <x:v>717.3719150293618</x:v>
      </x:c>
      <x:c r="P1002" s="37" t="n">
        <x:v>0</x:v>
      </x:c>
      <x:c r="Q1002" s="37" t="n">
        <x:v>0</x:v>
      </x:c>
      <x:c r="R1002" s="37" t="n">
        <x:v>0</x:v>
      </x:c>
      <x:c r="S1002" s="37" t="n">
        <x:v>0</x:v>
      </x:c>
      <x:c r="T1002" s="37" t="n">
        <x:v>0</x:v>
      </x:c>
      <x:c r="U1002" s="37" t="n">
        <x:v>-13346.704870530775</x:v>
      </x:c>
      <x:c r="V1002" s="37" t="n">
        <x:v>0</x:v>
      </x:c>
      <x:c r="W1002" s="37" t="n">
        <x:v>259577.1522771828</x:v>
      </x:c>
      <x:c r="X1002" s="37" t="n">
        <x:v>0</x:v>
      </x:c>
      <x:c r="Y1002" s="37" t="n">
        <x:v>2425.773114277156</x:v>
      </x:c>
      <x:c r="Z1002" s="37" t="n">
        <x:v>10504644.487143802</x:v>
      </x:c>
      <x:c r="AA1002" s="37" t="n">
        <x:v>0</x:v>
      </x:c>
      <x:c r="AB1002" s="37" t="n">
        <x:v>10504644.487143802</x:v>
      </x:c>
      <x:c r="AC1002" s="37" t="n">
        <x:v>2588110.334040178</x:v>
      </x:c>
      <x:c r="AD1002" s="37" t="n">
        <x:v>0</x:v>
      </x:c>
      <x:c r="AE1002" s="37" t="n">
        <x:v>0</x:v>
      </x:c>
      <x:c r="AF1002" s="47" t="b">
        <x:v>0</x:v>
      </x:c>
      <x:c r="AG1002" s="47" t="b">
        <x:v>0</x:v>
      </x:c>
      <x:c r="AH1002" s="48" t="n">
        <x:v>0</x:v>
      </x:c>
      <x:c r="AI1002" s="48" t="n">
        <x:v>1.1920928955078125e-7</x:v>
      </x:c>
      <x:c r="AJ1002" s="37" t="str">
        <x:v>passed</x:v>
      </x:c>
    </x:row>
    <x:row r="1003" ht="21" customHeight="1">
      <x:c r="A1003" s="2"/>
      <x:c r="B1003" s="2"/>
      <x:c r="C1003" s="2" t="str">
        <x:v>2023</x:v>
      </x:c>
      <x:c r="D1003" s="5" t="n">
        <x:v>44929</x:v>
      </x:c>
      <x:c r="E1003" s="2" t="str">
        <x:v>unhedged</x:v>
      </x:c>
      <x:c r="F1003" s="37" t="n">
        <x:v>1198957.1306578778</x:v>
      </x:c>
      <x:c r="G1003" s="37" t="n">
        <x:v>10428693.421221789</x:v>
      </x:c>
      <x:c r="H1003" s="37" t="n">
        <x:v>38018.180999279364</x:v>
      </x:c>
      <x:c r="I1003" s="37" t="n">
        <x:v>10390675.24022251</x:v>
      </x:c>
      <x:c r="J1003" s="37" t="n">
        <x:v>10428693.421221789</x:v>
      </x:c>
      <x:c r="K1003" s="37" t="n">
        <x:v>0</x:v>
      </x:c>
      <x:c r="L1003" s="37" t="n">
        <x:v>11627650.551879667</x:v>
      </x:c>
      <x:c r="M1003" s="37" t="n">
        <x:v>0</x:v>
      </x:c>
      <x:c r="N1003" s="37" t="n">
        <x:v>0</x:v>
      </x:c>
      <x:c r="O1003" s="37" t="n">
        <x:v>0</x:v>
      </x:c>
      <x:c r="P1003" s="37" t="n">
        <x:v>0</x:v>
      </x:c>
      <x:c r="Q1003" s="37" t="n">
        <x:v>1042.869342122179</x:v>
      </x:c>
      <x:c r="R1003" s="37" t="n">
        <x:v>-10428693.421221789</x:v>
      </x:c>
      <x:c r="S1003" s="37" t="n">
        <x:v>10428693.421221789</x:v>
      </x:c>
      <x:c r="T1003" s="37" t="n">
        <x:v>11628693.421221789</x:v>
      </x:c>
      <x:c r="U1003" s="37" t="n">
        <x:v>0</x:v>
      </x:c>
      <x:c r="V1003" s="37" t="n">
        <x:v>0</x:v>
      </x:c>
      <x:c r="W1003" s="37" t="n">
        <x:v>0</x:v>
      </x:c>
      <x:c r="X1003" s="37" t="n">
        <x:v>0</x:v>
      </x:c>
      <x:c r="Y1003" s="37" t="n">
        <x:v>1042.869342122179</x:v>
      </x:c>
      <x:c r="Z1003" s="37" t="n">
        <x:v>0</x:v>
      </x:c>
      <x:c r="AA1003" s="37" t="n">
        <x:v>0</x:v>
      </x:c>
      <x:c r="AB1003" s="37" t="n">
        <x:v>0</x:v>
      </x:c>
      <x:c r="AC1003" s="37" t="n">
        <x:v>1198957.1306578778</x:v>
      </x:c>
      <x:c r="AD1003" s="37" t="n">
        <x:v>0</x:v>
      </x:c>
      <x:c r="AE1003" s="37" t="n">
        <x:v>0</x:v>
      </x:c>
      <x:c r="AF1003" s="47" t="b">
        <x:v>0</x:v>
      </x:c>
      <x:c r="AG1003" s="47" t="b">
        <x:v>0</x:v>
      </x:c>
      <x:c r="AH1003" s="48" t="n">
        <x:v>-4.7975845518521965e-11</x:v>
      </x:c>
      <x:c r="AI1003" s="48" t="n">
        <x:v>1.1920928955078125e-7</x:v>
      </x:c>
      <x:c r="AJ1003" s="37" t="str">
        <x:v>passed</x:v>
      </x:c>
    </x:row>
    <x:row r="1004" ht="21" customHeight="1">
      <x:c r="A1004" s="2"/>
      <x:c r="B1004" s="2"/>
      <x:c r="C1004" s="2" t="str">
        <x:v>2023</x:v>
      </x:c>
      <x:c r="D1004" s="5" t="n">
        <x:v>44929</x:v>
      </x:c>
      <x:c r="E1004" s="2" t="str">
        <x:v>duration</x:v>
      </x:c>
      <x:c r="F1004" s="37" t="n">
        <x:v>7805593.077548879</x:v>
      </x:c>
      <x:c r="G1004" s="37" t="n">
        <x:v>3821396.7446631314</x:v>
      </x:c>
      <x:c r="H1004" s="37" t="n">
        <x:v>23012.21424386444</x:v>
      </x:c>
      <x:c r="I1004" s="37" t="n">
        <x:v>3798384.530419267</x:v>
      </x:c>
      <x:c r="J1004" s="37" t="n">
        <x:v>10428693.421221789</x:v>
      </x:c>
      <x:c r="K1004" s="37" t="n">
        <x:v>6607296.676558657</x:v>
      </x:c>
      <x:c r="L1004" s="37" t="n">
        <x:v>11626989.82221201</x:v>
      </x:c>
      <x:c r="M1004" s="37" t="n">
        <x:v>0</x:v>
      </x:c>
      <x:c r="N1004" s="37" t="n">
        <x:v>0</x:v>
      </x:c>
      <x:c r="O1004" s="37" t="n">
        <x:v>0</x:v>
      </x:c>
      <x:c r="P1004" s="37" t="n">
        <x:v>0</x:v>
      </x:c>
      <x:c r="Q1004" s="37" t="n">
        <x:v>1703.5990097780445</x:v>
      </x:c>
      <x:c r="R1004" s="37" t="n">
        <x:v>-3821396.7446631314</x:v>
      </x:c>
      <x:c r="S1004" s="37" t="n">
        <x:v>17035990.097780444</x:v>
      </x:c>
      <x:c r="T1004" s="37" t="n">
        <x:v>11628693.421221789</x:v>
      </x:c>
      <x:c r="U1004" s="37" t="n">
        <x:v>0</x:v>
      </x:c>
      <x:c r="V1004" s="37" t="n">
        <x:v>0</x:v>
      </x:c>
      <x:c r="W1004" s="37" t="n">
        <x:v>0</x:v>
      </x:c>
      <x:c r="X1004" s="37" t="n">
        <x:v>0</x:v>
      </x:c>
      <x:c r="Y1004" s="37" t="n">
        <x:v>1703.5990097780445</x:v>
      </x:c>
      <x:c r="Z1004" s="37" t="n">
        <x:v>6739442.61008983</x:v>
      </x:c>
      <x:c r="AA1004" s="37" t="n">
        <x:v>0</x:v>
      </x:c>
      <x:c r="AB1004" s="37" t="n">
        <x:v>6739442.61008983</x:v>
      </x:c>
      <x:c r="AC1004" s="37" t="n">
        <x:v>1066150.467459049</x:v>
      </x:c>
      <x:c r="AD1004" s="37" t="n">
        <x:v>0</x:v>
      </x:c>
      <x:c r="AE1004" s="37" t="n">
        <x:v>0</x:v>
      </x:c>
      <x:c r="AF1004" s="47" t="b">
        <x:v>0</x:v>
      </x:c>
      <x:c r="AG1004" s="47" t="b">
        <x:v>0</x:v>
      </x:c>
      <x:c r="AH1004" s="48" t="n">
        <x:v>-3.0604496714659035e-10</x:v>
      </x:c>
      <x:c r="AI1004" s="48" t="n">
        <x:v>5.960464477539063e-8</x:v>
      </x:c>
      <x:c r="AJ1004" s="37" t="str">
        <x:v>passed</x:v>
      </x:c>
    </x:row>
    <x:row r="1005" ht="21" customHeight="1">
      <x:c r="A1005" s="2"/>
      <x:c r="B1005" s="2"/>
      <x:c r="C1005" s="2" t="str">
        <x:v>2023</x:v>
      </x:c>
      <x:c r="D1005" s="5" t="n">
        <x:v>44929</x:v>
      </x:c>
      <x:c r="E1005" s="2" t="str">
        <x:v>unweighted</x:v>
      </x:c>
      <x:c r="F1005" s="37" t="n">
        <x:v>10840895.711864091</x:v>
      </x:c>
      <x:c r="G1005" s="37" t="n">
        <x:v>785783.1615478777</x:v>
      </x:c>
      <x:c r="H1005" s="37" t="n">
        <x:v>22287.640307169644</x:v>
      </x:c>
      <x:c r="I1005" s="37" t="n">
        <x:v>763495.5212407081</x:v>
      </x:c>
      <x:c r="J1005" s="37" t="n">
        <x:v>10465630.629873654</x:v>
      </x:c>
      <x:c r="K1005" s="37" t="n">
        <x:v>9679847.468325777</x:v>
      </x:c>
      <x:c r="L1005" s="37" t="n">
        <x:v>11626678.873411968</x:v>
      </x:c>
      <x:c r="M1005" s="37" t="n">
        <x:v>0</x:v>
      </x:c>
      <x:c r="N1005" s="37" t="n">
        <x:v>0</x:v>
      </x:c>
      <x:c r="O1005" s="37" t="n">
        <x:v>0</x:v>
      </x:c>
      <x:c r="P1005" s="37" t="n">
        <x:v>0</x:v>
      </x:c>
      <x:c r="Q1005" s="37" t="n">
        <x:v>2014.5478098199433</x:v>
      </x:c>
      <x:c r="R1005" s="37" t="n">
        <x:v>-785783.1615478777</x:v>
      </x:c>
      <x:c r="S1005" s="37" t="n">
        <x:v>20145478.09819943</x:v>
      </x:c>
      <x:c r="T1005" s="37" t="n">
        <x:v>11628693.421221789</x:v>
      </x:c>
      <x:c r="U1005" s="37" t="n">
        <x:v>0</x:v>
      </x:c>
      <x:c r="V1005" s="37" t="n">
        <x:v>0</x:v>
      </x:c>
      <x:c r="W1005" s="37" t="n">
        <x:v>0</x:v>
      </x:c>
      <x:c r="X1005" s="37" t="n">
        <x:v>0</x:v>
      </x:c>
      <x:c r="Y1005" s="37" t="n">
        <x:v>2014.5478098199433</x:v>
      </x:c>
      <x:c r="Z1005" s="37" t="n">
        <x:v>9873444.417692292</x:v>
      </x:c>
      <x:c r="AA1005" s="37" t="n">
        <x:v>0</x:v>
      </x:c>
      <x:c r="AB1005" s="37" t="n">
        <x:v>9873444.417692292</x:v>
      </x:c>
      <x:c r="AC1005" s="37" t="n">
        <x:v>967451.294171799</x:v>
      </x:c>
      <x:c r="AD1005" s="37" t="n">
        <x:v>0</x:v>
      </x:c>
      <x:c r="AE1005" s="37" t="n">
        <x:v>0</x:v>
      </x:c>
      <x:c r="AF1005" s="47" t="b">
        <x:v>0</x:v>
      </x:c>
      <x:c r="AG1005" s="47" t="b">
        <x:v>0</x:v>
      </x:c>
      <x:c r="AH1005" s="48" t="n">
        <x:v>1.3596945791505277e-10</x:v>
      </x:c>
      <x:c r="AI1005" s="48" t="n">
        <x:v>1.1920928955078125e-7</x:v>
      </x:c>
      <x:c r="AJ1005" s="37" t="str">
        <x:v>passed</x:v>
      </x:c>
    </x:row>
    <x:row r="1006" ht="21" customHeight="1">
      <x:c r="A1006" s="2"/>
      <x:c r="B1006" s="2"/>
      <x:c r="C1006" s="2" t="str">
        <x:v>2023</x:v>
      </x:c>
      <x:c r="D1006" s="5" t="n">
        <x:v>44929</x:v>
      </x:c>
      <x:c r="E1006" s="2" t="str">
        <x:v>constrained</x:v>
      </x:c>
      <x:c r="F1006" s="37" t="n">
        <x:v>11603580.418713352</x:v>
      </x:c>
      <x:c r="G1006" s="37" t="n">
        <x:v>23020.480260609194</x:v>
      </x:c>
      <x:c r="H1006" s="37" t="n">
        <x:v>21607.829193266858</x:v>
      </x:c>
      <x:c r="I1006" s="37" t="n">
        <x:v>1412.6510673423363</x:v>
      </x:c>
      <x:c r="J1006" s="37" t="n">
        <x:v>10474121.479270415</x:v>
      </x:c>
      <x:c r="K1006" s="37" t="n">
        <x:v>10451100.999009807</x:v>
      </x:c>
      <x:c r="L1006" s="37" t="n">
        <x:v>11626600.89897396</x:v>
      </x:c>
      <x:c r="M1006" s="37" t="n">
        <x:v>0</x:v>
      </x:c>
      <x:c r="N1006" s="37" t="n">
        <x:v>0</x:v>
      </x:c>
      <x:c r="O1006" s="37" t="n">
        <x:v>0</x:v>
      </x:c>
      <x:c r="P1006" s="37" t="n">
        <x:v>0</x:v>
      </x:c>
      <x:c r="Q1006" s="37" t="n">
        <x:v>2092.5222478280225</x:v>
      </x:c>
      <x:c r="R1006" s="37" t="n">
        <x:v>-23020.480260609194</x:v>
      </x:c>
      <x:c r="S1006" s="37" t="n">
        <x:v>20925222.478280224</x:v>
      </x:c>
      <x:c r="T1006" s="37" t="n">
        <x:v>11628693.421221789</x:v>
      </x:c>
      <x:c r="U1006" s="37" t="n">
        <x:v>0</x:v>
      </x:c>
      <x:c r="V1006" s="37" t="n">
        <x:v>0</x:v>
      </x:c>
      <x:c r="W1006" s="37" t="n">
        <x:v>0</x:v>
      </x:c>
      <x:c r="X1006" s="37" t="n">
        <x:v>0</x:v>
      </x:c>
      <x:c r="Y1006" s="37" t="n">
        <x:v>2092.5222478280225</x:v>
      </x:c>
      <x:c r="Z1006" s="37" t="n">
        <x:v>10660123.018990003</x:v>
      </x:c>
      <x:c r="AA1006" s="37" t="n">
        <x:v>0</x:v>
      </x:c>
      <x:c r="AB1006" s="37" t="n">
        <x:v>10660123.018990003</x:v>
      </x:c>
      <x:c r="AC1006" s="37" t="n">
        <x:v>943457.3997233491</x:v>
      </x:c>
      <x:c r="AD1006" s="37" t="n">
        <x:v>0</x:v>
      </x:c>
      <x:c r="AE1006" s="37" t="n">
        <x:v>0</x:v>
      </x:c>
      <x:c r="AF1006" s="47" t="b">
        <x:v>0</x:v>
      </x:c>
      <x:c r="AG1006" s="47" t="b">
        <x:v>0</x:v>
      </x:c>
      <x:c r="AH1006" s="48" t="n">
        <x:v>-4.411049303598702e-11</x:v>
      </x:c>
      <x:c r="AI1006" s="48" t="n">
        <x:v>1.1920928955078125e-7</x:v>
      </x:c>
      <x:c r="AJ1006" s="37" t="str">
        <x:v>passed</x:v>
      </x:c>
    </x:row>
    <x:row r="1007" ht="21" customHeight="1">
      <x:c r="A1007" s="2"/>
      <x:c r="B1007" s="2"/>
      <x:c r="C1007" s="2" t="str">
        <x:v>2023</x:v>
      </x:c>
      <x:c r="D1007" s="5" t="n">
        <x:v>44930</x:v>
      </x:c>
      <x:c r="E1007" s="2" t="str">
        <x:v>unhedged</x:v>
      </x:c>
      <x:c r="F1007" s="37" t="n">
        <x:v>1199022.8269390098</x:v>
      </x:c>
      <x:c r="G1007" s="37" t="n">
        <x:v>10480152.31397521</x:v>
      </x:c>
      <x:c r="H1007" s="37" t="n">
        <x:v>38367.01297141484</x:v>
      </x:c>
      <x:c r="I1007" s="37" t="n">
        <x:v>10441785.301003795</x:v>
      </x:c>
      <x:c r="J1007" s="37" t="n">
        <x:v>10480152.31397521</x:v>
      </x:c>
      <x:c r="K1007" s="37" t="n">
        <x:v>0</x:v>
      </x:c>
      <x:c r="L1007" s="37" t="n">
        <x:v>11679175.140914219</x:v>
      </x:c>
      <x:c r="M1007" s="37" t="n">
        <x:v>0</x:v>
      </x:c>
      <x:c r="N1007" s="37" t="n">
        <x:v>0</x:v>
      </x:c>
      <x:c r="O1007" s="37" t="n">
        <x:v>65.69628113205545</x:v>
      </x:c>
      <x:c r="P1007" s="37" t="n">
        <x:v>0</x:v>
      </x:c>
      <x:c r="Q1007" s="37" t="n">
        <x:v>0</x:v>
      </x:c>
      <x:c r="R1007" s="37" t="n">
        <x:v>0</x:v>
      </x:c>
      <x:c r="S1007" s="37" t="n">
        <x:v>0</x:v>
      </x:c>
      <x:c r="T1007" s="37" t="n">
        <x:v>0</x:v>
      </x:c>
      <x:c r="U1007" s="37" t="n">
        <x:v>0</x:v>
      </x:c>
      <x:c r="V1007" s="37" t="n">
        <x:v>0</x:v>
      </x:c>
      <x:c r="W1007" s="37" t="n">
        <x:v>65.69628113205545</x:v>
      </x:c>
      <x:c r="X1007" s="37" t="n">
        <x:v>0</x:v>
      </x:c>
      <x:c r="Y1007" s="37" t="n">
        <x:v>1042.869342122179</x:v>
      </x:c>
      <x:c r="Z1007" s="37" t="n">
        <x:v>0</x:v>
      </x:c>
      <x:c r="AA1007" s="37" t="n">
        <x:v>0</x:v>
      </x:c>
      <x:c r="AB1007" s="37" t="n">
        <x:v>0</x:v>
      </x:c>
      <x:c r="AC1007" s="37" t="n">
        <x:v>1199022.8269390098</x:v>
      </x:c>
      <x:c r="AD1007" s="37" t="n">
        <x:v>0</x:v>
      </x:c>
      <x:c r="AE1007" s="37" t="n">
        <x:v>0</x:v>
      </x:c>
      <x:c r="AF1007" s="47" t="b">
        <x:v>0</x:v>
      </x:c>
      <x:c r="AG1007" s="47" t="b">
        <x:v>0</x:v>
      </x:c>
      <x:c r="AH1007" s="48" t="n">
        <x:v>0</x:v>
      </x:c>
      <x:c r="AI1007" s="48" t="n">
        <x:v>1.1920928955078125e-7</x:v>
      </x:c>
      <x:c r="AJ1007" s="37" t="str">
        <x:v>passed</x:v>
      </x:c>
    </x:row>
    <x:row r="1008" ht="21" customHeight="1">
      <x:c r="A1008" s="2"/>
      <x:c r="B1008" s="2"/>
      <x:c r="C1008" s="2" t="str">
        <x:v>2023</x:v>
      </x:c>
      <x:c r="D1008" s="5" t="n">
        <x:v>44930</x:v>
      </x:c>
      <x:c r="E1008" s="2" t="str">
        <x:v>duration</x:v>
      </x:c>
      <x:c r="F1008" s="37" t="n">
        <x:v>7806020.781279156</x:v>
      </x:c>
      <x:c r="G1008" s="37" t="n">
        <x:v>3816597.5426179143</x:v>
      </x:c>
      <x:c r="H1008" s="37" t="n">
        <x:v>23054.801996501657</x:v>
      </x:c>
      <x:c r="I1008" s="37" t="n">
        <x:v>3793542.7406214126</x:v>
      </x:c>
      <x:c r="J1008" s="37" t="n">
        <x:v>10480152.31397521</x:v>
      </x:c>
      <x:c r="K1008" s="37" t="n">
        <x:v>6663554.771357296</x:v>
      </x:c>
      <x:c r="L1008" s="37" t="n">
        <x:v>11622618.323897071</x:v>
      </x:c>
      <x:c r="M1008" s="37" t="n">
        <x:v>0</x:v>
      </x:c>
      <x:c r="N1008" s="37" t="n">
        <x:v>0</x:v>
      </x:c>
      <x:c r="O1008" s="37" t="n">
        <x:v>427.7037302767858</x:v>
      </x:c>
      <x:c r="P1008" s="37" t="n">
        <x:v>0</x:v>
      </x:c>
      <x:c r="Q1008" s="37" t="n">
        <x:v>0</x:v>
      </x:c>
      <x:c r="R1008" s="37" t="n">
        <x:v>0</x:v>
      </x:c>
      <x:c r="S1008" s="37" t="n">
        <x:v>0</x:v>
      </x:c>
      <x:c r="T1008" s="37" t="n">
        <x:v>0</x:v>
      </x:c>
      <x:c r="U1008" s="37" t="n">
        <x:v>0</x:v>
      </x:c>
      <x:c r="V1008" s="37" t="n">
        <x:v>0</x:v>
      </x:c>
      <x:c r="W1008" s="37" t="n">
        <x:v>427.7037302767858</x:v>
      </x:c>
      <x:c r="X1008" s="37" t="n">
        <x:v>0</x:v>
      </x:c>
      <x:c r="Y1008" s="37" t="n">
        <x:v>1703.5990097780445</x:v>
      </x:c>
      <x:c r="Z1008" s="37" t="n">
        <x:v>6796825.866784442</x:v>
      </x:c>
      <x:c r="AA1008" s="37" t="n">
        <x:v>0</x:v>
      </x:c>
      <x:c r="AB1008" s="37" t="n">
        <x:v>6796825.866784442</x:v>
      </x:c>
      <x:c r="AC1008" s="37" t="n">
        <x:v>1009194.9144947138</x:v>
      </x:c>
      <x:c r="AD1008" s="37" t="n">
        <x:v>0</x:v>
      </x:c>
      <x:c r="AE1008" s="37" t="n">
        <x:v>0</x:v>
      </x:c>
      <x:c r="AF1008" s="47" t="b">
        <x:v>0</x:v>
      </x:c>
      <x:c r="AG1008" s="47" t="b">
        <x:v>0</x:v>
      </x:c>
      <x:c r="AH1008" s="48" t="n">
        <x:v>0</x:v>
      </x:c>
      <x:c r="AI1008" s="48" t="n">
        <x:v>5.960464477539063e-8</x:v>
      </x:c>
      <x:c r="AJ1008" s="37" t="str">
        <x:v>passed</x:v>
      </x:c>
    </x:row>
    <x:row r="1009" ht="21" customHeight="1">
      <x:c r="A1009" s="2"/>
      <x:c r="B1009" s="2"/>
      <x:c r="C1009" s="2" t="str">
        <x:v>2023</x:v>
      </x:c>
      <x:c r="D1009" s="5" t="n">
        <x:v>44930</x:v>
      </x:c>
      <x:c r="E1009" s="2" t="str">
        <x:v>unweighted</x:v>
      </x:c>
      <x:c r="F1009" s="37" t="n">
        <x:v>10841489.733546935</x:v>
      </x:c>
      <x:c r="G1009" s="37" t="n">
        <x:v>787322.6046791725</x:v>
      </x:c>
      <x:c r="H1009" s="37" t="n">
        <x:v>22267.46336648415</x:v>
      </x:c>
      <x:c r="I1009" s="37" t="n">
        <x:v>765055.1413126884</x:v>
      </x:c>
      <x:c r="J1009" s="37" t="n">
        <x:v>10517598.215386868</x:v>
      </x:c>
      <x:c r="K1009" s="37" t="n">
        <x:v>9730275.610707695</x:v>
      </x:c>
      <x:c r="L1009" s="37" t="n">
        <x:v>11628812.338226108</x:v>
      </x:c>
      <x:c r="M1009" s="37" t="n">
        <x:v>0</x:v>
      </x:c>
      <x:c r="N1009" s="37" t="n">
        <x:v>0</x:v>
      </x:c>
      <x:c r="O1009" s="37" t="n">
        <x:v>594.0216828435659</x:v>
      </x:c>
      <x:c r="P1009" s="37" t="n">
        <x:v>0</x:v>
      </x:c>
      <x:c r="Q1009" s="37" t="n">
        <x:v>0</x:v>
      </x:c>
      <x:c r="R1009" s="37" t="n">
        <x:v>0</x:v>
      </x:c>
      <x:c r="S1009" s="37" t="n">
        <x:v>0</x:v>
      </x:c>
      <x:c r="T1009" s="37" t="n">
        <x:v>0</x:v>
      </x:c>
      <x:c r="U1009" s="37" t="n">
        <x:v>0</x:v>
      </x:c>
      <x:c r="V1009" s="37" t="n">
        <x:v>0</x:v>
      </x:c>
      <x:c r="W1009" s="37" t="n">
        <x:v>594.0216828435659</x:v>
      </x:c>
      <x:c r="X1009" s="37" t="n">
        <x:v>0</x:v>
      </x:c>
      <x:c r="Y1009" s="37" t="n">
        <x:v>2014.5478098199433</x:v>
      </x:c>
      <x:c r="Z1009" s="37" t="n">
        <x:v>9924881.122921849</x:v>
      </x:c>
      <x:c r="AA1009" s="37" t="n">
        <x:v>0</x:v>
      </x:c>
      <x:c r="AB1009" s="37" t="n">
        <x:v>9924881.122921849</x:v>
      </x:c>
      <x:c r="AC1009" s="37" t="n">
        <x:v>916608.6106250864</x:v>
      </x:c>
      <x:c r="AD1009" s="37" t="n">
        <x:v>0</x:v>
      </x:c>
      <x:c r="AE1009" s="37" t="n">
        <x:v>0</x:v>
      </x:c>
      <x:c r="AF1009" s="47" t="b">
        <x:v>0</x:v>
      </x:c>
      <x:c r="AG1009" s="47" t="b">
        <x:v>0</x:v>
      </x:c>
      <x:c r="AH1009" s="48" t="n">
        <x:v>0</x:v>
      </x:c>
      <x:c r="AI1009" s="48" t="n">
        <x:v>1.1920928955078125e-7</x:v>
      </x:c>
      <x:c r="AJ1009" s="37" t="str">
        <x:v>passed</x:v>
      </x:c>
    </x:row>
    <x:row r="1010" ht="21" customHeight="1">
      <x:c r="A1010" s="2"/>
      <x:c r="B1010" s="2"/>
      <x:c r="C1010" s="2" t="str">
        <x:v>2023</x:v>
      </x:c>
      <x:c r="D1010" s="5" t="n">
        <x:v>44930</x:v>
      </x:c>
      <x:c r="E1010" s="2" t="str">
        <x:v>constrained</x:v>
      </x:c>
      <x:c r="F1010" s="37" t="n">
        <x:v>11604216.231339036</x:v>
      </x:c>
      <x:c r="G1010" s="37" t="n">
        <x:v>23179.996029726688</x:v>
      </x:c>
      <x:c r="H1010" s="37" t="n">
        <x:v>21568.8325387075</x:v>
      </x:c>
      <x:c r="I1010" s="37" t="n">
        <x:v>1611.1634910191897</x:v>
      </x:c>
      <x:c r="J1010" s="37" t="n">
        <x:v>10526203.344375871</x:v>
      </x:c>
      <x:c r="K1010" s="37" t="n">
        <x:v>10503023.348346144</x:v>
      </x:c>
      <x:c r="L1010" s="37" t="n">
        <x:v>11627396.227368763</x:v>
      </x:c>
      <x:c r="M1010" s="37" t="n">
        <x:v>0</x:v>
      </x:c>
      <x:c r="N1010" s="37" t="n">
        <x:v>0</x:v>
      </x:c>
      <x:c r="O1010" s="37" t="n">
        <x:v>635.8126256838441</x:v>
      </x:c>
      <x:c r="P1010" s="37" t="n">
        <x:v>0</x:v>
      </x:c>
      <x:c r="Q1010" s="37" t="n">
        <x:v>0</x:v>
      </x:c>
      <x:c r="R1010" s="37" t="n">
        <x:v>0</x:v>
      </x:c>
      <x:c r="S1010" s="37" t="n">
        <x:v>0</x:v>
      </x:c>
      <x:c r="T1010" s="37" t="n">
        <x:v>0</x:v>
      </x:c>
      <x:c r="U1010" s="37" t="n">
        <x:v>0</x:v>
      </x:c>
      <x:c r="V1010" s="37" t="n">
        <x:v>0</x:v>
      </x:c>
      <x:c r="W1010" s="37" t="n">
        <x:v>635.8126256838441</x:v>
      </x:c>
      <x:c r="X1010" s="37" t="n">
        <x:v>0</x:v>
      </x:c>
      <x:c r="Y1010" s="37" t="n">
        <x:v>2092.5222478280225</x:v>
      </x:c>
      <x:c r="Z1010" s="37" t="n">
        <x:v>10713083.815313067</x:v>
      </x:c>
      <x:c r="AA1010" s="37" t="n">
        <x:v>0</x:v>
      </x:c>
      <x:c r="AB1010" s="37" t="n">
        <x:v>10713083.815313067</x:v>
      </x:c>
      <x:c r="AC1010" s="37" t="n">
        <x:v>891132.4160259683</x:v>
      </x:c>
      <x:c r="AD1010" s="37" t="n">
        <x:v>0</x:v>
      </x:c>
      <x:c r="AE1010" s="37" t="n">
        <x:v>0</x:v>
      </x:c>
      <x:c r="AF1010" s="47" t="b">
        <x:v>0</x:v>
      </x:c>
      <x:c r="AG1010" s="47" t="b">
        <x:v>0</x:v>
      </x:c>
      <x:c r="AH1010" s="48" t="n">
        <x:v>0</x:v>
      </x:c>
      <x:c r="AI1010" s="48" t="n">
        <x:v>1.1920928955078125e-7</x:v>
      </x:c>
      <x:c r="AJ1010" s="37" t="str">
        <x:v>passed</x:v>
      </x:c>
    </x:row>
    <x:row r="1011" ht="21" customHeight="1">
      <x:c r="A1011" s="2"/>
      <x:c r="B1011" s="2"/>
      <x:c r="C1011" s="2" t="str">
        <x:v>2023</x:v>
      </x:c>
      <x:c r="D1011" s="5" t="n">
        <x:v>44931</x:v>
      </x:c>
      <x:c r="E1011" s="2" t="str">
        <x:v>unhedged</x:v>
      </x:c>
      <x:c r="F1011" s="37" t="n">
        <x:v>1199088.5268199379</x:v>
      </x:c>
      <x:c r="G1011" s="37" t="n">
        <x:v>10462634.160589892</x:v>
      </x:c>
      <x:c r="H1011" s="37" t="n">
        <x:v>38715.84494355032</x:v>
      </x:c>
      <x:c r="I1011" s="37" t="n">
        <x:v>10423918.315646343</x:v>
      </x:c>
      <x:c r="J1011" s="37" t="n">
        <x:v>10462634.160589892</x:v>
      </x:c>
      <x:c r="K1011" s="37" t="n">
        <x:v>0</x:v>
      </x:c>
      <x:c r="L1011" s="37" t="n">
        <x:v>11661722.68740983</x:v>
      </x:c>
      <x:c r="M1011" s="37" t="n">
        <x:v>0</x:v>
      </x:c>
      <x:c r="N1011" s="37" t="n">
        <x:v>0</x:v>
      </x:c>
      <x:c r="O1011" s="37" t="n">
        <x:v>65.69988092803396</x:v>
      </x:c>
      <x:c r="P1011" s="37" t="n">
        <x:v>0</x:v>
      </x:c>
      <x:c r="Q1011" s="37" t="n">
        <x:v>0</x:v>
      </x:c>
      <x:c r="R1011" s="37" t="n">
        <x:v>0</x:v>
      </x:c>
      <x:c r="S1011" s="37" t="n">
        <x:v>0</x:v>
      </x:c>
      <x:c r="T1011" s="37" t="n">
        <x:v>0</x:v>
      </x:c>
      <x:c r="U1011" s="37" t="n">
        <x:v>0</x:v>
      </x:c>
      <x:c r="V1011" s="37" t="n">
        <x:v>0</x:v>
      </x:c>
      <x:c r="W1011" s="37" t="n">
        <x:v>131.3961620600894</x:v>
      </x:c>
      <x:c r="X1011" s="37" t="n">
        <x:v>0</x:v>
      </x:c>
      <x:c r="Y1011" s="37" t="n">
        <x:v>1042.869342122179</x:v>
      </x:c>
      <x:c r="Z1011" s="37" t="n">
        <x:v>0</x:v>
      </x:c>
      <x:c r="AA1011" s="37" t="n">
        <x:v>0</x:v>
      </x:c>
      <x:c r="AB1011" s="37" t="n">
        <x:v>0</x:v>
      </x:c>
      <x:c r="AC1011" s="37" t="n">
        <x:v>1199088.5268199379</x:v>
      </x:c>
      <x:c r="AD1011" s="37" t="n">
        <x:v>0</x:v>
      </x:c>
      <x:c r="AE1011" s="37" t="n">
        <x:v>0</x:v>
      </x:c>
      <x:c r="AF1011" s="47" t="b">
        <x:v>0</x:v>
      </x:c>
      <x:c r="AG1011" s="47" t="b">
        <x:v>0</x:v>
      </x:c>
      <x:c r="AH1011" s="48" t="n">
        <x:v>0</x:v>
      </x:c>
      <x:c r="AI1011" s="48" t="n">
        <x:v>1.1920928955078125e-7</x:v>
      </x:c>
      <x:c r="AJ1011" s="37" t="str">
        <x:v>passed</x:v>
      </x:c>
    </x:row>
    <x:row r="1012" ht="21" customHeight="1">
      <x:c r="A1012" s="2"/>
      <x:c r="B1012" s="2"/>
      <x:c r="C1012" s="2" t="str">
        <x:v>2023</x:v>
      </x:c>
      <x:c r="D1012" s="5" t="n">
        <x:v>44931</x:v>
      </x:c>
      <x:c r="E1012" s="2" t="str">
        <x:v>duration</x:v>
      </x:c>
      <x:c r="F1012" s="37" t="n">
        <x:v>7806448.508445254</x:v>
      </x:c>
      <x:c r="G1012" s="37" t="n">
        <x:v>3810839.2282841955</x:v>
      </x:c>
      <x:c r="H1012" s="37" t="n">
        <x:v>23097.38974913887</x:v>
      </x:c>
      <x:c r="I1012" s="37" t="n">
        <x:v>3787741.8385350564</x:v>
      </x:c>
      <x:c r="J1012" s="37" t="n">
        <x:v>10462634.160589892</x:v>
      </x:c>
      <x:c r="K1012" s="37" t="n">
        <x:v>6651794.932305696</x:v>
      </x:c>
      <x:c r="L1012" s="37" t="n">
        <x:v>11617287.736729449</x:v>
      </x:c>
      <x:c r="M1012" s="37" t="n">
        <x:v>0</x:v>
      </x:c>
      <x:c r="N1012" s="37" t="n">
        <x:v>0</x:v>
      </x:c>
      <x:c r="O1012" s="37" t="n">
        <x:v>427.7271660976112</x:v>
      </x:c>
      <x:c r="P1012" s="37" t="n">
        <x:v>0</x:v>
      </x:c>
      <x:c r="Q1012" s="37" t="n">
        <x:v>0</x:v>
      </x:c>
      <x:c r="R1012" s="37" t="n">
        <x:v>0</x:v>
      </x:c>
      <x:c r="S1012" s="37" t="n">
        <x:v>0</x:v>
      </x:c>
      <x:c r="T1012" s="37" t="n">
        <x:v>0</x:v>
      </x:c>
      <x:c r="U1012" s="37" t="n">
        <x:v>0</x:v>
      </x:c>
      <x:c r="V1012" s="37" t="n">
        <x:v>0</x:v>
      </x:c>
      <x:c r="W1012" s="37" t="n">
        <x:v>855.430896374397</x:v>
      </x:c>
      <x:c r="X1012" s="37" t="n">
        <x:v>0</x:v>
      </x:c>
      <x:c r="Y1012" s="37" t="n">
        <x:v>1703.5990097780445</x:v>
      </x:c>
      <x:c r="Z1012" s="37" t="n">
        <x:v>6784830.830951811</x:v>
      </x:c>
      <x:c r="AA1012" s="37" t="n">
        <x:v>0</x:v>
      </x:c>
      <x:c r="AB1012" s="37" t="n">
        <x:v>6784830.830951811</x:v>
      </x:c>
      <x:c r="AC1012" s="37" t="n">
        <x:v>1021617.6774934428</x:v>
      </x:c>
      <x:c r="AD1012" s="37" t="n">
        <x:v>0</x:v>
      </x:c>
      <x:c r="AE1012" s="37" t="n">
        <x:v>0</x:v>
      </x:c>
      <x:c r="AF1012" s="47" t="b">
        <x:v>0</x:v>
      </x:c>
      <x:c r="AG1012" s="47" t="b">
        <x:v>0</x:v>
      </x:c>
      <x:c r="AH1012" s="48" t="n">
        <x:v>0</x:v>
      </x:c>
      <x:c r="AI1012" s="48" t="n">
        <x:v>5.960464477539063e-8</x:v>
      </x:c>
      <x:c r="AJ1012" s="37" t="str">
        <x:v>passed</x:v>
      </x:c>
    </x:row>
    <x:row r="1013" ht="21" customHeight="1">
      <x:c r="A1013" s="2"/>
      <x:c r="B1013" s="2"/>
      <x:c r="C1013" s="2" t="str">
        <x:v>2023</x:v>
      </x:c>
      <x:c r="D1013" s="5" t="n">
        <x:v>44931</x:v>
      </x:c>
      <x:c r="E1013" s="2" t="str">
        <x:v>unweighted</x:v>
      </x:c>
      <x:c r="F1013" s="37" t="n">
        <x:v>10842083.787778908</x:v>
      </x:c>
      <x:c r="G1013" s="37" t="n">
        <x:v>786389.1812021073</x:v>
      </x:c>
      <x:c r="H1013" s="37" t="n">
        <x:v>22247.286425798648</x:v>
      </x:c>
      <x:c r="I1013" s="37" t="n">
        <x:v>764141.8947763087</x:v>
      </x:c>
      <x:c r="J1013" s="37" t="n">
        <x:v>10500182.147142986</x:v>
      </x:c>
      <x:c r="K1013" s="37" t="n">
        <x:v>9713792.96594088</x:v>
      </x:c>
      <x:c r="L1013" s="37" t="n">
        <x:v>11628472.968981016</x:v>
      </x:c>
      <x:c r="M1013" s="37" t="n">
        <x:v>0</x:v>
      </x:c>
      <x:c r="N1013" s="37" t="n">
        <x:v>0</x:v>
      </x:c>
      <x:c r="O1013" s="37" t="n">
        <x:v>594.054231973365</x:v>
      </x:c>
      <x:c r="P1013" s="37" t="n">
        <x:v>0</x:v>
      </x:c>
      <x:c r="Q1013" s="37" t="n">
        <x:v>0</x:v>
      </x:c>
      <x:c r="R1013" s="37" t="n">
        <x:v>0</x:v>
      </x:c>
      <x:c r="S1013" s="37" t="n">
        <x:v>0</x:v>
      </x:c>
      <x:c r="T1013" s="37" t="n">
        <x:v>0</x:v>
      </x:c>
      <x:c r="U1013" s="37" t="n">
        <x:v>0</x:v>
      </x:c>
      <x:c r="V1013" s="37" t="n">
        <x:v>0</x:v>
      </x:c>
      <x:c r="W1013" s="37" t="n">
        <x:v>1188.075914816931</x:v>
      </x:c>
      <x:c r="X1013" s="37" t="n">
        <x:v>0</x:v>
      </x:c>
      <x:c r="Y1013" s="37" t="n">
        <x:v>2014.5478098199433</x:v>
      </x:c>
      <x:c r="Z1013" s="37" t="n">
        <x:v>9908068.825259697</x:v>
      </x:c>
      <x:c r="AA1013" s="37" t="n">
        <x:v>0</x:v>
      </x:c>
      <x:c r="AB1013" s="37" t="n">
        <x:v>9908068.825259697</x:v>
      </x:c>
      <x:c r="AC1013" s="37" t="n">
        <x:v>934014.9625192117</x:v>
      </x:c>
      <x:c r="AD1013" s="37" t="n">
        <x:v>0</x:v>
      </x:c>
      <x:c r="AE1013" s="37" t="n">
        <x:v>0</x:v>
      </x:c>
      <x:c r="AF1013" s="47" t="b">
        <x:v>0</x:v>
      </x:c>
      <x:c r="AG1013" s="47" t="b">
        <x:v>0</x:v>
      </x:c>
      <x:c r="AH1013" s="48" t="n">
        <x:v>0</x:v>
      </x:c>
      <x:c r="AI1013" s="48" t="n">
        <x:v>1.1920928955078125e-7</x:v>
      </x:c>
      <x:c r="AJ1013" s="37" t="str">
        <x:v>passed</x:v>
      </x:c>
    </x:row>
    <x:row r="1014" ht="21" customHeight="1">
      <x:c r="A1014" s="2"/>
      <x:c r="B1014" s="2"/>
      <x:c r="C1014" s="2" t="str">
        <x:v>2023</x:v>
      </x:c>
      <x:c r="D1014" s="5" t="n">
        <x:v>44931</x:v>
      </x:c>
      <x:c r="E1014" s="2" t="str">
        <x:v>constrained</x:v>
      </x:c>
      <x:c r="F1014" s="37" t="n">
        <x:v>11604852.078803767</x:v>
      </x:c>
      <x:c r="G1014" s="37" t="n">
        <x:v>23080.731888035116</x:v>
      </x:c>
      <x:c r="H1014" s="37" t="n">
        <x:v>21529.83588414814</x:v>
      </x:c>
      <x:c r="I1014" s="37" t="n">
        <x:v>1550.8960038869773</x:v>
      </x:c>
      <x:c r="J1014" s="37" t="n">
        <x:v>10508810.531070217</x:v>
      </x:c>
      <x:c r="K1014" s="37" t="n">
        <x:v>10485729.799182182</x:v>
      </x:c>
      <x:c r="L1014" s="37" t="n">
        <x:v>11627932.810691802</x:v>
      </x:c>
      <x:c r="M1014" s="37" t="n">
        <x:v>0</x:v>
      </x:c>
      <x:c r="N1014" s="37" t="n">
        <x:v>0</x:v>
      </x:c>
      <x:c r="O1014" s="37" t="n">
        <x:v>635.8474647309631</x:v>
      </x:c>
      <x:c r="P1014" s="37" t="n">
        <x:v>0</x:v>
      </x:c>
      <x:c r="Q1014" s="37" t="n">
        <x:v>0</x:v>
      </x:c>
      <x:c r="R1014" s="37" t="n">
        <x:v>0</x:v>
      </x:c>
      <x:c r="S1014" s="37" t="n">
        <x:v>0</x:v>
      </x:c>
      <x:c r="T1014" s="37" t="n">
        <x:v>0</x:v>
      </x:c>
      <x:c r="U1014" s="37" t="n">
        <x:v>0</x:v>
      </x:c>
      <x:c r="V1014" s="37" t="n">
        <x:v>0</x:v>
      </x:c>
      <x:c r="W1014" s="37" t="n">
        <x:v>1271.6600904148072</x:v>
      </x:c>
      <x:c r="X1014" s="37" t="n">
        <x:v>0</x:v>
      </x:c>
      <x:c r="Y1014" s="37" t="n">
        <x:v>2092.5222478280225</x:v>
      </x:c>
      <x:c r="Z1014" s="37" t="n">
        <x:v>10695444.395165825</x:v>
      </x:c>
      <x:c r="AA1014" s="37" t="n">
        <x:v>0</x:v>
      </x:c>
      <x:c r="AB1014" s="37" t="n">
        <x:v>10695444.395165825</x:v>
      </x:c>
      <x:c r="AC1014" s="37" t="n">
        <x:v>909407.6836379413</x:v>
      </x:c>
      <x:c r="AD1014" s="37" t="n">
        <x:v>0</x:v>
      </x:c>
      <x:c r="AE1014" s="37" t="n">
        <x:v>0</x:v>
      </x:c>
      <x:c r="AF1014" s="47" t="b">
        <x:v>0</x:v>
      </x:c>
      <x:c r="AG1014" s="47" t="b">
        <x:v>0</x:v>
      </x:c>
      <x:c r="AH1014" s="48" t="n">
        <x:v>0</x:v>
      </x:c>
      <x:c r="AI1014" s="48" t="n">
        <x:v>1.1920928955078125e-7</x:v>
      </x:c>
      <x:c r="AJ1014" s="37" t="str">
        <x:v>passed</x:v>
      </x:c>
    </x:row>
    <x:row r="1015" ht="21" customHeight="1">
      <x:c r="A1015" s="2"/>
      <x:c r="B1015" s="2"/>
      <x:c r="C1015" s="2" t="str">
        <x:v>2023</x:v>
      </x:c>
      <x:c r="D1015" s="5" t="n">
        <x:v>44932</x:v>
      </x:c>
      <x:c r="E1015" s="2" t="str">
        <x:v>unhedged</x:v>
      </x:c>
      <x:c r="F1015" s="37" t="n">
        <x:v>1199154.2303008598</x:v>
      </x:c>
      <x:c r="G1015" s="37" t="n">
        <x:v>10559091.557696272</x:v>
      </x:c>
      <x:c r="H1015" s="37" t="n">
        <x:v>39064.676915685806</x:v>
      </x:c>
      <x:c r="I1015" s="37" t="n">
        <x:v>10520026.880780585</x:v>
      </x:c>
      <x:c r="J1015" s="37" t="n">
        <x:v>10559091.557696272</x:v>
      </x:c>
      <x:c r="K1015" s="37" t="n">
        <x:v>0</x:v>
      </x:c>
      <x:c r="L1015" s="37" t="n">
        <x:v>11758245.787997132</x:v>
      </x:c>
      <x:c r="M1015" s="37" t="n">
        <x:v>0</x:v>
      </x:c>
      <x:c r="N1015" s="37" t="n">
        <x:v>0</x:v>
      </x:c>
      <x:c r="O1015" s="37" t="n">
        <x:v>65.70348092191853</x:v>
      </x:c>
      <x:c r="P1015" s="37" t="n">
        <x:v>0</x:v>
      </x:c>
      <x:c r="Q1015" s="37" t="n">
        <x:v>0</x:v>
      </x:c>
      <x:c r="R1015" s="37" t="n">
        <x:v>0</x:v>
      </x:c>
      <x:c r="S1015" s="37" t="n">
        <x:v>0</x:v>
      </x:c>
      <x:c r="T1015" s="37" t="n">
        <x:v>0</x:v>
      </x:c>
      <x:c r="U1015" s="37" t="n">
        <x:v>0</x:v>
      </x:c>
      <x:c r="V1015" s="37" t="n">
        <x:v>0</x:v>
      </x:c>
      <x:c r="W1015" s="37" t="n">
        <x:v>197.09964298200794</x:v>
      </x:c>
      <x:c r="X1015" s="37" t="n">
        <x:v>0</x:v>
      </x:c>
      <x:c r="Y1015" s="37" t="n">
        <x:v>1042.869342122179</x:v>
      </x:c>
      <x:c r="Z1015" s="37" t="n">
        <x:v>0</x:v>
      </x:c>
      <x:c r="AA1015" s="37" t="n">
        <x:v>0</x:v>
      </x:c>
      <x:c r="AB1015" s="37" t="n">
        <x:v>0</x:v>
      </x:c>
      <x:c r="AC1015" s="37" t="n">
        <x:v>1199154.2303008598</x:v>
      </x:c>
      <x:c r="AD1015" s="37" t="n">
        <x:v>0</x:v>
      </x:c>
      <x:c r="AE1015" s="37" t="n">
        <x:v>0</x:v>
      </x:c>
      <x:c r="AF1015" s="47" t="b">
        <x:v>0</x:v>
      </x:c>
      <x:c r="AG1015" s="47" t="b">
        <x:v>0</x:v>
      </x:c>
      <x:c r="AH1015" s="48" t="n">
        <x:v>0</x:v>
      </x:c>
      <x:c r="AI1015" s="48" t="n">
        <x:v>1.1920928955078125e-7</x:v>
      </x:c>
      <x:c r="AJ1015" s="37" t="str">
        <x:v>passed</x:v>
      </x:c>
    </x:row>
    <x:row r="1016" ht="21" customHeight="1">
      <x:c r="A1016" s="2"/>
      <x:c r="B1016" s="2"/>
      <x:c r="C1016" s="2" t="str">
        <x:v>2023</x:v>
      </x:c>
      <x:c r="D1016" s="5" t="n">
        <x:v>44932</x:v>
      </x:c>
      <x:c r="E1016" s="2" t="str">
        <x:v>duration</x:v>
      </x:c>
      <x:c r="F1016" s="37" t="n">
        <x:v>7806876.259048457</x:v>
      </x:c>
      <x:c r="G1016" s="37" t="n">
        <x:v>3820232.8682945278</x:v>
      </x:c>
      <x:c r="H1016" s="37" t="n">
        <x:v>23139.97750177609</x:v>
      </x:c>
      <x:c r="I1016" s="37" t="n">
        <x:v>3797092.8907927517</x:v>
      </x:c>
      <x:c r="J1016" s="37" t="n">
        <x:v>10559091.557696272</x:v>
      </x:c>
      <x:c r="K1016" s="37" t="n">
        <x:v>6738858.689401744</x:v>
      </x:c>
      <x:c r="L1016" s="37" t="n">
        <x:v>11627109.127342984</x:v>
      </x:c>
      <x:c r="M1016" s="37" t="n">
        <x:v>0</x:v>
      </x:c>
      <x:c r="N1016" s="37" t="n">
        <x:v>0</x:v>
      </x:c>
      <x:c r="O1016" s="37" t="n">
        <x:v>427.75060320366174</x:v>
      </x:c>
      <x:c r="P1016" s="37" t="n">
        <x:v>0</x:v>
      </x:c>
      <x:c r="Q1016" s="37" t="n">
        <x:v>0</x:v>
      </x:c>
      <x:c r="R1016" s="37" t="n">
        <x:v>0</x:v>
      </x:c>
      <x:c r="S1016" s="37" t="n">
        <x:v>0</x:v>
      </x:c>
      <x:c r="T1016" s="37" t="n">
        <x:v>0</x:v>
      </x:c>
      <x:c r="U1016" s="37" t="n">
        <x:v>0</x:v>
      </x:c>
      <x:c r="V1016" s="37" t="n">
        <x:v>0</x:v>
      </x:c>
      <x:c r="W1016" s="37" t="n">
        <x:v>1283.1814995780587</x:v>
      </x:c>
      <x:c r="X1016" s="37" t="n">
        <x:v>0</x:v>
      </x:c>
      <x:c r="Y1016" s="37" t="n">
        <x:v>1703.5990097780445</x:v>
      </x:c>
      <x:c r="Z1016" s="37" t="n">
        <x:v>6873635.863189779</x:v>
      </x:c>
      <x:c r="AA1016" s="37" t="n">
        <x:v>0</x:v>
      </x:c>
      <x:c r="AB1016" s="37" t="n">
        <x:v>6873635.863189779</x:v>
      </x:c>
      <x:c r="AC1016" s="37" t="n">
        <x:v>933240.395858678</x:v>
      </x:c>
      <x:c r="AD1016" s="37" t="n">
        <x:v>0</x:v>
      </x:c>
      <x:c r="AE1016" s="37" t="n">
        <x:v>0</x:v>
      </x:c>
      <x:c r="AF1016" s="47" t="b">
        <x:v>0</x:v>
      </x:c>
      <x:c r="AG1016" s="47" t="b">
        <x:v>0</x:v>
      </x:c>
      <x:c r="AH1016" s="48" t="n">
        <x:v>0</x:v>
      </x:c>
      <x:c r="AI1016" s="48" t="n">
        <x:v>5.960464477539063e-8</x:v>
      </x:c>
      <x:c r="AJ1016" s="37" t="str">
        <x:v>passed</x:v>
      </x:c>
    </x:row>
    <x:row r="1017" ht="21" customHeight="1">
      <x:c r="A1017" s="2"/>
      <x:c r="B1017" s="2"/>
      <x:c r="C1017" s="2" t="str">
        <x:v>2023</x:v>
      </x:c>
      <x:c r="D1017" s="5" t="n">
        <x:v>44932</x:v>
      </x:c>
      <x:c r="E1017" s="2" t="str">
        <x:v>unweighted</x:v>
      </x:c>
      <x:c r="F1017" s="37" t="n">
        <x:v>10842677.874561803</x:v>
      </x:c>
      <x:c r="G1017" s="37" t="n">
        <x:v>790410.743127107</x:v>
      </x:c>
      <x:c r="H1017" s="37" t="n">
        <x:v>22227.109485113157</x:v>
      </x:c>
      <x:c r="I1017" s="37" t="n">
        <x:v>768183.6336419939</x:v>
      </x:c>
      <x:c r="J1017" s="37" t="n">
        <x:v>10597281.420006452</x:v>
      </x:c>
      <x:c r="K1017" s="37" t="n">
        <x:v>9806870.676879345</x:v>
      </x:c>
      <x:c r="L1017" s="37" t="n">
        <x:v>11633088.617688911</x:v>
      </x:c>
      <x:c r="M1017" s="37" t="n">
        <x:v>0</x:v>
      </x:c>
      <x:c r="N1017" s="37" t="n">
        <x:v>0</x:v>
      </x:c>
      <x:c r="O1017" s="37" t="n">
        <x:v>594.0867828950286</x:v>
      </x:c>
      <x:c r="P1017" s="37" t="n">
        <x:v>0</x:v>
      </x:c>
      <x:c r="Q1017" s="37" t="n">
        <x:v>0</x:v>
      </x:c>
      <x:c r="R1017" s="37" t="n">
        <x:v>0</x:v>
      </x:c>
      <x:c r="S1017" s="37" t="n">
        <x:v>0</x:v>
      </x:c>
      <x:c r="T1017" s="37" t="n">
        <x:v>0</x:v>
      </x:c>
      <x:c r="U1017" s="37" t="n">
        <x:v>0</x:v>
      </x:c>
      <x:c r="V1017" s="37" t="n">
        <x:v>0</x:v>
      </x:c>
      <x:c r="W1017" s="37" t="n">
        <x:v>1782.1626977119595</x:v>
      </x:c>
      <x:c r="X1017" s="37" t="n">
        <x:v>0</x:v>
      </x:c>
      <x:c r="Y1017" s="37" t="n">
        <x:v>2014.5478098199433</x:v>
      </x:c>
      <x:c r="Z1017" s="37" t="n">
        <x:v>10003008.090416932</x:v>
      </x:c>
      <x:c r="AA1017" s="37" t="n">
        <x:v>0</x:v>
      </x:c>
      <x:c r="AB1017" s="37" t="n">
        <x:v>10003008.090416932</x:v>
      </x:c>
      <x:c r="AC1017" s="37" t="n">
        <x:v>839669.7841448709</x:v>
      </x:c>
      <x:c r="AD1017" s="37" t="n">
        <x:v>0</x:v>
      </x:c>
      <x:c r="AE1017" s="37" t="n">
        <x:v>0</x:v>
      </x:c>
      <x:c r="AF1017" s="47" t="b">
        <x:v>0</x:v>
      </x:c>
      <x:c r="AG1017" s="47" t="b">
        <x:v>0</x:v>
      </x:c>
      <x:c r="AH1017" s="48" t="n">
        <x:v>0</x:v>
      </x:c>
      <x:c r="AI1017" s="48" t="n">
        <x:v>1.1920928955078125e-7</x:v>
      </x:c>
      <x:c r="AJ1017" s="37" t="str">
        <x:v>passed</x:v>
      </x:c>
    </x:row>
    <x:row r="1018" ht="21" customHeight="1">
      <x:c r="A1018" s="2"/>
      <x:c r="B1018" s="2"/>
      <x:c r="C1018" s="2" t="str">
        <x:v>2023</x:v>
      </x:c>
      <x:c r="D1018" s="5" t="n">
        <x:v>44932</x:v>
      </x:c>
      <x:c r="E1018" s="2" t="str">
        <x:v>constrained</x:v>
      </x:c>
      <x:c r="F1018" s="37" t="n">
        <x:v>11605487.961109456</x:v>
      </x:c>
      <x:c r="G1018" s="37" t="n">
        <x:v>23677.095696616496</x:v>
      </x:c>
      <x:c r="H1018" s="37" t="n">
        <x:v>21490.839229588786</x:v>
      </x:c>
      <x:c r="I1018" s="37" t="n">
        <x:v>2186.2564670277097</x:v>
      </x:c>
      <x:c r="J1018" s="37" t="n">
        <x:v>10606048.405272195</x:v>
      </x:c>
      <x:c r="K1018" s="37" t="n">
        <x:v>10582371.309575578</x:v>
      </x:c>
      <x:c r="L1018" s="37" t="n">
        <x:v>11629165.056806073</x:v>
      </x:c>
      <x:c r="M1018" s="37" t="n">
        <x:v>0</x:v>
      </x:c>
      <x:c r="N1018" s="37" t="n">
        <x:v>0</x:v>
      </x:c>
      <x:c r="O1018" s="37" t="n">
        <x:v>635.882305689156</x:v>
      </x:c>
      <x:c r="P1018" s="37" t="n">
        <x:v>0</x:v>
      </x:c>
      <x:c r="Q1018" s="37" t="n">
        <x:v>0</x:v>
      </x:c>
      <x:c r="R1018" s="37" t="n">
        <x:v>0</x:v>
      </x:c>
      <x:c r="S1018" s="37" t="n">
        <x:v>0</x:v>
      </x:c>
      <x:c r="T1018" s="37" t="n">
        <x:v>0</x:v>
      </x:c>
      <x:c r="U1018" s="37" t="n">
        <x:v>0</x:v>
      </x:c>
      <x:c r="V1018" s="37" t="n">
        <x:v>0</x:v>
      </x:c>
      <x:c r="W1018" s="37" t="n">
        <x:v>1907.5423961039633</x:v>
      </x:c>
      <x:c r="X1018" s="37" t="n">
        <x:v>0</x:v>
      </x:c>
      <x:c r="Y1018" s="37" t="n">
        <x:v>2092.5222478280225</x:v>
      </x:c>
      <x:c r="Z1018" s="37" t="n">
        <x:v>10794018.73576709</x:v>
      </x:c>
      <x:c r="AA1018" s="37" t="n">
        <x:v>0</x:v>
      </x:c>
      <x:c r="AB1018" s="37" t="n">
        <x:v>10794018.73576709</x:v>
      </x:c>
      <x:c r="AC1018" s="37" t="n">
        <x:v>811469.225342365</x:v>
      </x:c>
      <x:c r="AD1018" s="37" t="n">
        <x:v>0</x:v>
      </x:c>
      <x:c r="AE1018" s="37" t="n">
        <x:v>0</x:v>
      </x:c>
      <x:c r="AF1018" s="47" t="b">
        <x:v>0</x:v>
      </x:c>
      <x:c r="AG1018" s="47" t="b">
        <x:v>0</x:v>
      </x:c>
      <x:c r="AH1018" s="48" t="n">
        <x:v>0</x:v>
      </x:c>
      <x:c r="AI1018" s="48" t="n">
        <x:v>1.1920928955078125e-7</x:v>
      </x:c>
      <x:c r="AJ1018" s="37" t="str">
        <x:v>passed</x:v>
      </x:c>
    </x:row>
    <x:row r="1019" ht="21" customHeight="1">
      <x:c r="A1019" s="2"/>
      <x:c r="B1019" s="2"/>
      <x:c r="C1019" s="2" t="str">
        <x:v>2023</x:v>
      </x:c>
      <x:c r="D1019" s="5" t="n">
        <x:v>44935</x:v>
      </x:c>
      <x:c r="E1019" s="2" t="str">
        <x:v>unhedged</x:v>
      </x:c>
      <x:c r="F1019" s="37" t="n">
        <x:v>1199351.3623455584</x:v>
      </x:c>
      <x:c r="G1019" s="37" t="n">
        <x:v>10574761.062360413</x:v>
      </x:c>
      <x:c r="H1019" s="37" t="n">
        <x:v>40111.17283209224</x:v>
      </x:c>
      <x:c r="I1019" s="37" t="n">
        <x:v>10534649.889528321</x:v>
      </x:c>
      <x:c r="J1019" s="37" t="n">
        <x:v>10574761.062360413</x:v>
      </x:c>
      <x:c r="K1019" s="37" t="n">
        <x:v>0</x:v>
      </x:c>
      <x:c r="L1019" s="37" t="n">
        <x:v>11774112.424705971</x:v>
      </x:c>
      <x:c r="M1019" s="37" t="n">
        <x:v>0</x:v>
      </x:c>
      <x:c r="N1019" s="37" t="n">
        <x:v>0</x:v>
      </x:c>
      <x:c r="O1019" s="37" t="n">
        <x:v>197.13204469857737</x:v>
      </x:c>
      <x:c r="P1019" s="37" t="n">
        <x:v>0</x:v>
      </x:c>
      <x:c r="Q1019" s="37" t="n">
        <x:v>0</x:v>
      </x:c>
      <x:c r="R1019" s="37" t="n">
        <x:v>0</x:v>
      </x:c>
      <x:c r="S1019" s="37" t="n">
        <x:v>0</x:v>
      </x:c>
      <x:c r="T1019" s="37" t="n">
        <x:v>0</x:v>
      </x:c>
      <x:c r="U1019" s="37" t="n">
        <x:v>0</x:v>
      </x:c>
      <x:c r="V1019" s="37" t="n">
        <x:v>0</x:v>
      </x:c>
      <x:c r="W1019" s="37" t="n">
        <x:v>394.2316876805853</x:v>
      </x:c>
      <x:c r="X1019" s="37" t="n">
        <x:v>0</x:v>
      </x:c>
      <x:c r="Y1019" s="37" t="n">
        <x:v>1042.869342122179</x:v>
      </x:c>
      <x:c r="Z1019" s="37" t="n">
        <x:v>0</x:v>
      </x:c>
      <x:c r="AA1019" s="37" t="n">
        <x:v>0</x:v>
      </x:c>
      <x:c r="AB1019" s="37" t="n">
        <x:v>0</x:v>
      </x:c>
      <x:c r="AC1019" s="37" t="n">
        <x:v>1199351.3623455584</x:v>
      </x:c>
      <x:c r="AD1019" s="37" t="n">
        <x:v>0</x:v>
      </x:c>
      <x:c r="AE1019" s="37" t="n">
        <x:v>0</x:v>
      </x:c>
      <x:c r="AF1019" s="47" t="b">
        <x:v>0</x:v>
      </x:c>
      <x:c r="AG1019" s="47" t="b">
        <x:v>0</x:v>
      </x:c>
      <x:c r="AH1019" s="48" t="n">
        <x:v>0</x:v>
      </x:c>
      <x:c r="AI1019" s="48" t="n">
        <x:v>1.1920928955078125e-7</x:v>
      </x:c>
      <x:c r="AJ1019" s="37" t="str">
        <x:v>passed</x:v>
      </x:c>
    </x:row>
    <x:row r="1020" ht="21" customHeight="1">
      <x:c r="A1020" s="2"/>
      <x:c r="B1020" s="2"/>
      <x:c r="C1020" s="2" t="str">
        <x:v>2023</x:v>
      </x:c>
      <x:c r="D1020" s="5" t="n">
        <x:v>44935</x:v>
      </x:c>
      <x:c r="E1020" s="2" t="str">
        <x:v>duration</x:v>
      </x:c>
      <x:c r="F1020" s="37" t="n">
        <x:v>7808159.651493539</x:v>
      </x:c>
      <x:c r="G1020" s="37" t="n">
        <x:v>3823971.4642290706</x:v>
      </x:c>
      <x:c r="H1020" s="37" t="n">
        <x:v>23267.740759687735</x:v>
      </x:c>
      <x:c r="I1020" s="37" t="n">
        <x:v>3800703.7234693826</x:v>
      </x:c>
      <x:c r="J1020" s="37" t="n">
        <x:v>10574761.062360413</x:v>
      </x:c>
      <x:c r="K1020" s="37" t="n">
        <x:v>6750789.598131344</x:v>
      </x:c>
      <x:c r="L1020" s="37" t="n">
        <x:v>11632131.11572261</x:v>
      </x:c>
      <x:c r="M1020" s="37" t="n">
        <x:v>0</x:v>
      </x:c>
      <x:c r="N1020" s="37" t="n">
        <x:v>0</x:v>
      </x:c>
      <x:c r="O1020" s="37" t="n">
        <x:v>1283.392445081845</x:v>
      </x:c>
      <x:c r="P1020" s="37" t="n">
        <x:v>0</x:v>
      </x:c>
      <x:c r="Q1020" s="37" t="n">
        <x:v>0</x:v>
      </x:c>
      <x:c r="R1020" s="37" t="n">
        <x:v>0</x:v>
      </x:c>
      <x:c r="S1020" s="37" t="n">
        <x:v>0</x:v>
      </x:c>
      <x:c r="T1020" s="37" t="n">
        <x:v>0</x:v>
      </x:c>
      <x:c r="U1020" s="37" t="n">
        <x:v>0</x:v>
      </x:c>
      <x:c r="V1020" s="37" t="n">
        <x:v>0</x:v>
      </x:c>
      <x:c r="W1020" s="37" t="n">
        <x:v>2566.5739446599036</x:v>
      </x:c>
      <x:c r="X1020" s="37" t="n">
        <x:v>0</x:v>
      </x:c>
      <x:c r="Y1020" s="37" t="n">
        <x:v>1703.5990097780445</x:v>
      </x:c>
      <x:c r="Z1020" s="37" t="n">
        <x:v>6885805.390093971</x:v>
      </x:c>
      <x:c r="AA1020" s="37" t="n">
        <x:v>0</x:v>
      </x:c>
      <x:c r="AB1020" s="37" t="n">
        <x:v>6885805.390093971</x:v>
      </x:c>
      <x:c r="AC1020" s="37" t="n">
        <x:v>922354.2613995681</x:v>
      </x:c>
      <x:c r="AD1020" s="37" t="n">
        <x:v>0</x:v>
      </x:c>
      <x:c r="AE1020" s="37" t="n">
        <x:v>0</x:v>
      </x:c>
      <x:c r="AF1020" s="47" t="b">
        <x:v>0</x:v>
      </x:c>
      <x:c r="AG1020" s="47" t="b">
        <x:v>0</x:v>
      </x:c>
      <x:c r="AH1020" s="48" t="n">
        <x:v>0</x:v>
      </x:c>
      <x:c r="AI1020" s="48" t="n">
        <x:v>5.960464477539063e-8</x:v>
      </x:c>
      <x:c r="AJ1020" s="37" t="str">
        <x:v>passed</x:v>
      </x:c>
    </x:row>
    <x:row r="1021" ht="21" customHeight="1">
      <x:c r="A1021" s="2"/>
      <x:c r="B1021" s="2"/>
      <x:c r="C1021" s="2" t="str">
        <x:v>2023</x:v>
      </x:c>
      <x:c r="D1021" s="5" t="n">
        <x:v>44935</x:v>
      </x:c>
      <x:c r="E1021" s="2" t="str">
        <x:v>unweighted</x:v>
      </x:c>
      <x:c r="F1021" s="37" t="n">
        <x:v>10844460.330233818</x:v>
      </x:c>
      <x:c r="G1021" s="37" t="n">
        <x:v>791138.438655106</x:v>
      </x:c>
      <x:c r="H1021" s="37" t="n">
        <x:v>22166.57866305666</x:v>
      </x:c>
      <x:c r="I1021" s="37" t="n">
        <x:v>768971.8599920493</x:v>
      </x:c>
      <x:c r="J1021" s="37" t="n">
        <x:v>10613092.289765907</x:v>
      </x:c>
      <x:c r="K1021" s="37" t="n">
        <x:v>9821953.851110801</x:v>
      </x:c>
      <x:c r="L1021" s="37" t="n">
        <x:v>11635598.768888924</x:v>
      </x:c>
      <x:c r="M1021" s="37" t="n">
        <x:v>0</x:v>
      </x:c>
      <x:c r="N1021" s="37" t="n">
        <x:v>0</x:v>
      </x:c>
      <x:c r="O1021" s="37" t="n">
        <x:v>1782.4556720145047</x:v>
      </x:c>
      <x:c r="P1021" s="37" t="n">
        <x:v>0</x:v>
      </x:c>
      <x:c r="Q1021" s="37" t="n">
        <x:v>0</x:v>
      </x:c>
      <x:c r="R1021" s="37" t="n">
        <x:v>0</x:v>
      </x:c>
      <x:c r="S1021" s="37" t="n">
        <x:v>0</x:v>
      </x:c>
      <x:c r="T1021" s="37" t="n">
        <x:v>0</x:v>
      </x:c>
      <x:c r="U1021" s="37" t="n">
        <x:v>0</x:v>
      </x:c>
      <x:c r="V1021" s="37" t="n">
        <x:v>0</x:v>
      </x:c>
      <x:c r="W1021" s="37" t="n">
        <x:v>3564.618369726464</x:v>
      </x:c>
      <x:c r="X1021" s="37" t="n">
        <x:v>0</x:v>
      </x:c>
      <x:c r="Y1021" s="37" t="n">
        <x:v>2014.5478098199433</x:v>
      </x:c>
      <x:c r="Z1021" s="37" t="n">
        <x:v>10018392.928133016</x:v>
      </x:c>
      <x:c r="AA1021" s="37" t="n">
        <x:v>0</x:v>
      </x:c>
      <x:c r="AB1021" s="37" t="n">
        <x:v>10018392.928133016</x:v>
      </x:c>
      <x:c r="AC1021" s="37" t="n">
        <x:v>826067.4021008015</x:v>
      </x:c>
      <x:c r="AD1021" s="37" t="n">
        <x:v>0</x:v>
      </x:c>
      <x:c r="AE1021" s="37" t="n">
        <x:v>0</x:v>
      </x:c>
      <x:c r="AF1021" s="47" t="b">
        <x:v>0</x:v>
      </x:c>
      <x:c r="AG1021" s="47" t="b">
        <x:v>0</x:v>
      </x:c>
      <x:c r="AH1021" s="48" t="n">
        <x:v>0</x:v>
      </x:c>
      <x:c r="AI1021" s="48" t="n">
        <x:v>1.1920928955078125e-7</x:v>
      </x:c>
      <x:c r="AJ1021" s="37" t="str">
        <x:v>passed</x:v>
      </x:c>
    </x:row>
    <x:row r="1022" ht="21" customHeight="1">
      <x:c r="A1022" s="2"/>
      <x:c r="B1022" s="2"/>
      <x:c r="C1022" s="2" t="str">
        <x:v>2023</x:v>
      </x:c>
      <x:c r="D1022" s="5" t="n">
        <x:v>44935</x:v>
      </x:c>
      <x:c r="E1022" s="2" t="str">
        <x:v>constrained</x:v>
      </x:c>
      <x:c r="F1022" s="37" t="n">
        <x:v>11607395.817091355</x:v>
      </x:c>
      <x:c r="G1022" s="37" t="n">
        <x:v>23664.039265993695</x:v>
      </x:c>
      <x:c r="H1022" s="37" t="n">
        <x:v>21373.849265910707</x:v>
      </x:c>
      <x:c r="I1022" s="37" t="n">
        <x:v>2290.1900000829883</x:v>
      </x:c>
      <x:c r="J1022" s="37" t="n">
        <x:v>10621895.763172911</x:v>
      </x:c>
      <x:c r="K1022" s="37" t="n">
        <x:v>10598231.723906917</x:v>
      </x:c>
      <x:c r="L1022" s="37" t="n">
        <x:v>11631059.85635735</x:v>
      </x:c>
      <x:c r="M1022" s="37" t="n">
        <x:v>0</x:v>
      </x:c>
      <x:c r="N1022" s="37" t="n">
        <x:v>0</x:v>
      </x:c>
      <x:c r="O1022" s="37" t="n">
        <x:v>1907.8559818994254</x:v>
      </x:c>
      <x:c r="P1022" s="37" t="n">
        <x:v>0</x:v>
      </x:c>
      <x:c r="Q1022" s="37" t="n">
        <x:v>0</x:v>
      </x:c>
      <x:c r="R1022" s="37" t="n">
        <x:v>0</x:v>
      </x:c>
      <x:c r="S1022" s="37" t="n">
        <x:v>0</x:v>
      </x:c>
      <x:c r="T1022" s="37" t="n">
        <x:v>0</x:v>
      </x:c>
      <x:c r="U1022" s="37" t="n">
        <x:v>0</x:v>
      </x:c>
      <x:c r="V1022" s="37" t="n">
        <x:v>0</x:v>
      </x:c>
      <x:c r="W1022" s="37" t="n">
        <x:v>3815.3983780033886</x:v>
      </x:c>
      <x:c r="X1022" s="37" t="n">
        <x:v>0</x:v>
      </x:c>
      <x:c r="Y1022" s="37" t="n">
        <x:v>2092.5222478280225</x:v>
      </x:c>
      <x:c r="Z1022" s="37" t="n">
        <x:v>10810196.358385056</x:v>
      </x:c>
      <x:c r="AA1022" s="37" t="n">
        <x:v>0</x:v>
      </x:c>
      <x:c r="AB1022" s="37" t="n">
        <x:v>10810196.358385056</x:v>
      </x:c>
      <x:c r="AC1022" s="37" t="n">
        <x:v>797199.4587062988</x:v>
      </x:c>
      <x:c r="AD1022" s="37" t="n">
        <x:v>0</x:v>
      </x:c>
      <x:c r="AE1022" s="37" t="n">
        <x:v>0</x:v>
      </x:c>
      <x:c r="AF1022" s="47" t="b">
        <x:v>0</x:v>
      </x:c>
      <x:c r="AG1022" s="47" t="b">
        <x:v>0</x:v>
      </x:c>
      <x:c r="AH1022" s="48" t="n">
        <x:v>0</x:v>
      </x:c>
      <x:c r="AI1022" s="48" t="n">
        <x:v>1.1920928955078125e-7</x:v>
      </x:c>
      <x:c r="AJ1022" s="37" t="str">
        <x:v>passed</x:v>
      </x:c>
    </x:row>
    <x:row r="1023" ht="21" customHeight="1">
      <x:c r="A1023" s="2"/>
      <x:c r="B1023" s="2"/>
      <x:c r="C1023" s="2" t="str">
        <x:v>2023</x:v>
      </x:c>
      <x:c r="D1023" s="5" t="n">
        <x:v>44936</x:v>
      </x:c>
      <x:c r="E1023" s="2" t="str">
        <x:v>unhedged</x:v>
      </x:c>
      <x:c r="F1023" s="37" t="n">
        <x:v>1199417.080228427</x:v>
      </x:c>
      <x:c r="G1023" s="37" t="n">
        <x:v>10538026.454739617</x:v>
      </x:c>
      <x:c r="H1023" s="37" t="n">
        <x:v>40460.00480422772</x:v>
      </x:c>
      <x:c r="I1023" s="37" t="n">
        <x:v>10497566.44993539</x:v>
      </x:c>
      <x:c r="J1023" s="37" t="n">
        <x:v>10538026.454739617</x:v>
      </x:c>
      <x:c r="K1023" s="37" t="n">
        <x:v>0</x:v>
      </x:c>
      <x:c r="L1023" s="37" t="n">
        <x:v>11737443.534968045</x:v>
      </x:c>
      <x:c r="M1023" s="37" t="n">
        <x:v>0</x:v>
      </x:c>
      <x:c r="N1023" s="37" t="n">
        <x:v>0</x:v>
      </x:c>
      <x:c r="O1023" s="37" t="n">
        <x:v>65.71788286860101</x:v>
      </x:c>
      <x:c r="P1023" s="37" t="n">
        <x:v>0</x:v>
      </x:c>
      <x:c r="Q1023" s="37" t="n">
        <x:v>0</x:v>
      </x:c>
      <x:c r="R1023" s="37" t="n">
        <x:v>0</x:v>
      </x:c>
      <x:c r="S1023" s="37" t="n">
        <x:v>0</x:v>
      </x:c>
      <x:c r="T1023" s="37" t="n">
        <x:v>0</x:v>
      </x:c>
      <x:c r="U1023" s="37" t="n">
        <x:v>0</x:v>
      </x:c>
      <x:c r="V1023" s="37" t="n">
        <x:v>0</x:v>
      </x:c>
      <x:c r="W1023" s="37" t="n">
        <x:v>459.9495705491863</x:v>
      </x:c>
      <x:c r="X1023" s="37" t="n">
        <x:v>0</x:v>
      </x:c>
      <x:c r="Y1023" s="37" t="n">
        <x:v>1042.869342122179</x:v>
      </x:c>
      <x:c r="Z1023" s="37" t="n">
        <x:v>0</x:v>
      </x:c>
      <x:c r="AA1023" s="37" t="n">
        <x:v>0</x:v>
      </x:c>
      <x:c r="AB1023" s="37" t="n">
        <x:v>0</x:v>
      </x:c>
      <x:c r="AC1023" s="37" t="n">
        <x:v>1199417.080228427</x:v>
      </x:c>
      <x:c r="AD1023" s="37" t="n">
        <x:v>0</x:v>
      </x:c>
      <x:c r="AE1023" s="37" t="n">
        <x:v>0</x:v>
      </x:c>
      <x:c r="AF1023" s="47" t="b">
        <x:v>0</x:v>
      </x:c>
      <x:c r="AG1023" s="47" t="b">
        <x:v>0</x:v>
      </x:c>
      <x:c r="AH1023" s="48" t="n">
        <x:v>0</x:v>
      </x:c>
      <x:c r="AI1023" s="48" t="n">
        <x:v>1.1920928955078125e-7</x:v>
      </x:c>
      <x:c r="AJ1023" s="37" t="str">
        <x:v>passed</x:v>
      </x:c>
    </x:row>
    <x:row r="1024" ht="21" customHeight="1">
      <x:c r="A1024" s="2"/>
      <x:c r="B1024" s="2"/>
      <x:c r="C1024" s="2" t="str">
        <x:v>2023</x:v>
      </x:c>
      <x:c r="D1024" s="5" t="n">
        <x:v>44936</x:v>
      </x:c>
      <x:c r="E1024" s="2" t="str">
        <x:v>duration</x:v>
      </x:c>
      <x:c r="F1024" s="37" t="n">
        <x:v>7808587.495858006</x:v>
      </x:c>
      <x:c r="G1024" s="37" t="n">
        <x:v>3829566.2878967477</x:v>
      </x:c>
      <x:c r="H1024" s="37" t="n">
        <x:v>23310.328512324948</x:v>
      </x:c>
      <x:c r="I1024" s="37" t="n">
        <x:v>3806255.9593844227</x:v>
      </x:c>
      <x:c r="J1024" s="37" t="n">
        <x:v>10538026.454739617</x:v>
      </x:c>
      <x:c r="K1024" s="37" t="n">
        <x:v>6708460.1668428695</x:v>
      </x:c>
      <x:c r="L1024" s="37" t="n">
        <x:v>11638153.783754755</x:v>
      </x:c>
      <x:c r="M1024" s="37" t="n">
        <x:v>0</x:v>
      </x:c>
      <x:c r="N1024" s="37" t="n">
        <x:v>0</x:v>
      </x:c>
      <x:c r="O1024" s="37" t="n">
        <x:v>427.84436446707696</x:v>
      </x:c>
      <x:c r="P1024" s="37" t="n">
        <x:v>0</x:v>
      </x:c>
      <x:c r="Q1024" s="37" t="n">
        <x:v>0</x:v>
      </x:c>
      <x:c r="R1024" s="37" t="n">
        <x:v>0</x:v>
      </x:c>
      <x:c r="S1024" s="37" t="n">
        <x:v>0</x:v>
      </x:c>
      <x:c r="T1024" s="37" t="n">
        <x:v>0</x:v>
      </x:c>
      <x:c r="U1024" s="37" t="n">
        <x:v>0</x:v>
      </x:c>
      <x:c r="V1024" s="37" t="n">
        <x:v>0</x:v>
      </x:c>
      <x:c r="W1024" s="37" t="n">
        <x:v>2994.4183091269806</x:v>
      </x:c>
      <x:c r="X1024" s="37" t="n">
        <x:v>0</x:v>
      </x:c>
      <x:c r="Y1024" s="37" t="n">
        <x:v>1703.5990097780445</x:v>
      </x:c>
      <x:c r="Z1024" s="37" t="n">
        <x:v>6842629.370179727</x:v>
      </x:c>
      <x:c r="AA1024" s="37" t="n">
        <x:v>0</x:v>
      </x:c>
      <x:c r="AB1024" s="37" t="n">
        <x:v>6842629.370179727</x:v>
      </x:c>
      <x:c r="AC1024" s="37" t="n">
        <x:v>965958.1256782794</x:v>
      </x:c>
      <x:c r="AD1024" s="37" t="n">
        <x:v>0</x:v>
      </x:c>
      <x:c r="AE1024" s="37" t="n">
        <x:v>0</x:v>
      </x:c>
      <x:c r="AF1024" s="47" t="b">
        <x:v>0</x:v>
      </x:c>
      <x:c r="AG1024" s="47" t="b">
        <x:v>0</x:v>
      </x:c>
      <x:c r="AH1024" s="48" t="n">
        <x:v>0</x:v>
      </x:c>
      <x:c r="AI1024" s="48" t="n">
        <x:v>5.960464477539063e-8</x:v>
      </x:c>
      <x:c r="AJ1024" s="37" t="str">
        <x:v>passed</x:v>
      </x:c>
    </x:row>
    <x:row r="1025" ht="21" customHeight="1">
      <x:c r="A1025" s="2"/>
      <x:c r="B1025" s="2"/>
      <x:c r="C1025" s="2" t="str">
        <x:v>2023</x:v>
      </x:c>
      <x:c r="D1025" s="5" t="n">
        <x:v>44936</x:v>
      </x:c>
      <x:c r="E1025" s="2" t="str">
        <x:v>unweighted</x:v>
      </x:c>
      <x:c r="F1025" s="37" t="n">
        <x:v>10845054.547238218</x:v>
      </x:c>
      <x:c r="G1025" s="37" t="n">
        <x:v>790223.5443601845</x:v>
      </x:c>
      <x:c r="H1025" s="37" t="n">
        <x:v>22146.401722371163</x:v>
      </x:c>
      <x:c r="I1025" s="37" t="n">
        <x:v>768077.1426378133</x:v>
      </x:c>
      <x:c r="J1025" s="37" t="n">
        <x:v>10575861.741308166</x:v>
      </x:c>
      <x:c r="K1025" s="37" t="n">
        <x:v>9785638.19694798</x:v>
      </x:c>
      <x:c r="L1025" s="37" t="n">
        <x:v>11635278.091598403</x:v>
      </x:c>
      <x:c r="M1025" s="37" t="n">
        <x:v>0</x:v>
      </x:c>
      <x:c r="N1025" s="37" t="n">
        <x:v>0</x:v>
      </x:c>
      <x:c r="O1025" s="37" t="n">
        <x:v>594.2170043997467</x:v>
      </x:c>
      <x:c r="P1025" s="37" t="n">
        <x:v>0</x:v>
      </x:c>
      <x:c r="Q1025" s="37" t="n">
        <x:v>0</x:v>
      </x:c>
      <x:c r="R1025" s="37" t="n">
        <x:v>0</x:v>
      </x:c>
      <x:c r="S1025" s="37" t="n">
        <x:v>0</x:v>
      </x:c>
      <x:c r="T1025" s="37" t="n">
        <x:v>0</x:v>
      </x:c>
      <x:c r="U1025" s="37" t="n">
        <x:v>0</x:v>
      </x:c>
      <x:c r="V1025" s="37" t="n">
        <x:v>0</x:v>
      </x:c>
      <x:c r="W1025" s="37" t="n">
        <x:v>4158.835374126211</x:v>
      </x:c>
      <x:c r="X1025" s="37" t="n">
        <x:v>0</x:v>
      </x:c>
      <x:c r="Y1025" s="37" t="n">
        <x:v>2014.5478098199433</x:v>
      </x:c>
      <x:c r="Z1025" s="37" t="n">
        <x:v>9981350.96088694</x:v>
      </x:c>
      <x:c r="AA1025" s="37" t="n">
        <x:v>0</x:v>
      </x:c>
      <x:c r="AB1025" s="37" t="n">
        <x:v>9981350.96088694</x:v>
      </x:c>
      <x:c r="AC1025" s="37" t="n">
        <x:v>863703.5863512773</x:v>
      </x:c>
      <x:c r="AD1025" s="37" t="n">
        <x:v>0</x:v>
      </x:c>
      <x:c r="AE1025" s="37" t="n">
        <x:v>0</x:v>
      </x:c>
      <x:c r="AF1025" s="47" t="b">
        <x:v>0</x:v>
      </x:c>
      <x:c r="AG1025" s="47" t="b">
        <x:v>0</x:v>
      </x:c>
      <x:c r="AH1025" s="48" t="n">
        <x:v>0</x:v>
      </x:c>
      <x:c r="AI1025" s="48" t="n">
        <x:v>1.1920928955078125e-7</x:v>
      </x:c>
      <x:c r="AJ1025" s="37" t="str">
        <x:v>passed</x:v>
      </x:c>
    </x:row>
    <x:row r="1026" ht="21" customHeight="1">
      <x:c r="A1026" s="2"/>
      <x:c r="B1026" s="2"/>
      <x:c r="C1026" s="2" t="str">
        <x:v>2023</x:v>
      </x:c>
      <x:c r="D1026" s="5" t="n">
        <x:v>44936</x:v>
      </x:c>
      <x:c r="E1026" s="2" t="str">
        <x:v>constrained</x:v>
      </x:c>
      <x:c r="F1026" s="37" t="n">
        <x:v>11608031.838779965</x:v>
      </x:c>
      <x:c r="G1026" s="37" t="n">
        <x:v>23689.093407918983</x:v>
      </x:c>
      <x:c r="H1026" s="37" t="n">
        <x:v>21334.852611351347</x:v>
      </x:c>
      <x:c r="I1026" s="37" t="n">
        <x:v>2354.2407965676357</x:v>
      </x:c>
      <x:c r="J1026" s="37" t="n">
        <x:v>10584552.11373101</x:v>
      </x:c>
      <x:c r="K1026" s="37" t="n">
        <x:v>10560863.02032309</x:v>
      </x:c>
      <x:c r="L1026" s="37" t="n">
        <x:v>11631720.932187885</x:v>
      </x:c>
      <x:c r="M1026" s="37" t="n">
        <x:v>0</x:v>
      </x:c>
      <x:c r="N1026" s="37" t="n">
        <x:v>0</x:v>
      </x:c>
      <x:c r="O1026" s="37" t="n">
        <x:v>636.0216886103153</x:v>
      </x:c>
      <x:c r="P1026" s="37" t="n">
        <x:v>0</x:v>
      </x:c>
      <x:c r="Q1026" s="37" t="n">
        <x:v>0</x:v>
      </x:c>
      <x:c r="R1026" s="37" t="n">
        <x:v>0</x:v>
      </x:c>
      <x:c r="S1026" s="37" t="n">
        <x:v>0</x:v>
      </x:c>
      <x:c r="T1026" s="37" t="n">
        <x:v>0</x:v>
      </x:c>
      <x:c r="U1026" s="37" t="n">
        <x:v>0</x:v>
      </x:c>
      <x:c r="V1026" s="37" t="n">
        <x:v>0</x:v>
      </x:c>
      <x:c r="W1026" s="37" t="n">
        <x:v>4451.420066613704</x:v>
      </x:c>
      <x:c r="X1026" s="37" t="n">
        <x:v>0</x:v>
      </x:c>
      <x:c r="Y1026" s="37" t="n">
        <x:v>2092.5222478280225</x:v>
      </x:c>
      <x:c r="Z1026" s="37" t="n">
        <x:v>10772080.280729553</x:v>
      </x:c>
      <x:c r="AA1026" s="37" t="n">
        <x:v>0</x:v>
      </x:c>
      <x:c r="AB1026" s="37" t="n">
        <x:v>10772080.280729553</x:v>
      </x:c>
      <x:c r="AC1026" s="37" t="n">
        <x:v>835951.5580504127</x:v>
      </x:c>
      <x:c r="AD1026" s="37" t="n">
        <x:v>0</x:v>
      </x:c>
      <x:c r="AE1026" s="37" t="n">
        <x:v>0</x:v>
      </x:c>
      <x:c r="AF1026" s="47" t="b">
        <x:v>0</x:v>
      </x:c>
      <x:c r="AG1026" s="47" t="b">
        <x:v>0</x:v>
      </x:c>
      <x:c r="AH1026" s="48" t="n">
        <x:v>0</x:v>
      </x:c>
      <x:c r="AI1026" s="48" t="n">
        <x:v>1.1920928955078125e-7</x:v>
      </x:c>
      <x:c r="AJ1026" s="37" t="str">
        <x:v>passed</x:v>
      </x:c>
    </x:row>
    <x:row r="1027" ht="21" customHeight="1">
      <x:c r="A1027" s="2"/>
      <x:c r="B1027" s="2"/>
      <x:c r="C1027" s="2" t="str">
        <x:v>2023</x:v>
      </x:c>
      <x:c r="D1027" s="5" t="n">
        <x:v>44937</x:v>
      </x:c>
      <x:c r="E1027" s="2" t="str">
        <x:v>unhedged</x:v>
      </x:c>
      <x:c r="F1027" s="37" t="n">
        <x:v>1199482.801712275</x:v>
      </x:c>
      <x:c r="G1027" s="37" t="n">
        <x:v>10572497.591203956</x:v>
      </x:c>
      <x:c r="H1027" s="37" t="n">
        <x:v>40808.8367763632</x:v>
      </x:c>
      <x:c r="I1027" s="37" t="n">
        <x:v>10531688.754427593</x:v>
      </x:c>
      <x:c r="J1027" s="37" t="n">
        <x:v>10572497.591203956</x:v>
      </x:c>
      <x:c r="K1027" s="37" t="n">
        <x:v>0</x:v>
      </x:c>
      <x:c r="L1027" s="37" t="n">
        <x:v>11771980.39291623</x:v>
      </x:c>
      <x:c r="M1027" s="37" t="n">
        <x:v>0</x:v>
      </x:c>
      <x:c r="N1027" s="37" t="n">
        <x:v>0</x:v>
      </x:c>
      <x:c r="O1027" s="37" t="n">
        <x:v>65.72148384805769</x:v>
      </x:c>
      <x:c r="P1027" s="37" t="n">
        <x:v>0</x:v>
      </x:c>
      <x:c r="Q1027" s="37" t="n">
        <x:v>0</x:v>
      </x:c>
      <x:c r="R1027" s="37" t="n">
        <x:v>0</x:v>
      </x:c>
      <x:c r="S1027" s="37" t="n">
        <x:v>0</x:v>
      </x:c>
      <x:c r="T1027" s="37" t="n">
        <x:v>0</x:v>
      </x:c>
      <x:c r="U1027" s="37" t="n">
        <x:v>0</x:v>
      </x:c>
      <x:c r="V1027" s="37" t="n">
        <x:v>0</x:v>
      </x:c>
      <x:c r="W1027" s="37" t="n">
        <x:v>525.671054397244</x:v>
      </x:c>
      <x:c r="X1027" s="37" t="n">
        <x:v>0</x:v>
      </x:c>
      <x:c r="Y1027" s="37" t="n">
        <x:v>1042.869342122179</x:v>
      </x:c>
      <x:c r="Z1027" s="37" t="n">
        <x:v>0</x:v>
      </x:c>
      <x:c r="AA1027" s="37" t="n">
        <x:v>0</x:v>
      </x:c>
      <x:c r="AB1027" s="37" t="n">
        <x:v>0</x:v>
      </x:c>
      <x:c r="AC1027" s="37" t="n">
        <x:v>1199482.801712275</x:v>
      </x:c>
      <x:c r="AD1027" s="37" t="n">
        <x:v>0</x:v>
      </x:c>
      <x:c r="AE1027" s="37" t="n">
        <x:v>0</x:v>
      </x:c>
      <x:c r="AF1027" s="47" t="b">
        <x:v>0</x:v>
      </x:c>
      <x:c r="AG1027" s="47" t="b">
        <x:v>0</x:v>
      </x:c>
      <x:c r="AH1027" s="48" t="n">
        <x:v>0</x:v>
      </x:c>
      <x:c r="AI1027" s="48" t="n">
        <x:v>1.1920928955078125e-7</x:v>
      </x:c>
      <x:c r="AJ1027" s="37" t="str">
        <x:v>passed</x:v>
      </x:c>
    </x:row>
    <x:row r="1028" ht="21" customHeight="1">
      <x:c r="A1028" s="2"/>
      <x:c r="B1028" s="2"/>
      <x:c r="C1028" s="2" t="str">
        <x:v>2023</x:v>
      </x:c>
      <x:c r="D1028" s="5" t="n">
        <x:v>44937</x:v>
      </x:c>
      <x:c r="E1028" s="2" t="str">
        <x:v>duration</x:v>
      </x:c>
      <x:c r="F1028" s="37" t="n">
        <x:v>7809015.363665999</x:v>
      </x:c>
      <x:c r="G1028" s="37" t="n">
        <x:v>3827558.179132627</x:v>
      </x:c>
      <x:c r="H1028" s="37" t="n">
        <x:v>23352.916264962165</x:v>
      </x:c>
      <x:c r="I1028" s="37" t="n">
        <x:v>3804205.262867665</x:v>
      </x:c>
      <x:c r="J1028" s="37" t="n">
        <x:v>10572497.591203956</x:v>
      </x:c>
      <x:c r="K1028" s="37" t="n">
        <x:v>6744939.412071329</x:v>
      </x:c>
      <x:c r="L1028" s="37" t="n">
        <x:v>11636573.542798625</x:v>
      </x:c>
      <x:c r="M1028" s="37" t="n">
        <x:v>0</x:v>
      </x:c>
      <x:c r="N1028" s="37" t="n">
        <x:v>0</x:v>
      </x:c>
      <x:c r="O1028" s="37" t="n">
        <x:v>427.867807992734</x:v>
      </x:c>
      <x:c r="P1028" s="37" t="n">
        <x:v>0</x:v>
      </x:c>
      <x:c r="Q1028" s="37" t="n">
        <x:v>0</x:v>
      </x:c>
      <x:c r="R1028" s="37" t="n">
        <x:v>0</x:v>
      </x:c>
      <x:c r="S1028" s="37" t="n">
        <x:v>0</x:v>
      </x:c>
      <x:c r="T1028" s="37" t="n">
        <x:v>0</x:v>
      </x:c>
      <x:c r="U1028" s="37" t="n">
        <x:v>0</x:v>
      </x:c>
      <x:c r="V1028" s="37" t="n">
        <x:v>0</x:v>
      </x:c>
      <x:c r="W1028" s="37" t="n">
        <x:v>3422.2861171197146</x:v>
      </x:c>
      <x:c r="X1028" s="37" t="n">
        <x:v>0</x:v>
      </x:c>
      <x:c r="Y1028" s="37" t="n">
        <x:v>1703.5990097780445</x:v>
      </x:c>
      <x:c r="Z1028" s="37" t="n">
        <x:v>6879838.200312755</x:v>
      </x:c>
      <x:c r="AA1028" s="37" t="n">
        <x:v>0</x:v>
      </x:c>
      <x:c r="AB1028" s="37" t="n">
        <x:v>6879838.200312755</x:v>
      </x:c>
      <x:c r="AC1028" s="37" t="n">
        <x:v>929177.1633532438</x:v>
      </x:c>
      <x:c r="AD1028" s="37" t="n">
        <x:v>0</x:v>
      </x:c>
      <x:c r="AE1028" s="37" t="n">
        <x:v>0</x:v>
      </x:c>
      <x:c r="AF1028" s="47" t="b">
        <x:v>0</x:v>
      </x:c>
      <x:c r="AG1028" s="47" t="b">
        <x:v>0</x:v>
      </x:c>
      <x:c r="AH1028" s="48" t="n">
        <x:v>0</x:v>
      </x:c>
      <x:c r="AI1028" s="48" t="n">
        <x:v>5.960464477539063e-8</x:v>
      </x:c>
      <x:c r="AJ1028" s="37" t="str">
        <x:v>passed</x:v>
      </x:c>
    </x:row>
    <x:row r="1029" ht="21" customHeight="1">
      <x:c r="A1029" s="2"/>
      <x:c r="B1029" s="2"/>
      <x:c r="C1029" s="2" t="str">
        <x:v>2023</x:v>
      </x:c>
      <x:c r="D1029" s="5" t="n">
        <x:v>44937</x:v>
      </x:c>
      <x:c r="E1029" s="2" t="str">
        <x:v>unweighted</x:v>
      </x:c>
      <x:c r="F1029" s="37" t="n">
        <x:v>10845648.79680245</x:v>
      </x:c>
      <x:c r="G1029" s="37" t="n">
        <x:v>791358.458811675</x:v>
      </x:c>
      <x:c r="H1029" s="37" t="n">
        <x:v>22126.22478168567</x:v>
      </x:c>
      <x:c r="I1029" s="37" t="n">
        <x:v>769232.2340299893</x:v>
      </x:c>
      <x:c r="J1029" s="37" t="n">
        <x:v>10610720.340786355</x:v>
      </x:c>
      <x:c r="K1029" s="37" t="n">
        <x:v>9819361.88197468</x:v>
      </x:c>
      <x:c r="L1029" s="37" t="n">
        <x:v>11637007.255614124</x:v>
      </x:c>
      <x:c r="M1029" s="37" t="n">
        <x:v>0</x:v>
      </x:c>
      <x:c r="N1029" s="37" t="n">
        <x:v>0</x:v>
      </x:c>
      <x:c r="O1029" s="37" t="n">
        <x:v>594.2495642323047</x:v>
      </x:c>
      <x:c r="P1029" s="37" t="n">
        <x:v>0</x:v>
      </x:c>
      <x:c r="Q1029" s="37" t="n">
        <x:v>0</x:v>
      </x:c>
      <x:c r="R1029" s="37" t="n">
        <x:v>0</x:v>
      </x:c>
      <x:c r="S1029" s="37" t="n">
        <x:v>0</x:v>
      </x:c>
      <x:c r="T1029" s="37" t="n">
        <x:v>0</x:v>
      </x:c>
      <x:c r="U1029" s="37" t="n">
        <x:v>0</x:v>
      </x:c>
      <x:c r="V1029" s="37" t="n">
        <x:v>0</x:v>
      </x:c>
      <x:c r="W1029" s="37" t="n">
        <x:v>4753.0849383585155</x:v>
      </x:c>
      <x:c r="X1029" s="37" t="n">
        <x:v>0</x:v>
      </x:c>
      <x:c r="Y1029" s="37" t="n">
        <x:v>2014.5478098199433</x:v>
      </x:c>
      <x:c r="Z1029" s="37" t="n">
        <x:v>10015749.119614175</x:v>
      </x:c>
      <x:c r="AA1029" s="37" t="n">
        <x:v>0</x:v>
      </x:c>
      <x:c r="AB1029" s="37" t="n">
        <x:v>10015749.119614175</x:v>
      </x:c>
      <x:c r="AC1029" s="37" t="n">
        <x:v>829899.6771882754</x:v>
      </x:c>
      <x:c r="AD1029" s="37" t="n">
        <x:v>0</x:v>
      </x:c>
      <x:c r="AE1029" s="37" t="n">
        <x:v>0</x:v>
      </x:c>
      <x:c r="AF1029" s="47" t="b">
        <x:v>0</x:v>
      </x:c>
      <x:c r="AG1029" s="47" t="b">
        <x:v>0</x:v>
      </x:c>
      <x:c r="AH1029" s="48" t="n">
        <x:v>0</x:v>
      </x:c>
      <x:c r="AI1029" s="48" t="n">
        <x:v>1.1920928955078125e-7</x:v>
      </x:c>
      <x:c r="AJ1029" s="37" t="str">
        <x:v>passed</x:v>
      </x:c>
    </x:row>
    <x:row r="1030" ht="21" customHeight="1">
      <x:c r="A1030" s="2"/>
      <x:c r="B1030" s="2"/>
      <x:c r="C1030" s="2" t="str">
        <x:v>2023</x:v>
      </x:c>
      <x:c r="D1030" s="5" t="n">
        <x:v>44937</x:v>
      </x:c>
      <x:c r="E1030" s="2" t="str">
        <x:v>constrained</x:v>
      </x:c>
      <x:c r="F1030" s="37" t="n">
        <x:v>11608667.895319076</x:v>
      </x:c>
      <x:c r="G1030" s="37" t="n">
        <x:v>23799.22815286828</x:v>
      </x:c>
      <x:c r="H1030" s="37" t="n">
        <x:v>21295.85595679199</x:v>
      </x:c>
      <x:c r="I1030" s="37" t="n">
        <x:v>2503.3721960762887</x:v>
      </x:c>
      <x:c r="J1030" s="37" t="n">
        <x:v>10619494.096351573</x:v>
      </x:c>
      <x:c r="K1030" s="37" t="n">
        <x:v>10595694.868198706</x:v>
      </x:c>
      <x:c r="L1030" s="37" t="n">
        <x:v>11632467.123471944</x:v>
      </x:c>
      <x:c r="M1030" s="37" t="n">
        <x:v>0</x:v>
      </x:c>
      <x:c r="N1030" s="37" t="n">
        <x:v>0</x:v>
      </x:c>
      <x:c r="O1030" s="37" t="n">
        <x:v>636.0565391108394</x:v>
      </x:c>
      <x:c r="P1030" s="37" t="n">
        <x:v>0</x:v>
      </x:c>
      <x:c r="Q1030" s="37" t="n">
        <x:v>0</x:v>
      </x:c>
      <x:c r="R1030" s="37" t="n">
        <x:v>0</x:v>
      </x:c>
      <x:c r="S1030" s="37" t="n">
        <x:v>0</x:v>
      </x:c>
      <x:c r="T1030" s="37" t="n">
        <x:v>0</x:v>
      </x:c>
      <x:c r="U1030" s="37" t="n">
        <x:v>0</x:v>
      </x:c>
      <x:c r="V1030" s="37" t="n">
        <x:v>0</x:v>
      </x:c>
      <x:c r="W1030" s="37" t="n">
        <x:v>5087.476605724543</x:v>
      </x:c>
      <x:c r="X1030" s="37" t="n">
        <x:v>0</x:v>
      </x:c>
      <x:c r="Y1030" s="37" t="n">
        <x:v>2092.5222478280225</x:v>
      </x:c>
      <x:c r="Z1030" s="37" t="n">
        <x:v>10807608.76556268</x:v>
      </x:c>
      <x:c r="AA1030" s="37" t="n">
        <x:v>0</x:v>
      </x:c>
      <x:c r="AB1030" s="37" t="n">
        <x:v>10807608.76556268</x:v>
      </x:c>
      <x:c r="AC1030" s="37" t="n">
        <x:v>801059.1297563966</x:v>
      </x:c>
      <x:c r="AD1030" s="37" t="n">
        <x:v>0</x:v>
      </x:c>
      <x:c r="AE1030" s="37" t="n">
        <x:v>0</x:v>
      </x:c>
      <x:c r="AF1030" s="47" t="b">
        <x:v>0</x:v>
      </x:c>
      <x:c r="AG1030" s="47" t="b">
        <x:v>0</x:v>
      </x:c>
      <x:c r="AH1030" s="48" t="n">
        <x:v>0</x:v>
      </x:c>
      <x:c r="AI1030" s="48" t="n">
        <x:v>1.1920928955078125e-7</x:v>
      </x:c>
      <x:c r="AJ1030" s="37" t="str">
        <x:v>passed</x:v>
      </x:c>
    </x:row>
    <x:row r="1031" ht="21" customHeight="1">
      <x:c r="A1031" s="2"/>
      <x:c r="B1031" s="2"/>
      <x:c r="C1031" s="2" t="str">
        <x:v>2023</x:v>
      </x:c>
      <x:c r="D1031" s="5" t="n">
        <x:v>44938</x:v>
      </x:c>
      <x:c r="E1031" s="2" t="str">
        <x:v>unhedged</x:v>
      </x:c>
      <x:c r="F1031" s="37" t="n">
        <x:v>1199548.5267973004</x:v>
      </x:c>
      <x:c r="G1031" s="37" t="n">
        <x:v>10639464.10866033</x:v>
      </x:c>
      <x:c r="H1031" s="37" t="n">
        <x:v>41157.668748498676</x:v>
      </x:c>
      <x:c r="I1031" s="37" t="n">
        <x:v>10598306.439911831</x:v>
      </x:c>
      <x:c r="J1031" s="37" t="n">
        <x:v>10639464.10866033</x:v>
      </x:c>
      <x:c r="K1031" s="37" t="n">
        <x:v>0</x:v>
      </x:c>
      <x:c r="L1031" s="37" t="n">
        <x:v>11839012.63545763</x:v>
      </x:c>
      <x:c r="M1031" s="37" t="n">
        <x:v>0</x:v>
      </x:c>
      <x:c r="N1031" s="37" t="n">
        <x:v>0</x:v>
      </x:c>
      <x:c r="O1031" s="37" t="n">
        <x:v>65.72508502542041</x:v>
      </x:c>
      <x:c r="P1031" s="37" t="n">
        <x:v>0</x:v>
      </x:c>
      <x:c r="Q1031" s="37" t="n">
        <x:v>0</x:v>
      </x:c>
      <x:c r="R1031" s="37" t="n">
        <x:v>0</x:v>
      </x:c>
      <x:c r="S1031" s="37" t="n">
        <x:v>0</x:v>
      </x:c>
      <x:c r="T1031" s="37" t="n">
        <x:v>0</x:v>
      </x:c>
      <x:c r="U1031" s="37" t="n">
        <x:v>0</x:v>
      </x:c>
      <x:c r="V1031" s="37" t="n">
        <x:v>0</x:v>
      </x:c>
      <x:c r="W1031" s="37" t="n">
        <x:v>591.3961394226644</x:v>
      </x:c>
      <x:c r="X1031" s="37" t="n">
        <x:v>0</x:v>
      </x:c>
      <x:c r="Y1031" s="37" t="n">
        <x:v>1042.869342122179</x:v>
      </x:c>
      <x:c r="Z1031" s="37" t="n">
        <x:v>0</x:v>
      </x:c>
      <x:c r="AA1031" s="37" t="n">
        <x:v>0</x:v>
      </x:c>
      <x:c r="AB1031" s="37" t="n">
        <x:v>0</x:v>
      </x:c>
      <x:c r="AC1031" s="37" t="n">
        <x:v>1199548.5267973004</x:v>
      </x:c>
      <x:c r="AD1031" s="37" t="n">
        <x:v>0</x:v>
      </x:c>
      <x:c r="AE1031" s="37" t="n">
        <x:v>0</x:v>
      </x:c>
      <x:c r="AF1031" s="47" t="b">
        <x:v>0</x:v>
      </x:c>
      <x:c r="AG1031" s="47" t="b">
        <x:v>0</x:v>
      </x:c>
      <x:c r="AH1031" s="48" t="n">
        <x:v>0</x:v>
      </x:c>
      <x:c r="AI1031" s="48" t="n">
        <x:v>1.1920928955078125e-7</x:v>
      </x:c>
      <x:c r="AJ1031" s="37" t="str">
        <x:v>passed</x:v>
      </x:c>
    </x:row>
    <x:row r="1032" ht="21" customHeight="1">
      <x:c r="A1032" s="2"/>
      <x:c r="B1032" s="2"/>
      <x:c r="C1032" s="2" t="str">
        <x:v>2023</x:v>
      </x:c>
      <x:c r="D1032" s="5" t="n">
        <x:v>44938</x:v>
      </x:c>
      <x:c r="E1032" s="2" t="str">
        <x:v>duration</x:v>
      </x:c>
      <x:c r="F1032" s="37" t="n">
        <x:v>7809443.254918802</x:v>
      </x:c>
      <x:c r="G1032" s="37" t="n">
        <x:v>3825482.2025739206</x:v>
      </x:c>
      <x:c r="H1032" s="37" t="n">
        <x:v>23395.50401759938</x:v>
      </x:c>
      <x:c r="I1032" s="37" t="n">
        <x:v>3802086.698556321</x:v>
      </x:c>
      <x:c r="J1032" s="37" t="n">
        <x:v>10639464.10866033</x:v>
      </x:c>
      <x:c r="K1032" s="37" t="n">
        <x:v>6813981.9060864085</x:v>
      </x:c>
      <x:c r="L1032" s="37" t="n">
        <x:v>11634925.457492722</x:v>
      </x:c>
      <x:c r="M1032" s="37" t="n">
        <x:v>0</x:v>
      </x:c>
      <x:c r="N1032" s="37" t="n">
        <x:v>0</x:v>
      </x:c>
      <x:c r="O1032" s="37" t="n">
        <x:v>427.8912528026849</x:v>
      </x:c>
      <x:c r="P1032" s="37" t="n">
        <x:v>0</x:v>
      </x:c>
      <x:c r="Q1032" s="37" t="n">
        <x:v>0</x:v>
      </x:c>
      <x:c r="R1032" s="37" t="n">
        <x:v>0</x:v>
      </x:c>
      <x:c r="S1032" s="37" t="n">
        <x:v>0</x:v>
      </x:c>
      <x:c r="T1032" s="37" t="n">
        <x:v>0</x:v>
      </x:c>
      <x:c r="U1032" s="37" t="n">
        <x:v>0</x:v>
      </x:c>
      <x:c r="V1032" s="37" t="n">
        <x:v>0</x:v>
      </x:c>
      <x:c r="W1032" s="37" t="n">
        <x:v>3850.1773699223995</x:v>
      </x:c>
      <x:c r="X1032" s="37" t="n">
        <x:v>0</x:v>
      </x:c>
      <x:c r="Y1032" s="37" t="n">
        <x:v>1703.5990097780445</x:v>
      </x:c>
      <x:c r="Z1032" s="37" t="n">
        <x:v>6950261.544208136</x:v>
      </x:c>
      <x:c r="AA1032" s="37" t="n">
        <x:v>0</x:v>
      </x:c>
      <x:c r="AB1032" s="37" t="n">
        <x:v>6950261.544208136</x:v>
      </x:c>
      <x:c r="AC1032" s="37" t="n">
        <x:v>859181.7107106652</x:v>
      </x:c>
      <x:c r="AD1032" s="37" t="n">
        <x:v>0</x:v>
      </x:c>
      <x:c r="AE1032" s="37" t="n">
        <x:v>0</x:v>
      </x:c>
      <x:c r="AF1032" s="47" t="b">
        <x:v>0</x:v>
      </x:c>
      <x:c r="AG1032" s="47" t="b">
        <x:v>0</x:v>
      </x:c>
      <x:c r="AH1032" s="48" t="n">
        <x:v>0</x:v>
      </x:c>
      <x:c r="AI1032" s="48" t="n">
        <x:v>5.960464477539063e-8</x:v>
      </x:c>
      <x:c r="AJ1032" s="37" t="str">
        <x:v>passed</x:v>
      </x:c>
    </x:row>
    <x:row r="1033" ht="21" customHeight="1">
      <x:c r="A1033" s="2"/>
      <x:c r="B1033" s="2"/>
      <x:c r="C1033" s="2" t="str">
        <x:v>2023</x:v>
      </x:c>
      <x:c r="D1033" s="5" t="n">
        <x:v>44938</x:v>
      </x:c>
      <x:c r="E1033" s="2" t="str">
        <x:v>unweighted</x:v>
      </x:c>
      <x:c r="F1033" s="37" t="n">
        <x:v>10846243.078928301</x:v>
      </x:c>
      <x:c r="G1033" s="37" t="n">
        <x:v>793654.512637812</x:v>
      </x:c>
      <x:c r="H1033" s="37" t="n">
        <x:v>22106.04784100017</x:v>
      </x:c>
      <x:c r="I1033" s="37" t="n">
        <x:v>771548.4647968118</x:v>
      </x:c>
      <x:c r="J1033" s="37" t="n">
        <x:v>10678312.007607672</x:v>
      </x:c>
      <x:c r="K1033" s="37" t="n">
        <x:v>9884657.49496986</x:v>
      </x:c>
      <x:c r="L1033" s="37" t="n">
        <x:v>11639897.591566114</x:v>
      </x:c>
      <x:c r="M1033" s="37" t="n">
        <x:v>0</x:v>
      </x:c>
      <x:c r="N1033" s="37" t="n">
        <x:v>0</x:v>
      </x:c>
      <x:c r="O1033" s="37" t="n">
        <x:v>594.2821258511394</x:v>
      </x:c>
      <x:c r="P1033" s="37" t="n">
        <x:v>0</x:v>
      </x:c>
      <x:c r="Q1033" s="37" t="n">
        <x:v>0</x:v>
      </x:c>
      <x:c r="R1033" s="37" t="n">
        <x:v>0</x:v>
      </x:c>
      <x:c r="S1033" s="37" t="n">
        <x:v>0</x:v>
      </x:c>
      <x:c r="T1033" s="37" t="n">
        <x:v>0</x:v>
      </x:c>
      <x:c r="U1033" s="37" t="n">
        <x:v>0</x:v>
      </x:c>
      <x:c r="V1033" s="37" t="n">
        <x:v>0</x:v>
      </x:c>
      <x:c r="W1033" s="37" t="n">
        <x:v>5347.367064209655</x:v>
      </x:c>
      <x:c r="X1033" s="37" t="n">
        <x:v>0</x:v>
      </x:c>
      <x:c r="Y1033" s="37" t="n">
        <x:v>2014.5478098199433</x:v>
      </x:c>
      <x:c r="Z1033" s="37" t="n">
        <x:v>10082350.644869257</x:v>
      </x:c>
      <x:c r="AA1033" s="37" t="n">
        <x:v>0</x:v>
      </x:c>
      <x:c r="AB1033" s="37" t="n">
        <x:v>10082350.644869257</x:v>
      </x:c>
      <x:c r="AC1033" s="37" t="n">
        <x:v>763892.4340590443</x:v>
      </x:c>
      <x:c r="AD1033" s="37" t="n">
        <x:v>0</x:v>
      </x:c>
      <x:c r="AE1033" s="37" t="n">
        <x:v>0</x:v>
      </x:c>
      <x:c r="AF1033" s="47" t="b">
        <x:v>0</x:v>
      </x:c>
      <x:c r="AG1033" s="47" t="b">
        <x:v>0</x:v>
      </x:c>
      <x:c r="AH1033" s="48" t="n">
        <x:v>0</x:v>
      </x:c>
      <x:c r="AI1033" s="48" t="n">
        <x:v>1.1920928955078125e-7</x:v>
      </x:c>
      <x:c r="AJ1033" s="37" t="str">
        <x:v>passed</x:v>
      </x:c>
    </x:row>
    <x:row r="1034" ht="21" customHeight="1">
      <x:c r="A1034" s="2"/>
      <x:c r="B1034" s="2"/>
      <x:c r="C1034" s="2" t="str">
        <x:v>2023</x:v>
      </x:c>
      <x:c r="D1034" s="5" t="n">
        <x:v>44938</x:v>
      </x:c>
      <x:c r="E1034" s="2" t="str">
        <x:v>constrained</x:v>
      </x:c>
      <x:c r="F1034" s="37" t="n">
        <x:v>11609303.9867106</x:v>
      </x:c>
      <x:c r="G1034" s="37" t="n">
        <x:v>24053.713091306065</x:v>
      </x:c>
      <x:c r="H1034" s="37" t="n">
        <x:v>21256.85930223263</x:v>
      </x:c>
      <x:c r="I1034" s="37" t="n">
        <x:v>2796.8537890734333</x:v>
      </x:c>
      <x:c r="J1034" s="37" t="n">
        <x:v>10687220.359582992</x:v>
      </x:c>
      <x:c r="K1034" s="37" t="n">
        <x:v>10663166.646491688</x:v>
      </x:c>
      <x:c r="L1034" s="37" t="n">
        <x:v>11633357.699801907</x:v>
      </x:c>
      <x:c r="M1034" s="37" t="n">
        <x:v>0</x:v>
      </x:c>
      <x:c r="N1034" s="37" t="n">
        <x:v>0</x:v>
      </x:c>
      <x:c r="O1034" s="37" t="n">
        <x:v>636.0913915243</x:v>
      </x:c>
      <x:c r="P1034" s="37" t="n">
        <x:v>0</x:v>
      </x:c>
      <x:c r="Q1034" s="37" t="n">
        <x:v>0</x:v>
      </x:c>
      <x:c r="R1034" s="37" t="n">
        <x:v>0</x:v>
      </x:c>
      <x:c r="S1034" s="37" t="n">
        <x:v>0</x:v>
      </x:c>
      <x:c r="T1034" s="37" t="n">
        <x:v>0</x:v>
      </x:c>
      <x:c r="U1034" s="37" t="n">
        <x:v>0</x:v>
      </x:c>
      <x:c r="V1034" s="37" t="n">
        <x:v>0</x:v>
      </x:c>
      <x:c r="W1034" s="37" t="n">
        <x:v>5723.567997248843</x:v>
      </x:c>
      <x:c r="X1034" s="37" t="n">
        <x:v>0</x:v>
      </x:c>
      <x:c r="Y1034" s="37" t="n">
        <x:v>2092.5222478280225</x:v>
      </x:c>
      <x:c r="Z1034" s="37" t="n">
        <x:v>10876429.979421522</x:v>
      </x:c>
      <x:c r="AA1034" s="37" t="n">
        <x:v>0</x:v>
      </x:c>
      <x:c r="AB1034" s="37" t="n">
        <x:v>10876429.979421522</x:v>
      </x:c>
      <x:c r="AC1034" s="37" t="n">
        <x:v>732874.0072890781</x:v>
      </x:c>
      <x:c r="AD1034" s="37" t="n">
        <x:v>0</x:v>
      </x:c>
      <x:c r="AE1034" s="37" t="n">
        <x:v>0</x:v>
      </x:c>
      <x:c r="AF1034" s="47" t="b">
        <x:v>0</x:v>
      </x:c>
      <x:c r="AG1034" s="47" t="b">
        <x:v>0</x:v>
      </x:c>
      <x:c r="AH1034" s="48" t="n">
        <x:v>0</x:v>
      </x:c>
      <x:c r="AI1034" s="48" t="n">
        <x:v>1.1920928955078125e-7</x:v>
      </x:c>
      <x:c r="AJ1034" s="37" t="str">
        <x:v>passed</x:v>
      </x:c>
    </x:row>
    <x:row r="1035" ht="21" customHeight="1">
      <x:c r="A1035" s="2"/>
      <x:c r="B1035" s="2"/>
      <x:c r="C1035" s="2" t="str">
        <x:v>2023</x:v>
      </x:c>
      <x:c r="D1035" s="5" t="n">
        <x:v>44939</x:v>
      </x:c>
      <x:c r="E1035" s="2" t="str">
        <x:v>unhedged</x:v>
      </x:c>
      <x:c r="F1035" s="37" t="n">
        <x:v>1199614.2554837004</x:v>
      </x:c>
      <x:c r="G1035" s="37" t="n">
        <x:v>10613548.79434272</x:v>
      </x:c>
      <x:c r="H1035" s="37" t="n">
        <x:v>41506.50072063416</x:v>
      </x:c>
      <x:c r="I1035" s="37" t="n">
        <x:v>10572042.293622086</x:v>
      </x:c>
      <x:c r="J1035" s="37" t="n">
        <x:v>10613548.79434272</x:v>
      </x:c>
      <x:c r="K1035" s="37" t="n">
        <x:v>0</x:v>
      </x:c>
      <x:c r="L1035" s="37" t="n">
        <x:v>11813163.04982642</x:v>
      </x:c>
      <x:c r="M1035" s="37" t="n">
        <x:v>0</x:v>
      </x:c>
      <x:c r="N1035" s="37" t="n">
        <x:v>0</x:v>
      </x:c>
      <x:c r="O1035" s="37" t="n">
        <x:v>65.72868639999069</x:v>
      </x:c>
      <x:c r="P1035" s="37" t="n">
        <x:v>0</x:v>
      </x:c>
      <x:c r="Q1035" s="37" t="n">
        <x:v>0</x:v>
      </x:c>
      <x:c r="R1035" s="37" t="n">
        <x:v>0</x:v>
      </x:c>
      <x:c r="S1035" s="37" t="n">
        <x:v>0</x:v>
      </x:c>
      <x:c r="T1035" s="37" t="n">
        <x:v>0</x:v>
      </x:c>
      <x:c r="U1035" s="37" t="n">
        <x:v>0</x:v>
      </x:c>
      <x:c r="V1035" s="37" t="n">
        <x:v>0</x:v>
      </x:c>
      <x:c r="W1035" s="37" t="n">
        <x:v>657.1248258226551</x:v>
      </x:c>
      <x:c r="X1035" s="37" t="n">
        <x:v>0</x:v>
      </x:c>
      <x:c r="Y1035" s="37" t="n">
        <x:v>1042.869342122179</x:v>
      </x:c>
      <x:c r="Z1035" s="37" t="n">
        <x:v>0</x:v>
      </x:c>
      <x:c r="AA1035" s="37" t="n">
        <x:v>0</x:v>
      </x:c>
      <x:c r="AB1035" s="37" t="n">
        <x:v>0</x:v>
      </x:c>
      <x:c r="AC1035" s="37" t="n">
        <x:v>1199614.2554837004</x:v>
      </x:c>
      <x:c r="AD1035" s="37" t="n">
        <x:v>0</x:v>
      </x:c>
      <x:c r="AE1035" s="37" t="n">
        <x:v>0</x:v>
      </x:c>
      <x:c r="AF1035" s="47" t="b">
        <x:v>0</x:v>
      </x:c>
      <x:c r="AG1035" s="47" t="b">
        <x:v>0</x:v>
      </x:c>
      <x:c r="AH1035" s="48" t="n">
        <x:v>0</x:v>
      </x:c>
      <x:c r="AI1035" s="48" t="n">
        <x:v>1.1920928955078125e-7</x:v>
      </x:c>
      <x:c r="AJ1035" s="37" t="str">
        <x:v>passed</x:v>
      </x:c>
    </x:row>
    <x:row r="1036" ht="21" customHeight="1">
      <x:c r="A1036" s="2"/>
      <x:c r="B1036" s="2"/>
      <x:c r="C1036" s="2" t="str">
        <x:v>2023</x:v>
      </x:c>
      <x:c r="D1036" s="5" t="n">
        <x:v>44939</x:v>
      </x:c>
      <x:c r="E1036" s="2" t="str">
        <x:v>duration</x:v>
      </x:c>
      <x:c r="F1036" s="37" t="n">
        <x:v>7809871.169617702</x:v>
      </x:c>
      <x:c r="G1036" s="37" t="n">
        <x:v>3819233.872165529</x:v>
      </x:c>
      <x:c r="H1036" s="37" t="n">
        <x:v>23438.0917702366</x:v>
      </x:c>
      <x:c r="I1036" s="37" t="n">
        <x:v>3795795.7803952927</x:v>
      </x:c>
      <x:c r="J1036" s="37" t="n">
        <x:v>10613548.79434272</x:v>
      </x:c>
      <x:c r="K1036" s="37" t="n">
        <x:v>6794314.922177192</x:v>
      </x:c>
      <x:c r="L1036" s="37" t="n">
        <x:v>11629105.041783232</x:v>
      </x:c>
      <x:c r="M1036" s="37" t="n">
        <x:v>0</x:v>
      </x:c>
      <x:c r="N1036" s="37" t="n">
        <x:v>0</x:v>
      </x:c>
      <x:c r="O1036" s="37" t="n">
        <x:v>427.9146989006549</x:v>
      </x:c>
      <x:c r="P1036" s="37" t="n">
        <x:v>0</x:v>
      </x:c>
      <x:c r="Q1036" s="37" t="n">
        <x:v>0</x:v>
      </x:c>
      <x:c r="R1036" s="37" t="n">
        <x:v>0</x:v>
      </x:c>
      <x:c r="S1036" s="37" t="n">
        <x:v>0</x:v>
      </x:c>
      <x:c r="T1036" s="37" t="n">
        <x:v>0</x:v>
      </x:c>
      <x:c r="U1036" s="37" t="n">
        <x:v>0</x:v>
      </x:c>
      <x:c r="V1036" s="37" t="n">
        <x:v>0</x:v>
      </x:c>
      <x:c r="W1036" s="37" t="n">
        <x:v>4278.092068823054</x:v>
      </x:c>
      <x:c r="X1036" s="37" t="n">
        <x:v>0</x:v>
      </x:c>
      <x:c r="Y1036" s="37" t="n">
        <x:v>1703.5990097780445</x:v>
      </x:c>
      <x:c r="Z1036" s="37" t="n">
        <x:v>6930201.220620736</x:v>
      </x:c>
      <x:c r="AA1036" s="37" t="n">
        <x:v>0</x:v>
      </x:c>
      <x:c r="AB1036" s="37" t="n">
        <x:v>6930201.220620736</x:v>
      </x:c>
      <x:c r="AC1036" s="37" t="n">
        <x:v>879669.9489969667</x:v>
      </x:c>
      <x:c r="AD1036" s="37" t="n">
        <x:v>0</x:v>
      </x:c>
      <x:c r="AE1036" s="37" t="n">
        <x:v>0</x:v>
      </x:c>
      <x:c r="AF1036" s="47" t="b">
        <x:v>0</x:v>
      </x:c>
      <x:c r="AG1036" s="47" t="b">
        <x:v>0</x:v>
      </x:c>
      <x:c r="AH1036" s="48" t="n">
        <x:v>0</x:v>
      </x:c>
      <x:c r="AI1036" s="48" t="n">
        <x:v>5.960464477539063e-8</x:v>
      </x:c>
      <x:c r="AJ1036" s="37" t="str">
        <x:v>passed</x:v>
      </x:c>
    </x:row>
    <x:row r="1037" ht="21" customHeight="1">
      <x:c r="A1037" s="2"/>
      <x:c r="B1037" s="2"/>
      <x:c r="C1037" s="2" t="str">
        <x:v>2023</x:v>
      </x:c>
      <x:c r="D1037" s="5" t="n">
        <x:v>44939</x:v>
      </x:c>
      <x:c r="E1037" s="2" t="str">
        <x:v>unweighted</x:v>
      </x:c>
      <x:c r="F1037" s="37" t="n">
        <x:v>10846837.39361756</x:v>
      </x:c>
      <x:c r="G1037" s="37" t="n">
        <x:v>792610.1705235696</x:v>
      </x:c>
      <x:c r="H1037" s="37" t="n">
        <x:v>22085.870900314676</x:v>
      </x:c>
      <x:c r="I1037" s="37" t="n">
        <x:v>770524.2996232549</x:v>
      </x:c>
      <x:c r="J1037" s="37" t="n">
        <x:v>10652076.023278028</x:v>
      </x:c>
      <x:c r="K1037" s="37" t="n">
        <x:v>9859465.852754459</x:v>
      </x:c>
      <x:c r="L1037" s="37" t="n">
        <x:v>11639447.564141128</x:v>
      </x:c>
      <x:c r="M1037" s="37" t="n">
        <x:v>0</x:v>
      </x:c>
      <x:c r="N1037" s="37" t="n">
        <x:v>0</x:v>
      </x:c>
      <x:c r="O1037" s="37" t="n">
        <x:v>594.3146892581135</x:v>
      </x:c>
      <x:c r="P1037" s="37" t="n">
        <x:v>0</x:v>
      </x:c>
      <x:c r="Q1037" s="37" t="n">
        <x:v>0</x:v>
      </x:c>
      <x:c r="R1037" s="37" t="n">
        <x:v>0</x:v>
      </x:c>
      <x:c r="S1037" s="37" t="n">
        <x:v>0</x:v>
      </x:c>
      <x:c r="T1037" s="37" t="n">
        <x:v>0</x:v>
      </x:c>
      <x:c r="U1037" s="37" t="n">
        <x:v>0</x:v>
      </x:c>
      <x:c r="V1037" s="37" t="n">
        <x:v>0</x:v>
      </x:c>
      <x:c r="W1037" s="37" t="n">
        <x:v>5941.681753467768</x:v>
      </x:c>
      <x:c r="X1037" s="37" t="n">
        <x:v>0</x:v>
      </x:c>
      <x:c r="Y1037" s="37" t="n">
        <x:v>2014.5478098199433</x:v>
      </x:c>
      <x:c r="Z1037" s="37" t="n">
        <x:v>10056655.169809548</x:v>
      </x:c>
      <x:c r="AA1037" s="37" t="n">
        <x:v>0</x:v>
      </x:c>
      <x:c r="AB1037" s="37" t="n">
        <x:v>10056655.169809548</x:v>
      </x:c>
      <x:c r="AC1037" s="37" t="n">
        <x:v>790182.223808011</x:v>
      </x:c>
      <x:c r="AD1037" s="37" t="n">
        <x:v>0</x:v>
      </x:c>
      <x:c r="AE1037" s="37" t="n">
        <x:v>0</x:v>
      </x:c>
      <x:c r="AF1037" s="47" t="b">
        <x:v>0</x:v>
      </x:c>
      <x:c r="AG1037" s="47" t="b">
        <x:v>0</x:v>
      </x:c>
      <x:c r="AH1037" s="48" t="n">
        <x:v>0</x:v>
      </x:c>
      <x:c r="AI1037" s="48" t="n">
        <x:v>1.1920928955078125e-7</x:v>
      </x:c>
      <x:c r="AJ1037" s="37" t="str">
        <x:v>passed</x:v>
      </x:c>
    </x:row>
    <x:row r="1038" ht="21" customHeight="1">
      <x:c r="A1038" s="2"/>
      <x:c r="B1038" s="2"/>
      <x:c r="C1038" s="2" t="str">
        <x:v>2023</x:v>
      </x:c>
      <x:c r="D1038" s="5" t="n">
        <x:v>44939</x:v>
      </x:c>
      <x:c r="E1038" s="2" t="str">
        <x:v>constrained</x:v>
      </x:c>
      <x:c r="F1038" s="37" t="n">
        <x:v>11609940.11295645</x:v>
      </x:c>
      <x:c r="G1038" s="37" t="n">
        <x:v>23991.682938668357</x:v>
      </x:c>
      <x:c r="H1038" s="37" t="n">
        <x:v>21217.862647673275</x:v>
      </x:c>
      <x:c r="I1038" s="37" t="n">
        <x:v>2773.8202909950815</x:v>
      </x:c>
      <x:c r="J1038" s="37" t="n">
        <x:v>10660907.000990264</x:v>
      </x:c>
      <x:c r="K1038" s="37" t="n">
        <x:v>10636915.318051595</x:v>
      </x:c>
      <x:c r="L1038" s="37" t="n">
        <x:v>11633931.795895118</x:v>
      </x:c>
      <x:c r="M1038" s="37" t="n">
        <x:v>0</x:v>
      </x:c>
      <x:c r="N1038" s="37" t="n">
        <x:v>0</x:v>
      </x:c>
      <x:c r="O1038" s="37" t="n">
        <x:v>636.1262458488345</x:v>
      </x:c>
      <x:c r="P1038" s="37" t="n">
        <x:v>0</x:v>
      </x:c>
      <x:c r="Q1038" s="37" t="n">
        <x:v>0</x:v>
      </x:c>
      <x:c r="R1038" s="37" t="n">
        <x:v>0</x:v>
      </x:c>
      <x:c r="S1038" s="37" t="n">
        <x:v>0</x:v>
      </x:c>
      <x:c r="T1038" s="37" t="n">
        <x:v>0</x:v>
      </x:c>
      <x:c r="U1038" s="37" t="n">
        <x:v>0</x:v>
      </x:c>
      <x:c r="V1038" s="37" t="n">
        <x:v>0</x:v>
      </x:c>
      <x:c r="W1038" s="37" t="n">
        <x:v>6359.694243097678</x:v>
      </x:c>
      <x:c r="X1038" s="37" t="n">
        <x:v>0</x:v>
      </x:c>
      <x:c r="Y1038" s="37" t="n">
        <x:v>2092.5222478280225</x:v>
      </x:c>
      <x:c r="Z1038" s="37" t="n">
        <x:v>10849653.624412628</x:v>
      </x:c>
      <x:c r="AA1038" s="37" t="n">
        <x:v>0</x:v>
      </x:c>
      <x:c r="AB1038" s="37" t="n">
        <x:v>10849653.624412628</x:v>
      </x:c>
      <x:c r="AC1038" s="37" t="n">
        <x:v>760286.4885438215</x:v>
      </x:c>
      <x:c r="AD1038" s="37" t="n">
        <x:v>0</x:v>
      </x:c>
      <x:c r="AE1038" s="37" t="n">
        <x:v>0</x:v>
      </x:c>
      <x:c r="AF1038" s="47" t="b">
        <x:v>0</x:v>
      </x:c>
      <x:c r="AG1038" s="47" t="b">
        <x:v>0</x:v>
      </x:c>
      <x:c r="AH1038" s="48" t="n">
        <x:v>0</x:v>
      </x:c>
      <x:c r="AI1038" s="48" t="n">
        <x:v>1.1920928955078125e-7</x:v>
      </x:c>
      <x:c r="AJ1038" s="37" t="str">
        <x:v>passed</x:v>
      </x:c>
    </x:row>
    <x:row r="1039" ht="21" customHeight="1">
      <x:c r="A1039" s="2"/>
      <x:c r="B1039" s="2"/>
      <x:c r="C1039" s="2" t="str">
        <x:v>2023</x:v>
      </x:c>
      <x:c r="D1039" s="5" t="n">
        <x:v>44943</x:v>
      </x:c>
      <x:c r="E1039" s="2" t="str">
        <x:v>unhedged</x:v>
      </x:c>
      <x:c r="F1039" s="37" t="n">
        <x:v>1199877.2062469923</x:v>
      </x:c>
      <x:c r="G1039" s="37" t="n">
        <x:v>10604420.148620827</x:v>
      </x:c>
      <x:c r="H1039" s="37" t="n">
        <x:v>42901.828609176075</x:v>
      </x:c>
      <x:c r="I1039" s="37" t="n">
        <x:v>10561518.320011651</x:v>
      </x:c>
      <x:c r="J1039" s="37" t="n">
        <x:v>10604420.148620827</x:v>
      </x:c>
      <x:c r="K1039" s="37" t="n">
        <x:v>0</x:v>
      </x:c>
      <x:c r="L1039" s="37" t="n">
        <x:v>11804297.35486782</x:v>
      </x:c>
      <x:c r="M1039" s="37" t="n">
        <x:v>0</x:v>
      </x:c>
      <x:c r="N1039" s="37" t="n">
        <x:v>0</x:v>
      </x:c>
      <x:c r="O1039" s="37" t="n">
        <x:v>262.95076329191215</x:v>
      </x:c>
      <x:c r="P1039" s="37" t="n">
        <x:v>0</x:v>
      </x:c>
      <x:c r="Q1039" s="37" t="n">
        <x:v>0</x:v>
      </x:c>
      <x:c r="R1039" s="37" t="n">
        <x:v>0</x:v>
      </x:c>
      <x:c r="S1039" s="37" t="n">
        <x:v>0</x:v>
      </x:c>
      <x:c r="T1039" s="37" t="n">
        <x:v>0</x:v>
      </x:c>
      <x:c r="U1039" s="37" t="n">
        <x:v>0</x:v>
      </x:c>
      <x:c r="V1039" s="37" t="n">
        <x:v>0</x:v>
      </x:c>
      <x:c r="W1039" s="37" t="n">
        <x:v>920.0755891145673</x:v>
      </x:c>
      <x:c r="X1039" s="37" t="n">
        <x:v>0</x:v>
      </x:c>
      <x:c r="Y1039" s="37" t="n">
        <x:v>1042.869342122179</x:v>
      </x:c>
      <x:c r="Z1039" s="37" t="n">
        <x:v>0</x:v>
      </x:c>
      <x:c r="AA1039" s="37" t="n">
        <x:v>0</x:v>
      </x:c>
      <x:c r="AB1039" s="37" t="n">
        <x:v>0</x:v>
      </x:c>
      <x:c r="AC1039" s="37" t="n">
        <x:v>1199877.2062469923</x:v>
      </x:c>
      <x:c r="AD1039" s="37" t="n">
        <x:v>0</x:v>
      </x:c>
      <x:c r="AE1039" s="37" t="n">
        <x:v>0</x:v>
      </x:c>
      <x:c r="AF1039" s="47" t="b">
        <x:v>0</x:v>
      </x:c>
      <x:c r="AG1039" s="47" t="b">
        <x:v>0</x:v>
      </x:c>
      <x:c r="AH1039" s="48" t="n">
        <x:v>0</x:v>
      </x:c>
      <x:c r="AI1039" s="48" t="n">
        <x:v>1.1920928955078125e-7</x:v>
      </x:c>
      <x:c r="AJ1039" s="37" t="str">
        <x:v>passed</x:v>
      </x:c>
    </x:row>
    <x:row r="1040" ht="21" customHeight="1">
      <x:c r="A1040" s="2"/>
      <x:c r="B1040" s="2"/>
      <x:c r="C1040" s="2" t="str">
        <x:v>2023</x:v>
      </x:c>
      <x:c r="D1040" s="5" t="n">
        <x:v>44943</x:v>
      </x:c>
      <x:c r="E1040" s="2" t="str">
        <x:v>duration</x:v>
      </x:c>
      <x:c r="F1040" s="37" t="n">
        <x:v>7811583.062899959</x:v>
      </x:c>
      <x:c r="G1040" s="37" t="n">
        <x:v>3831382.340777835</x:v>
      </x:c>
      <x:c r="H1040" s="37" t="n">
        <x:v>23608.442780785463</x:v>
      </x:c>
      <x:c r="I1040" s="37" t="n">
        <x:v>3807773.8979970496</x:v>
      </x:c>
      <x:c r="J1040" s="37" t="n">
        <x:v>10604420.148620827</x:v>
      </x:c>
      <x:c r="K1040" s="37" t="n">
        <x:v>6773037.807842993</x:v>
      </x:c>
      <x:c r="L1040" s="37" t="n">
        <x:v>11642965.403677795</x:v>
      </x:c>
      <x:c r="M1040" s="37" t="n">
        <x:v>0</x:v>
      </x:c>
      <x:c r="N1040" s="37" t="n">
        <x:v>0</x:v>
      </x:c>
      <x:c r="O1040" s="37" t="n">
        <x:v>1711.8932822570205</x:v>
      </x:c>
      <x:c r="P1040" s="37" t="n">
        <x:v>0</x:v>
      </x:c>
      <x:c r="Q1040" s="37" t="n">
        <x:v>0</x:v>
      </x:c>
      <x:c r="R1040" s="37" t="n">
        <x:v>0</x:v>
      </x:c>
      <x:c r="S1040" s="37" t="n">
        <x:v>0</x:v>
      </x:c>
      <x:c r="T1040" s="37" t="n">
        <x:v>0</x:v>
      </x:c>
      <x:c r="U1040" s="37" t="n">
        <x:v>0</x:v>
      </x:c>
      <x:c r="V1040" s="37" t="n">
        <x:v>0</x:v>
      </x:c>
      <x:c r="W1040" s="37" t="n">
        <x:v>5989.985351080075</x:v>
      </x:c>
      <x:c r="X1040" s="37" t="n">
        <x:v>0</x:v>
      </x:c>
      <x:c r="Y1040" s="37" t="n">
        <x:v>1703.5990097780445</x:v>
      </x:c>
      <x:c r="Z1040" s="37" t="n">
        <x:v>6908498.563999853</x:v>
      </x:c>
      <x:c r="AA1040" s="37" t="n">
        <x:v>0</x:v>
      </x:c>
      <x:c r="AB1040" s="37" t="n">
        <x:v>6908498.563999853</x:v>
      </x:c>
      <x:c r="AC1040" s="37" t="n">
        <x:v>903084.4989001062</x:v>
      </x:c>
      <x:c r="AD1040" s="37" t="n">
        <x:v>0</x:v>
      </x:c>
      <x:c r="AE1040" s="37" t="n">
        <x:v>0</x:v>
      </x:c>
      <x:c r="AF1040" s="47" t="b">
        <x:v>0</x:v>
      </x:c>
      <x:c r="AG1040" s="47" t="b">
        <x:v>0</x:v>
      </x:c>
      <x:c r="AH1040" s="48" t="n">
        <x:v>0</x:v>
      </x:c>
      <x:c r="AI1040" s="48" t="n">
        <x:v>5.960464477539063e-8</x:v>
      </x:c>
      <x:c r="AJ1040" s="37" t="str">
        <x:v>passed</x:v>
      </x:c>
    </x:row>
    <x:row r="1041" ht="21" customHeight="1">
      <x:c r="A1041" s="2"/>
      <x:c r="B1041" s="2"/>
      <x:c r="C1041" s="2" t="str">
        <x:v>2023</x:v>
      </x:c>
      <x:c r="D1041" s="5" t="n">
        <x:v>44943</x:v>
      </x:c>
      <x:c r="E1041" s="2" t="str">
        <x:v>unweighted</x:v>
      </x:c>
      <x:c r="F1041" s="37" t="n">
        <x:v>10849214.978044318</x:v>
      </x:c>
      <x:c r="G1041" s="37" t="n">
        <x:v>792889.1480866828</x:v>
      </x:c>
      <x:c r="H1041" s="37" t="n">
        <x:v>22005.163137572687</x:v>
      </x:c>
      <x:c r="I1041" s="37" t="n">
        <x:v>770883.9849491101</x:v>
      </x:c>
      <x:c r="J1041" s="37" t="n">
        <x:v>10642863.951556973</x:v>
      </x:c>
      <x:c r="K1041" s="37" t="n">
        <x:v>9849974.80347029</x:v>
      </x:c>
      <x:c r="L1041" s="37" t="n">
        <x:v>11642104.126131</x:v>
      </x:c>
      <x:c r="M1041" s="37" t="n">
        <x:v>0</x:v>
      </x:c>
      <x:c r="N1041" s="37" t="n">
        <x:v>0</x:v>
      </x:c>
      <x:c r="O1041" s="37" t="n">
        <x:v>2377.584426758811</x:v>
      </x:c>
      <x:c r="P1041" s="37" t="n">
        <x:v>0</x:v>
      </x:c>
      <x:c r="Q1041" s="37" t="n">
        <x:v>0</x:v>
      </x:c>
      <x:c r="R1041" s="37" t="n">
        <x:v>0</x:v>
      </x:c>
      <x:c r="S1041" s="37" t="n">
        <x:v>0</x:v>
      </x:c>
      <x:c r="T1041" s="37" t="n">
        <x:v>0</x:v>
      </x:c>
      <x:c r="U1041" s="37" t="n">
        <x:v>0</x:v>
      </x:c>
      <x:c r="V1041" s="37" t="n">
        <x:v>0</x:v>
      </x:c>
      <x:c r="W1041" s="37" t="n">
        <x:v>8319.26618022658</x:v>
      </x:c>
      <x:c r="X1041" s="37" t="n">
        <x:v>0</x:v>
      </x:c>
      <x:c r="Y1041" s="37" t="n">
        <x:v>2014.5478098199433</x:v>
      </x:c>
      <x:c r="Z1041" s="37" t="n">
        <x:v>10046974.299539695</x:v>
      </x:c>
      <x:c r="AA1041" s="37" t="n">
        <x:v>0</x:v>
      </x:c>
      <x:c r="AB1041" s="37" t="n">
        <x:v>10046974.299539695</x:v>
      </x:c>
      <x:c r="AC1041" s="37" t="n">
        <x:v>802240.6785046235</x:v>
      </x:c>
      <x:c r="AD1041" s="37" t="n">
        <x:v>0</x:v>
      </x:c>
      <x:c r="AE1041" s="37" t="n">
        <x:v>0</x:v>
      </x:c>
      <x:c r="AF1041" s="47" t="b">
        <x:v>0</x:v>
      </x:c>
      <x:c r="AG1041" s="47" t="b">
        <x:v>0</x:v>
      </x:c>
      <x:c r="AH1041" s="48" t="n">
        <x:v>0</x:v>
      </x:c>
      <x:c r="AI1041" s="48" t="n">
        <x:v>1.1920928955078125e-7</x:v>
      </x:c>
      <x:c r="AJ1041" s="37" t="str">
        <x:v>passed</x:v>
      </x:c>
    </x:row>
    <x:row r="1042" ht="21" customHeight="1">
      <x:c r="A1042" s="2"/>
      <x:c r="B1042" s="2"/>
      <x:c r="C1042" s="2" t="str">
        <x:v>2023</x:v>
      </x:c>
      <x:c r="D1042" s="5" t="n">
        <x:v>44943</x:v>
      </x:c>
      <x:c r="E1042" s="2" t="str">
        <x:v>constrained</x:v>
      </x:c>
      <x:c r="F1042" s="37" t="n">
        <x:v>11612484.966521269</x:v>
      </x:c>
      <x:c r="G1042" s="37" t="n">
        <x:v>23923.92609450975</x:v>
      </x:c>
      <x:c r="H1042" s="37" t="n">
        <x:v>21061.876029435847</x:v>
      </x:c>
      <x:c r="I1042" s="37" t="n">
        <x:v>2862.0500650739014</x:v>
      </x:c>
      <x:c r="J1042" s="37" t="n">
        <x:v>10651684.05775333</x:v>
      </x:c>
      <x:c r="K1042" s="37" t="n">
        <x:v>10627760.13165882</x:v>
      </x:c>
      <x:c r="L1042" s="37" t="n">
        <x:v>11636408.892615778</x:v>
      </x:c>
      <x:c r="M1042" s="37" t="n">
        <x:v>0</x:v>
      </x:c>
      <x:c r="N1042" s="37" t="n">
        <x:v>0</x:v>
      </x:c>
      <x:c r="O1042" s="37" t="n">
        <x:v>2544.853564819321</x:v>
      </x:c>
      <x:c r="P1042" s="37" t="n">
        <x:v>0</x:v>
      </x:c>
      <x:c r="Q1042" s="37" t="n">
        <x:v>0</x:v>
      </x:c>
      <x:c r="R1042" s="37" t="n">
        <x:v>0</x:v>
      </x:c>
      <x:c r="S1042" s="37" t="n">
        <x:v>0</x:v>
      </x:c>
      <x:c r="T1042" s="37" t="n">
        <x:v>0</x:v>
      </x:c>
      <x:c r="U1042" s="37" t="n">
        <x:v>0</x:v>
      </x:c>
      <x:c r="V1042" s="37" t="n">
        <x:v>0</x:v>
      </x:c>
      <x:c r="W1042" s="37" t="n">
        <x:v>8904.547807916999</x:v>
      </x:c>
      <x:c r="X1042" s="37" t="n">
        <x:v>0</x:v>
      </x:c>
      <x:c r="Y1042" s="37" t="n">
        <x:v>2092.5222478280225</x:v>
      </x:c>
      <x:c r="Z1042" s="37" t="n">
        <x:v>10840315.334291996</x:v>
      </x:c>
      <x:c r="AA1042" s="37" t="n">
        <x:v>0</x:v>
      </x:c>
      <x:c r="AB1042" s="37" t="n">
        <x:v>10840315.334291996</x:v>
      </x:c>
      <x:c r="AC1042" s="37" t="n">
        <x:v>772169.6322292723</x:v>
      </x:c>
      <x:c r="AD1042" s="37" t="n">
        <x:v>0</x:v>
      </x:c>
      <x:c r="AE1042" s="37" t="n">
        <x:v>0</x:v>
      </x:c>
      <x:c r="AF1042" s="47" t="b">
        <x:v>0</x:v>
      </x:c>
      <x:c r="AG1042" s="47" t="b">
        <x:v>0</x:v>
      </x:c>
      <x:c r="AH1042" s="48" t="n">
        <x:v>0</x:v>
      </x:c>
      <x:c r="AI1042" s="48" t="n">
        <x:v>1.1920928955078125e-7</x:v>
      </x:c>
      <x:c r="AJ1042" s="37" t="str">
        <x:v>passed</x:v>
      </x:c>
    </x:row>
    <x:row r="1043" ht="21" customHeight="1">
      <x:c r="A1043" s="2"/>
      <x:c r="B1043" s="2"/>
      <x:c r="C1043" s="2" t="str">
        <x:v>2023</x:v>
      </x:c>
      <x:c r="D1043" s="5" t="n">
        <x:v>44944</x:v>
      </x:c>
      <x:c r="E1043" s="2" t="str">
        <x:v>unhedged</x:v>
      </x:c>
      <x:c r="F1043" s="37" t="n">
        <x:v>1199942.9529432252</x:v>
      </x:c>
      <x:c r="G1043" s="37" t="n">
        <x:v>10696873.487740127</x:v>
      </x:c>
      <x:c r="H1043" s="37" t="n">
        <x:v>43250.66058131155</x:v>
      </x:c>
      <x:c r="I1043" s="37" t="n">
        <x:v>10653622.827158816</x:v>
      </x:c>
      <x:c r="J1043" s="37" t="n">
        <x:v>10696873.487740127</x:v>
      </x:c>
      <x:c r="K1043" s="37" t="n">
        <x:v>0</x:v>
      </x:c>
      <x:c r="L1043" s="37" t="n">
        <x:v>11896816.440683352</x:v>
      </x:c>
      <x:c r="M1043" s="37" t="n">
        <x:v>0</x:v>
      </x:c>
      <x:c r="N1043" s="37" t="n">
        <x:v>0</x:v>
      </x:c>
      <x:c r="O1043" s="37" t="n">
        <x:v>65.74669623281807</x:v>
      </x:c>
      <x:c r="P1043" s="37" t="n">
        <x:v>0</x:v>
      </x:c>
      <x:c r="Q1043" s="37" t="n">
        <x:v>0</x:v>
      </x:c>
      <x:c r="R1043" s="37" t="n">
        <x:v>0</x:v>
      </x:c>
      <x:c r="S1043" s="37" t="n">
        <x:v>0</x:v>
      </x:c>
      <x:c r="T1043" s="37" t="n">
        <x:v>0</x:v>
      </x:c>
      <x:c r="U1043" s="37" t="n">
        <x:v>0</x:v>
      </x:c>
      <x:c r="V1043" s="37" t="n">
        <x:v>0</x:v>
      </x:c>
      <x:c r="W1043" s="37" t="n">
        <x:v>985.8222853473853</x:v>
      </x:c>
      <x:c r="X1043" s="37" t="n">
        <x:v>0</x:v>
      </x:c>
      <x:c r="Y1043" s="37" t="n">
        <x:v>1042.869342122179</x:v>
      </x:c>
      <x:c r="Z1043" s="37" t="n">
        <x:v>0</x:v>
      </x:c>
      <x:c r="AA1043" s="37" t="n">
        <x:v>0</x:v>
      </x:c>
      <x:c r="AB1043" s="37" t="n">
        <x:v>0</x:v>
      </x:c>
      <x:c r="AC1043" s="37" t="n">
        <x:v>1199942.9529432252</x:v>
      </x:c>
      <x:c r="AD1043" s="37" t="n">
        <x:v>0</x:v>
      </x:c>
      <x:c r="AE1043" s="37" t="n">
        <x:v>0</x:v>
      </x:c>
      <x:c r="AF1043" s="47" t="b">
        <x:v>0</x:v>
      </x:c>
      <x:c r="AG1043" s="47" t="b">
        <x:v>0</x:v>
      </x:c>
      <x:c r="AH1043" s="48" t="n">
        <x:v>0</x:v>
      </x:c>
      <x:c r="AI1043" s="48" t="n">
        <x:v>1.1920928955078125e-7</x:v>
      </x:c>
      <x:c r="AJ1043" s="37" t="str">
        <x:v>passed</x:v>
      </x:c>
    </x:row>
    <x:row r="1044" ht="21" customHeight="1">
      <x:c r="A1044" s="2"/>
      <x:c r="B1044" s="2"/>
      <x:c r="C1044" s="2" t="str">
        <x:v>2023</x:v>
      </x:c>
      <x:c r="D1044" s="5" t="n">
        <x:v>44944</x:v>
      </x:c>
      <x:c r="E1044" s="2" t="str">
        <x:v>duration</x:v>
      </x:c>
      <x:c r="F1044" s="37" t="n">
        <x:v>7812011.094848612</x:v>
      </x:c>
      <x:c r="G1044" s="37" t="n">
        <x:v>3827007.195248997</x:v>
      </x:c>
      <x:c r="H1044" s="37" t="n">
        <x:v>23651.030533422672</x:v>
      </x:c>
      <x:c r="I1044" s="37" t="n">
        <x:v>3803356.164715574</x:v>
      </x:c>
      <x:c r="J1044" s="37" t="n">
        <x:v>10696873.487740127</x:v>
      </x:c>
      <x:c r="K1044" s="37" t="n">
        <x:v>6869866.2924911305</x:v>
      </x:c>
      <x:c r="L1044" s="37" t="n">
        <x:v>11639018.29009761</x:v>
      </x:c>
      <x:c r="M1044" s="37" t="n">
        <x:v>0</x:v>
      </x:c>
      <x:c r="N1044" s="37" t="n">
        <x:v>0</x:v>
      </x:c>
      <x:c r="O1044" s="37" t="n">
        <x:v>428.03194865304977</x:v>
      </x:c>
      <x:c r="P1044" s="37" t="n">
        <x:v>0</x:v>
      </x:c>
      <x:c r="Q1044" s="37" t="n">
        <x:v>0</x:v>
      </x:c>
      <x:c r="R1044" s="37" t="n">
        <x:v>0</x:v>
      </x:c>
      <x:c r="S1044" s="37" t="n">
        <x:v>0</x:v>
      </x:c>
      <x:c r="T1044" s="37" t="n">
        <x:v>0</x:v>
      </x:c>
      <x:c r="U1044" s="37" t="n">
        <x:v>0</x:v>
      </x:c>
      <x:c r="V1044" s="37" t="n">
        <x:v>0</x:v>
      </x:c>
      <x:c r="W1044" s="37" t="n">
        <x:v>6418.017299733125</x:v>
      </x:c>
      <x:c r="X1044" s="37" t="n">
        <x:v>0</x:v>
      </x:c>
      <x:c r="Y1044" s="37" t="n">
        <x:v>1703.5990097780445</x:v>
      </x:c>
      <x:c r="Z1044" s="37" t="n">
        <x:v>7007263.618340953</x:v>
      </x:c>
      <x:c r="AA1044" s="37" t="n">
        <x:v>0</x:v>
      </x:c>
      <x:c r="AB1044" s="37" t="n">
        <x:v>7007263.618340953</x:v>
      </x:c>
      <x:c r="AC1044" s="37" t="n">
        <x:v>804747.4765076591</x:v>
      </x:c>
      <x:c r="AD1044" s="37" t="n">
        <x:v>0</x:v>
      </x:c>
      <x:c r="AE1044" s="37" t="n">
        <x:v>0</x:v>
      </x:c>
      <x:c r="AF1044" s="47" t="b">
        <x:v>0</x:v>
      </x:c>
      <x:c r="AG1044" s="47" t="b">
        <x:v>0</x:v>
      </x:c>
      <x:c r="AH1044" s="48" t="n">
        <x:v>0</x:v>
      </x:c>
      <x:c r="AI1044" s="48" t="n">
        <x:v>5.960464477539063e-8</x:v>
      </x:c>
      <x:c r="AJ1044" s="37" t="str">
        <x:v>passed</x:v>
      </x:c>
    </x:row>
    <x:row r="1045" ht="21" customHeight="1">
      <x:c r="A1045" s="2"/>
      <x:c r="B1045" s="2"/>
      <x:c r="C1045" s="2" t="str">
        <x:v>2023</x:v>
      </x:c>
      <x:c r="D1045" s="5" t="n">
        <x:v>44944</x:v>
      </x:c>
      <x:c r="E1045" s="2" t="str">
        <x:v>unweighted</x:v>
      </x:c>
      <x:c r="F1045" s="37" t="n">
        <x:v>10849809.45557736</x:v>
      </x:c>
      <x:c r="G1045" s="37" t="n">
        <x:v>795789.4627563653</x:v>
      </x:c>
      <x:c r="H1045" s="37" t="n">
        <x:v>21984.986196887185</x:v>
      </x:c>
      <x:c r="I1045" s="37" t="n">
        <x:v>773804.4765594781</x:v>
      </x:c>
      <x:c r="J1045" s="37" t="n">
        <x:v>10736171.35754388</x:v>
      </x:c>
      <x:c r="K1045" s="37" t="n">
        <x:v>9940381.894787515</x:v>
      </x:c>
      <x:c r="L1045" s="37" t="n">
        <x:v>11645598.918333726</x:v>
      </x:c>
      <x:c r="M1045" s="37" t="n">
        <x:v>0</x:v>
      </x:c>
      <x:c r="N1045" s="37" t="n">
        <x:v>0</x:v>
      </x:c>
      <x:c r="O1045" s="37" t="n">
        <x:v>594.4775330424309</x:v>
      </x:c>
      <x:c r="P1045" s="37" t="n">
        <x:v>0</x:v>
      </x:c>
      <x:c r="Q1045" s="37" t="n">
        <x:v>0</x:v>
      </x:c>
      <x:c r="R1045" s="37" t="n">
        <x:v>0</x:v>
      </x:c>
      <x:c r="S1045" s="37" t="n">
        <x:v>0</x:v>
      </x:c>
      <x:c r="T1045" s="37" t="n">
        <x:v>0</x:v>
      </x:c>
      <x:c r="U1045" s="37" t="n">
        <x:v>0</x:v>
      </x:c>
      <x:c r="V1045" s="37" t="n">
        <x:v>0</x:v>
      </x:c>
      <x:c r="W1045" s="37" t="n">
        <x:v>8913.74371326901</x:v>
      </x:c>
      <x:c r="X1045" s="37" t="n">
        <x:v>0</x:v>
      </x:c>
      <x:c r="Y1045" s="37" t="n">
        <x:v>2014.5478098199433</x:v>
      </x:c>
      <x:c r="Z1045" s="37" t="n">
        <x:v>10139189.532683264</x:v>
      </x:c>
      <x:c r="AA1045" s="37" t="n">
        <x:v>0</x:v>
      </x:c>
      <x:c r="AB1045" s="37" t="n">
        <x:v>10139189.532683264</x:v>
      </x:c>
      <x:c r="AC1045" s="37" t="n">
        <x:v>710619.922894096</x:v>
      </x:c>
      <x:c r="AD1045" s="37" t="n">
        <x:v>0</x:v>
      </x:c>
      <x:c r="AE1045" s="37" t="n">
        <x:v>0</x:v>
      </x:c>
      <x:c r="AF1045" s="47" t="b">
        <x:v>0</x:v>
      </x:c>
      <x:c r="AG1045" s="47" t="b">
        <x:v>0</x:v>
      </x:c>
      <x:c r="AH1045" s="48" t="n">
        <x:v>0</x:v>
      </x:c>
      <x:c r="AI1045" s="48" t="n">
        <x:v>1.1920928955078125e-7</x:v>
      </x:c>
      <x:c r="AJ1045" s="37" t="str">
        <x:v>passed</x:v>
      </x:c>
    </x:row>
    <x:row r="1046" ht="21" customHeight="1">
      <x:c r="A1046" s="2"/>
      <x:c r="B1046" s="2"/>
      <x:c r="C1046" s="2" t="str">
        <x:v>2023</x:v>
      </x:c>
      <x:c r="D1046" s="5" t="n">
        <x:v>44944</x:v>
      </x:c>
      <x:c r="E1046" s="2" t="str">
        <x:v>constrained</x:v>
      </x:c>
      <x:c r="F1046" s="37" t="n">
        <x:v>11613121.26706738</x:v>
      </x:c>
      <x:c r="G1046" s="37" t="n">
        <x:v>24212.848928475025</x:v>
      </x:c>
      <x:c r="H1046" s="37" t="n">
        <x:v>21022.87937487648</x:v>
      </x:c>
      <x:c r="I1046" s="37" t="n">
        <x:v>3189.9695535985447</x:v>
      </x:c>
      <x:c r="J1046" s="37" t="n">
        <x:v>10745185.412921956</x:v>
      </x:c>
      <x:c r="K1046" s="37" t="n">
        <x:v>10720972.56399348</x:v>
      </x:c>
      <x:c r="L1046" s="37" t="n">
        <x:v>11637334.115995856</x:v>
      </x:c>
      <x:c r="M1046" s="37" t="n">
        <x:v>0</x:v>
      </x:c>
      <x:c r="N1046" s="37" t="n">
        <x:v>0</x:v>
      </x:c>
      <x:c r="O1046" s="37" t="n">
        <x:v>636.300546111539</x:v>
      </x:c>
      <x:c r="P1046" s="37" t="n">
        <x:v>0</x:v>
      </x:c>
      <x:c r="Q1046" s="37" t="n">
        <x:v>0</x:v>
      </x:c>
      <x:c r="R1046" s="37" t="n">
        <x:v>0</x:v>
      </x:c>
      <x:c r="S1046" s="37" t="n">
        <x:v>0</x:v>
      </x:c>
      <x:c r="T1046" s="37" t="n">
        <x:v>0</x:v>
      </x:c>
      <x:c r="U1046" s="37" t="n">
        <x:v>0</x:v>
      </x:c>
      <x:c r="V1046" s="37" t="n">
        <x:v>0</x:v>
      </x:c>
      <x:c r="W1046" s="37" t="n">
        <x:v>9540.848354028538</x:v>
      </x:c>
      <x:c r="X1046" s="37" t="n">
        <x:v>0</x:v>
      </x:c>
      <x:c r="Y1046" s="37" t="n">
        <x:v>2092.5222478280225</x:v>
      </x:c>
      <x:c r="Z1046" s="37" t="n">
        <x:v>10935392.01527335</x:v>
      </x:c>
      <x:c r="AA1046" s="37" t="n">
        <x:v>0</x:v>
      </x:c>
      <x:c r="AB1046" s="37" t="n">
        <x:v>10935392.01527335</x:v>
      </x:c>
      <x:c r="AC1046" s="37" t="n">
        <x:v>677729.2517940309</x:v>
      </x:c>
      <x:c r="AD1046" s="37" t="n">
        <x:v>0</x:v>
      </x:c>
      <x:c r="AE1046" s="37" t="n">
        <x:v>0</x:v>
      </x:c>
      <x:c r="AF1046" s="47" t="b">
        <x:v>0</x:v>
      </x:c>
      <x:c r="AG1046" s="47" t="b">
        <x:v>0</x:v>
      </x:c>
      <x:c r="AH1046" s="48" t="n">
        <x:v>0</x:v>
      </x:c>
      <x:c r="AI1046" s="48" t="n">
        <x:v>1.1920928955078125e-7</x:v>
      </x:c>
      <x:c r="AJ1046" s="37" t="str">
        <x:v>passed</x:v>
      </x:c>
    </x:row>
    <x:row r="1047" ht="21" customHeight="1">
      <x:c r="A1047" s="2"/>
      <x:c r="B1047" s="2"/>
      <x:c r="C1047" s="2" t="str">
        <x:v>2023</x:v>
      </x:c>
      <x:c r="D1047" s="5" t="n">
        <x:v>44945</x:v>
      </x:c>
      <x:c r="E1047" s="2" t="str">
        <x:v>unhedged</x:v>
      </x:c>
      <x:c r="F1047" s="37" t="n">
        <x:v>1200008.7032420165</x:v>
      </x:c>
      <x:c r="G1047" s="37" t="n">
        <x:v>10676976.732710581</x:v>
      </x:c>
      <x:c r="H1047" s="37" t="n">
        <x:v>43599.49255344703</x:v>
      </x:c>
      <x:c r="I1047" s="37" t="n">
        <x:v>10633377.240157135</x:v>
      </x:c>
      <x:c r="J1047" s="37" t="n">
        <x:v>10676976.732710581</x:v>
      </x:c>
      <x:c r="K1047" s="37" t="n">
        <x:v>0</x:v>
      </x:c>
      <x:c r="L1047" s="37" t="n">
        <x:v>11876985.435952598</x:v>
      </x:c>
      <x:c r="M1047" s="37" t="n">
        <x:v>0</x:v>
      </x:c>
      <x:c r="N1047" s="37" t="n">
        <x:v>0</x:v>
      </x:c>
      <x:c r="O1047" s="37" t="n">
        <x:v>65.75029879133217</x:v>
      </x:c>
      <x:c r="P1047" s="37" t="n">
        <x:v>0</x:v>
      </x:c>
      <x:c r="Q1047" s="37" t="n">
        <x:v>0</x:v>
      </x:c>
      <x:c r="R1047" s="37" t="n">
        <x:v>0</x:v>
      </x:c>
      <x:c r="S1047" s="37" t="n">
        <x:v>0</x:v>
      </x:c>
      <x:c r="T1047" s="37" t="n">
        <x:v>0</x:v>
      </x:c>
      <x:c r="U1047" s="37" t="n">
        <x:v>0</x:v>
      </x:c>
      <x:c r="V1047" s="37" t="n">
        <x:v>0</x:v>
      </x:c>
      <x:c r="W1047" s="37" t="n">
        <x:v>1051.5725841387175</x:v>
      </x:c>
      <x:c r="X1047" s="37" t="n">
        <x:v>0</x:v>
      </x:c>
      <x:c r="Y1047" s="37" t="n">
        <x:v>1042.869342122179</x:v>
      </x:c>
      <x:c r="Z1047" s="37" t="n">
        <x:v>0</x:v>
      </x:c>
      <x:c r="AA1047" s="37" t="n">
        <x:v>0</x:v>
      </x:c>
      <x:c r="AB1047" s="37" t="n">
        <x:v>0</x:v>
      </x:c>
      <x:c r="AC1047" s="37" t="n">
        <x:v>1200008.7032420165</x:v>
      </x:c>
      <x:c r="AD1047" s="37" t="n">
        <x:v>0</x:v>
      </x:c>
      <x:c r="AE1047" s="37" t="n">
        <x:v>0</x:v>
      </x:c>
      <x:c r="AF1047" s="47" t="b">
        <x:v>0</x:v>
      </x:c>
      <x:c r="AG1047" s="47" t="b">
        <x:v>0</x:v>
      </x:c>
      <x:c r="AH1047" s="48" t="n">
        <x:v>0</x:v>
      </x:c>
      <x:c r="AI1047" s="48" t="n">
        <x:v>1.1920928955078125e-7</x:v>
      </x:c>
      <x:c r="AJ1047" s="37" t="str">
        <x:v>passed</x:v>
      </x:c>
    </x:row>
    <x:row r="1048" ht="21" customHeight="1">
      <x:c r="A1048" s="2"/>
      <x:c r="B1048" s="2"/>
      <x:c r="C1048" s="2" t="str">
        <x:v>2023</x:v>
      </x:c>
      <x:c r="D1048" s="5" t="n">
        <x:v>44945</x:v>
      </x:c>
      <x:c r="E1048" s="2" t="str">
        <x:v>duration</x:v>
      </x:c>
      <x:c r="F1048" s="37" t="n">
        <x:v>7812439.15025107</x:v>
      </x:c>
      <x:c r="G1048" s="37" t="n">
        <x:v>3826553.3862261362</x:v>
      </x:c>
      <x:c r="H1048" s="37" t="n">
        <x:v>23693.61828605989</x:v>
      </x:c>
      <x:c r="I1048" s="37" t="n">
        <x:v>3802859.7679400765</x:v>
      </x:c>
      <x:c r="J1048" s="37" t="n">
        <x:v>10676976.732710581</x:v>
      </x:c>
      <x:c r="K1048" s="37" t="n">
        <x:v>6850423.346484446</x:v>
      </x:c>
      <x:c r="L1048" s="37" t="n">
        <x:v>11638992.536477206</x:v>
      </x:c>
      <x:c r="M1048" s="37" t="n">
        <x:v>0</x:v>
      </x:c>
      <x:c r="N1048" s="37" t="n">
        <x:v>0</x:v>
      </x:c>
      <x:c r="O1048" s="37" t="n">
        <x:v>428.0554024577141</x:v>
      </x:c>
      <x:c r="P1048" s="37" t="n">
        <x:v>0</x:v>
      </x:c>
      <x:c r="Q1048" s="37" t="n">
        <x:v>0</x:v>
      </x:c>
      <x:c r="R1048" s="37" t="n">
        <x:v>0</x:v>
      </x:c>
      <x:c r="S1048" s="37" t="n">
        <x:v>0</x:v>
      </x:c>
      <x:c r="T1048" s="37" t="n">
        <x:v>0</x:v>
      </x:c>
      <x:c r="U1048" s="37" t="n">
        <x:v>0</x:v>
      </x:c>
      <x:c r="V1048" s="37" t="n">
        <x:v>0</x:v>
      </x:c>
      <x:c r="W1048" s="37" t="n">
        <x:v>6846.072702190839</x:v>
      </x:c>
      <x:c r="X1048" s="37" t="n">
        <x:v>0</x:v>
      </x:c>
      <x:c r="Y1048" s="37" t="n">
        <x:v>1703.5990097780445</x:v>
      </x:c>
      <x:c r="Z1048" s="37" t="n">
        <x:v>6987431.813414135</x:v>
      </x:c>
      <x:c r="AA1048" s="37" t="n">
        <x:v>0</x:v>
      </x:c>
      <x:c r="AB1048" s="37" t="n">
        <x:v>6987431.813414135</x:v>
      </x:c>
      <x:c r="AC1048" s="37" t="n">
        <x:v>825007.336836935</x:v>
      </x:c>
      <x:c r="AD1048" s="37" t="n">
        <x:v>0</x:v>
      </x:c>
      <x:c r="AE1048" s="37" t="n">
        <x:v>0</x:v>
      </x:c>
      <x:c r="AF1048" s="47" t="b">
        <x:v>0</x:v>
      </x:c>
      <x:c r="AG1048" s="47" t="b">
        <x:v>0</x:v>
      </x:c>
      <x:c r="AH1048" s="48" t="n">
        <x:v>0</x:v>
      </x:c>
      <x:c r="AI1048" s="48" t="n">
        <x:v>5.960464477539063e-8</x:v>
      </x:c>
      <x:c r="AJ1048" s="37" t="str">
        <x:v>passed</x:v>
      </x:c>
    </x:row>
    <x:row r="1049" ht="21" customHeight="1">
      <x:c r="A1049" s="2"/>
      <x:c r="B1049" s="2"/>
      <x:c r="C1049" s="2" t="str">
        <x:v>2023</x:v>
      </x:c>
      <x:c r="D1049" s="5" t="n">
        <x:v>44945</x:v>
      </x:c>
      <x:c r="E1049" s="2" t="str">
        <x:v>unweighted</x:v>
      </x:c>
      <x:c r="F1049" s="37" t="n">
        <x:v>10850403.965684516</x:v>
      </x:c>
      <x:c r="G1049" s="37" t="n">
        <x:v>795054.5660756836</x:v>
      </x:c>
      <x:c r="H1049" s="37" t="n">
        <x:v>21964.80925620169</x:v>
      </x:c>
      <x:c r="I1049" s="37" t="n">
        <x:v>773089.7568194818</x:v>
      </x:c>
      <x:c r="J1049" s="37" t="n">
        <x:v>10716120.058586001</x:v>
      </x:c>
      <x:c r="K1049" s="37" t="n">
        <x:v>9921065.492510319</x:v>
      </x:c>
      <x:c r="L1049" s="37" t="n">
        <x:v>11645458.5317602</x:v>
      </x:c>
      <x:c r="M1049" s="37" t="n">
        <x:v>0</x:v>
      </x:c>
      <x:c r="N1049" s="37" t="n">
        <x:v>0</x:v>
      </x:c>
      <x:c r="O1049" s="37" t="n">
        <x:v>594.5101071558893</x:v>
      </x:c>
      <x:c r="P1049" s="37" t="n">
        <x:v>0</x:v>
      </x:c>
      <x:c r="Q1049" s="37" t="n">
        <x:v>0</x:v>
      </x:c>
      <x:c r="R1049" s="37" t="n">
        <x:v>0</x:v>
      </x:c>
      <x:c r="S1049" s="37" t="n">
        <x:v>0</x:v>
      </x:c>
      <x:c r="T1049" s="37" t="n">
        <x:v>0</x:v>
      </x:c>
      <x:c r="U1049" s="37" t="n">
        <x:v>0</x:v>
      </x:c>
      <x:c r="V1049" s="37" t="n">
        <x:v>0</x:v>
      </x:c>
      <x:c r="W1049" s="37" t="n">
        <x:v>9508.2538204249</x:v>
      </x:c>
      <x:c r="X1049" s="37" t="n">
        <x:v>0</x:v>
      </x:c>
      <x:c r="Y1049" s="37" t="n">
        <x:v>2014.5478098199433</x:v>
      </x:c>
      <x:c r="Z1049" s="37" t="n">
        <x:v>10119486.802360525</x:v>
      </x:c>
      <x:c r="AA1049" s="37" t="n">
        <x:v>0</x:v>
      </x:c>
      <x:c r="AB1049" s="37" t="n">
        <x:v>10119486.802360525</x:v>
      </x:c>
      <x:c r="AC1049" s="37" t="n">
        <x:v>730917.163323991</x:v>
      </x:c>
      <x:c r="AD1049" s="37" t="n">
        <x:v>0</x:v>
      </x:c>
      <x:c r="AE1049" s="37" t="n">
        <x:v>0</x:v>
      </x:c>
      <x:c r="AF1049" s="47" t="b">
        <x:v>0</x:v>
      </x:c>
      <x:c r="AG1049" s="47" t="b">
        <x:v>0</x:v>
      </x:c>
      <x:c r="AH1049" s="48" t="n">
        <x:v>0</x:v>
      </x:c>
      <x:c r="AI1049" s="48" t="n">
        <x:v>1.1920928955078125e-7</x:v>
      </x:c>
      <x:c r="AJ1049" s="37" t="str">
        <x:v>passed</x:v>
      </x:c>
    </x:row>
    <x:row r="1050" ht="21" customHeight="1">
      <x:c r="A1050" s="2"/>
      <x:c r="B1050" s="2"/>
      <x:c r="C1050" s="2" t="str">
        <x:v>2023</x:v>
      </x:c>
      <x:c r="D1050" s="5" t="n">
        <x:v>44945</x:v>
      </x:c>
      <x:c r="E1050" s="2" t="str">
        <x:v>constrained</x:v>
      </x:c>
      <x:c r="F1050" s="37" t="n">
        <x:v>11613757.602479275</x:v>
      </x:c>
      <x:c r="G1050" s="37" t="n">
        <x:v>24181.432568604214</x:v>
      </x:c>
      <x:c r="H1050" s="37" t="n">
        <x:v>20983.882720317124</x:v>
      </x:c>
      <x:c r="I1050" s="37" t="n">
        <x:v>3197.54984828709</x:v>
      </x:c>
      <x:c r="J1050" s="37" t="n">
        <x:v>10725101.765096325</x:v>
      </x:c>
      <x:c r="K1050" s="37" t="n">
        <x:v>10700920.332527721</x:v>
      </x:c>
      <x:c r="L1050" s="37" t="n">
        <x:v>11637939.03504788</x:v>
      </x:c>
      <x:c r="M1050" s="37" t="n">
        <x:v>0</x:v>
      </x:c>
      <x:c r="N1050" s="37" t="n">
        <x:v>0</x:v>
      </x:c>
      <x:c r="O1050" s="37" t="n">
        <x:v>636.3354118950665</x:v>
      </x:c>
      <x:c r="P1050" s="37" t="n">
        <x:v>0</x:v>
      </x:c>
      <x:c r="Q1050" s="37" t="n">
        <x:v>0</x:v>
      </x:c>
      <x:c r="R1050" s="37" t="n">
        <x:v>0</x:v>
      </x:c>
      <x:c r="S1050" s="37" t="n">
        <x:v>0</x:v>
      </x:c>
      <x:c r="T1050" s="37" t="n">
        <x:v>0</x:v>
      </x:c>
      <x:c r="U1050" s="37" t="n">
        <x:v>0</x:v>
      </x:c>
      <x:c r="V1050" s="37" t="n">
        <x:v>0</x:v>
      </x:c>
      <x:c r="W1050" s="37" t="n">
        <x:v>10177.183765923604</x:v>
      </x:c>
      <x:c r="X1050" s="37" t="n">
        <x:v>0</x:v>
      </x:c>
      <x:c r="Y1050" s="37" t="n">
        <x:v>2092.5222478280225</x:v>
      </x:c>
      <x:c r="Z1050" s="37" t="n">
        <x:v>10914938.739178276</x:v>
      </x:c>
      <x:c r="AA1050" s="37" t="n">
        <x:v>0</x:v>
      </x:c>
      <x:c r="AB1050" s="37" t="n">
        <x:v>10914938.739178276</x:v>
      </x:c>
      <x:c r="AC1050" s="37" t="n">
        <x:v>698818.8633009996</x:v>
      </x:c>
      <x:c r="AD1050" s="37" t="n">
        <x:v>0</x:v>
      </x:c>
      <x:c r="AE1050" s="37" t="n">
        <x:v>0</x:v>
      </x:c>
      <x:c r="AF1050" s="47" t="b">
        <x:v>0</x:v>
      </x:c>
      <x:c r="AG1050" s="47" t="b">
        <x:v>0</x:v>
      </x:c>
      <x:c r="AH1050" s="48" t="n">
        <x:v>0</x:v>
      </x:c>
      <x:c r="AI1050" s="48" t="n">
        <x:v>1.1920928955078125e-7</x:v>
      </x:c>
      <x:c r="AJ1050" s="37" t="str">
        <x:v>passed</x:v>
      </x:c>
    </x:row>
    <x:row r="1051" ht="21" customHeight="1">
      <x:c r="A1051" s="2"/>
      <x:c r="B1051" s="2"/>
      <x:c r="C1051" s="2" t="str">
        <x:v>2023</x:v>
      </x:c>
      <x:c r="D1051" s="5" t="n">
        <x:v>44946</x:v>
      </x:c>
      <x:c r="E1051" s="2" t="str">
        <x:v>unhedged</x:v>
      </x:c>
      <x:c r="F1051" s="37" t="n">
        <x:v>1200074.457143564</x:v>
      </x:c>
      <x:c r="G1051" s="37" t="n">
        <x:v>10636382.550096802</x:v>
      </x:c>
      <x:c r="H1051" s="37" t="n">
        <x:v>43948.32452558251</x:v>
      </x:c>
      <x:c r="I1051" s="37" t="n">
        <x:v>10592434.22557122</x:v>
      </x:c>
      <x:c r="J1051" s="37" t="n">
        <x:v>10636382.550096802</x:v>
      </x:c>
      <x:c r="K1051" s="37" t="n">
        <x:v>0</x:v>
      </x:c>
      <x:c r="L1051" s="37" t="n">
        <x:v>11836457.007240366</x:v>
      </x:c>
      <x:c r="M1051" s="37" t="n">
        <x:v>0</x:v>
      </x:c>
      <x:c r="N1051" s="37" t="n">
        <x:v>0</x:v>
      </x:c>
      <x:c r="O1051" s="37" t="n">
        <x:v>65.75390154751949</x:v>
      </x:c>
      <x:c r="P1051" s="37" t="n">
        <x:v>0</x:v>
      </x:c>
      <x:c r="Q1051" s="37" t="n">
        <x:v>0</x:v>
      </x:c>
      <x:c r="R1051" s="37" t="n">
        <x:v>0</x:v>
      </x:c>
      <x:c r="S1051" s="37" t="n">
        <x:v>0</x:v>
      </x:c>
      <x:c r="T1051" s="37" t="n">
        <x:v>0</x:v>
      </x:c>
      <x:c r="U1051" s="37" t="n">
        <x:v>0</x:v>
      </x:c>
      <x:c r="V1051" s="37" t="n">
        <x:v>0</x:v>
      </x:c>
      <x:c r="W1051" s="37" t="n">
        <x:v>1117.326485686237</x:v>
      </x:c>
      <x:c r="X1051" s="37" t="n">
        <x:v>0</x:v>
      </x:c>
      <x:c r="Y1051" s="37" t="n">
        <x:v>1042.869342122179</x:v>
      </x:c>
      <x:c r="Z1051" s="37" t="n">
        <x:v>0</x:v>
      </x:c>
      <x:c r="AA1051" s="37" t="n">
        <x:v>0</x:v>
      </x:c>
      <x:c r="AB1051" s="37" t="n">
        <x:v>0</x:v>
      </x:c>
      <x:c r="AC1051" s="37" t="n">
        <x:v>1200074.457143564</x:v>
      </x:c>
      <x:c r="AD1051" s="37" t="n">
        <x:v>0</x:v>
      </x:c>
      <x:c r="AE1051" s="37" t="n">
        <x:v>0</x:v>
      </x:c>
      <x:c r="AF1051" s="47" t="b">
        <x:v>0</x:v>
      </x:c>
      <x:c r="AG1051" s="47" t="b">
        <x:v>0</x:v>
      </x:c>
      <x:c r="AH1051" s="48" t="n">
        <x:v>0</x:v>
      </x:c>
      <x:c r="AI1051" s="48" t="n">
        <x:v>1.1920928955078125e-7</x:v>
      </x:c>
      <x:c r="AJ1051" s="37" t="str">
        <x:v>passed</x:v>
      </x:c>
    </x:row>
    <x:row r="1052" ht="21" customHeight="1">
      <x:c r="A1052" s="2"/>
      <x:c r="B1052" s="2"/>
      <x:c r="C1052" s="2" t="str">
        <x:v>2023</x:v>
      </x:c>
      <x:c r="D1052" s="5" t="n">
        <x:v>44946</x:v>
      </x:c>
      <x:c r="E1052" s="2" t="str">
        <x:v>duration</x:v>
      </x:c>
      <x:c r="F1052" s="37" t="n">
        <x:v>7812867.229108618</x:v>
      </x:c>
      <x:c r="G1052" s="37" t="n">
        <x:v>3828828.673098606</x:v>
      </x:c>
      <x:c r="H1052" s="37" t="n">
        <x:v>23736.206038697106</x:v>
      </x:c>
      <x:c r="I1052" s="37" t="n">
        <x:v>3805092.467059909</x:v>
      </x:c>
      <x:c r="J1052" s="37" t="n">
        <x:v>10636382.550096802</x:v>
      </x:c>
      <x:c r="K1052" s="37" t="n">
        <x:v>6807553.876998196</x:v>
      </x:c>
      <x:c r="L1052" s="37" t="n">
        <x:v>11641695.902207224</x:v>
      </x:c>
      <x:c r="M1052" s="37" t="n">
        <x:v>0</x:v>
      </x:c>
      <x:c r="N1052" s="37" t="n">
        <x:v>0</x:v>
      </x:c>
      <x:c r="O1052" s="37" t="n">
        <x:v>428.07885754760355</x:v>
      </x:c>
      <x:c r="P1052" s="37" t="n">
        <x:v>0</x:v>
      </x:c>
      <x:c r="Q1052" s="37" t="n">
        <x:v>0</x:v>
      </x:c>
      <x:c r="R1052" s="37" t="n">
        <x:v>0</x:v>
      </x:c>
      <x:c r="S1052" s="37" t="n">
        <x:v>0</x:v>
      </x:c>
      <x:c r="T1052" s="37" t="n">
        <x:v>0</x:v>
      </x:c>
      <x:c r="U1052" s="37" t="n">
        <x:v>0</x:v>
      </x:c>
      <x:c r="V1052" s="37" t="n">
        <x:v>0</x:v>
      </x:c>
      <x:c r="W1052" s="37" t="n">
        <x:v>7274.151559738442</x:v>
      </x:c>
      <x:c r="X1052" s="37" t="n">
        <x:v>0</x:v>
      </x:c>
      <x:c r="Y1052" s="37" t="n">
        <x:v>1703.5990097780445</x:v>
      </x:c>
      <x:c r="Z1052" s="37" t="n">
        <x:v>6943704.95453816</x:v>
      </x:c>
      <x:c r="AA1052" s="37" t="n">
        <x:v>0</x:v>
      </x:c>
      <x:c r="AB1052" s="37" t="n">
        <x:v>6943704.95453816</x:v>
      </x:c>
      <x:c r="AC1052" s="37" t="n">
        <x:v>869162.2745704576</x:v>
      </x:c>
      <x:c r="AD1052" s="37" t="n">
        <x:v>0</x:v>
      </x:c>
      <x:c r="AE1052" s="37" t="n">
        <x:v>0</x:v>
      </x:c>
      <x:c r="AF1052" s="47" t="b">
        <x:v>0</x:v>
      </x:c>
      <x:c r="AG1052" s="47" t="b">
        <x:v>0</x:v>
      </x:c>
      <x:c r="AH1052" s="48" t="n">
        <x:v>0</x:v>
      </x:c>
      <x:c r="AI1052" s="48" t="n">
        <x:v>5.960464477539063e-8</x:v>
      </x:c>
      <x:c r="AJ1052" s="37" t="str">
        <x:v>passed</x:v>
      </x:c>
    </x:row>
    <x:row r="1053" ht="21" customHeight="1">
      <x:c r="A1053" s="2"/>
      <x:c r="B1053" s="2"/>
      <x:c r="C1053" s="2" t="str">
        <x:v>2023</x:v>
      </x:c>
      <x:c r="D1053" s="5" t="n">
        <x:v>44946</x:v>
      </x:c>
      <x:c r="E1053" s="2" t="str">
        <x:v>unweighted</x:v>
      </x:c>
      <x:c r="F1053" s="37" t="n">
        <x:v>10850998.508367568</x:v>
      </x:c>
      <x:c r="G1053" s="37" t="n">
        <x:v>793828.9528750294</x:v>
      </x:c>
      <x:c r="H1053" s="37" t="n">
        <x:v>21944.632315516195</x:v>
      </x:c>
      <x:c r="I1053" s="37" t="n">
        <x:v>771884.3205595132</x:v>
      </x:c>
      <x:c r="J1053" s="37" t="n">
        <x:v>10675034.996394834</x:v>
      </x:c>
      <x:c r="K1053" s="37" t="n">
        <x:v>9881206.043519804</x:v>
      </x:c>
      <x:c r="L1053" s="37" t="n">
        <x:v>11644827.461242598</x:v>
      </x:c>
      <x:c r="M1053" s="37" t="n">
        <x:v>0</x:v>
      </x:c>
      <x:c r="N1053" s="37" t="n">
        <x:v>0</x:v>
      </x:c>
      <x:c r="O1053" s="37" t="n">
        <x:v>594.5426830518991</x:v>
      </x:c>
      <x:c r="P1053" s="37" t="n">
        <x:v>0</x:v>
      </x:c>
      <x:c r="Q1053" s="37" t="n">
        <x:v>0</x:v>
      </x:c>
      <x:c r="R1053" s="37" t="n">
        <x:v>0</x:v>
      </x:c>
      <x:c r="S1053" s="37" t="n">
        <x:v>0</x:v>
      </x:c>
      <x:c r="T1053" s="37" t="n">
        <x:v>0</x:v>
      </x:c>
      <x:c r="U1053" s="37" t="n">
        <x:v>0</x:v>
      </x:c>
      <x:c r="V1053" s="37" t="n">
        <x:v>0</x:v>
      </x:c>
      <x:c r="W1053" s="37" t="n">
        <x:v>10102.796503476799</x:v>
      </x:c>
      <x:c r="X1053" s="37" t="n">
        <x:v>0</x:v>
      </x:c>
      <x:c r="Y1053" s="37" t="n">
        <x:v>2014.5478098199433</x:v>
      </x:c>
      <x:c r="Z1053" s="37" t="n">
        <x:v>10078830.1643902</x:v>
      </x:c>
      <x:c r="AA1053" s="37" t="n">
        <x:v>0</x:v>
      </x:c>
      <x:c r="AB1053" s="37" t="n">
        <x:v>10078830.1643902</x:v>
      </x:c>
      <x:c r="AC1053" s="37" t="n">
        <x:v>772168.3439773675</x:v>
      </x:c>
      <x:c r="AD1053" s="37" t="n">
        <x:v>0</x:v>
      </x:c>
      <x:c r="AE1053" s="37" t="n">
        <x:v>0</x:v>
      </x:c>
      <x:c r="AF1053" s="47" t="b">
        <x:v>0</x:v>
      </x:c>
      <x:c r="AG1053" s="47" t="b">
        <x:v>0</x:v>
      </x:c>
      <x:c r="AH1053" s="48" t="n">
        <x:v>0</x:v>
      </x:c>
      <x:c r="AI1053" s="48" t="n">
        <x:v>1.1920928955078125e-7</x:v>
      </x:c>
      <x:c r="AJ1053" s="37" t="str">
        <x:v>passed</x:v>
      </x:c>
    </x:row>
    <x:row r="1054" ht="21" customHeight="1">
      <x:c r="A1054" s="2"/>
      <x:c r="B1054" s="2"/>
      <x:c r="C1054" s="2" t="str">
        <x:v>2023</x:v>
      </x:c>
      <x:c r="D1054" s="5" t="n">
        <x:v>44946</x:v>
      </x:c>
      <x:c r="E1054" s="2" t="str">
        <x:v>constrained</x:v>
      </x:c>
      <x:c r="F1054" s="37" t="n">
        <x:v>11614393.972758861</x:v>
      </x:c>
      <x:c r="G1054" s="37" t="n">
        <x:v>24088.53623863717</x:v>
      </x:c>
      <x:c r="H1054" s="37" t="n">
        <x:v>20944.886065757768</x:v>
      </x:c>
      <x:c r="I1054" s="37" t="n">
        <x:v>3143.650172879403</x:v>
      </x:c>
      <x:c r="J1054" s="37" t="n">
        <x:v>10683910.489659425</x:v>
      </x:c>
      <x:c r="K1054" s="37" t="n">
        <x:v>10659821.953420788</x:v>
      </x:c>
      <x:c r="L1054" s="37" t="n">
        <x:v>11638482.508997498</x:v>
      </x:c>
      <x:c r="M1054" s="37" t="n">
        <x:v>0</x:v>
      </x:c>
      <x:c r="N1054" s="37" t="n">
        <x:v>0</x:v>
      </x:c>
      <x:c r="O1054" s="37" t="n">
        <x:v>636.3702795859426</x:v>
      </x:c>
      <x:c r="P1054" s="37" t="n">
        <x:v>0</x:v>
      </x:c>
      <x:c r="Q1054" s="37" t="n">
        <x:v>0</x:v>
      </x:c>
      <x:c r="R1054" s="37" t="n">
        <x:v>0</x:v>
      </x:c>
      <x:c r="S1054" s="37" t="n">
        <x:v>0</x:v>
      </x:c>
      <x:c r="T1054" s="37" t="n">
        <x:v>0</x:v>
      </x:c>
      <x:c r="U1054" s="37" t="n">
        <x:v>0</x:v>
      </x:c>
      <x:c r="V1054" s="37" t="n">
        <x:v>0</x:v>
      </x:c>
      <x:c r="W1054" s="37" t="n">
        <x:v>10813.554045509547</x:v>
      </x:c>
      <x:c r="X1054" s="37" t="n">
        <x:v>0</x:v>
      </x:c>
      <x:c r="Y1054" s="37" t="n">
        <x:v>2092.5222478280225</x:v>
      </x:c>
      <x:c r="Z1054" s="37" t="n">
        <x:v>10873018.392489204</x:v>
      </x:c>
      <x:c r="AA1054" s="37" t="n">
        <x:v>0</x:v>
      </x:c>
      <x:c r="AB1054" s="37" t="n">
        <x:v>10873018.392489204</x:v>
      </x:c>
      <x:c r="AC1054" s="37" t="n">
        <x:v>741375.5802696571</x:v>
      </x:c>
      <x:c r="AD1054" s="37" t="n">
        <x:v>0</x:v>
      </x:c>
      <x:c r="AE1054" s="37" t="n">
        <x:v>0</x:v>
      </x:c>
      <x:c r="AF1054" s="47" t="b">
        <x:v>0</x:v>
      </x:c>
      <x:c r="AG1054" s="47" t="b">
        <x:v>0</x:v>
      </x:c>
      <x:c r="AH1054" s="48" t="n">
        <x:v>0</x:v>
      </x:c>
      <x:c r="AI1054" s="48" t="n">
        <x:v>1.1920928955078125e-7</x:v>
      </x:c>
      <x:c r="AJ1054" s="37" t="str">
        <x:v>passed</x:v>
      </x:c>
    </x:row>
    <x:row r="1055" ht="21" customHeight="1">
      <x:c r="A1055" s="2"/>
      <x:c r="B1055" s="2"/>
      <x:c r="C1055" s="2" t="str">
        <x:v>2023</x:v>
      </x:c>
      <x:c r="D1055" s="5" t="n">
        <x:v>44949</x:v>
      </x:c>
      <x:c r="E1055" s="2" t="str">
        <x:v>unhedged</x:v>
      </x:c>
      <x:c r="F1055" s="37" t="n">
        <x:v>1200271.7404667176</x:v>
      </x:c>
      <x:c r="G1055" s="37" t="n">
        <x:v>10615611.90383928</x:v>
      </x:c>
      <x:c r="H1055" s="37" t="n">
        <x:v>44994.82044198895</x:v>
      </x:c>
      <x:c r="I1055" s="37" t="n">
        <x:v>10570617.083397292</x:v>
      </x:c>
      <x:c r="J1055" s="37" t="n">
        <x:v>10615611.90383928</x:v>
      </x:c>
      <x:c r="K1055" s="37" t="n">
        <x:v>0</x:v>
      </x:c>
      <x:c r="L1055" s="37" t="n">
        <x:v>11815883.644305998</x:v>
      </x:c>
      <x:c r="M1055" s="37" t="n">
        <x:v>0</x:v>
      </x:c>
      <x:c r="N1055" s="37" t="n">
        <x:v>0</x:v>
      </x:c>
      <x:c r="O1055" s="37" t="n">
        <x:v>197.2833231536206</x:v>
      </x:c>
      <x:c r="P1055" s="37" t="n">
        <x:v>0</x:v>
      </x:c>
      <x:c r="Q1055" s="37" t="n">
        <x:v>0</x:v>
      </x:c>
      <x:c r="R1055" s="37" t="n">
        <x:v>0</x:v>
      </x:c>
      <x:c r="S1055" s="37" t="n">
        <x:v>0</x:v>
      </x:c>
      <x:c r="T1055" s="37" t="n">
        <x:v>0</x:v>
      </x:c>
      <x:c r="U1055" s="37" t="n">
        <x:v>0</x:v>
      </x:c>
      <x:c r="V1055" s="37" t="n">
        <x:v>0</x:v>
      </x:c>
      <x:c r="W1055" s="37" t="n">
        <x:v>1314.6098088398576</x:v>
      </x:c>
      <x:c r="X1055" s="37" t="n">
        <x:v>0</x:v>
      </x:c>
      <x:c r="Y1055" s="37" t="n">
        <x:v>1042.869342122179</x:v>
      </x:c>
      <x:c r="Z1055" s="37" t="n">
        <x:v>0</x:v>
      </x:c>
      <x:c r="AA1055" s="37" t="n">
        <x:v>0</x:v>
      </x:c>
      <x:c r="AB1055" s="37" t="n">
        <x:v>0</x:v>
      </x:c>
      <x:c r="AC1055" s="37" t="n">
        <x:v>1200271.7404667176</x:v>
      </x:c>
      <x:c r="AD1055" s="37" t="n">
        <x:v>0</x:v>
      </x:c>
      <x:c r="AE1055" s="37" t="n">
        <x:v>0</x:v>
      </x:c>
      <x:c r="AF1055" s="47" t="b">
        <x:v>0</x:v>
      </x:c>
      <x:c r="AG1055" s="47" t="b">
        <x:v>0</x:v>
      </x:c>
      <x:c r="AH1055" s="48" t="n">
        <x:v>0</x:v>
      </x:c>
      <x:c r="AI1055" s="48" t="n">
        <x:v>1.1920928955078125e-7</x:v>
      </x:c>
      <x:c r="AJ1055" s="37" t="str">
        <x:v>passed</x:v>
      </x:c>
    </x:row>
    <x:row r="1056" ht="21" customHeight="1">
      <x:c r="A1056" s="2"/>
      <x:c r="B1056" s="2"/>
      <x:c r="C1056" s="2" t="str">
        <x:v>2023</x:v>
      </x:c>
      <x:c r="D1056" s="5" t="n">
        <x:v>44949</x:v>
      </x:c>
      <x:c r="E1056" s="2" t="str">
        <x:v>duration</x:v>
      </x:c>
      <x:c r="F1056" s="37" t="n">
        <x:v>7814151.6064246595</x:v>
      </x:c>
      <x:c r="G1056" s="37" t="n">
        <x:v>3827430.828371591</x:v>
      </x:c>
      <x:c r="H1056" s="37" t="n">
        <x:v>23863.969296608753</x:v>
      </x:c>
      <x:c r="I1056" s="37" t="n">
        <x:v>3803566.8590749823</x:v>
      </x:c>
      <x:c r="J1056" s="37" t="n">
        <x:v>10615611.90383928</x:v>
      </x:c>
      <x:c r="K1056" s="37" t="n">
        <x:v>6788181.075467691</x:v>
      </x:c>
      <x:c r="L1056" s="37" t="n">
        <x:v>11641582.434796251</x:v>
      </x:c>
      <x:c r="M1056" s="37" t="n">
        <x:v>0</x:v>
      </x:c>
      <x:c r="N1056" s="37" t="n">
        <x:v>0</x:v>
      </x:c>
      <x:c r="O1056" s="37" t="n">
        <x:v>1284.3773160418496</x:v>
      </x:c>
      <x:c r="P1056" s="37" t="n">
        <x:v>0</x:v>
      </x:c>
      <x:c r="Q1056" s="37" t="n">
        <x:v>0</x:v>
      </x:c>
      <x:c r="R1056" s="37" t="n">
        <x:v>0</x:v>
      </x:c>
      <x:c r="S1056" s="37" t="n">
        <x:v>0</x:v>
      </x:c>
      <x:c r="T1056" s="37" t="n">
        <x:v>0</x:v>
      </x:c>
      <x:c r="U1056" s="37" t="n">
        <x:v>0</x:v>
      </x:c>
      <x:c r="V1056" s="37" t="n">
        <x:v>0</x:v>
      </x:c>
      <x:c r="W1056" s="37" t="n">
        <x:v>8558.528875780292</x:v>
      </x:c>
      <x:c r="X1056" s="37" t="n">
        <x:v>0</x:v>
      </x:c>
      <x:c r="Y1056" s="37" t="n">
        <x:v>1703.5990097780445</x:v>
      </x:c>
      <x:c r="Z1056" s="37" t="n">
        <x:v>6923944.696977044</x:v>
      </x:c>
      <x:c r="AA1056" s="37" t="n">
        <x:v>0</x:v>
      </x:c>
      <x:c r="AB1056" s="37" t="n">
        <x:v>6923944.696977044</x:v>
      </x:c>
      <x:c r="AC1056" s="37" t="n">
        <x:v>890206.909447615</x:v>
      </x:c>
      <x:c r="AD1056" s="37" t="n">
        <x:v>0</x:v>
      </x:c>
      <x:c r="AE1056" s="37" t="n">
        <x:v>0</x:v>
      </x:c>
      <x:c r="AF1056" s="47" t="b">
        <x:v>0</x:v>
      </x:c>
      <x:c r="AG1056" s="47" t="b">
        <x:v>0</x:v>
      </x:c>
      <x:c r="AH1056" s="48" t="n">
        <x:v>0</x:v>
      </x:c>
      <x:c r="AI1056" s="48" t="n">
        <x:v>5.960464477539063e-8</x:v>
      </x:c>
      <x:c r="AJ1056" s="37" t="str">
        <x:v>passed</x:v>
      </x:c>
    </x:row>
    <x:row r="1057" ht="21" customHeight="1">
      <x:c r="A1057" s="2"/>
      <x:c r="B1057" s="2"/>
      <x:c r="C1057" s="2" t="str">
        <x:v>2023</x:v>
      </x:c>
      <x:c r="D1057" s="5" t="n">
        <x:v>44949</x:v>
      </x:c>
      <x:c r="E1057" s="2" t="str">
        <x:v>unweighted</x:v>
      </x:c>
      <x:c r="F1057" s="37" t="n">
        <x:v>10852782.331889952</x:v>
      </x:c>
      <x:c r="G1057" s="37" t="n">
        <x:v>793191.4937174995</x:v>
      </x:c>
      <x:c r="H1057" s="37" t="n">
        <x:v>21884.101493459704</x:v>
      </x:c>
      <x:c r="I1057" s="37" t="n">
        <x:v>771307.3922240399</x:v>
      </x:c>
      <x:c r="J1057" s="37" t="n">
        <x:v>10654104.307714988</x:v>
      </x:c>
      <x:c r="K1057" s="37" t="n">
        <x:v>9860912.813997487</x:v>
      </x:c>
      <x:c r="L1057" s="37" t="n">
        <x:v>11645973.82560745</x:v>
      </x:c>
      <x:c r="M1057" s="37" t="n">
        <x:v>0</x:v>
      </x:c>
      <x:c r="N1057" s="37" t="n">
        <x:v>0</x:v>
      </x:c>
      <x:c r="O1057" s="37" t="n">
        <x:v>1783.8235223833472</x:v>
      </x:c>
      <x:c r="P1057" s="37" t="n">
        <x:v>0</x:v>
      </x:c>
      <x:c r="Q1057" s="37" t="n">
        <x:v>0</x:v>
      </x:c>
      <x:c r="R1057" s="37" t="n">
        <x:v>0</x:v>
      </x:c>
      <x:c r="S1057" s="37" t="n">
        <x:v>0</x:v>
      </x:c>
      <x:c r="T1057" s="37" t="n">
        <x:v>0</x:v>
      </x:c>
      <x:c r="U1057" s="37" t="n">
        <x:v>0</x:v>
      </x:c>
      <x:c r="V1057" s="37" t="n">
        <x:v>0</x:v>
      </x:c>
      <x:c r="W1057" s="37" t="n">
        <x:v>11886.620025860146</x:v>
      </x:c>
      <x:c r="X1057" s="37" t="n">
        <x:v>0</x:v>
      </x:c>
      <x:c r="Y1057" s="37" t="n">
        <x:v>2014.5478098199433</x:v>
      </x:c>
      <x:c r="Z1057" s="37" t="n">
        <x:v>10058131.070277436</x:v>
      </x:c>
      <x:c r="AA1057" s="37" t="n">
        <x:v>0</x:v>
      </x:c>
      <x:c r="AB1057" s="37" t="n">
        <x:v>10058131.070277436</x:v>
      </x:c>
      <x:c r="AC1057" s="37" t="n">
        <x:v>794651.2616125159</x:v>
      </x:c>
      <x:c r="AD1057" s="37" t="n">
        <x:v>0</x:v>
      </x:c>
      <x:c r="AE1057" s="37" t="n">
        <x:v>0</x:v>
      </x:c>
      <x:c r="AF1057" s="47" t="b">
        <x:v>0</x:v>
      </x:c>
      <x:c r="AG1057" s="47" t="b">
        <x:v>0</x:v>
      </x:c>
      <x:c r="AH1057" s="48" t="n">
        <x:v>0</x:v>
      </x:c>
      <x:c r="AI1057" s="48" t="n">
        <x:v>1.1920928955078125e-7</x:v>
      </x:c>
      <x:c r="AJ1057" s="37" t="str">
        <x:v>passed</x:v>
      </x:c>
    </x:row>
    <x:row r="1058" ht="21" customHeight="1">
      <x:c r="A1058" s="2"/>
      <x:c r="B1058" s="2"/>
      <x:c r="C1058" s="2" t="str">
        <x:v>2023</x:v>
      </x:c>
      <x:c r="D1058" s="5" t="n">
        <x:v>44949</x:v>
      </x:c>
      <x:c r="E1058" s="2" t="str">
        <x:v>constrained</x:v>
      </x:c>
      <x:c r="F1058" s="37" t="n">
        <x:v>11616303.292822897</x:v>
      </x:c>
      <x:c r="G1058" s="37" t="n">
        <x:v>24061.13831378</x:v>
      </x:c>
      <x:c r="H1058" s="37" t="n">
        <x:v>20827.896102079692</x:v>
      </x:c>
      <x:c r="I1058" s="37" t="n">
        <x:v>3233.242211700308</x:v>
      </x:c>
      <x:c r="J1058" s="37" t="n">
        <x:v>10662943.962332536</x:v>
      </x:c>
      <x:c r="K1058" s="37" t="n">
        <x:v>10638882.824018756</x:v>
      </x:c>
      <x:c r="L1058" s="37" t="n">
        <x:v>11640364.431136677</x:v>
      </x:c>
      <x:c r="M1058" s="37" t="n">
        <x:v>0</x:v>
      </x:c>
      <x:c r="N1058" s="37" t="n">
        <x:v>0</x:v>
      </x:c>
      <x:c r="O1058" s="37" t="n">
        <x:v>1909.3200640361756</x:v>
      </x:c>
      <x:c r="P1058" s="37" t="n">
        <x:v>0</x:v>
      </x:c>
      <x:c r="Q1058" s="37" t="n">
        <x:v>0</x:v>
      </x:c>
      <x:c r="R1058" s="37" t="n">
        <x:v>0</x:v>
      </x:c>
      <x:c r="S1058" s="37" t="n">
        <x:v>0</x:v>
      </x:c>
      <x:c r="T1058" s="37" t="n">
        <x:v>0</x:v>
      </x:c>
      <x:c r="U1058" s="37" t="n">
        <x:v>0</x:v>
      </x:c>
      <x:c r="V1058" s="37" t="n">
        <x:v>0</x:v>
      </x:c>
      <x:c r="W1058" s="37" t="n">
        <x:v>12722.874109545723</x:v>
      </x:c>
      <x:c r="X1058" s="37" t="n">
        <x:v>0</x:v>
      </x:c>
      <x:c r="Y1058" s="37" t="n">
        <x:v>2092.5222478280225</x:v>
      </x:c>
      <x:c r="Z1058" s="37" t="n">
        <x:v>10851660.480499132</x:v>
      </x:c>
      <x:c r="AA1058" s="37" t="n">
        <x:v>0</x:v>
      </x:c>
      <x:c r="AB1058" s="37" t="n">
        <x:v>10851660.480499132</x:v>
      </x:c>
      <x:c r="AC1058" s="37" t="n">
        <x:v>764642.8123237658</x:v>
      </x:c>
      <x:c r="AD1058" s="37" t="n">
        <x:v>0</x:v>
      </x:c>
      <x:c r="AE1058" s="37" t="n">
        <x:v>0</x:v>
      </x:c>
      <x:c r="AF1058" s="47" t="b">
        <x:v>0</x:v>
      </x:c>
      <x:c r="AG1058" s="47" t="b">
        <x:v>0</x:v>
      </x:c>
      <x:c r="AH1058" s="48" t="n">
        <x:v>0</x:v>
      </x:c>
      <x:c r="AI1058" s="48" t="n">
        <x:v>1.1920928955078125e-7</x:v>
      </x:c>
      <x:c r="AJ1058" s="37" t="str">
        <x:v>passed</x:v>
      </x:c>
    </x:row>
    <x:row r="1059" ht="21" customHeight="1">
      <x:c r="A1059" s="2"/>
      <x:c r="B1059" s="2"/>
      <x:c r="C1059" s="2" t="str">
        <x:v>2023</x:v>
      </x:c>
      <x:c r="D1059" s="5" t="n">
        <x:v>44950</x:v>
      </x:c>
      <x:c r="E1059" s="2" t="str">
        <x:v>unhedged</x:v>
      </x:c>
      <x:c r="F1059" s="37" t="n">
        <x:v>1200337.5087812638</x:v>
      </x:c>
      <x:c r="G1059" s="37" t="n">
        <x:v>10642216.535435472</x:v>
      </x:c>
      <x:c r="H1059" s="37" t="n">
        <x:v>45343.65241412443</x:v>
      </x:c>
      <x:c r="I1059" s="37" t="n">
        <x:v>10596872.883021347</x:v>
      </x:c>
      <x:c r="J1059" s="37" t="n">
        <x:v>10642216.535435472</x:v>
      </x:c>
      <x:c r="K1059" s="37" t="n">
        <x:v>0</x:v>
      </x:c>
      <x:c r="L1059" s="37" t="n">
        <x:v>11842554.044216735</x:v>
      </x:c>
      <x:c r="M1059" s="37" t="n">
        <x:v>0</x:v>
      </x:c>
      <x:c r="N1059" s="37" t="n">
        <x:v>0</x:v>
      </x:c>
      <x:c r="O1059" s="37" t="n">
        <x:v>65.76831454620697</x:v>
      </x:c>
      <x:c r="P1059" s="37" t="n">
        <x:v>0</x:v>
      </x:c>
      <x:c r="Q1059" s="37" t="n">
        <x:v>0</x:v>
      </x:c>
      <x:c r="R1059" s="37" t="n">
        <x:v>0</x:v>
      </x:c>
      <x:c r="S1059" s="37" t="n">
        <x:v>0</x:v>
      </x:c>
      <x:c r="T1059" s="37" t="n">
        <x:v>0</x:v>
      </x:c>
      <x:c r="U1059" s="37" t="n">
        <x:v>0</x:v>
      </x:c>
      <x:c r="V1059" s="37" t="n">
        <x:v>0</x:v>
      </x:c>
      <x:c r="W1059" s="37" t="n">
        <x:v>1380.3781233860645</x:v>
      </x:c>
      <x:c r="X1059" s="37" t="n">
        <x:v>0</x:v>
      </x:c>
      <x:c r="Y1059" s="37" t="n">
        <x:v>1042.869342122179</x:v>
      </x:c>
      <x:c r="Z1059" s="37" t="n">
        <x:v>0</x:v>
      </x:c>
      <x:c r="AA1059" s="37" t="n">
        <x:v>0</x:v>
      </x:c>
      <x:c r="AB1059" s="37" t="n">
        <x:v>0</x:v>
      </x:c>
      <x:c r="AC1059" s="37" t="n">
        <x:v>1200337.5087812638</x:v>
      </x:c>
      <x:c r="AD1059" s="37" t="n">
        <x:v>0</x:v>
      </x:c>
      <x:c r="AE1059" s="37" t="n">
        <x:v>0</x:v>
      </x:c>
      <x:c r="AF1059" s="47" t="b">
        <x:v>0</x:v>
      </x:c>
      <x:c r="AG1059" s="47" t="b">
        <x:v>0</x:v>
      </x:c>
      <x:c r="AH1059" s="48" t="n">
        <x:v>0</x:v>
      </x:c>
      <x:c r="AI1059" s="48" t="n">
        <x:v>1.1920928955078125e-7</x:v>
      </x:c>
      <x:c r="AJ1059" s="37" t="str">
        <x:v>passed</x:v>
      </x:c>
    </x:row>
    <x:row r="1060" ht="21" customHeight="1">
      <x:c r="A1060" s="2"/>
      <x:c r="B1060" s="2"/>
      <x:c r="C1060" s="2" t="str">
        <x:v>2023</x:v>
      </x:c>
      <x:c r="D1060" s="5" t="n">
        <x:v>44950</x:v>
      </x:c>
      <x:c r="E1060" s="2" t="str">
        <x:v>duration</x:v>
      </x:c>
      <x:c r="F1060" s="37" t="n">
        <x:v>7814579.779115424</x:v>
      </x:c>
      <x:c r="G1060" s="37" t="n">
        <x:v>3823688.440781675</x:v>
      </x:c>
      <x:c r="H1060" s="37" t="n">
        <x:v>23906.557049245966</x:v>
      </x:c>
      <x:c r="I1060" s="37" t="n">
        <x:v>3799781.883732429</x:v>
      </x:c>
      <x:c r="J1060" s="37" t="n">
        <x:v>10642216.535435472</x:v>
      </x:c>
      <x:c r="K1060" s="37" t="n">
        <x:v>6818528.094653797</x:v>
      </x:c>
      <x:c r="L1060" s="37" t="n">
        <x:v>11638268.219897099</x:v>
      </x:c>
      <x:c r="M1060" s="37" t="n">
        <x:v>0</x:v>
      </x:c>
      <x:c r="N1060" s="37" t="n">
        <x:v>0</x:v>
      </x:c>
      <x:c r="O1060" s="37" t="n">
        <x:v>428.17269076406956</x:v>
      </x:c>
      <x:c r="P1060" s="37" t="n">
        <x:v>0</x:v>
      </x:c>
      <x:c r="Q1060" s="37" t="n">
        <x:v>0</x:v>
      </x:c>
      <x:c r="R1060" s="37" t="n">
        <x:v>0</x:v>
      </x:c>
      <x:c r="S1060" s="37" t="n">
        <x:v>0</x:v>
      </x:c>
      <x:c r="T1060" s="37" t="n">
        <x:v>0</x:v>
      </x:c>
      <x:c r="U1060" s="37" t="n">
        <x:v>0</x:v>
      </x:c>
      <x:c r="V1060" s="37" t="n">
        <x:v>0</x:v>
      </x:c>
      <x:c r="W1060" s="37" t="n">
        <x:v>8986.701566544361</x:v>
      </x:c>
      <x:c r="X1060" s="37" t="n">
        <x:v>0</x:v>
      </x:c>
      <x:c r="Y1060" s="37" t="n">
        <x:v>1703.5990097780445</x:v>
      </x:c>
      <x:c r="Z1060" s="37" t="n">
        <x:v>6954898.656546873</x:v>
      </x:c>
      <x:c r="AA1060" s="37" t="n">
        <x:v>0</x:v>
      </x:c>
      <x:c r="AB1060" s="37" t="n">
        <x:v>6954898.656546873</x:v>
      </x:c>
      <x:c r="AC1060" s="37" t="n">
        <x:v>859681.1225685505</x:v>
      </x:c>
      <x:c r="AD1060" s="37" t="n">
        <x:v>0</x:v>
      </x:c>
      <x:c r="AE1060" s="37" t="n">
        <x:v>0</x:v>
      </x:c>
      <x:c r="AF1060" s="47" t="b">
        <x:v>0</x:v>
      </x:c>
      <x:c r="AG1060" s="47" t="b">
        <x:v>0</x:v>
      </x:c>
      <x:c r="AH1060" s="48" t="n">
        <x:v>0</x:v>
      </x:c>
      <x:c r="AI1060" s="48" t="n">
        <x:v>5.960464477539063e-8</x:v>
      </x:c>
      <x:c r="AJ1060" s="37" t="str">
        <x:v>passed</x:v>
      </x:c>
    </x:row>
    <x:row r="1061" ht="21" customHeight="1">
      <x:c r="A1061" s="2"/>
      <x:c r="B1061" s="2"/>
      <x:c r="C1061" s="2" t="str">
        <x:v>2023</x:v>
      </x:c>
      <x:c r="D1061" s="5" t="n">
        <x:v>44950</x:v>
      </x:c>
      <x:c r="E1061" s="2" t="str">
        <x:v>unweighted</x:v>
      </x:c>
      <x:c r="F1061" s="37" t="n">
        <x:v>10853377.004894441</x:v>
      </x:c>
      <x:c r="G1061" s="37" t="n">
        <x:v>793893.7390314138</x:v>
      </x:c>
      <x:c r="H1061" s="37" t="n">
        <x:v>21863.924552774206</x:v>
      </x:c>
      <x:c r="I1061" s="37" t="n">
        <x:v>772029.8144786396</x:v>
      </x:c>
      <x:c r="J1061" s="37" t="n">
        <x:v>10681129.107627403</x:v>
      </x:c>
      <x:c r="K1061" s="37" t="n">
        <x:v>9887235.36859599</x:v>
      </x:c>
      <x:c r="L1061" s="37" t="n">
        <x:v>11647270.743925855</x:v>
      </x:c>
      <x:c r="M1061" s="37" t="n">
        <x:v>0</x:v>
      </x:c>
      <x:c r="N1061" s="37" t="n">
        <x:v>0</x:v>
      </x:c>
      <x:c r="O1061" s="37" t="n">
        <x:v>594.673004489392</x:v>
      </x:c>
      <x:c r="P1061" s="37" t="n">
        <x:v>0</x:v>
      </x:c>
      <x:c r="Q1061" s="37" t="n">
        <x:v>0</x:v>
      </x:c>
      <x:c r="R1061" s="37" t="n">
        <x:v>0</x:v>
      </x:c>
      <x:c r="S1061" s="37" t="n">
        <x:v>0</x:v>
      </x:c>
      <x:c r="T1061" s="37" t="n">
        <x:v>0</x:v>
      </x:c>
      <x:c r="U1061" s="37" t="n">
        <x:v>0</x:v>
      </x:c>
      <x:c r="V1061" s="37" t="n">
        <x:v>0</x:v>
      </x:c>
      <x:c r="W1061" s="37" t="n">
        <x:v>12481.293030349538</x:v>
      </x:c>
      <x:c r="X1061" s="37" t="n">
        <x:v>0</x:v>
      </x:c>
      <x:c r="Y1061" s="37" t="n">
        <x:v>2014.5478098199433</x:v>
      </x:c>
      <x:c r="Z1061" s="37" t="n">
        <x:v>10084980.07596791</x:v>
      </x:c>
      <x:c r="AA1061" s="37" t="n">
        <x:v>0</x:v>
      </x:c>
      <x:c r="AB1061" s="37" t="n">
        <x:v>10084980.07596791</x:v>
      </x:c>
      <x:c r="AC1061" s="37" t="n">
        <x:v>768396.9289265312</x:v>
      </x:c>
      <x:c r="AD1061" s="37" t="n">
        <x:v>0</x:v>
      </x:c>
      <x:c r="AE1061" s="37" t="n">
        <x:v>0</x:v>
      </x:c>
      <x:c r="AF1061" s="47" t="b">
        <x:v>0</x:v>
      </x:c>
      <x:c r="AG1061" s="47" t="b">
        <x:v>0</x:v>
      </x:c>
      <x:c r="AH1061" s="48" t="n">
        <x:v>0</x:v>
      </x:c>
      <x:c r="AI1061" s="48" t="n">
        <x:v>1.1920928955078125e-7</x:v>
      </x:c>
      <x:c r="AJ1061" s="37" t="str">
        <x:v>passed</x:v>
      </x:c>
    </x:row>
    <x:row r="1062" ht="21" customHeight="1">
      <x:c r="A1062" s="2"/>
      <x:c r="B1062" s="2"/>
      <x:c r="C1062" s="2" t="str">
        <x:v>2023</x:v>
      </x:c>
      <x:c r="D1062" s="5" t="n">
        <x:v>44950</x:v>
      </x:c>
      <x:c r="E1062" s="2" t="str">
        <x:v>constrained</x:v>
      </x:c>
      <x:c r="F1062" s="37" t="n">
        <x:v>11616939.802592369</x:v>
      </x:c>
      <x:c r="G1062" s="37" t="n">
        <x:v>24053.612837508874</x:v>
      </x:c>
      <x:c r="H1062" s="37" t="n">
        <x:v>20788.899447520336</x:v>
      </x:c>
      <x:c r="I1062" s="37" t="n">
        <x:v>3264.7133899885375</x:v>
      </x:c>
      <x:c r="J1062" s="37" t="n">
        <x:v>10690062.570926758</x:v>
      </x:c>
      <x:c r="K1062" s="37" t="n">
        <x:v>10666008.95808925</x:v>
      </x:c>
      <x:c r="L1062" s="37" t="n">
        <x:v>11640993.415429877</x:v>
      </x:c>
      <x:c r="M1062" s="37" t="n">
        <x:v>0</x:v>
      </x:c>
      <x:c r="N1062" s="37" t="n">
        <x:v>0</x:v>
      </x:c>
      <x:c r="O1062" s="37" t="n">
        <x:v>636.5097694713622</x:v>
      </x:c>
      <x:c r="P1062" s="37" t="n">
        <x:v>0</x:v>
      </x:c>
      <x:c r="Q1062" s="37" t="n">
        <x:v>0</x:v>
      </x:c>
      <x:c r="R1062" s="37" t="n">
        <x:v>0</x:v>
      </x:c>
      <x:c r="S1062" s="37" t="n">
        <x:v>0</x:v>
      </x:c>
      <x:c r="T1062" s="37" t="n">
        <x:v>0</x:v>
      </x:c>
      <x:c r="U1062" s="37" t="n">
        <x:v>0</x:v>
      </x:c>
      <x:c r="V1062" s="37" t="n">
        <x:v>0</x:v>
      </x:c>
      <x:c r="W1062" s="37" t="n">
        <x:v>13359.383879017085</x:v>
      </x:c>
      <x:c r="X1062" s="37" t="n">
        <x:v>0</x:v>
      </x:c>
      <x:c r="Y1062" s="37" t="n">
        <x:v>2092.5222478280225</x:v>
      </x:c>
      <x:c r="Z1062" s="37" t="n">
        <x:v>10879329.137251034</x:v>
      </x:c>
      <x:c r="AA1062" s="37" t="n">
        <x:v>0</x:v>
      </x:c>
      <x:c r="AB1062" s="37" t="n">
        <x:v>10879329.137251034</x:v>
      </x:c>
      <x:c r="AC1062" s="37" t="n">
        <x:v>737610.6653413344</x:v>
      </x:c>
      <x:c r="AD1062" s="37" t="n">
        <x:v>0</x:v>
      </x:c>
      <x:c r="AE1062" s="37" t="n">
        <x:v>0</x:v>
      </x:c>
      <x:c r="AF1062" s="47" t="b">
        <x:v>0</x:v>
      </x:c>
      <x:c r="AG1062" s="47" t="b">
        <x:v>0</x:v>
      </x:c>
      <x:c r="AH1062" s="48" t="n">
        <x:v>0</x:v>
      </x:c>
      <x:c r="AI1062" s="48" t="n">
        <x:v>1.1920928955078125e-7</x:v>
      </x:c>
      <x:c r="AJ1062" s="37" t="str">
        <x:v>passed</x:v>
      </x:c>
    </x:row>
    <x:row r="1063" ht="21" customHeight="1">
      <x:c r="A1063" s="2"/>
      <x:c r="B1063" s="2"/>
      <x:c r="C1063" s="2" t="str">
        <x:v>2023</x:v>
      </x:c>
      <x:c r="D1063" s="5" t="n">
        <x:v>44951</x:v>
      </x:c>
      <x:c r="E1063" s="2" t="str">
        <x:v>unhedged</x:v>
      </x:c>
      <x:c r="F1063" s="37" t="n">
        <x:v>1200403.2806995532</x:v>
      </x:c>
      <x:c r="G1063" s="37" t="n">
        <x:v>10647743.766378496</x:v>
      </x:c>
      <x:c r="H1063" s="37" t="n">
        <x:v>45692.4843862599</x:v>
      </x:c>
      <x:c r="I1063" s="37" t="n">
        <x:v>10602051.281992236</x:v>
      </x:c>
      <x:c r="J1063" s="37" t="n">
        <x:v>10647743.766378496</x:v>
      </x:c>
      <x:c r="K1063" s="37" t="n">
        <x:v>0</x:v>
      </x:c>
      <x:c r="L1063" s="37" t="n">
        <x:v>11848147.047078049</x:v>
      </x:c>
      <x:c r="M1063" s="37" t="n">
        <x:v>0</x:v>
      </x:c>
      <x:c r="N1063" s="37" t="n">
        <x:v>0</x:v>
      </x:c>
      <x:c r="O1063" s="37" t="n">
        <x:v>65.77191828936338</x:v>
      </x:c>
      <x:c r="P1063" s="37" t="n">
        <x:v>0</x:v>
      </x:c>
      <x:c r="Q1063" s="37" t="n">
        <x:v>0</x:v>
      </x:c>
      <x:c r="R1063" s="37" t="n">
        <x:v>0</x:v>
      </x:c>
      <x:c r="S1063" s="37" t="n">
        <x:v>0</x:v>
      </x:c>
      <x:c r="T1063" s="37" t="n">
        <x:v>0</x:v>
      </x:c>
      <x:c r="U1063" s="37" t="n">
        <x:v>0</x:v>
      </x:c>
      <x:c r="V1063" s="37" t="n">
        <x:v>0</x:v>
      </x:c>
      <x:c r="W1063" s="37" t="n">
        <x:v>1446.150041675428</x:v>
      </x:c>
      <x:c r="X1063" s="37" t="n">
        <x:v>0</x:v>
      </x:c>
      <x:c r="Y1063" s="37" t="n">
        <x:v>1042.869342122179</x:v>
      </x:c>
      <x:c r="Z1063" s="37" t="n">
        <x:v>0</x:v>
      </x:c>
      <x:c r="AA1063" s="37" t="n">
        <x:v>0</x:v>
      </x:c>
      <x:c r="AB1063" s="37" t="n">
        <x:v>0</x:v>
      </x:c>
      <x:c r="AC1063" s="37" t="n">
        <x:v>1200403.2806995532</x:v>
      </x:c>
      <x:c r="AD1063" s="37" t="n">
        <x:v>0</x:v>
      </x:c>
      <x:c r="AE1063" s="37" t="n">
        <x:v>0</x:v>
      </x:c>
      <x:c r="AF1063" s="47" t="b">
        <x:v>0</x:v>
      </x:c>
      <x:c r="AG1063" s="47" t="b">
        <x:v>0</x:v>
      </x:c>
      <x:c r="AH1063" s="48" t="n">
        <x:v>0</x:v>
      </x:c>
      <x:c r="AI1063" s="48" t="n">
        <x:v>1.1920928955078125e-7</x:v>
      </x:c>
      <x:c r="AJ1063" s="37" t="str">
        <x:v>passed</x:v>
      </x:c>
    </x:row>
    <x:row r="1064" ht="21" customHeight="1">
      <x:c r="A1064" s="2"/>
      <x:c r="B1064" s="2"/>
      <x:c r="C1064" s="2" t="str">
        <x:v>2023</x:v>
      </x:c>
      <x:c r="D1064" s="5" t="n">
        <x:v>44951</x:v>
      </x:c>
      <x:c r="E1064" s="2" t="str">
        <x:v>duration</x:v>
      </x:c>
      <x:c r="F1064" s="37" t="n">
        <x:v>7815007.975267704</x:v>
      </x:c>
      <x:c r="G1064" s="37" t="n">
        <x:v>3826238.5559002757</x:v>
      </x:c>
      <x:c r="H1064" s="37" t="n">
        <x:v>23949.144801883176</x:v>
      </x:c>
      <x:c r="I1064" s="37" t="n">
        <x:v>3802289.4110983927</x:v>
      </x:c>
      <x:c r="J1064" s="37" t="n">
        <x:v>10647743.766378496</x:v>
      </x:c>
      <x:c r="K1064" s="37" t="n">
        <x:v>6821505.210478219</x:v>
      </x:c>
      <x:c r="L1064" s="37" t="n">
        <x:v>11641246.53116798</x:v>
      </x:c>
      <x:c r="M1064" s="37" t="n">
        <x:v>0</x:v>
      </x:c>
      <x:c r="N1064" s="37" t="n">
        <x:v>0</x:v>
      </x:c>
      <x:c r="O1064" s="37" t="n">
        <x:v>428.1961522800848</x:v>
      </x:c>
      <x:c r="P1064" s="37" t="n">
        <x:v>0</x:v>
      </x:c>
      <x:c r="Q1064" s="37" t="n">
        <x:v>0</x:v>
      </x:c>
      <x:c r="R1064" s="37" t="n">
        <x:v>0</x:v>
      </x:c>
      <x:c r="S1064" s="37" t="n">
        <x:v>0</x:v>
      </x:c>
      <x:c r="T1064" s="37" t="n">
        <x:v>0</x:v>
      </x:c>
      <x:c r="U1064" s="37" t="n">
        <x:v>0</x:v>
      </x:c>
      <x:c r="V1064" s="37" t="n">
        <x:v>0</x:v>
      </x:c>
      <x:c r="W1064" s="37" t="n">
        <x:v>9414.897718824446</x:v>
      </x:c>
      <x:c r="X1064" s="37" t="n">
        <x:v>0</x:v>
      </x:c>
      <x:c r="Y1064" s="37" t="n">
        <x:v>1703.5990097780445</x:v>
      </x:c>
      <x:c r="Z1064" s="37" t="n">
        <x:v>6957935.314687784</x:v>
      </x:c>
      <x:c r="AA1064" s="37" t="n">
        <x:v>0</x:v>
      </x:c>
      <x:c r="AB1064" s="37" t="n">
        <x:v>6957935.314687784</x:v>
      </x:c>
      <x:c r="AC1064" s="37" t="n">
        <x:v>857072.6605799198</x:v>
      </x:c>
      <x:c r="AD1064" s="37" t="n">
        <x:v>0</x:v>
      </x:c>
      <x:c r="AE1064" s="37" t="n">
        <x:v>0</x:v>
      </x:c>
      <x:c r="AF1064" s="47" t="b">
        <x:v>0</x:v>
      </x:c>
      <x:c r="AG1064" s="47" t="b">
        <x:v>0</x:v>
      </x:c>
      <x:c r="AH1064" s="48" t="n">
        <x:v>0</x:v>
      </x:c>
      <x:c r="AI1064" s="48" t="n">
        <x:v>5.960464477539063e-8</x:v>
      </x:c>
      <x:c r="AJ1064" s="37" t="str">
        <x:v>passed</x:v>
      </x:c>
    </x:row>
    <x:row r="1065" ht="21" customHeight="1">
      <x:c r="A1065" s="2"/>
      <x:c r="B1065" s="2"/>
      <x:c r="C1065" s="2" t="str">
        <x:v>2023</x:v>
      </x:c>
      <x:c r="D1065" s="5" t="n">
        <x:v>44951</x:v>
      </x:c>
      <x:c r="E1065" s="2" t="str">
        <x:v>unweighted</x:v>
      </x:c>
      <x:c r="F1065" s="37" t="n">
        <x:v>10853971.71048375</x:v>
      </x:c>
      <x:c r="G1065" s="37" t="n">
        <x:v>794236.5836895573</x:v>
      </x:c>
      <x:c r="H1065" s="37" t="n">
        <x:v>21843.7476120887</x:v>
      </x:c>
      <x:c r="I1065" s="37" t="n">
        <x:v>772392.8360774686</x:v>
      </x:c>
      <x:c r="J1065" s="37" t="n">
        <x:v>10686619.599450026</x:v>
      </x:c>
      <x:c r="K1065" s="37" t="n">
        <x:v>9892383.015760468</x:v>
      </x:c>
      <x:c r="L1065" s="37" t="n">
        <x:v>11648208.294173308</x:v>
      </x:c>
      <x:c r="M1065" s="37" t="n">
        <x:v>0</x:v>
      </x:c>
      <x:c r="N1065" s="37" t="n">
        <x:v>0</x:v>
      </x:c>
      <x:c r="O1065" s="37" t="n">
        <x:v>594.7055893093348</x:v>
      </x:c>
      <x:c r="P1065" s="37" t="n">
        <x:v>0</x:v>
      </x:c>
      <x:c r="Q1065" s="37" t="n">
        <x:v>0</x:v>
      </x:c>
      <x:c r="R1065" s="37" t="n">
        <x:v>0</x:v>
      </x:c>
      <x:c r="S1065" s="37" t="n">
        <x:v>0</x:v>
      </x:c>
      <x:c r="T1065" s="37" t="n">
        <x:v>0</x:v>
      </x:c>
      <x:c r="U1065" s="37" t="n">
        <x:v>0</x:v>
      </x:c>
      <x:c r="V1065" s="37" t="n">
        <x:v>0</x:v>
      </x:c>
      <x:c r="W1065" s="37" t="n">
        <x:v>13075.998619658872</x:v>
      </x:c>
      <x:c r="X1065" s="37" t="n">
        <x:v>0</x:v>
      </x:c>
      <x:c r="Y1065" s="37" t="n">
        <x:v>2014.5478098199433</x:v>
      </x:c>
      <x:c r="Z1065" s="37" t="n">
        <x:v>10090230.676075678</x:v>
      </x:c>
      <x:c r="AA1065" s="37" t="n">
        <x:v>0</x:v>
      </x:c>
      <x:c r="AB1065" s="37" t="n">
        <x:v>10090230.676075678</x:v>
      </x:c>
      <x:c r="AC1065" s="37" t="n">
        <x:v>763741.034408072</x:v>
      </x:c>
      <x:c r="AD1065" s="37" t="n">
        <x:v>0</x:v>
      </x:c>
      <x:c r="AE1065" s="37" t="n">
        <x:v>0</x:v>
      </x:c>
      <x:c r="AF1065" s="47" t="b">
        <x:v>0</x:v>
      </x:c>
      <x:c r="AG1065" s="47" t="b">
        <x:v>0</x:v>
      </x:c>
      <x:c r="AH1065" s="48" t="n">
        <x:v>0</x:v>
      </x:c>
      <x:c r="AI1065" s="48" t="n">
        <x:v>1.1920928955078125e-7</x:v>
      </x:c>
      <x:c r="AJ1065" s="37" t="str">
        <x:v>passed</x:v>
      </x:c>
    </x:row>
    <x:row r="1066" ht="21" customHeight="1">
      <x:c r="A1066" s="2"/>
      <x:c r="B1066" s="2"/>
      <x:c r="C1066" s="2" t="str">
        <x:v>2023</x:v>
      </x:c>
      <x:c r="D1066" s="5" t="n">
        <x:v>44951</x:v>
      </x:c>
      <x:c r="E1066" s="2" t="str">
        <x:v>constrained</x:v>
      </x:c>
      <x:c r="F1066" s="37" t="n">
        <x:v>11617576.347239086</x:v>
      </x:c>
      <x:c r="G1066" s="37" t="n">
        <x:v>24125.24275242111</x:v>
      </x:c>
      <x:c r="H1066" s="37" t="n">
        <x:v>20749.90279296097</x:v>
      </x:c>
      <x:c r="I1066" s="37" t="n">
        <x:v>3375.3399594601397</x:v>
      </x:c>
      <x:c r="J1066" s="37" t="n">
        <x:v>10695544.456805067</x:v>
      </x:c>
      <x:c r="K1066" s="37" t="n">
        <x:v>10671419.214052645</x:v>
      </x:c>
      <x:c r="L1066" s="37" t="n">
        <x:v>11641701.589991508</x:v>
      </x:c>
      <x:c r="M1066" s="37" t="n">
        <x:v>0</x:v>
      </x:c>
      <x:c r="N1066" s="37" t="n">
        <x:v>0</x:v>
      </x:c>
      <x:c r="O1066" s="37" t="n">
        <x:v>636.544646717608</x:v>
      </x:c>
      <x:c r="P1066" s="37" t="n">
        <x:v>0</x:v>
      </x:c>
      <x:c r="Q1066" s="37" t="n">
        <x:v>0</x:v>
      </x:c>
      <x:c r="R1066" s="37" t="n">
        <x:v>0</x:v>
      </x:c>
      <x:c r="S1066" s="37" t="n">
        <x:v>0</x:v>
      </x:c>
      <x:c r="T1066" s="37" t="n">
        <x:v>0</x:v>
      </x:c>
      <x:c r="U1066" s="37" t="n">
        <x:v>0</x:v>
      </x:c>
      <x:c r="V1066" s="37" t="n">
        <x:v>0</x:v>
      </x:c>
      <x:c r="W1066" s="37" t="n">
        <x:v>13995.928525734693</x:v>
      </x:c>
      <x:c r="X1066" s="37" t="n">
        <x:v>0</x:v>
      </x:c>
      <x:c r="Y1066" s="37" t="n">
        <x:v>2092.5222478280225</x:v>
      </x:c>
      <x:c r="Z1066" s="37" t="n">
        <x:v>10884847.598333698</x:v>
      </x:c>
      <x:c r="AA1066" s="37" t="n">
        <x:v>0</x:v>
      </x:c>
      <x:c r="AB1066" s="37" t="n">
        <x:v>10884847.598333698</x:v>
      </x:c>
      <x:c r="AC1066" s="37" t="n">
        <x:v>732728.7489053886</x:v>
      </x:c>
      <x:c r="AD1066" s="37" t="n">
        <x:v>0</x:v>
      </x:c>
      <x:c r="AE1066" s="37" t="n">
        <x:v>0</x:v>
      </x:c>
      <x:c r="AF1066" s="47" t="b">
        <x:v>0</x:v>
      </x:c>
      <x:c r="AG1066" s="47" t="b">
        <x:v>0</x:v>
      </x:c>
      <x:c r="AH1066" s="48" t="n">
        <x:v>0</x:v>
      </x:c>
      <x:c r="AI1066" s="48" t="n">
        <x:v>1.1920928955078125e-7</x:v>
      </x:c>
      <x:c r="AJ1066" s="37" t="str">
        <x:v>passed</x:v>
      </x:c>
    </x:row>
    <x:row r="1067" ht="21" customHeight="1">
      <x:c r="A1067" s="2"/>
      <x:c r="B1067" s="2"/>
      <x:c r="C1067" s="2" t="str">
        <x:v>2023</x:v>
      </x:c>
      <x:c r="D1067" s="5" t="n">
        <x:v>44952</x:v>
      </x:c>
      <x:c r="E1067" s="2" t="str">
        <x:v>unhedged</x:v>
      </x:c>
      <x:c r="F1067" s="37" t="n">
        <x:v>1200469.0562217836</x:v>
      </x:c>
      <x:c r="G1067" s="37" t="n">
        <x:v>10629108.21013266</x:v>
      </x:c>
      <x:c r="H1067" s="37" t="n">
        <x:v>46041.31635839539</x:v>
      </x:c>
      <x:c r="I1067" s="37" t="n">
        <x:v>10583066.893774265</x:v>
      </x:c>
      <x:c r="J1067" s="37" t="n">
        <x:v>10629108.21013266</x:v>
      </x:c>
      <x:c r="K1067" s="37" t="n">
        <x:v>0</x:v>
      </x:c>
      <x:c r="L1067" s="37" t="n">
        <x:v>11829577.266354444</x:v>
      </x:c>
      <x:c r="M1067" s="37" t="n">
        <x:v>0</x:v>
      </x:c>
      <x:c r="N1067" s="37" t="n">
        <x:v>0</x:v>
      </x:c>
      <x:c r="O1067" s="37" t="n">
        <x:v>65.77552223042585</x:v>
      </x:c>
      <x:c r="P1067" s="37" t="n">
        <x:v>0</x:v>
      </x:c>
      <x:c r="Q1067" s="37" t="n">
        <x:v>0</x:v>
      </x:c>
      <x:c r="R1067" s="37" t="n">
        <x:v>0</x:v>
      </x:c>
      <x:c r="S1067" s="37" t="n">
        <x:v>0</x:v>
      </x:c>
      <x:c r="T1067" s="37" t="n">
        <x:v>0</x:v>
      </x:c>
      <x:c r="U1067" s="37" t="n">
        <x:v>0</x:v>
      </x:c>
      <x:c r="V1067" s="37" t="n">
        <x:v>0</x:v>
      </x:c>
      <x:c r="W1067" s="37" t="n">
        <x:v>1511.9255639058538</x:v>
      </x:c>
      <x:c r="X1067" s="37" t="n">
        <x:v>0</x:v>
      </x:c>
      <x:c r="Y1067" s="37" t="n">
        <x:v>1042.869342122179</x:v>
      </x:c>
      <x:c r="Z1067" s="37" t="n">
        <x:v>0</x:v>
      </x:c>
      <x:c r="AA1067" s="37" t="n">
        <x:v>0</x:v>
      </x:c>
      <x:c r="AB1067" s="37" t="n">
        <x:v>0</x:v>
      </x:c>
      <x:c r="AC1067" s="37" t="n">
        <x:v>1200469.0562217836</x:v>
      </x:c>
      <x:c r="AD1067" s="37" t="n">
        <x:v>0</x:v>
      </x:c>
      <x:c r="AE1067" s="37" t="n">
        <x:v>0</x:v>
      </x:c>
      <x:c r="AF1067" s="47" t="b">
        <x:v>0</x:v>
      </x:c>
      <x:c r="AG1067" s="47" t="b">
        <x:v>0</x:v>
      </x:c>
      <x:c r="AH1067" s="48" t="n">
        <x:v>0</x:v>
      </x:c>
      <x:c r="AI1067" s="48" t="n">
        <x:v>1.1920928955078125e-7</x:v>
      </x:c>
      <x:c r="AJ1067" s="37" t="str">
        <x:v>passed</x:v>
      </x:c>
    </x:row>
    <x:row r="1068" ht="21" customHeight="1">
      <x:c r="A1068" s="2"/>
      <x:c r="B1068" s="2"/>
      <x:c r="C1068" s="2" t="str">
        <x:v>2023</x:v>
      </x:c>
      <x:c r="D1068" s="5" t="n">
        <x:v>44952</x:v>
      </x:c>
      <x:c r="E1068" s="2" t="str">
        <x:v>duration</x:v>
      </x:c>
      <x:c r="F1068" s="37" t="n">
        <x:v>7815436.194882789</x:v>
      </x:c>
      <x:c r="G1068" s="37" t="n">
        <x:v>3825097.608360569</x:v>
      </x:c>
      <x:c r="H1068" s="37" t="n">
        <x:v>23991.73255452039</x:v>
      </x:c>
      <x:c r="I1068" s="37" t="n">
        <x:v>3801105.8758060485</x:v>
      </x:c>
      <x:c r="J1068" s="37" t="n">
        <x:v>10629108.21013266</x:v>
      </x:c>
      <x:c r="K1068" s="37" t="n">
        <x:v>6804010.601772091</x:v>
      </x:c>
      <x:c r="L1068" s="37" t="n">
        <x:v>11640533.803243358</x:v>
      </x:c>
      <x:c r="M1068" s="37" t="n">
        <x:v>0</x:v>
      </x:c>
      <x:c r="N1068" s="37" t="n">
        <x:v>0</x:v>
      </x:c>
      <x:c r="O1068" s="37" t="n">
        <x:v>428.21961508505046</x:v>
      </x:c>
      <x:c r="P1068" s="37" t="n">
        <x:v>0</x:v>
      </x:c>
      <x:c r="Q1068" s="37" t="n">
        <x:v>0</x:v>
      </x:c>
      <x:c r="R1068" s="37" t="n">
        <x:v>0</x:v>
      </x:c>
      <x:c r="S1068" s="37" t="n">
        <x:v>0</x:v>
      </x:c>
      <x:c r="T1068" s="37" t="n">
        <x:v>0</x:v>
      </x:c>
      <x:c r="U1068" s="37" t="n">
        <x:v>0</x:v>
      </x:c>
      <x:c r="V1068" s="37" t="n">
        <x:v>0</x:v>
      </x:c>
      <x:c r="W1068" s="37" t="n">
        <x:v>9843.117333909497</x:v>
      </x:c>
      <x:c r="X1068" s="37" t="n">
        <x:v>0</x:v>
      </x:c>
      <x:c r="Y1068" s="37" t="n">
        <x:v>1703.5990097780445</x:v>
      </x:c>
      <x:c r="Z1068" s="37" t="n">
        <x:v>6940090.813807533</x:v>
      </x:c>
      <x:c r="AA1068" s="37" t="n">
        <x:v>0</x:v>
      </x:c>
      <x:c r="AB1068" s="37" t="n">
        <x:v>6940090.813807533</x:v>
      </x:c>
      <x:c r="AC1068" s="37" t="n">
        <x:v>875345.3810752556</x:v>
      </x:c>
      <x:c r="AD1068" s="37" t="n">
        <x:v>0</x:v>
      </x:c>
      <x:c r="AE1068" s="37" t="n">
        <x:v>0</x:v>
      </x:c>
      <x:c r="AF1068" s="47" t="b">
        <x:v>0</x:v>
      </x:c>
      <x:c r="AG1068" s="47" t="b">
        <x:v>0</x:v>
      </x:c>
      <x:c r="AH1068" s="48" t="n">
        <x:v>0</x:v>
      </x:c>
      <x:c r="AI1068" s="48" t="n">
        <x:v>5.960464477539063e-8</x:v>
      </x:c>
      <x:c r="AJ1068" s="37" t="str">
        <x:v>passed</x:v>
      </x:c>
    </x:row>
    <x:row r="1069" ht="21" customHeight="1">
      <x:c r="A1069" s="2"/>
      <x:c r="B1069" s="2"/>
      <x:c r="C1069" s="2" t="str">
        <x:v>2023</x:v>
      </x:c>
      <x:c r="D1069" s="5" t="n">
        <x:v>44952</x:v>
      </x:c>
      <x:c r="E1069" s="2" t="str">
        <x:v>unweighted</x:v>
      </x:c>
      <x:c r="F1069" s="37" t="n">
        <x:v>10854566.44865967</x:v>
      </x:c>
      <x:c r="G1069" s="37" t="n">
        <x:v>793605.0814580445</x:v>
      </x:c>
      <x:c r="H1069" s="37" t="n">
        <x:v>21823.570671403206</x:v>
      </x:c>
      <x:c r="I1069" s="37" t="n">
        <x:v>771781.5107866413</x:v>
      </x:c>
      <x:c r="J1069" s="37" t="n">
        <x:v>10667927.478852829</x:v>
      </x:c>
      <x:c r="K1069" s="37" t="n">
        <x:v>9874322.397394784</x:v>
      </x:c>
      <x:c r="L1069" s="37" t="n">
        <x:v>11648171.530117715</x:v>
      </x:c>
      <x:c r="M1069" s="37" t="n">
        <x:v>0</x:v>
      </x:c>
      <x:c r="N1069" s="37" t="n">
        <x:v>0</x:v>
      </x:c>
      <x:c r="O1069" s="37" t="n">
        <x:v>594.7381759192795</x:v>
      </x:c>
      <x:c r="P1069" s="37" t="n">
        <x:v>0</x:v>
      </x:c>
      <x:c r="Q1069" s="37" t="n">
        <x:v>0</x:v>
      </x:c>
      <x:c r="R1069" s="37" t="n">
        <x:v>0</x:v>
      </x:c>
      <x:c r="S1069" s="37" t="n">
        <x:v>0</x:v>
      </x:c>
      <x:c r="T1069" s="37" t="n">
        <x:v>0</x:v>
      </x:c>
      <x:c r="U1069" s="37" t="n">
        <x:v>0</x:v>
      </x:c>
      <x:c r="V1069" s="37" t="n">
        <x:v>0</x:v>
      </x:c>
      <x:c r="W1069" s="37" t="n">
        <x:v>13670.736795578152</x:v>
      </x:c>
      <x:c r="X1069" s="37" t="n">
        <x:v>0</x:v>
      </x:c>
      <x:c r="Y1069" s="37" t="n">
        <x:v>2014.5478098199433</x:v>
      </x:c>
      <x:c r="Z1069" s="37" t="n">
        <x:v>10071808.845342679</x:v>
      </x:c>
      <x:c r="AA1069" s="37" t="n">
        <x:v>0</x:v>
      </x:c>
      <x:c r="AB1069" s="37" t="n">
        <x:v>10071808.845342679</x:v>
      </x:c>
      <x:c r="AC1069" s="37" t="n">
        <x:v>782757.6033169907</x:v>
      </x:c>
      <x:c r="AD1069" s="37" t="n">
        <x:v>0</x:v>
      </x:c>
      <x:c r="AE1069" s="37" t="n">
        <x:v>0</x:v>
      </x:c>
      <x:c r="AF1069" s="47" t="b">
        <x:v>0</x:v>
      </x:c>
      <x:c r="AG1069" s="47" t="b">
        <x:v>0</x:v>
      </x:c>
      <x:c r="AH1069" s="48" t="n">
        <x:v>0</x:v>
      </x:c>
      <x:c r="AI1069" s="48" t="n">
        <x:v>1.1920928955078125e-7</x:v>
      </x:c>
      <x:c r="AJ1069" s="37" t="str">
        <x:v>passed</x:v>
      </x:c>
    </x:row>
    <x:row r="1070" ht="21" customHeight="1">
      <x:c r="A1070" s="2"/>
      <x:c r="B1070" s="2"/>
      <x:c r="C1070" s="2" t="str">
        <x:v>2023</x:v>
      </x:c>
      <x:c r="D1070" s="5" t="n">
        <x:v>44952</x:v>
      </x:c>
      <x:c r="E1070" s="2" t="str">
        <x:v>constrained</x:v>
      </x:c>
      <x:c r="F1070" s="37" t="n">
        <x:v>11618212.926764965</x:v>
      </x:c>
      <x:c r="G1070" s="37" t="n">
        <x:v>24060.719190289172</x:v>
      </x:c>
      <x:c r="H1070" s="37" t="n">
        <x:v>20710.906138401613</x:v>
      </x:c>
      <x:c r="I1070" s="37" t="n">
        <x:v>3349.8130518875587</x:v>
      </x:c>
      <x:c r="J1070" s="37" t="n">
        <x:v>10676836.280418592</x:v>
      </x:c>
      <x:c r="K1070" s="37" t="n">
        <x:v>10652775.561228303</x:v>
      </x:c>
      <x:c r="L1070" s="37" t="n">
        <x:v>11642273.645955253</x:v>
      </x:c>
      <x:c r="M1070" s="37" t="n">
        <x:v>0</x:v>
      </x:c>
      <x:c r="N1070" s="37" t="n">
        <x:v>0</x:v>
      </x:c>
      <x:c r="O1070" s="37" t="n">
        <x:v>636.5795258786529</x:v>
      </x:c>
      <x:c r="P1070" s="37" t="n">
        <x:v>0</x:v>
      </x:c>
      <x:c r="Q1070" s="37" t="n">
        <x:v>0</x:v>
      </x:c>
      <x:c r="R1070" s="37" t="n">
        <x:v>0</x:v>
      </x:c>
      <x:c r="S1070" s="37" t="n">
        <x:v>0</x:v>
      </x:c>
      <x:c r="T1070" s="37" t="n">
        <x:v>0</x:v>
      </x:c>
      <x:c r="U1070" s="37" t="n">
        <x:v>0</x:v>
      </x:c>
      <x:c r="V1070" s="37" t="n">
        <x:v>0</x:v>
      </x:c>
      <x:c r="W1070" s="37" t="n">
        <x:v>14632.508051613346</x:v>
      </x:c>
      <x:c r="X1070" s="37" t="n">
        <x:v>0</x:v>
      </x:c>
      <x:c r="Y1070" s="37" t="n">
        <x:v>2092.5222478280225</x:v>
      </x:c>
      <x:c r="Z1070" s="37" t="n">
        <x:v>10865831.07245287</x:v>
      </x:c>
      <x:c r="AA1070" s="37" t="n">
        <x:v>0</x:v>
      </x:c>
      <x:c r="AB1070" s="37" t="n">
        <x:v>10865831.07245287</x:v>
      </x:c>
      <x:c r="AC1070" s="37" t="n">
        <x:v>752381.8543120958</x:v>
      </x:c>
      <x:c r="AD1070" s="37" t="n">
        <x:v>0</x:v>
      </x:c>
      <x:c r="AE1070" s="37" t="n">
        <x:v>0</x:v>
      </x:c>
      <x:c r="AF1070" s="47" t="b">
        <x:v>0</x:v>
      </x:c>
      <x:c r="AG1070" s="47" t="b">
        <x:v>0</x:v>
      </x:c>
      <x:c r="AH1070" s="48" t="n">
        <x:v>0</x:v>
      </x:c>
      <x:c r="AI1070" s="48" t="n">
        <x:v>1.1920928955078125e-7</x:v>
      </x:c>
      <x:c r="AJ1070" s="37" t="str">
        <x:v>passed</x:v>
      </x:c>
    </x:row>
    <x:row r="1071" ht="21" customHeight="1">
      <x:c r="A1071" s="2"/>
      <x:c r="B1071" s="2"/>
      <x:c r="C1071" s="2" t="str">
        <x:v>2023</x:v>
      </x:c>
      <x:c r="D1071" s="5" t="n">
        <x:v>44953</x:v>
      </x:c>
      <x:c r="E1071" s="2" t="str">
        <x:v>unhedged</x:v>
      </x:c>
      <x:c r="F1071" s="37" t="n">
        <x:v>1200534.835348152</x:v>
      </x:c>
      <x:c r="G1071" s="37" t="n">
        <x:v>10613814.986384496</x:v>
      </x:c>
      <x:c r="H1071" s="37" t="n">
        <x:v>46390.14833053087</x:v>
      </x:c>
      <x:c r="I1071" s="37" t="n">
        <x:v>10567424.838053966</x:v>
      </x:c>
      <x:c r="J1071" s="37" t="n">
        <x:v>10613814.986384496</x:v>
      </x:c>
      <x:c r="K1071" s="37" t="n">
        <x:v>0</x:v>
      </x:c>
      <x:c r="L1071" s="37" t="n">
        <x:v>11814349.821732648</x:v>
      </x:c>
      <x:c r="M1071" s="37" t="n">
        <x:v>0</x:v>
      </x:c>
      <x:c r="N1071" s="37" t="n">
        <x:v>0</x:v>
      </x:c>
      <x:c r="O1071" s="37" t="n">
        <x:v>65.77912636846304</x:v>
      </x:c>
      <x:c r="P1071" s="37" t="n">
        <x:v>0</x:v>
      </x:c>
      <x:c r="Q1071" s="37" t="n">
        <x:v>0</x:v>
      </x:c>
      <x:c r="R1071" s="37" t="n">
        <x:v>0</x:v>
      </x:c>
      <x:c r="S1071" s="37" t="n">
        <x:v>0</x:v>
      </x:c>
      <x:c r="T1071" s="37" t="n">
        <x:v>0</x:v>
      </x:c>
      <x:c r="U1071" s="37" t="n">
        <x:v>0</x:v>
      </x:c>
      <x:c r="V1071" s="37" t="n">
        <x:v>0</x:v>
      </x:c>
      <x:c r="W1071" s="37" t="n">
        <x:v>1577.7046902743168</x:v>
      </x:c>
      <x:c r="X1071" s="37" t="n">
        <x:v>0</x:v>
      </x:c>
      <x:c r="Y1071" s="37" t="n">
        <x:v>1042.869342122179</x:v>
      </x:c>
      <x:c r="Z1071" s="37" t="n">
        <x:v>0</x:v>
      </x:c>
      <x:c r="AA1071" s="37" t="n">
        <x:v>0</x:v>
      </x:c>
      <x:c r="AB1071" s="37" t="n">
        <x:v>0</x:v>
      </x:c>
      <x:c r="AC1071" s="37" t="n">
        <x:v>1200534.835348152</x:v>
      </x:c>
      <x:c r="AD1071" s="37" t="n">
        <x:v>0</x:v>
      </x:c>
      <x:c r="AE1071" s="37" t="n">
        <x:v>0</x:v>
      </x:c>
      <x:c r="AF1071" s="47" t="b">
        <x:v>0</x:v>
      </x:c>
      <x:c r="AG1071" s="47" t="b">
        <x:v>0</x:v>
      </x:c>
      <x:c r="AH1071" s="48" t="n">
        <x:v>0</x:v>
      </x:c>
      <x:c r="AI1071" s="48" t="n">
        <x:v>1.1920928955078125e-7</x:v>
      </x:c>
      <x:c r="AJ1071" s="37" t="str">
        <x:v>passed</x:v>
      </x:c>
    </x:row>
    <x:row r="1072" ht="21" customHeight="1">
      <x:c r="A1072" s="2"/>
      <x:c r="B1072" s="2"/>
      <x:c r="C1072" s="2" t="str">
        <x:v>2023</x:v>
      </x:c>
      <x:c r="D1072" s="5" t="n">
        <x:v>44953</x:v>
      </x:c>
      <x:c r="E1072" s="2" t="str">
        <x:v>duration</x:v>
      </x:c>
      <x:c r="F1072" s="37" t="n">
        <x:v>7815864.43796196</x:v>
      </x:c>
      <x:c r="G1072" s="37" t="n">
        <x:v>3826750.3828492034</x:v>
      </x:c>
      <x:c r="H1072" s="37" t="n">
        <x:v>24034.320307157614</x:v>
      </x:c>
      <x:c r="I1072" s="37" t="n">
        <x:v>3802716.062542046</x:v>
      </x:c>
      <x:c r="J1072" s="37" t="n">
        <x:v>10613814.986384496</x:v>
      </x:c>
      <x:c r="K1072" s="37" t="n">
        <x:v>6787064.603535294</x:v>
      </x:c>
      <x:c r="L1072" s="37" t="n">
        <x:v>11642614.820811164</x:v>
      </x:c>
      <x:c r="M1072" s="37" t="n">
        <x:v>0</x:v>
      </x:c>
      <x:c r="N1072" s="37" t="n">
        <x:v>0</x:v>
      </x:c>
      <x:c r="O1072" s="37" t="n">
        <x:v>428.243079171516</x:v>
      </x:c>
      <x:c r="P1072" s="37" t="n">
        <x:v>0</x:v>
      </x:c>
      <x:c r="Q1072" s="37" t="n">
        <x:v>0</x:v>
      </x:c>
      <x:c r="R1072" s="37" t="n">
        <x:v>0</x:v>
      </x:c>
      <x:c r="S1072" s="37" t="n">
        <x:v>0</x:v>
      </x:c>
      <x:c r="T1072" s="37" t="n">
        <x:v>0</x:v>
      </x:c>
      <x:c r="U1072" s="37" t="n">
        <x:v>0</x:v>
      </x:c>
      <x:c r="V1072" s="37" t="n">
        <x:v>0</x:v>
      </x:c>
      <x:c r="W1072" s="37" t="n">
        <x:v>10271.360413081013</x:v>
      </x:c>
      <x:c r="X1072" s="37" t="n">
        <x:v>0</x:v>
      </x:c>
      <x:c r="Y1072" s="37" t="n">
        <x:v>1703.5990097780445</x:v>
      </x:c>
      <x:c r="Z1072" s="37" t="n">
        <x:v>6922805.895606</x:v>
      </x:c>
      <x:c r="AA1072" s="37" t="n">
        <x:v>0</x:v>
      </x:c>
      <x:c r="AB1072" s="37" t="n">
        <x:v>6922805.895606</x:v>
      </x:c>
      <x:c r="AC1072" s="37" t="n">
        <x:v>893058.5423559602</x:v>
      </x:c>
      <x:c r="AD1072" s="37" t="n">
        <x:v>0</x:v>
      </x:c>
      <x:c r="AE1072" s="37" t="n">
        <x:v>0</x:v>
      </x:c>
      <x:c r="AF1072" s="47" t="b">
        <x:v>0</x:v>
      </x:c>
      <x:c r="AG1072" s="47" t="b">
        <x:v>0</x:v>
      </x:c>
      <x:c r="AH1072" s="48" t="n">
        <x:v>0</x:v>
      </x:c>
      <x:c r="AI1072" s="48" t="n">
        <x:v>5.960464477539063e-8</x:v>
      </x:c>
      <x:c r="AJ1072" s="37" t="str">
        <x:v>passed</x:v>
      </x:c>
    </x:row>
    <x:row r="1073" ht="21" customHeight="1">
      <x:c r="A1073" s="2"/>
      <x:c r="B1073" s="2"/>
      <x:c r="C1073" s="2" t="str">
        <x:v>2023</x:v>
      </x:c>
      <x:c r="D1073" s="5" t="n">
        <x:v>44953</x:v>
      </x:c>
      <x:c r="E1073" s="2" t="str">
        <x:v>unweighted</x:v>
      </x:c>
      <x:c r="F1073" s="37" t="n">
        <x:v>10855161.21942398</x:v>
      </x:c>
      <x:c r="G1073" s="37" t="n">
        <x:v>793170.0116085499</x:v>
      </x:c>
      <x:c r="H1073" s="37" t="n">
        <x:v>21803.39373071772</x:v>
      </x:c>
      <x:c r="I1073" s="37" t="n">
        <x:v>771366.6178778321</x:v>
      </x:c>
      <x:c r="J1073" s="37" t="n">
        <x:v>10652554.321526757</x:v>
      </x:c>
      <x:c r="K1073" s="37" t="n">
        <x:v>9859384.309918208</x:v>
      </x:c>
      <x:c r="L1073" s="37" t="n">
        <x:v>11648331.23103253</x:v>
      </x:c>
      <x:c r="M1073" s="37" t="n">
        <x:v>0</x:v>
      </x:c>
      <x:c r="N1073" s="37" t="n">
        <x:v>0</x:v>
      </x:c>
      <x:c r="O1073" s="37" t="n">
        <x:v>594.7707643099129</x:v>
      </x:c>
      <x:c r="P1073" s="37" t="n">
        <x:v>0</x:v>
      </x:c>
      <x:c r="Q1073" s="37" t="n">
        <x:v>0</x:v>
      </x:c>
      <x:c r="R1073" s="37" t="n">
        <x:v>0</x:v>
      </x:c>
      <x:c r="S1073" s="37" t="n">
        <x:v>0</x:v>
      </x:c>
      <x:c r="T1073" s="37" t="n">
        <x:v>0</x:v>
      </x:c>
      <x:c r="U1073" s="37" t="n">
        <x:v>0</x:v>
      </x:c>
      <x:c r="V1073" s="37" t="n">
        <x:v>0</x:v>
      </x:c>
      <x:c r="W1073" s="37" t="n">
        <x:v>14265.507559888065</x:v>
      </x:c>
      <x:c r="X1073" s="37" t="n">
        <x:v>0</x:v>
      </x:c>
      <x:c r="Y1073" s="37" t="n">
        <x:v>2014.5478098199433</x:v>
      </x:c>
      <x:c r="Z1073" s="37" t="n">
        <x:v>10056571.996116573</x:v>
      </x:c>
      <x:c r="AA1073" s="37" t="n">
        <x:v>0</x:v>
      </x:c>
      <x:c r="AB1073" s="37" t="n">
        <x:v>10056571.996116573</x:v>
      </x:c>
      <x:c r="AC1073" s="37" t="n">
        <x:v>798589.2233074065</x:v>
      </x:c>
      <x:c r="AD1073" s="37" t="n">
        <x:v>0</x:v>
      </x:c>
      <x:c r="AE1073" s="37" t="n">
        <x:v>0</x:v>
      </x:c>
      <x:c r="AF1073" s="47" t="b">
        <x:v>0</x:v>
      </x:c>
      <x:c r="AG1073" s="47" t="b">
        <x:v>0</x:v>
      </x:c>
      <x:c r="AH1073" s="48" t="n">
        <x:v>0</x:v>
      </x:c>
      <x:c r="AI1073" s="48" t="n">
        <x:v>1.1920928955078125e-7</x:v>
      </x:c>
      <x:c r="AJ1073" s="37" t="str">
        <x:v>passed</x:v>
      </x:c>
    </x:row>
    <x:row r="1074" ht="21" customHeight="1">
      <x:c r="A1074" s="2"/>
      <x:c r="B1074" s="2"/>
      <x:c r="C1074" s="2" t="str">
        <x:v>2023</x:v>
      </x:c>
      <x:c r="D1074" s="5" t="n">
        <x:v>44953</x:v>
      </x:c>
      <x:c r="E1074" s="2" t="str">
        <x:v>constrained</x:v>
      </x:c>
      <x:c r="F1074" s="37" t="n">
        <x:v>11618849.54117191</x:v>
      </x:c>
      <x:c r="G1074" s="37" t="n">
        <x:v>23995.443340391863</x:v>
      </x:c>
      <x:c r="H1074" s="37" t="n">
        <x:v>20671.90948384226</x:v>
      </x:c>
      <x:c r="I1074" s="37" t="n">
        <x:v>3323.533856549602</x:v>
      </x:c>
      <x:c r="J1074" s="37" t="n">
        <x:v>10661444.690064793</x:v>
      </x:c>
      <x:c r="K1074" s="37" t="n">
        <x:v>10637449.2467244</x:v>
      </x:c>
      <x:c r="L1074" s="37" t="n">
        <x:v>11642844.984512303</x:v>
      </x:c>
      <x:c r="M1074" s="37" t="n">
        <x:v>0</x:v>
      </x:c>
      <x:c r="N1074" s="37" t="n">
        <x:v>0</x:v>
      </x:c>
      <x:c r="O1074" s="37" t="n">
        <x:v>636.6144069451839</x:v>
      </x:c>
      <x:c r="P1074" s="37" t="n">
        <x:v>0</x:v>
      </x:c>
      <x:c r="Q1074" s="37" t="n">
        <x:v>0</x:v>
      </x:c>
      <x:c r="R1074" s="37" t="n">
        <x:v>0</x:v>
      </x:c>
      <x:c r="S1074" s="37" t="n">
        <x:v>0</x:v>
      </x:c>
      <x:c r="T1074" s="37" t="n">
        <x:v>0</x:v>
      </x:c>
      <x:c r="U1074" s="37" t="n">
        <x:v>0</x:v>
      </x:c>
      <x:c r="V1074" s="37" t="n">
        <x:v>0</x:v>
      </x:c>
      <x:c r="W1074" s="37" t="n">
        <x:v>15269.12245855853</x:v>
      </x:c>
      <x:c r="X1074" s="37" t="n">
        <x:v>0</x:v>
      </x:c>
      <x:c r="Y1074" s="37" t="n">
        <x:v>2092.5222478280225</x:v>
      </x:c>
      <x:c r="Z1074" s="37" t="n">
        <x:v>10850198.231658889</x:v>
      </x:c>
      <x:c r="AA1074" s="37" t="n">
        <x:v>0</x:v>
      </x:c>
      <x:c r="AB1074" s="37" t="n">
        <x:v>10850198.231658889</x:v>
      </x:c>
      <x:c r="AC1074" s="37" t="n">
        <x:v>768651.3095130213</x:v>
      </x:c>
      <x:c r="AD1074" s="37" t="n">
        <x:v>0</x:v>
      </x:c>
      <x:c r="AE1074" s="37" t="n">
        <x:v>0</x:v>
      </x:c>
      <x:c r="AF1074" s="47" t="b">
        <x:v>0</x:v>
      </x:c>
      <x:c r="AG1074" s="47" t="b">
        <x:v>0</x:v>
      </x:c>
      <x:c r="AH1074" s="48" t="n">
        <x:v>0</x:v>
      </x:c>
      <x:c r="AI1074" s="48" t="n">
        <x:v>1.1920928955078125e-7</x:v>
      </x:c>
      <x:c r="AJ1074" s="37" t="str">
        <x:v>passed</x:v>
      </x:c>
    </x:row>
    <x:row r="1075" ht="21" customHeight="1">
      <x:c r="A1075" s="2"/>
      <x:c r="B1075" s="2"/>
      <x:c r="C1075" s="2" t="str">
        <x:v>2023</x:v>
      </x:c>
      <x:c r="D1075" s="5" t="n">
        <x:v>44956</x:v>
      </x:c>
      <x:c r="E1075" s="2" t="str">
        <x:v>unhedged</x:v>
      </x:c>
      <x:c r="F1075" s="37" t="n">
        <x:v>1200732.1943540615</x:v>
      </x:c>
      <x:c r="G1075" s="37" t="n">
        <x:v>10596777.106407348</x:v>
      </x:c>
      <x:c r="H1075" s="37" t="n">
        <x:v>47436.64424693731</x:v>
      </x:c>
      <x:c r="I1075" s="37" t="n">
        <x:v>10549340.46216041</x:v>
      </x:c>
      <x:c r="J1075" s="37" t="n">
        <x:v>10596777.106407348</x:v>
      </x:c>
      <x:c r="K1075" s="37" t="n">
        <x:v>0</x:v>
      </x:c>
      <x:c r="L1075" s="37" t="n">
        <x:v>11797509.30076141</x:v>
      </x:c>
      <x:c r="M1075" s="37" t="n">
        <x:v>0</x:v>
      </x:c>
      <x:c r="N1075" s="37" t="n">
        <x:v>0</x:v>
      </x:c>
      <x:c r="O1075" s="37" t="n">
        <x:v>197.3590059094131</x:v>
      </x:c>
      <x:c r="P1075" s="37" t="n">
        <x:v>0</x:v>
      </x:c>
      <x:c r="Q1075" s="37" t="n">
        <x:v>0</x:v>
      </x:c>
      <x:c r="R1075" s="37" t="n">
        <x:v>0</x:v>
      </x:c>
      <x:c r="S1075" s="37" t="n">
        <x:v>0</x:v>
      </x:c>
      <x:c r="T1075" s="37" t="n">
        <x:v>0</x:v>
      </x:c>
      <x:c r="U1075" s="37" t="n">
        <x:v>0</x:v>
      </x:c>
      <x:c r="V1075" s="37" t="n">
        <x:v>0</x:v>
      </x:c>
      <x:c r="W1075" s="37" t="n">
        <x:v>1775.06369618373</x:v>
      </x:c>
      <x:c r="X1075" s="37" t="n">
        <x:v>0</x:v>
      </x:c>
      <x:c r="Y1075" s="37" t="n">
        <x:v>1042.869342122179</x:v>
      </x:c>
      <x:c r="Z1075" s="37" t="n">
        <x:v>0</x:v>
      </x:c>
      <x:c r="AA1075" s="37" t="n">
        <x:v>0</x:v>
      </x:c>
      <x:c r="AB1075" s="37" t="n">
        <x:v>0</x:v>
      </x:c>
      <x:c r="AC1075" s="37" t="n">
        <x:v>1200732.1943540615</x:v>
      </x:c>
      <x:c r="AD1075" s="37" t="n">
        <x:v>0</x:v>
      </x:c>
      <x:c r="AE1075" s="37" t="n">
        <x:v>0</x:v>
      </x:c>
      <x:c r="AF1075" s="47" t="b">
        <x:v>0</x:v>
      </x:c>
      <x:c r="AG1075" s="47" t="b">
        <x:v>0</x:v>
      </x:c>
      <x:c r="AH1075" s="48" t="n">
        <x:v>0</x:v>
      </x:c>
      <x:c r="AI1075" s="48" t="n">
        <x:v>1.1920928955078125e-7</x:v>
      </x:c>
      <x:c r="AJ1075" s="37" t="str">
        <x:v>passed</x:v>
      </x:c>
    </x:row>
    <x:row r="1076" ht="21" customHeight="1">
      <x:c r="A1076" s="2"/>
      <x:c r="B1076" s="2"/>
      <x:c r="C1076" s="2" t="str">
        <x:v>2023</x:v>
      </x:c>
      <x:c r="D1076" s="5" t="n">
        <x:v>44956</x:v>
      </x:c>
      <x:c r="E1076" s="2" t="str">
        <x:v>duration</x:v>
      </x:c>
      <x:c r="F1076" s="37" t="n">
        <x:v>7817149.307996865</x:v>
      </x:c>
      <x:c r="G1076" s="37" t="n">
        <x:v>3824802.2526623756</x:v>
      </x:c>
      <x:c r="H1076" s="37" t="n">
        <x:v>24162.083565069257</x:v>
      </x:c>
      <x:c r="I1076" s="37" t="n">
        <x:v>3800640.169097306</x:v>
      </x:c>
      <x:c r="J1076" s="37" t="n">
        <x:v>10596777.106407348</x:v>
      </x:c>
      <x:c r="K1076" s="37" t="n">
        <x:v>6771974.853744973</x:v>
      </x:c>
      <x:c r="L1076" s="37" t="n">
        <x:v>11641951.56065924</x:v>
      </x:c>
      <x:c r="M1076" s="37" t="n">
        <x:v>0</x:v>
      </x:c>
      <x:c r="N1076" s="37" t="n">
        <x:v>0</x:v>
      </x:c>
      <x:c r="O1076" s="37" t="n">
        <x:v>1284.8700349051505</x:v>
      </x:c>
      <x:c r="P1076" s="37" t="n">
        <x:v>0</x:v>
      </x:c>
      <x:c r="Q1076" s="37" t="n">
        <x:v>0</x:v>
      </x:c>
      <x:c r="R1076" s="37" t="n">
        <x:v>0</x:v>
      </x:c>
      <x:c r="S1076" s="37" t="n">
        <x:v>0</x:v>
      </x:c>
      <x:c r="T1076" s="37" t="n">
        <x:v>0</x:v>
      </x:c>
      <x:c r="U1076" s="37" t="n">
        <x:v>0</x:v>
      </x:c>
      <x:c r="V1076" s="37" t="n">
        <x:v>0</x:v>
      </x:c>
      <x:c r="W1076" s="37" t="n">
        <x:v>11556.230447986163</x:v>
      </x:c>
      <x:c r="X1076" s="37" t="n">
        <x:v>0</x:v>
      </x:c>
      <x:c r="Y1076" s="37" t="n">
        <x:v>1703.5990097780445</x:v>
      </x:c>
      <x:c r="Z1076" s="37" t="n">
        <x:v>6907414.350819873</x:v>
      </x:c>
      <x:c r="AA1076" s="37" t="n">
        <x:v>0</x:v>
      </x:c>
      <x:c r="AB1076" s="37" t="n">
        <x:v>6907414.350819873</x:v>
      </x:c>
      <x:c r="AC1076" s="37" t="n">
        <x:v>909734.9571769927</x:v>
      </x:c>
      <x:c r="AD1076" s="37" t="n">
        <x:v>0</x:v>
      </x:c>
      <x:c r="AE1076" s="37" t="n">
        <x:v>0</x:v>
      </x:c>
      <x:c r="AF1076" s="47" t="b">
        <x:v>0</x:v>
      </x:c>
      <x:c r="AG1076" s="47" t="b">
        <x:v>0</x:v>
      </x:c>
      <x:c r="AH1076" s="48" t="n">
        <x:v>0</x:v>
      </x:c>
      <x:c r="AI1076" s="48" t="n">
        <x:v>5.960464477539063e-8</x:v>
      </x:c>
      <x:c r="AJ1076" s="37" t="str">
        <x:v>passed</x:v>
      </x:c>
    </x:row>
    <x:row r="1077" ht="21" customHeight="1">
      <x:c r="A1077" s="2"/>
      <x:c r="B1077" s="2"/>
      <x:c r="C1077" s="2" t="str">
        <x:v>2023</x:v>
      </x:c>
      <x:c r="D1077" s="5" t="n">
        <x:v>44956</x:v>
      </x:c>
      <x:c r="E1077" s="2" t="str">
        <x:v>unweighted</x:v>
      </x:c>
      <x:c r="F1077" s="37" t="n">
        <x:v>10856945.727265129</x:v>
      </x:c>
      <x:c r="G1077" s="37" t="n">
        <x:v>792594.6975129903</x:v>
      </x:c>
      <x:c r="H1077" s="37" t="n">
        <x:v>21742.862908661224</x:v>
      </x:c>
      <x:c r="I1077" s="37" t="n">
        <x:v>770851.8346043291</x:v>
      </x:c>
      <x:c r="J1077" s="37" t="n">
        <x:v>10635407.990789106</x:v>
      </x:c>
      <x:c r="K1077" s="37" t="n">
        <x:v>9842813.293276114</x:v>
      </x:c>
      <x:c r="L1077" s="37" t="n">
        <x:v>11649540.424778119</x:v>
      </x:c>
      <x:c r="M1077" s="37" t="n">
        <x:v>0</x:v>
      </x:c>
      <x:c r="N1077" s="37" t="n">
        <x:v>0</x:v>
      </x:c>
      <x:c r="O1077" s="37" t="n">
        <x:v>1784.507841149345</x:v>
      </x:c>
      <x:c r="P1077" s="37" t="n">
        <x:v>0</x:v>
      </x:c>
      <x:c r="Q1077" s="37" t="n">
        <x:v>0</x:v>
      </x:c>
      <x:c r="R1077" s="37" t="n">
        <x:v>0</x:v>
      </x:c>
      <x:c r="S1077" s="37" t="n">
        <x:v>0</x:v>
      </x:c>
      <x:c r="T1077" s="37" t="n">
        <x:v>0</x:v>
      </x:c>
      <x:c r="U1077" s="37" t="n">
        <x:v>0</x:v>
      </x:c>
      <x:c r="V1077" s="37" t="n">
        <x:v>0</x:v>
      </x:c>
      <x:c r="W1077" s="37" t="n">
        <x:v>16050.01540103741</x:v>
      </x:c>
      <x:c r="X1077" s="37" t="n">
        <x:v>0</x:v>
      </x:c>
      <x:c r="Y1077" s="37" t="n">
        <x:v>2014.5478098199433</x:v>
      </x:c>
      <x:c r="Z1077" s="37" t="n">
        <x:v>10039669.559141638</x:v>
      </x:c>
      <x:c r="AA1077" s="37" t="n">
        <x:v>0</x:v>
      </x:c>
      <x:c r="AB1077" s="37" t="n">
        <x:v>10039669.559141638</x:v>
      </x:c>
      <x:c r="AC1077" s="37" t="n">
        <x:v>817276.1681234911</x:v>
      </x:c>
      <x:c r="AD1077" s="37" t="n">
        <x:v>0</x:v>
      </x:c>
      <x:c r="AE1077" s="37" t="n">
        <x:v>0</x:v>
      </x:c>
      <x:c r="AF1077" s="47" t="b">
        <x:v>0</x:v>
      </x:c>
      <x:c r="AG1077" s="47" t="b">
        <x:v>0</x:v>
      </x:c>
      <x:c r="AH1077" s="48" t="n">
        <x:v>0</x:v>
      </x:c>
      <x:c r="AI1077" s="48" t="n">
        <x:v>1.1920928955078125e-7</x:v>
      </x:c>
      <x:c r="AJ1077" s="37" t="str">
        <x:v>passed</x:v>
      </x:c>
    </x:row>
    <x:row r="1078" ht="21" customHeight="1">
      <x:c r="A1078" s="2"/>
      <x:c r="B1078" s="2"/>
      <x:c r="C1078" s="2" t="str">
        <x:v>2023</x:v>
      </x:c>
      <x:c r="D1078" s="5" t="n">
        <x:v>44956</x:v>
      </x:c>
      <x:c r="E1078" s="2" t="str">
        <x:v>constrained</x:v>
      </x:c>
      <x:c r="F1078" s="37" t="n">
        <x:v>11620759.593698286</x:v>
      </x:c>
      <x:c r="G1078" s="37" t="n">
        <x:v>23890.55855834971</x:v>
      </x:c>
      <x:c r="H1078" s="37" t="n">
        <x:v>20554.91952016418</x:v>
      </x:c>
      <x:c r="I1078" s="37" t="n">
        <x:v>3335.639038185527</x:v>
      </x:c>
      <x:c r="J1078" s="37" t="n">
        <x:v>10644275.878782073</x:v>
      </x:c>
      <x:c r="K1078" s="37" t="n">
        <x:v>10620385.320223724</x:v>
      </x:c>
      <x:c r="L1078" s="37" t="n">
        <x:v>11644650.152256636</x:v>
      </x:c>
      <x:c r="M1078" s="37" t="n">
        <x:v>0</x:v>
      </x:c>
      <x:c r="N1078" s="37" t="n">
        <x:v>0</x:v>
      </x:c>
      <x:c r="O1078" s="37" t="n">
        <x:v>1910.0525263752788</x:v>
      </x:c>
      <x:c r="P1078" s="37" t="n">
        <x:v>0</x:v>
      </x:c>
      <x:c r="Q1078" s="37" t="n">
        <x:v>0</x:v>
      </x:c>
      <x:c r="R1078" s="37" t="n">
        <x:v>0</x:v>
      </x:c>
      <x:c r="S1078" s="37" t="n">
        <x:v>0</x:v>
      </x:c>
      <x:c r="T1078" s="37" t="n">
        <x:v>0</x:v>
      </x:c>
      <x:c r="U1078" s="37" t="n">
        <x:v>0</x:v>
      </x:c>
      <x:c r="V1078" s="37" t="n">
        <x:v>0</x:v>
      </x:c>
      <x:c r="W1078" s="37" t="n">
        <x:v>17179.17498493381</x:v>
      </x:c>
      <x:c r="X1078" s="37" t="n">
        <x:v>0</x:v>
      </x:c>
      <x:c r="Y1078" s="37" t="n">
        <x:v>2092.5222478280225</x:v>
      </x:c>
      <x:c r="Z1078" s="37" t="n">
        <x:v>10832793.0266282</x:v>
      </x:c>
      <x:c r="AA1078" s="37" t="n">
        <x:v>0</x:v>
      </x:c>
      <x:c r="AB1078" s="37" t="n">
        <x:v>10832793.0266282</x:v>
      </x:c>
      <x:c r="AC1078" s="37" t="n">
        <x:v>787966.5670700856</x:v>
      </x:c>
      <x:c r="AD1078" s="37" t="n">
        <x:v>0</x:v>
      </x:c>
      <x:c r="AE1078" s="37" t="n">
        <x:v>0</x:v>
      </x:c>
      <x:c r="AF1078" s="47" t="b">
        <x:v>0</x:v>
      </x:c>
      <x:c r="AG1078" s="47" t="b">
        <x:v>0</x:v>
      </x:c>
      <x:c r="AH1078" s="48" t="n">
        <x:v>0</x:v>
      </x:c>
      <x:c r="AI1078" s="48" t="n">
        <x:v>1.1920928955078125e-7</x:v>
      </x:c>
      <x:c r="AJ1078" s="37" t="str">
        <x:v>passed</x:v>
      </x:c>
    </x:row>
    <x:row r="1079" ht="21" customHeight="1">
      <x:c r="A1079" s="2"/>
      <x:c r="B1079" s="2"/>
      <x:c r="C1079" s="2" t="str">
        <x:v>2023</x:v>
      </x:c>
      <x:c r="D1079" s="5" t="n">
        <x:v>44957</x:v>
      </x:c>
      <x:c r="E1079" s="2" t="str">
        <x:v>unhedged</x:v>
      </x:c>
      <x:c r="F1079" s="37" t="n">
        <x:v>1200797.9878989574</x:v>
      </x:c>
      <x:c r="G1079" s="37" t="n">
        <x:v>10614318.75800209</x:v>
      </x:c>
      <x:c r="H1079" s="37" t="n">
        <x:v>47785.476219072785</x:v>
      </x:c>
      <x:c r="I1079" s="37" t="n">
        <x:v>10566533.281783016</x:v>
      </x:c>
      <x:c r="J1079" s="37" t="n">
        <x:v>10614318.75800209</x:v>
      </x:c>
      <x:c r="K1079" s="37" t="n">
        <x:v>0</x:v>
      </x:c>
      <x:c r="L1079" s="37" t="n">
        <x:v>11815116.745901046</x:v>
      </x:c>
      <x:c r="M1079" s="37" t="n">
        <x:v>0</x:v>
      </x:c>
      <x:c r="N1079" s="37" t="n">
        <x:v>0</x:v>
      </x:c>
      <x:c r="O1079" s="37" t="n">
        <x:v>65.79354489594698</x:v>
      </x:c>
      <x:c r="P1079" s="37" t="n">
        <x:v>0</x:v>
      </x:c>
      <x:c r="Q1079" s="37" t="n">
        <x:v>0</x:v>
      </x:c>
      <x:c r="R1079" s="37" t="n">
        <x:v>0</x:v>
      </x:c>
      <x:c r="S1079" s="37" t="n">
        <x:v>0</x:v>
      </x:c>
      <x:c r="T1079" s="37" t="n">
        <x:v>0</x:v>
      </x:c>
      <x:c r="U1079" s="37" t="n">
        <x:v>0</x:v>
      </x:c>
      <x:c r="V1079" s="37" t="n">
        <x:v>0</x:v>
      </x:c>
      <x:c r="W1079" s="37" t="n">
        <x:v>1840.857241079677</x:v>
      </x:c>
      <x:c r="X1079" s="37" t="n">
        <x:v>0</x:v>
      </x:c>
      <x:c r="Y1079" s="37" t="n">
        <x:v>1042.869342122179</x:v>
      </x:c>
      <x:c r="Z1079" s="37" t="n">
        <x:v>0</x:v>
      </x:c>
      <x:c r="AA1079" s="37" t="n">
        <x:v>0</x:v>
      </x:c>
      <x:c r="AB1079" s="37" t="n">
        <x:v>0</x:v>
      </x:c>
      <x:c r="AC1079" s="37" t="n">
        <x:v>1200797.9878989574</x:v>
      </x:c>
      <x:c r="AD1079" s="37" t="n">
        <x:v>0</x:v>
      </x:c>
      <x:c r="AE1079" s="37" t="n">
        <x:v>0</x:v>
      </x:c>
      <x:c r="AF1079" s="47" t="b">
        <x:v>0</x:v>
      </x:c>
      <x:c r="AG1079" s="47" t="b">
        <x:v>0</x:v>
      </x:c>
      <x:c r="AH1079" s="48" t="n">
        <x:v>0</x:v>
      </x:c>
      <x:c r="AI1079" s="48" t="n">
        <x:v>1.1920928955078125e-7</x:v>
      </x:c>
      <x:c r="AJ1079" s="37" t="str">
        <x:v>passed</x:v>
      </x:c>
    </x:row>
    <x:row r="1080" ht="21" customHeight="1">
      <x:c r="A1080" s="2"/>
      <x:c r="B1080" s="2"/>
      <x:c r="C1080" s="2" t="str">
        <x:v>2023</x:v>
      </x:c>
      <x:c r="D1080" s="5" t="n">
        <x:v>44957</x:v>
      </x:c>
      <x:c r="E1080" s="2" t="str">
        <x:v>duration</x:v>
      </x:c>
      <x:c r="F1080" s="37" t="n">
        <x:v>7817577.644945249</x:v>
      </x:c>
      <x:c r="G1080" s="37" t="n">
        <x:v>3830183.214559343</x:v>
      </x:c>
      <x:c r="H1080" s="37" t="n">
        <x:v>24204.671317706474</x:v>
      </x:c>
      <x:c r="I1080" s="37" t="n">
        <x:v>3805978.543241637</x:v>
      </x:c>
      <x:c r="J1080" s="37" t="n">
        <x:v>10614318.75800209</x:v>
      </x:c>
      <x:c r="K1080" s="37" t="n">
        <x:v>6784135.543442747</x:v>
      </x:c>
      <x:c r="L1080" s="37" t="n">
        <x:v>11647760.859504592</x:v>
      </x:c>
      <x:c r="M1080" s="37" t="n">
        <x:v>0</x:v>
      </x:c>
      <x:c r="N1080" s="37" t="n">
        <x:v>0</x:v>
      </x:c>
      <x:c r="O1080" s="37" t="n">
        <x:v>428.3369483835995</x:v>
      </x:c>
      <x:c r="P1080" s="37" t="n">
        <x:v>0</x:v>
      </x:c>
      <x:c r="Q1080" s="37" t="n">
        <x:v>0</x:v>
      </x:c>
      <x:c r="R1080" s="37" t="n">
        <x:v>0</x:v>
      </x:c>
      <x:c r="S1080" s="37" t="n">
        <x:v>0</x:v>
      </x:c>
      <x:c r="T1080" s="37" t="n">
        <x:v>0</x:v>
      </x:c>
      <x:c r="U1080" s="37" t="n">
        <x:v>0</x:v>
      </x:c>
      <x:c r="V1080" s="37" t="n">
        <x:v>0</x:v>
      </x:c>
      <x:c r="W1080" s="37" t="n">
        <x:v>11984.567396369763</x:v>
      </x:c>
      <x:c r="X1080" s="37" t="n">
        <x:v>0</x:v>
      </x:c>
      <x:c r="Y1080" s="37" t="n">
        <x:v>1703.5990097780445</x:v>
      </x:c>
      <x:c r="Z1080" s="37" t="n">
        <x:v>6919818.254311602</x:v>
      </x:c>
      <x:c r="AA1080" s="37" t="n">
        <x:v>0</x:v>
      </x:c>
      <x:c r="AB1080" s="37" t="n">
        <x:v>6919818.254311602</x:v>
      </x:c>
      <x:c r="AC1080" s="37" t="n">
        <x:v>897759.3906336473</x:v>
      </x:c>
      <x:c r="AD1080" s="37" t="n">
        <x:v>0</x:v>
      </x:c>
      <x:c r="AE1080" s="37" t="n">
        <x:v>0</x:v>
      </x:c>
      <x:c r="AF1080" s="47" t="b">
        <x:v>0</x:v>
      </x:c>
      <x:c r="AG1080" s="47" t="b">
        <x:v>0</x:v>
      </x:c>
      <x:c r="AH1080" s="48" t="n">
        <x:v>0</x:v>
      </x:c>
      <x:c r="AI1080" s="48" t="n">
        <x:v>5.960464477539063e-8</x:v>
      </x:c>
      <x:c r="AJ1080" s="37" t="str">
        <x:v>passed</x:v>
      </x:c>
    </x:row>
    <x:row r="1081" ht="21" customHeight="1">
      <x:c r="A1081" s="2"/>
      <x:c r="B1081" s="2"/>
      <x:c r="C1081" s="2" t="str">
        <x:v>2023</x:v>
      </x:c>
      <x:c r="D1081" s="5" t="n">
        <x:v>44957</x:v>
      </x:c>
      <x:c r="E1081" s="2" t="str">
        <x:v>unweighted</x:v>
      </x:c>
      <x:c r="F1081" s="37" t="n">
        <x:v>10857540.62840087</x:v>
      </x:c>
      <x:c r="G1081" s="37" t="n">
        <x:v>793463.464332931</x:v>
      </x:c>
      <x:c r="H1081" s="37" t="n">
        <x:v>21722.685967975725</x:v>
      </x:c>
      <x:c r="I1081" s="37" t="n">
        <x:v>771740.7783649552</x:v>
      </x:c>
      <x:c r="J1081" s="37" t="n">
        <x:v>10653000.137758603</x:v>
      </x:c>
      <x:c r="K1081" s="37" t="n">
        <x:v>9859536.673425673</x:v>
      </x:c>
      <x:c r="L1081" s="37" t="n">
        <x:v>11651004.0927338</x:v>
      </x:c>
      <x:c r="M1081" s="37" t="n">
        <x:v>0</x:v>
      </x:c>
      <x:c r="N1081" s="37" t="n">
        <x:v>0</x:v>
      </x:c>
      <x:c r="O1081" s="37" t="n">
        <x:v>594.9011357408017</x:v>
      </x:c>
      <x:c r="P1081" s="37" t="n">
        <x:v>0</x:v>
      </x:c>
      <x:c r="Q1081" s="37" t="n">
        <x:v>0</x:v>
      </x:c>
      <x:c r="R1081" s="37" t="n">
        <x:v>0</x:v>
      </x:c>
      <x:c r="S1081" s="37" t="n">
        <x:v>0</x:v>
      </x:c>
      <x:c r="T1081" s="37" t="n">
        <x:v>0</x:v>
      </x:c>
      <x:c r="U1081" s="37" t="n">
        <x:v>0</x:v>
      </x:c>
      <x:c r="V1081" s="37" t="n">
        <x:v>0</x:v>
      </x:c>
      <x:c r="W1081" s="37" t="n">
        <x:v>16644.91653677821</x:v>
      </x:c>
      <x:c r="X1081" s="37" t="n">
        <x:v>0</x:v>
      </x:c>
      <x:c r="Y1081" s="37" t="n">
        <x:v>2014.5478098199433</x:v>
      </x:c>
      <x:c r="Z1081" s="37" t="n">
        <x:v>10056727.406894187</x:v>
      </x:c>
      <x:c r="AA1081" s="37" t="n">
        <x:v>0</x:v>
      </x:c>
      <x:c r="AB1081" s="37" t="n">
        <x:v>10056727.406894187</x:v>
      </x:c>
      <x:c r="AC1081" s="37" t="n">
        <x:v>800813.2215066832</x:v>
      </x:c>
      <x:c r="AD1081" s="37" t="n">
        <x:v>0</x:v>
      </x:c>
      <x:c r="AE1081" s="37" t="n">
        <x:v>0</x:v>
      </x:c>
      <x:c r="AF1081" s="47" t="b">
        <x:v>0</x:v>
      </x:c>
      <x:c r="AG1081" s="47" t="b">
        <x:v>0</x:v>
      </x:c>
      <x:c r="AH1081" s="48" t="n">
        <x:v>0</x:v>
      </x:c>
      <x:c r="AI1081" s="48" t="n">
        <x:v>1.1920928955078125e-7</x:v>
      </x:c>
      <x:c r="AJ1081" s="37" t="str">
        <x:v>passed</x:v>
      </x:c>
    </x:row>
    <x:row r="1082" ht="21" customHeight="1">
      <x:c r="A1082" s="2"/>
      <x:c r="B1082" s="2"/>
      <x:c r="C1082" s="2" t="str">
        <x:v>2023</x:v>
      </x:c>
      <x:c r="D1082" s="5" t="n">
        <x:v>44957</x:v>
      </x:c>
      <x:c r="E1082" s="2" t="str">
        <x:v>constrained</x:v>
      </x:c>
      <x:c r="F1082" s="37" t="n">
        <x:v>11621396.347648624</x:v>
      </x:c>
      <x:c r="G1082" s="37" t="n">
        <x:v>24006.293623465608</x:v>
      </x:c>
      <x:c r="H1082" s="37" t="n">
        <x:v>20515.92286560483</x:v>
      </x:c>
      <x:c r="I1082" s="37" t="n">
        <x:v>3490.370757860779</x:v>
      </x:c>
      <x:c r="J1082" s="37" t="n">
        <x:v>10661879.784076175</x:v>
      </x:c>
      <x:c r="K1082" s="37" t="n">
        <x:v>10637873.49045271</x:v>
      </x:c>
      <x:c r="L1082" s="37" t="n">
        <x:v>11645402.64127209</x:v>
      </x:c>
      <x:c r="M1082" s="37" t="n">
        <x:v>0</x:v>
      </x:c>
      <x:c r="N1082" s="37" t="n">
        <x:v>0</x:v>
      </x:c>
      <x:c r="O1082" s="37" t="n">
        <x:v>636.7539503388107</x:v>
      </x:c>
      <x:c r="P1082" s="37" t="n">
        <x:v>0</x:v>
      </x:c>
      <x:c r="Q1082" s="37" t="n">
        <x:v>0</x:v>
      </x:c>
      <x:c r="R1082" s="37" t="n">
        <x:v>0</x:v>
      </x:c>
      <x:c r="S1082" s="37" t="n">
        <x:v>0</x:v>
      </x:c>
      <x:c r="T1082" s="37" t="n">
        <x:v>0</x:v>
      </x:c>
      <x:c r="U1082" s="37" t="n">
        <x:v>0</x:v>
      </x:c>
      <x:c r="V1082" s="37" t="n">
        <x:v>0</x:v>
      </x:c>
      <x:c r="W1082" s="37" t="n">
        <x:v>17815.92893527262</x:v>
      </x:c>
      <x:c r="X1082" s="37" t="n">
        <x:v>0</x:v>
      </x:c>
      <x:c r="Y1082" s="37" t="n">
        <x:v>2092.5222478280225</x:v>
      </x:c>
      <x:c r="Z1082" s="37" t="n">
        <x:v>10850630.960261766</x:v>
      </x:c>
      <x:c r="AA1082" s="37" t="n">
        <x:v>0</x:v>
      </x:c>
      <x:c r="AB1082" s="37" t="n">
        <x:v>10850630.960261766</x:v>
      </x:c>
      <x:c r="AC1082" s="37" t="n">
        <x:v>770765.3873868585</x:v>
      </x:c>
      <x:c r="AD1082" s="37" t="n">
        <x:v>0</x:v>
      </x:c>
      <x:c r="AE1082" s="37" t="n">
        <x:v>0</x:v>
      </x:c>
      <x:c r="AF1082" s="47" t="b">
        <x:v>0</x:v>
      </x:c>
      <x:c r="AG1082" s="47" t="b">
        <x:v>0</x:v>
      </x:c>
      <x:c r="AH1082" s="48" t="n">
        <x:v>0</x:v>
      </x:c>
      <x:c r="AI1082" s="48" t="n">
        <x:v>1.1920928955078125e-7</x:v>
      </x:c>
      <x:c r="AJ1082" s="37" t="str">
        <x:v>passed</x:v>
      </x:c>
    </x:row>
    <x:row r="1083" ht="21" customHeight="1">
      <x:c r="A1083" s="2"/>
      <x:c r="B1083" s="2"/>
      <x:c r="C1083" s="2" t="str">
        <x:v>2023</x:v>
      </x:c>
      <x:c r="D1083" s="5" t="n">
        <x:v>44958</x:v>
      </x:c>
      <x:c r="E1083" s="2" t="str">
        <x:v>unhedged</x:v>
      </x:c>
      <x:c r="F1083" s="37" t="n">
        <x:v>1200863.7850489793</x:v>
      </x:c>
      <x:c r="G1083" s="37" t="n">
        <x:v>10690448.193519462</x:v>
      </x:c>
      <x:c r="H1083" s="37" t="n">
        <x:v>48134.30819120826</x:v>
      </x:c>
      <x:c r="I1083" s="37" t="n">
        <x:v>10642313.885328254</x:v>
      </x:c>
      <x:c r="J1083" s="37" t="n">
        <x:v>10690448.193519462</x:v>
      </x:c>
      <x:c r="K1083" s="37" t="n">
        <x:v>0</x:v>
      </x:c>
      <x:c r="L1083" s="37" t="n">
        <x:v>11891311.978568442</x:v>
      </x:c>
      <x:c r="M1083" s="37" t="n">
        <x:v>0</x:v>
      </x:c>
      <x:c r="N1083" s="37" t="n">
        <x:v>0</x:v>
      </x:c>
      <x:c r="O1083" s="37" t="n">
        <x:v>65.79715002188459</x:v>
      </x:c>
      <x:c r="P1083" s="37" t="n">
        <x:v>0</x:v>
      </x:c>
      <x:c r="Q1083" s="37" t="n">
        <x:v>0</x:v>
      </x:c>
      <x:c r="R1083" s="37" t="n">
        <x:v>0</x:v>
      </x:c>
      <x:c r="S1083" s="37" t="n">
        <x:v>0</x:v>
      </x:c>
      <x:c r="T1083" s="37" t="n">
        <x:v>0</x:v>
      </x:c>
      <x:c r="U1083" s="37" t="n">
        <x:v>0</x:v>
      </x:c>
      <x:c r="V1083" s="37" t="n">
        <x:v>0</x:v>
      </x:c>
      <x:c r="W1083" s="37" t="n">
        <x:v>1906.6543911015615</x:v>
      </x:c>
      <x:c r="X1083" s="37" t="n">
        <x:v>0</x:v>
      </x:c>
      <x:c r="Y1083" s="37" t="n">
        <x:v>1042.869342122179</x:v>
      </x:c>
      <x:c r="Z1083" s="37" t="n">
        <x:v>0</x:v>
      </x:c>
      <x:c r="AA1083" s="37" t="n">
        <x:v>0</x:v>
      </x:c>
      <x:c r="AB1083" s="37" t="n">
        <x:v>0</x:v>
      </x:c>
      <x:c r="AC1083" s="37" t="n">
        <x:v>1200863.7850489793</x:v>
      </x:c>
      <x:c r="AD1083" s="37" t="n">
        <x:v>0</x:v>
      </x:c>
      <x:c r="AE1083" s="37" t="n">
        <x:v>0</x:v>
      </x:c>
      <x:c r="AF1083" s="47" t="b">
        <x:v>0</x:v>
      </x:c>
      <x:c r="AG1083" s="47" t="b">
        <x:v>0</x:v>
      </x:c>
      <x:c r="AH1083" s="48" t="n">
        <x:v>0</x:v>
      </x:c>
      <x:c r="AI1083" s="48" t="n">
        <x:v>1.1920928955078125e-7</x:v>
      </x:c>
      <x:c r="AJ1083" s="37" t="str">
        <x:v>passed</x:v>
      </x:c>
    </x:row>
    <x:row r="1084" ht="21" customHeight="1">
      <x:c r="A1084" s="2"/>
      <x:c r="B1084" s="2"/>
      <x:c r="C1084" s="2" t="str">
        <x:v>2023</x:v>
      </x:c>
      <x:c r="D1084" s="5" t="n">
        <x:v>44958</x:v>
      </x:c>
      <x:c r="E1084" s="2" t="str">
        <x:v>duration</x:v>
      </x:c>
      <x:c r="F1084" s="37" t="n">
        <x:v>7738416.939720616</x:v>
      </x:c>
      <x:c r="G1084" s="37" t="n">
        <x:v>3911923.457650386</x:v>
      </x:c>
      <x:c r="H1084" s="37" t="n">
        <x:v>24524.44315996477</x:v>
      </x:c>
      <x:c r="I1084" s="37" t="n">
        <x:v>3887399.014490421</x:v>
      </x:c>
      <x:c r="J1084" s="37" t="n">
        <x:v>10690448.193519462</x:v>
      </x:c>
      <x:c r="K1084" s="37" t="n">
        <x:v>6778524.735869076</x:v>
      </x:c>
      <x:c r="L1084" s="37" t="n">
        <x:v>11650340.397371002</x:v>
      </x:c>
      <x:c r="M1084" s="37" t="n">
        <x:v>0</x:v>
      </x:c>
      <x:c r="N1084" s="37" t="n">
        <x:v>0</x:v>
      </x:c>
      <x:c r="O1084" s="37" t="n">
        <x:v>428.36041890177876</x:v>
      </x:c>
      <x:c r="P1084" s="37" t="n">
        <x:v>0</x:v>
      </x:c>
      <x:c r="Q1084" s="37" t="n">
        <x:v>7.958110753278173</x:v>
      </x:c>
      <x:c r="R1084" s="37" t="n">
        <x:v>-79581.10753278172</x:v>
      </x:c>
      <x:c r="S1084" s="37" t="n">
        <x:v>79581.10753278172</x:v>
      </x:c>
      <x:c r="T1084" s="37" t="n">
        <x:v>0</x:v>
      </x:c>
      <x:c r="U1084" s="37" t="n">
        <x:v>0</x:v>
      </x:c>
      <x:c r="V1084" s="37" t="n">
        <x:v>0</x:v>
      </x:c>
      <x:c r="W1084" s="37" t="n">
        <x:v>12412.927815271541</x:v>
      </x:c>
      <x:c r="X1084" s="37" t="n">
        <x:v>0</x:v>
      </x:c>
      <x:c r="Y1084" s="37" t="n">
        <x:v>1711.5571205313227</x:v>
      </x:c>
      <x:c r="Z1084" s="37" t="n">
        <x:v>6914095.230586458</x:v>
      </x:c>
      <x:c r="AA1084" s="37" t="n">
        <x:v>0</x:v>
      </x:c>
      <x:c r="AB1084" s="37" t="n">
        <x:v>6914095.230586458</x:v>
      </x:c>
      <x:c r="AC1084" s="37" t="n">
        <x:v>824321.7091341577</x:v>
      </x:c>
      <x:c r="AD1084" s="37" t="n">
        <x:v>0</x:v>
      </x:c>
      <x:c r="AE1084" s="37" t="n">
        <x:v>0</x:v>
      </x:c>
      <x:c r="AF1084" s="47" t="b">
        <x:v>0</x:v>
      </x:c>
      <x:c r="AG1084" s="47" t="b">
        <x:v>0</x:v>
      </x:c>
      <x:c r="AH1084" s="48" t="n">
        <x:v>5.978328943001543e-12</x:v>
      </x:c>
      <x:c r="AI1084" s="48" t="n">
        <x:v>5.960464477539063e-8</x:v>
      </x:c>
      <x:c r="AJ1084" s="37" t="str">
        <x:v>passed</x:v>
      </x:c>
    </x:row>
    <x:row r="1085" ht="21" customHeight="1">
      <x:c r="A1085" s="2"/>
      <x:c r="B1085" s="2"/>
      <x:c r="C1085" s="2" t="str">
        <x:v>2023</x:v>
      </x:c>
      <x:c r="D1085" s="5" t="n">
        <x:v>44958</x:v>
      </x:c>
      <x:c r="E1085" s="2" t="str">
        <x:v>unweighted</x:v>
      </x:c>
      <x:c r="F1085" s="37" t="n">
        <x:v>10981110.075057108</x:v>
      </x:c>
      <x:c r="G1085" s="37" t="n">
        <x:v>673103.4225552157</x:v>
      </x:c>
      <x:c r="H1085" s="37" t="n">
        <x:v>21500.770528268447</x:v>
      </x:c>
      <x:c r="I1085" s="37" t="n">
        <x:v>651602.6520269472</x:v>
      </x:c>
      <x:c r="J1085" s="37" t="n">
        <x:v>10734673.487189975</x:v>
      </x:c>
      <x:c r="K1085" s="37" t="n">
        <x:v>10061570.064634759</x:v>
      </x:c>
      <x:c r="L1085" s="37" t="n">
        <x:v>11654213.497612324</x:v>
      </x:c>
      <x:c r="M1085" s="37" t="n">
        <x:v>0</x:v>
      </x:c>
      <x:c r="N1085" s="37" t="n">
        <x:v>0</x:v>
      </x:c>
      <x:c r="O1085" s="37" t="n">
        <x:v>594.9337330628186</x:v>
      </x:c>
      <x:c r="P1085" s="37" t="n">
        <x:v>0</x:v>
      </x:c>
      <x:c r="Q1085" s="37" t="n">
        <x:v>13.362449397734899</x:v>
      </x:c>
      <x:c r="R1085" s="37" t="n">
        <x:v>122987.87537257378</x:v>
      </x:c>
      <x:c r="S1085" s="37" t="n">
        <x:v>133624.493977349</x:v>
      </x:c>
      <x:c r="T1085" s="37" t="n">
        <x:v>0</x:v>
      </x:c>
      <x:c r="U1085" s="37" t="n">
        <x:v>0</x:v>
      </x:c>
      <x:c r="V1085" s="37" t="n">
        <x:v>0</x:v>
      </x:c>
      <x:c r="W1085" s="37" t="n">
        <x:v>17239.85026984103</x:v>
      </x:c>
      <x:c r="X1085" s="37" t="n">
        <x:v>0</x:v>
      </x:c>
      <x:c r="Y1085" s="37" t="n">
        <x:v>2027.9102592176782</x:v>
      </x:c>
      <x:c r="Z1085" s="37" t="n">
        <x:v>10262801.465927454</x:v>
      </x:c>
      <x:c r="AA1085" s="37" t="n">
        <x:v>0</x:v>
      </x:c>
      <x:c r="AB1085" s="37" t="n">
        <x:v>10262801.465927454</x:v>
      </x:c>
      <x:c r="AC1085" s="37" t="n">
        <x:v>718308.6091296542</x:v>
      </x:c>
      <x:c r="AD1085" s="37" t="n">
        <x:v>0</x:v>
      </x:c>
      <x:c r="AE1085" s="37" t="n">
        <x:v>0</x:v>
      </x:c>
      <x:c r="AF1085" s="47" t="b">
        <x:v>0</x:v>
      </x:c>
      <x:c r="AG1085" s="47" t="b">
        <x:v>0</x:v>
      </x:c>
      <x:c r="AH1085" s="48" t="n">
        <x:v>-5.730456109631632e-10</x:v>
      </x:c>
      <x:c r="AI1085" s="48" t="n">
        <x:v>1.1920928955078125e-7</x:v>
      </x:c>
      <x:c r="AJ1085" s="37" t="str">
        <x:v>passed</x:v>
      </x:c>
    </x:row>
    <x:row r="1086" ht="21" customHeight="1">
      <x:c r="A1086" s="2"/>
      <x:c r="B1086" s="2"/>
      <x:c r="C1086" s="2" t="str">
        <x:v>2023</x:v>
      </x:c>
      <x:c r="D1086" s="5" t="n">
        <x:v>44958</x:v>
      </x:c>
      <x:c r="E1086" s="2" t="str">
        <x:v>constrained</x:v>
      </x:c>
      <x:c r="F1086" s="37" t="n">
        <x:v>11676218.379288098</x:v>
      </x:c>
      <x:c r="G1086" s="37" t="n">
        <x:v>-29970.06701775008</x:v>
      </x:c>
      <x:c r="H1086" s="37" t="n">
        <x:v>20449.42327933775</x:v>
      </x:c>
      <x:c r="I1086" s="37" t="n">
        <x:v>-50419.49029708783</x:v>
      </x:c>
      <x:c r="J1086" s="37" t="n">
        <x:v>10747604.811139198</x:v>
      </x:c>
      <x:c r="K1086" s="37" t="n">
        <x:v>10777574.878156949</x:v>
      </x:c>
      <x:c r="L1086" s="37" t="n">
        <x:v>11646248.312270347</x:v>
      </x:c>
      <x:c r="M1086" s="37" t="n">
        <x:v>0</x:v>
      </x:c>
      <x:c r="N1086" s="37" t="n">
        <x:v>0</x:v>
      </x:c>
      <x:c r="O1086" s="37" t="n">
        <x:v>636.7888409681618</x:v>
      </x:c>
      <x:c r="P1086" s="37" t="n">
        <x:v>0</x:v>
      </x:c>
      <x:c r="Q1086" s="37" t="n">
        <x:v>12.80095998080812</x:v>
      </x:c>
      <x:c r="R1086" s="37" t="n">
        <x:v>54198.043758484935</x:v>
      </x:c>
      <x:c r="S1086" s="37" t="n">
        <x:v>128009.5998080812</x:v>
      </x:c>
      <x:c r="T1086" s="37" t="n">
        <x:v>0</x:v>
      </x:c>
      <x:c r="U1086" s="37" t="n">
        <x:v>0</x:v>
      </x:c>
      <x:c r="V1086" s="37" t="n">
        <x:v>0</x:v>
      </x:c>
      <x:c r="W1086" s="37" t="n">
        <x:v>18452.71777624078</x:v>
      </x:c>
      <x:c r="X1086" s="37" t="n">
        <x:v>0</x:v>
      </x:c>
      <x:c r="Y1086" s="37" t="n">
        <x:v>2105.323207808831</x:v>
      </x:c>
      <x:c r="Z1086" s="37" t="n">
        <x:v>10993126.375720087</x:v>
      </x:c>
      <x:c r="AA1086" s="37" t="n">
        <x:v>0</x:v>
      </x:c>
      <x:c r="AB1086" s="37" t="n">
        <x:v>10993126.375720087</x:v>
      </x:c>
      <x:c r="AC1086" s="37" t="n">
        <x:v>683092.0035680104</x:v>
      </x:c>
      <x:c r="AD1086" s="37" t="n">
        <x:v>0</x:v>
      </x:c>
      <x:c r="AE1086" s="37" t="n">
        <x:v>0</x:v>
      </x:c>
      <x:c r="AF1086" s="47" t="b">
        <x:v>0</x:v>
      </x:c>
      <x:c r="AG1086" s="47" t="b">
        <x:v>0</x:v>
      </x:c>
      <x:c r="AH1086" s="48" t="n">
        <x:v>1.2239702584793122e-9</x:v>
      </x:c>
      <x:c r="AI1086" s="48" t="n">
        <x:v>1.1920928955078125e-7</x:v>
      </x:c>
      <x:c r="AJ1086" s="37" t="str">
        <x:v>passed</x:v>
      </x:c>
    </x:row>
    <x:row r="1087" ht="21" customHeight="1">
      <x:c r="A1087" s="2"/>
      <x:c r="B1087" s="2"/>
      <x:c r="C1087" s="2" t="str">
        <x:v>2023</x:v>
      </x:c>
      <x:c r="D1087" s="5" t="n">
        <x:v>44959</x:v>
      </x:c>
      <x:c r="E1087" s="2" t="str">
        <x:v>unhedged</x:v>
      </x:c>
      <x:c r="F1087" s="37" t="n">
        <x:v>1200929.5858043248</x:v>
      </x:c>
      <x:c r="G1087" s="37" t="n">
        <x:v>10690570.070574662</x:v>
      </x:c>
      <x:c r="H1087" s="37" t="n">
        <x:v>48483.140163343734</x:v>
      </x:c>
      <x:c r="I1087" s="37" t="n">
        <x:v>10642086.930411318</x:v>
      </x:c>
      <x:c r="J1087" s="37" t="n">
        <x:v>10690570.070574662</x:v>
      </x:c>
      <x:c r="K1087" s="37" t="n">
        <x:v>0</x:v>
      </x:c>
      <x:c r="L1087" s="37" t="n">
        <x:v>11891499.656378986</x:v>
      </x:c>
      <x:c r="M1087" s="37" t="n">
        <x:v>0</x:v>
      </x:c>
      <x:c r="N1087" s="37" t="n">
        <x:v>0</x:v>
      </x:c>
      <x:c r="O1087" s="37" t="n">
        <x:v>65.80075534549542</x:v>
      </x:c>
      <x:c r="P1087" s="37" t="n">
        <x:v>0</x:v>
      </x:c>
      <x:c r="Q1087" s="37" t="n">
        <x:v>0</x:v>
      </x:c>
      <x:c r="R1087" s="37" t="n">
        <x:v>0</x:v>
      </x:c>
      <x:c r="S1087" s="37" t="n">
        <x:v>0</x:v>
      </x:c>
      <x:c r="T1087" s="37" t="n">
        <x:v>0</x:v>
      </x:c>
      <x:c r="U1087" s="37" t="n">
        <x:v>0</x:v>
      </x:c>
      <x:c r="V1087" s="37" t="n">
        <x:v>0</x:v>
      </x:c>
      <x:c r="W1087" s="37" t="n">
        <x:v>1972.455146447057</x:v>
      </x:c>
      <x:c r="X1087" s="37" t="n">
        <x:v>0</x:v>
      </x:c>
      <x:c r="Y1087" s="37" t="n">
        <x:v>1042.869342122179</x:v>
      </x:c>
      <x:c r="Z1087" s="37" t="n">
        <x:v>0</x:v>
      </x:c>
      <x:c r="AA1087" s="37" t="n">
        <x:v>0</x:v>
      </x:c>
      <x:c r="AB1087" s="37" t="n">
        <x:v>0</x:v>
      </x:c>
      <x:c r="AC1087" s="37" t="n">
        <x:v>1200929.5858043248</x:v>
      </x:c>
      <x:c r="AD1087" s="37" t="n">
        <x:v>0</x:v>
      </x:c>
      <x:c r="AE1087" s="37" t="n">
        <x:v>0</x:v>
      </x:c>
      <x:c r="AF1087" s="47" t="b">
        <x:v>0</x:v>
      </x:c>
      <x:c r="AG1087" s="47" t="b">
        <x:v>0</x:v>
      </x:c>
      <x:c r="AH1087" s="48" t="n">
        <x:v>0</x:v>
      </x:c>
      <x:c r="AI1087" s="48" t="n">
        <x:v>1.1920928955078125e-7</x:v>
      </x:c>
      <x:c r="AJ1087" s="37" t="str">
        <x:v>passed</x:v>
      </x:c>
    </x:row>
    <x:row r="1088" ht="21" customHeight="1">
      <x:c r="A1088" s="2"/>
      <x:c r="B1088" s="2"/>
      <x:c r="C1088" s="2" t="str">
        <x:v>2023</x:v>
      </x:c>
      <x:c r="D1088" s="5" t="n">
        <x:v>44959</x:v>
      </x:c>
      <x:c r="E1088" s="2" t="str">
        <x:v>duration</x:v>
      </x:c>
      <x:c r="F1088" s="37" t="n">
        <x:v>7738840.962566628</x:v>
      </x:c>
      <x:c r="G1088" s="37" t="n">
        <x:v>3910882.6404973255</x:v>
      </x:c>
      <x:c r="H1088" s="37" t="n">
        <x:v>24570.58455477661</x:v>
      </x:c>
      <x:c r="I1088" s="37" t="n">
        <x:v>3886312.055942549</x:v>
      </x:c>
      <x:c r="J1088" s="37" t="n">
        <x:v>10690570.070574662</x:v>
      </x:c>
      <x:c r="K1088" s="37" t="n">
        <x:v>6779687.430077337</x:v>
      </x:c>
      <x:c r="L1088" s="37" t="n">
        <x:v>11649723.603063954</x:v>
      </x:c>
      <x:c r="M1088" s="37" t="n">
        <x:v>0</x:v>
      </x:c>
      <x:c r="N1088" s="37" t="n">
        <x:v>0</x:v>
      </x:c>
      <x:c r="O1088" s="37" t="n">
        <x:v>424.02284601237625</x:v>
      </x:c>
      <x:c r="P1088" s="37" t="n">
        <x:v>0</x:v>
      </x:c>
      <x:c r="Q1088" s="37" t="n">
        <x:v>0</x:v>
      </x:c>
      <x:c r="R1088" s="37" t="n">
        <x:v>0</x:v>
      </x:c>
      <x:c r="S1088" s="37" t="n">
        <x:v>0</x:v>
      </x:c>
      <x:c r="T1088" s="37" t="n">
        <x:v>0</x:v>
      </x:c>
      <x:c r="U1088" s="37" t="n">
        <x:v>0</x:v>
      </x:c>
      <x:c r="V1088" s="37" t="n">
        <x:v>0</x:v>
      </x:c>
      <x:c r="W1088" s="37" t="n">
        <x:v>12836.950661283918</x:v>
      </x:c>
      <x:c r="X1088" s="37" t="n">
        <x:v>0</x:v>
      </x:c>
      <x:c r="Y1088" s="37" t="n">
        <x:v>1711.5571205313227</x:v>
      </x:c>
      <x:c r="Z1088" s="37" t="n">
        <x:v>6915281.178678883</x:v>
      </x:c>
      <x:c r="AA1088" s="37" t="n">
        <x:v>0</x:v>
      </x:c>
      <x:c r="AB1088" s="37" t="n">
        <x:v>6915281.178678883</x:v>
      </x:c>
      <x:c r="AC1088" s="37" t="n">
        <x:v>823559.7838877449</x:v>
      </x:c>
      <x:c r="AD1088" s="37" t="n">
        <x:v>0</x:v>
      </x:c>
      <x:c r="AE1088" s="37" t="n">
        <x:v>0</x:v>
      </x:c>
      <x:c r="AF1088" s="47" t="b">
        <x:v>0</x:v>
      </x:c>
      <x:c r="AG1088" s="47" t="b">
        <x:v>0</x:v>
      </x:c>
      <x:c r="AH1088" s="48" t="n">
        <x:v>0</x:v>
      </x:c>
      <x:c r="AI1088" s="48" t="n">
        <x:v>5.960464477539063e-8</x:v>
      </x:c>
      <x:c r="AJ1088" s="37" t="str">
        <x:v>passed</x:v>
      </x:c>
    </x:row>
    <x:row r="1089" ht="21" customHeight="1">
      <x:c r="A1089" s="2"/>
      <x:c r="B1089" s="2"/>
      <x:c r="C1089" s="2" t="str">
        <x:v>2023</x:v>
      </x:c>
      <x:c r="D1089" s="5" t="n">
        <x:v>44959</x:v>
      </x:c>
      <x:c r="E1089" s="2" t="str">
        <x:v>unweighted</x:v>
      </x:c>
      <x:c r="F1089" s="37" t="n">
        <x:v>10981711.779718755</x:v>
      </x:c>
      <x:c r="G1089" s="37" t="n">
        <x:v>673121.114783232</x:v>
      </x:c>
      <x:c r="H1089" s="37" t="n">
        <x:v>21477.680708270826</x:v>
      </x:c>
      <x:c r="I1089" s="37" t="n">
        <x:v>651643.4340749611</x:v>
      </x:c>
      <x:c r="J1089" s="37" t="n">
        <x:v>10734776.814902028</x:v>
      </x:c>
      <x:c r="K1089" s="37" t="n">
        <x:v>10061655.700118795</x:v>
      </x:c>
      <x:c r="L1089" s="37" t="n">
        <x:v>11654832.894501986</x:v>
      </x:c>
      <x:c r="M1089" s="37" t="n">
        <x:v>0</x:v>
      </x:c>
      <x:c r="N1089" s="37" t="n">
        <x:v>0</x:v>
      </x:c>
      <x:c r="O1089" s="37" t="n">
        <x:v>601.7046616468579</x:v>
      </x:c>
      <x:c r="P1089" s="37" t="n">
        <x:v>0</x:v>
      </x:c>
      <x:c r="Q1089" s="37" t="n">
        <x:v>0</x:v>
      </x:c>
      <x:c r="R1089" s="37" t="n">
        <x:v>0</x:v>
      </x:c>
      <x:c r="S1089" s="37" t="n">
        <x:v>0</x:v>
      </x:c>
      <x:c r="T1089" s="37" t="n">
        <x:v>0</x:v>
      </x:c>
      <x:c r="U1089" s="37" t="n">
        <x:v>0</x:v>
      </x:c>
      <x:c r="V1089" s="37" t="n">
        <x:v>0</x:v>
      </x:c>
      <x:c r="W1089" s="37" t="n">
        <x:v>17841.554931487888</x:v>
      </x:c>
      <x:c r="X1089" s="37" t="n">
        <x:v>0</x:v>
      </x:c>
      <x:c r="Y1089" s="37" t="n">
        <x:v>2027.9102592176782</x:v>
      </x:c>
      <x:c r="Z1089" s="37" t="n">
        <x:v>10262888.814121172</x:v>
      </x:c>
      <x:c r="AA1089" s="37" t="n">
        <x:v>0</x:v>
      </x:c>
      <x:c r="AB1089" s="37" t="n">
        <x:v>10262888.814121172</x:v>
      </x:c>
      <x:c r="AC1089" s="37" t="n">
        <x:v>718822.965597583</x:v>
      </x:c>
      <x:c r="AD1089" s="37" t="n">
        <x:v>0</x:v>
      </x:c>
      <x:c r="AE1089" s="37" t="n">
        <x:v>0</x:v>
      </x:c>
      <x:c r="AF1089" s="47" t="b">
        <x:v>0</x:v>
      </x:c>
      <x:c r="AG1089" s="47" t="b">
        <x:v>0</x:v>
      </x:c>
      <x:c r="AH1089" s="48" t="n">
        <x:v>0</x:v>
      </x:c>
      <x:c r="AI1089" s="48" t="n">
        <x:v>1.1920928955078125e-7</x:v>
      </x:c>
      <x:c r="AJ1089" s="37" t="str">
        <x:v>passed</x:v>
      </x:c>
    </x:row>
    <x:row r="1090" ht="21" customHeight="1">
      <x:c r="A1090" s="2"/>
      <x:c r="B1090" s="2"/>
      <x:c r="C1090" s="2" t="str">
        <x:v>2023</x:v>
      </x:c>
      <x:c r="D1090" s="5" t="n">
        <x:v>44959</x:v>
      </x:c>
      <x:c r="E1090" s="2" t="str">
        <x:v>constrained</x:v>
      </x:c>
      <x:c r="F1090" s="37" t="n">
        <x:v>11676858.172076005</x:v>
      </x:c>
      <x:c r="G1090" s="37" t="n">
        <x:v>-30013.95558975639</x:v>
      </x:c>
      <x:c r="H1090" s="37" t="n">
        <x:v>20410.085777678738</x:v>
      </x:c>
      <x:c r="I1090" s="37" t="n">
        <x:v>-50424.04136743513</x:v>
      </x:c>
      <x:c r="J1090" s="37" t="n">
        <x:v>10747702.972628538</x:v>
      </x:c>
      <x:c r="K1090" s="37" t="n">
        <x:v>10777716.928218294</x:v>
      </x:c>
      <x:c r="L1090" s="37" t="n">
        <x:v>11646844.21648625</x:v>
      </x:c>
      <x:c r="M1090" s="37" t="n">
        <x:v>0</x:v>
      </x:c>
      <x:c r="N1090" s="37" t="n">
        <x:v>0</x:v>
      </x:c>
      <x:c r="O1090" s="37" t="n">
        <x:v>639.7927879076451</x:v>
      </x:c>
      <x:c r="P1090" s="37" t="n">
        <x:v>0</x:v>
      </x:c>
      <x:c r="Q1090" s="37" t="n">
        <x:v>0</x:v>
      </x:c>
      <x:c r="R1090" s="37" t="n">
        <x:v>0</x:v>
      </x:c>
      <x:c r="S1090" s="37" t="n">
        <x:v>0</x:v>
      </x:c>
      <x:c r="T1090" s="37" t="n">
        <x:v>0</x:v>
      </x:c>
      <x:c r="U1090" s="37" t="n">
        <x:v>0</x:v>
      </x:c>
      <x:c r="V1090" s="37" t="n">
        <x:v>0</x:v>
      </x:c>
      <x:c r="W1090" s="37" t="n">
        <x:v>19092.510564148426</x:v>
      </x:c>
      <x:c r="X1090" s="37" t="n">
        <x:v>0</x:v>
      </x:c>
      <x:c r="Y1090" s="37" t="n">
        <x:v>2105.323207808831</x:v>
      </x:c>
      <x:c r="Z1090" s="37" t="n">
        <x:v>10993271.26678266</x:v>
      </x:c>
      <x:c r="AA1090" s="37" t="n">
        <x:v>0</x:v>
      </x:c>
      <x:c r="AB1090" s="37" t="n">
        <x:v>10993271.26678266</x:v>
      </x:c>
      <x:c r="AC1090" s="37" t="n">
        <x:v>683586.9052933455</x:v>
      </x:c>
      <x:c r="AD1090" s="37" t="n">
        <x:v>0</x:v>
      </x:c>
      <x:c r="AE1090" s="37" t="n">
        <x:v>0</x:v>
      </x:c>
      <x:c r="AF1090" s="47" t="b">
        <x:v>0</x:v>
      </x:c>
      <x:c r="AG1090" s="47" t="b">
        <x:v>0</x:v>
      </x:c>
      <x:c r="AH1090" s="48" t="n">
        <x:v>0</x:v>
      </x:c>
      <x:c r="AI1090" s="48" t="n">
        <x:v>1.1920928955078125e-7</x:v>
      </x:c>
      <x:c r="AJ1090" s="37" t="str">
        <x:v>passed</x:v>
      </x:c>
    </x:row>
    <x:row r="1091" ht="21" customHeight="1">
      <x:c r="A1091" s="2"/>
      <x:c r="B1091" s="2"/>
      <x:c r="C1091" s="2" t="str">
        <x:v>2023</x:v>
      </x:c>
      <x:c r="D1091" s="5" t="n">
        <x:v>44960</x:v>
      </x:c>
      <x:c r="E1091" s="2" t="str">
        <x:v>unhedged</x:v>
      </x:c>
      <x:c r="F1091" s="37" t="n">
        <x:v>1200995.390165191</x:v>
      </x:c>
      <x:c r="G1091" s="37" t="n">
        <x:v>10609548.524875617</x:v>
      </x:c>
      <x:c r="H1091" s="37" t="n">
        <x:v>48831.97213547922</x:v>
      </x:c>
      <x:c r="I1091" s="37" t="n">
        <x:v>10560716.552740138</x:v>
      </x:c>
      <x:c r="J1091" s="37" t="n">
        <x:v>10609548.524875617</x:v>
      </x:c>
      <x:c r="K1091" s="37" t="n">
        <x:v>0</x:v>
      </x:c>
      <x:c r="L1091" s="37" t="n">
        <x:v>11810543.915040808</x:v>
      </x:c>
      <x:c r="M1091" s="37" t="n">
        <x:v>0</x:v>
      </x:c>
      <x:c r="N1091" s="37" t="n">
        <x:v>0</x:v>
      </x:c>
      <x:c r="O1091" s="37" t="n">
        <x:v>65.80436086608097</x:v>
      </x:c>
      <x:c r="P1091" s="37" t="n">
        <x:v>0</x:v>
      </x:c>
      <x:c r="Q1091" s="37" t="n">
        <x:v>0</x:v>
      </x:c>
      <x:c r="R1091" s="37" t="n">
        <x:v>0</x:v>
      </x:c>
      <x:c r="S1091" s="37" t="n">
        <x:v>0</x:v>
      </x:c>
      <x:c r="T1091" s="37" t="n">
        <x:v>0</x:v>
      </x:c>
      <x:c r="U1091" s="37" t="n">
        <x:v>0</x:v>
      </x:c>
      <x:c r="V1091" s="37" t="n">
        <x:v>0</x:v>
      </x:c>
      <x:c r="W1091" s="37" t="n">
        <x:v>2038.2595073131379</x:v>
      </x:c>
      <x:c r="X1091" s="37" t="n">
        <x:v>0</x:v>
      </x:c>
      <x:c r="Y1091" s="37" t="n">
        <x:v>1042.869342122179</x:v>
      </x:c>
      <x:c r="Z1091" s="37" t="n">
        <x:v>0</x:v>
      </x:c>
      <x:c r="AA1091" s="37" t="n">
        <x:v>0</x:v>
      </x:c>
      <x:c r="AB1091" s="37" t="n">
        <x:v>0</x:v>
      </x:c>
      <x:c r="AC1091" s="37" t="n">
        <x:v>1200995.390165191</x:v>
      </x:c>
      <x:c r="AD1091" s="37" t="n">
        <x:v>0</x:v>
      </x:c>
      <x:c r="AE1091" s="37" t="n">
        <x:v>0</x:v>
      </x:c>
      <x:c r="AF1091" s="47" t="b">
        <x:v>0</x:v>
      </x:c>
      <x:c r="AG1091" s="47" t="b">
        <x:v>0</x:v>
      </x:c>
      <x:c r="AH1091" s="48" t="n">
        <x:v>0</x:v>
      </x:c>
      <x:c r="AI1091" s="48" t="n">
        <x:v>1.1920928955078125e-7</x:v>
      </x:c>
      <x:c r="AJ1091" s="37" t="str">
        <x:v>passed</x:v>
      </x:c>
    </x:row>
    <x:row r="1092" ht="21" customHeight="1">
      <x:c r="A1092" s="2"/>
      <x:c r="B1092" s="2"/>
      <x:c r="C1092" s="2" t="str">
        <x:v>2023</x:v>
      </x:c>
      <x:c r="D1092" s="5" t="n">
        <x:v>44960</x:v>
      </x:c>
      <x:c r="E1092" s="2" t="str">
        <x:v>duration</x:v>
      </x:c>
      <x:c r="F1092" s="37" t="n">
        <x:v>7739265.008646769</x:v>
      </x:c>
      <x:c r="G1092" s="37" t="n">
        <x:v>3900431.1016979897</x:v>
      </x:c>
      <x:c r="H1092" s="37" t="n">
        <x:v>24616.725949588454</x:v>
      </x:c>
      <x:c r="I1092" s="37" t="n">
        <x:v>3875814.3757484015</x:v>
      </x:c>
      <x:c r="J1092" s="37" t="n">
        <x:v>10609548.524875617</x:v>
      </x:c>
      <x:c r="K1092" s="37" t="n">
        <x:v>6709117.423177627</x:v>
      </x:c>
      <x:c r="L1092" s="37" t="n">
        <x:v>11639696.11034476</x:v>
      </x:c>
      <x:c r="M1092" s="37" t="n">
        <x:v>0</x:v>
      </x:c>
      <x:c r="N1092" s="37" t="n">
        <x:v>0</x:v>
      </x:c>
      <x:c r="O1092" s="37" t="n">
        <x:v>424.0460801413283</x:v>
      </x:c>
      <x:c r="P1092" s="37" t="n">
        <x:v>0</x:v>
      </x:c>
      <x:c r="Q1092" s="37" t="n">
        <x:v>0</x:v>
      </x:c>
      <x:c r="R1092" s="37" t="n">
        <x:v>0</x:v>
      </x:c>
      <x:c r="S1092" s="37" t="n">
        <x:v>0</x:v>
      </x:c>
      <x:c r="T1092" s="37" t="n">
        <x:v>0</x:v>
      </x:c>
      <x:c r="U1092" s="37" t="n">
        <x:v>0</x:v>
      </x:c>
      <x:c r="V1092" s="37" t="n">
        <x:v>0</x:v>
      </x:c>
      <x:c r="W1092" s="37" t="n">
        <x:v>13260.996741425246</x:v>
      </x:c>
      <x:c r="X1092" s="37" t="n">
        <x:v>0</x:v>
      </x:c>
      <x:c r="Y1092" s="37" t="n">
        <x:v>1711.5571205313227</x:v>
      </x:c>
      <x:c r="Z1092" s="37" t="n">
        <x:v>6843299.77164118</x:v>
      </x:c>
      <x:c r="AA1092" s="37" t="n">
        <x:v>0</x:v>
      </x:c>
      <x:c r="AB1092" s="37" t="n">
        <x:v>6843299.77164118</x:v>
      </x:c>
      <x:c r="AC1092" s="37" t="n">
        <x:v>895965.2370055895</x:v>
      </x:c>
      <x:c r="AD1092" s="37" t="n">
        <x:v>0</x:v>
      </x:c>
      <x:c r="AE1092" s="37" t="n">
        <x:v>0</x:v>
      </x:c>
      <x:c r="AF1092" s="47" t="b">
        <x:v>0</x:v>
      </x:c>
      <x:c r="AG1092" s="47" t="b">
        <x:v>0</x:v>
      </x:c>
      <x:c r="AH1092" s="48" t="n">
        <x:v>0</x:v>
      </x:c>
      <x:c r="AI1092" s="48" t="n">
        <x:v>5.960464477539063e-8</x:v>
      </x:c>
      <x:c r="AJ1092" s="37" t="str">
        <x:v>passed</x:v>
      </x:c>
    </x:row>
    <x:row r="1093" ht="21" customHeight="1">
      <x:c r="A1093" s="2"/>
      <x:c r="B1093" s="2"/>
      <x:c r="C1093" s="2" t="str">
        <x:v>2023</x:v>
      </x:c>
      <x:c r="D1093" s="5" t="n">
        <x:v>44960</x:v>
      </x:c>
      <x:c r="E1093" s="2" t="str">
        <x:v>unweighted</x:v>
      </x:c>
      <x:c r="F1093" s="37" t="n">
        <x:v>10982313.517350521</x:v>
      </x:c>
      <x:c r="G1093" s="37" t="n">
        <x:v>670576.2005191345</x:v>
      </x:c>
      <x:c r="H1093" s="37" t="n">
        <x:v>21454.590888273207</x:v>
      </x:c>
      <x:c r="I1093" s="37" t="n">
        <x:v>649121.6096308613</x:v>
      </x:c>
      <x:c r="J1093" s="37" t="n">
        <x:v>10653091.088306563</x:v>
      </x:c>
      <x:c r="K1093" s="37" t="n">
        <x:v>9982514.88778743</x:v>
      </x:c>
      <x:c r="L1093" s="37" t="n">
        <x:v>11652889.717869656</x:v>
      </x:c>
      <x:c r="M1093" s="37" t="n">
        <x:v>0</x:v>
      </x:c>
      <x:c r="N1093" s="37" t="n">
        <x:v>0</x:v>
      </x:c>
      <x:c r="O1093" s="37" t="n">
        <x:v>601.7376317661256</x:v>
      </x:c>
      <x:c r="P1093" s="37" t="n">
        <x:v>0</x:v>
      </x:c>
      <x:c r="Q1093" s="37" t="n">
        <x:v>0</x:v>
      </x:c>
      <x:c r="R1093" s="37" t="n">
        <x:v>0</x:v>
      </x:c>
      <x:c r="S1093" s="37" t="n">
        <x:v>0</x:v>
      </x:c>
      <x:c r="T1093" s="37" t="n">
        <x:v>0</x:v>
      </x:c>
      <x:c r="U1093" s="37" t="n">
        <x:v>0</x:v>
      </x:c>
      <x:c r="V1093" s="37" t="n">
        <x:v>0</x:v>
      </x:c>
      <x:c r="W1093" s="37" t="n">
        <x:v>18443.292563254014</x:v>
      </x:c>
      <x:c r="X1093" s="37" t="n">
        <x:v>0</x:v>
      </x:c>
      <x:c r="Y1093" s="37" t="n">
        <x:v>2027.9102592176782</x:v>
      </x:c>
      <x:c r="Z1093" s="37" t="n">
        <x:v>10182165.185543178</x:v>
      </x:c>
      <x:c r="AA1093" s="37" t="n">
        <x:v>0</x:v>
      </x:c>
      <x:c r="AB1093" s="37" t="n">
        <x:v>10182165.185543178</x:v>
      </x:c>
      <x:c r="AC1093" s="37" t="n">
        <x:v>800148.3318073433</x:v>
      </x:c>
      <x:c r="AD1093" s="37" t="n">
        <x:v>0</x:v>
      </x:c>
      <x:c r="AE1093" s="37" t="n">
        <x:v>0</x:v>
      </x:c>
      <x:c r="AF1093" s="47" t="b">
        <x:v>0</x:v>
      </x:c>
      <x:c r="AG1093" s="47" t="b">
        <x:v>0</x:v>
      </x:c>
      <x:c r="AH1093" s="48" t="n">
        <x:v>0</x:v>
      </x:c>
      <x:c r="AI1093" s="48" t="n">
        <x:v>1.1920928955078125e-7</x:v>
      </x:c>
      <x:c r="AJ1093" s="37" t="str">
        <x:v>passed</x:v>
      </x:c>
    </x:row>
    <x:row r="1094" ht="21" customHeight="1">
      <x:c r="A1094" s="2"/>
      <x:c r="B1094" s="2"/>
      <x:c r="C1094" s="2" t="str">
        <x:v>2023</x:v>
      </x:c>
      <x:c r="D1094" s="5" t="n">
        <x:v>44960</x:v>
      </x:c>
      <x:c r="E1094" s="2" t="str">
        <x:v>constrained</x:v>
      </x:c>
      <x:c r="F1094" s="37" t="n">
        <x:v>11677497.99992105</x:v>
      </x:c>
      <x:c r="G1094" s="37" t="n">
        <x:v>-30153.377949499023</x:v>
      </x:c>
      <x:c r="H1094" s="37" t="n">
        <x:v>20370.74827601974</x:v>
      </x:c>
      <x:c r="I1094" s="37" t="n">
        <x:v>-50524.12622551876</x:v>
      </x:c>
      <x:c r="J1094" s="37" t="n">
        <x:v>10665821.462622764</x:v>
      </x:c>
      <x:c r="K1094" s="37" t="n">
        <x:v>10695974.840572262</x:v>
      </x:c>
      <x:c r="L1094" s="37" t="n">
        <x:v>11647344.621971551</x:v>
      </x:c>
      <x:c r="M1094" s="37" t="n">
        <x:v>0</x:v>
      </x:c>
      <x:c r="N1094" s="37" t="n">
        <x:v>0</x:v>
      </x:c>
      <x:c r="O1094" s="37" t="n">
        <x:v>639.8278450444341</x:v>
      </x:c>
      <x:c r="P1094" s="37" t="n">
        <x:v>0</x:v>
      </x:c>
      <x:c r="Q1094" s="37" t="n">
        <x:v>0</x:v>
      </x:c>
      <x:c r="R1094" s="37" t="n">
        <x:v>0</x:v>
      </x:c>
      <x:c r="S1094" s="37" t="n">
        <x:v>0</x:v>
      </x:c>
      <x:c r="T1094" s="37" t="n">
        <x:v>0</x:v>
      </x:c>
      <x:c r="U1094" s="37" t="n">
        <x:v>0</x:v>
      </x:c>
      <x:c r="V1094" s="37" t="n">
        <x:v>0</x:v>
      </x:c>
      <x:c r="W1094" s="37" t="n">
        <x:v>19732.33840919286</x:v>
      </x:c>
      <x:c r="X1094" s="37" t="n">
        <x:v>0</x:v>
      </x:c>
      <x:c r="Y1094" s="37" t="n">
        <x:v>2105.323207808831</x:v>
      </x:c>
      <x:c r="Z1094" s="37" t="n">
        <x:v>10909894.337383708</x:v>
      </x:c>
      <x:c r="AA1094" s="37" t="n">
        <x:v>0</x:v>
      </x:c>
      <x:c r="AB1094" s="37" t="n">
        <x:v>10909894.337383708</x:v>
      </x:c>
      <x:c r="AC1094" s="37" t="n">
        <x:v>767603.6625373419</x:v>
      </x:c>
      <x:c r="AD1094" s="37" t="n">
        <x:v>0</x:v>
      </x:c>
      <x:c r="AE1094" s="37" t="n">
        <x:v>0</x:v>
      </x:c>
      <x:c r="AF1094" s="47" t="b">
        <x:v>0</x:v>
      </x:c>
      <x:c r="AG1094" s="47" t="b">
        <x:v>0</x:v>
      </x:c>
      <x:c r="AH1094" s="48" t="n">
        <x:v>0</x:v>
      </x:c>
      <x:c r="AI1094" s="48" t="n">
        <x:v>1.1920928955078125e-7</x:v>
      </x:c>
      <x:c r="AJ1094" s="37" t="str">
        <x:v>passed</x:v>
      </x:c>
    </x:row>
    <x:row r="1095" ht="21" customHeight="1">
      <x:c r="A1095" s="2"/>
      <x:c r="B1095" s="2"/>
      <x:c r="C1095" s="2" t="str">
        <x:v>2023</x:v>
      </x:c>
      <x:c r="D1095" s="5" t="n">
        <x:v>44963</x:v>
      </x:c>
      <x:c r="E1095" s="2" t="str">
        <x:v>unhedged</x:v>
      </x:c>
      <x:c r="F1095" s="37" t="n">
        <x:v>1201192.8248828899</x:v>
      </x:c>
      <x:c r="G1095" s="37" t="n">
        <x:v>10555040.631840732</x:v>
      </x:c>
      <x:c r="H1095" s="37" t="n">
        <x:v>49878.468051885655</x:v>
      </x:c>
      <x:c r="I1095" s="37" t="n">
        <x:v>10505162.163788846</x:v>
      </x:c>
      <x:c r="J1095" s="37" t="n">
        <x:v>10555040.631840732</x:v>
      </x:c>
      <x:c r="K1095" s="37" t="n">
        <x:v>0</x:v>
      </x:c>
      <x:c r="L1095" s="37" t="n">
        <x:v>11756233.456723621</x:v>
      </x:c>
      <x:c r="M1095" s="37" t="n">
        <x:v>0</x:v>
      </x:c>
      <x:c r="N1095" s="37" t="n">
        <x:v>0</x:v>
      </x:c>
      <x:c r="O1095" s="37" t="n">
        <x:v>197.43471769895405</x:v>
      </x:c>
      <x:c r="P1095" s="37" t="n">
        <x:v>0</x:v>
      </x:c>
      <x:c r="Q1095" s="37" t="n">
        <x:v>0</x:v>
      </x:c>
      <x:c r="R1095" s="37" t="n">
        <x:v>0</x:v>
      </x:c>
      <x:c r="S1095" s="37" t="n">
        <x:v>0</x:v>
      </x:c>
      <x:c r="T1095" s="37" t="n">
        <x:v>0</x:v>
      </x:c>
      <x:c r="U1095" s="37" t="n">
        <x:v>0</x:v>
      </x:c>
      <x:c r="V1095" s="37" t="n">
        <x:v>0</x:v>
      </x:c>
      <x:c r="W1095" s="37" t="n">
        <x:v>2235.694225012092</x:v>
      </x:c>
      <x:c r="X1095" s="37" t="n">
        <x:v>0</x:v>
      </x:c>
      <x:c r="Y1095" s="37" t="n">
        <x:v>1042.869342122179</x:v>
      </x:c>
      <x:c r="Z1095" s="37" t="n">
        <x:v>0</x:v>
      </x:c>
      <x:c r="AA1095" s="37" t="n">
        <x:v>0</x:v>
      </x:c>
      <x:c r="AB1095" s="37" t="n">
        <x:v>0</x:v>
      </x:c>
      <x:c r="AC1095" s="37" t="n">
        <x:v>1201192.8248828899</x:v>
      </x:c>
      <x:c r="AD1095" s="37" t="n">
        <x:v>0</x:v>
      </x:c>
      <x:c r="AE1095" s="37" t="n">
        <x:v>0</x:v>
      </x:c>
      <x:c r="AF1095" s="47" t="b">
        <x:v>0</x:v>
      </x:c>
      <x:c r="AG1095" s="47" t="b">
        <x:v>0</x:v>
      </x:c>
      <x:c r="AH1095" s="48" t="n">
        <x:v>0</x:v>
      </x:c>
      <x:c r="AI1095" s="48" t="n">
        <x:v>1.1920928955078125e-7</x:v>
      </x:c>
      <x:c r="AJ1095" s="37" t="str">
        <x:v>passed</x:v>
      </x:c>
    </x:row>
    <x:row r="1096" ht="21" customHeight="1">
      <x:c r="A1096" s="2"/>
      <x:c r="B1096" s="2"/>
      <x:c r="C1096" s="2" t="str">
        <x:v>2023</x:v>
      </x:c>
      <x:c r="D1096" s="5" t="n">
        <x:v>44963</x:v>
      </x:c>
      <x:c r="E1096" s="2" t="str">
        <x:v>duration</x:v>
      </x:c>
      <x:c r="F1096" s="37" t="n">
        <x:v>7740537.286304696</x:v>
      </x:c>
      <x:c r="G1096" s="37" t="n">
        <x:v>3893746.0038094344</x:v>
      </x:c>
      <x:c r="H1096" s="37" t="n">
        <x:v>24755.150134023992</x:v>
      </x:c>
      <x:c r="I1096" s="37" t="n">
        <x:v>3868990.85367541</x:v>
      </x:c>
      <x:c r="J1096" s="37" t="n">
        <x:v>10555040.631840732</x:v>
      </x:c>
      <x:c r="K1096" s="37" t="n">
        <x:v>6661294.6280312985</x:v>
      </x:c>
      <x:c r="L1096" s="37" t="n">
        <x:v>11634283.29011413</x:v>
      </x:c>
      <x:c r="M1096" s="37" t="n">
        <x:v>0</x:v>
      </x:c>
      <x:c r="N1096" s="37" t="n">
        <x:v>0</x:v>
      </x:c>
      <x:c r="O1096" s="37" t="n">
        <x:v>1272.277657927014</x:v>
      </x:c>
      <x:c r="P1096" s="37" t="n">
        <x:v>0</x:v>
      </x:c>
      <x:c r="Q1096" s="37" t="n">
        <x:v>0</x:v>
      </x:c>
      <x:c r="R1096" s="37" t="n">
        <x:v>0</x:v>
      </x:c>
      <x:c r="S1096" s="37" t="n">
        <x:v>0</x:v>
      </x:c>
      <x:c r="T1096" s="37" t="n">
        <x:v>0</x:v>
      </x:c>
      <x:c r="U1096" s="37" t="n">
        <x:v>0</x:v>
      </x:c>
      <x:c r="V1096" s="37" t="n">
        <x:v>0</x:v>
      </x:c>
      <x:c r="W1096" s="37" t="n">
        <x:v>14533.27439935226</x:v>
      </x:c>
      <x:c r="X1096" s="37" t="n">
        <x:v>0</x:v>
      </x:c>
      <x:c r="Y1096" s="37" t="n">
        <x:v>1711.5571205313227</x:v>
      </x:c>
      <x:c r="Z1096" s="37" t="n">
        <x:v>6794520.520591925</x:v>
      </x:c>
      <x:c r="AA1096" s="37" t="n">
        <x:v>0</x:v>
      </x:c>
      <x:c r="AB1096" s="37" t="n">
        <x:v>6794520.520591925</x:v>
      </x:c>
      <x:c r="AC1096" s="37" t="n">
        <x:v>946016.7657127716</x:v>
      </x:c>
      <x:c r="AD1096" s="37" t="n">
        <x:v>0</x:v>
      </x:c>
      <x:c r="AE1096" s="37" t="n">
        <x:v>0</x:v>
      </x:c>
      <x:c r="AF1096" s="47" t="b">
        <x:v>0</x:v>
      </x:c>
      <x:c r="AG1096" s="47" t="b">
        <x:v>0</x:v>
      </x:c>
      <x:c r="AH1096" s="48" t="n">
        <x:v>0</x:v>
      </x:c>
      <x:c r="AI1096" s="48" t="n">
        <x:v>5.960464477539063e-8</x:v>
      </x:c>
      <x:c r="AJ1096" s="37" t="str">
        <x:v>passed</x:v>
      </x:c>
    </x:row>
    <x:row r="1097" ht="21" customHeight="1">
      <x:c r="A1097" s="2"/>
      <x:c r="B1097" s="2"/>
      <x:c r="C1097" s="2" t="str">
        <x:v>2023</x:v>
      </x:c>
      <x:c r="D1097" s="5" t="n">
        <x:v>44963</x:v>
      </x:c>
      <x:c r="E1097" s="2" t="str">
        <x:v>unweighted</x:v>
      </x:c>
      <x:c r="F1097" s="37" t="n">
        <x:v>10984118.928084599</x:v>
      </x:c>
      <x:c r="G1097" s="37" t="n">
        <x:v>668809.1074111867</x:v>
      </x:c>
      <x:c r="H1097" s="37" t="n">
        <x:v>21385.32142828036</x:v>
      </x:c>
      <x:c r="I1097" s="37" t="n">
        <x:v>647423.7859829064</x:v>
      </x:c>
      <x:c r="J1097" s="37" t="n">
        <x:v>10598239.742269708</x:v>
      </x:c>
      <x:c r="K1097" s="37" t="n">
        <x:v>9929430.63485852</x:v>
      </x:c>
      <x:c r="L1097" s="37" t="n">
        <x:v>11652928.035495786</x:v>
      </x:c>
      <x:c r="M1097" s="37" t="n">
        <x:v>0</x:v>
      </x:c>
      <x:c r="N1097" s="37" t="n">
        <x:v>0</x:v>
      </x:c>
      <x:c r="O1097" s="37" t="n">
        <x:v>1805.4107340779155</x:v>
      </x:c>
      <x:c r="P1097" s="37" t="n">
        <x:v>0</x:v>
      </x:c>
      <x:c r="Q1097" s="37" t="n">
        <x:v>0</x:v>
      </x:c>
      <x:c r="R1097" s="37" t="n">
        <x:v>0</x:v>
      </x:c>
      <x:c r="S1097" s="37" t="n">
        <x:v>0</x:v>
      </x:c>
      <x:c r="T1097" s="37" t="n">
        <x:v>0</x:v>
      </x:c>
      <x:c r="U1097" s="37" t="n">
        <x:v>0</x:v>
      </x:c>
      <x:c r="V1097" s="37" t="n">
        <x:v>0</x:v>
      </x:c>
      <x:c r="W1097" s="37" t="n">
        <x:v>20248.70329733193</x:v>
      </x:c>
      <x:c r="X1097" s="37" t="n">
        <x:v>0</x:v>
      </x:c>
      <x:c r="Y1097" s="37" t="n">
        <x:v>2027.9102592176782</x:v>
      </x:c>
      <x:c r="Z1097" s="37" t="n">
        <x:v>10128019.247555692</x:v>
      </x:c>
      <x:c r="AA1097" s="37" t="n">
        <x:v>0</x:v>
      </x:c>
      <x:c r="AB1097" s="37" t="n">
        <x:v>10128019.247555692</x:v>
      </x:c>
      <x:c r="AC1097" s="37" t="n">
        <x:v>856099.6805289071</x:v>
      </x:c>
      <x:c r="AD1097" s="37" t="n">
        <x:v>0</x:v>
      </x:c>
      <x:c r="AE1097" s="37" t="n">
        <x:v>0</x:v>
      </x:c>
      <x:c r="AF1097" s="47" t="b">
        <x:v>0</x:v>
      </x:c>
      <x:c r="AG1097" s="47" t="b">
        <x:v>0</x:v>
      </x:c>
      <x:c r="AH1097" s="48" t="n">
        <x:v>0</x:v>
      </x:c>
      <x:c r="AI1097" s="48" t="n">
        <x:v>1.1920928955078125e-7</x:v>
      </x:c>
      <x:c r="AJ1097" s="37" t="str">
        <x:v>passed</x:v>
      </x:c>
    </x:row>
    <x:row r="1098" ht="21" customHeight="1">
      <x:c r="A1098" s="2"/>
      <x:c r="B1098" s="2"/>
      <x:c r="C1098" s="2" t="str">
        <x:v>2023</x:v>
      </x:c>
      <x:c r="D1098" s="5" t="n">
        <x:v>44963</x:v>
      </x:c>
      <x:c r="E1098" s="2" t="str">
        <x:v>constrained</x:v>
      </x:c>
      <x:c r="F1098" s="37" t="n">
        <x:v>11679417.693818234</x:v>
      </x:c>
      <x:c r="G1098" s="37" t="n">
        <x:v>-30497.504165191865</x:v>
      </x:c>
      <x:c r="H1098" s="37" t="n">
        <x:v>20252.73577104274</x:v>
      </x:c>
      <x:c r="I1098" s="37" t="n">
        <x:v>-50750.239936234604</x:v>
      </x:c>
      <x:c r="J1098" s="37" t="n">
        <x:v>10610867.507493766</x:v>
      </x:c>
      <x:c r="K1098" s="37" t="n">
        <x:v>10641365.01165896</x:v>
      </x:c>
      <x:c r="L1098" s="37" t="n">
        <x:v>11648920.189653043</x:v>
      </x:c>
      <x:c r="M1098" s="37" t="n">
        <x:v>0</x:v>
      </x:c>
      <x:c r="N1098" s="37" t="n">
        <x:v>0</x:v>
      </x:c>
      <x:c r="O1098" s="37" t="n">
        <x:v>1919.6938971839845</x:v>
      </x:c>
      <x:c r="P1098" s="37" t="n">
        <x:v>0</x:v>
      </x:c>
      <x:c r="Q1098" s="37" t="n">
        <x:v>0</x:v>
      </x:c>
      <x:c r="R1098" s="37" t="n">
        <x:v>0</x:v>
      </x:c>
      <x:c r="S1098" s="37" t="n">
        <x:v>0</x:v>
      </x:c>
      <x:c r="T1098" s="37" t="n">
        <x:v>0</x:v>
      </x:c>
      <x:c r="U1098" s="37" t="n">
        <x:v>0</x:v>
      </x:c>
      <x:c r="V1098" s="37" t="n">
        <x:v>0</x:v>
      </x:c>
      <x:c r="W1098" s="37" t="n">
        <x:v>21652.032306376845</x:v>
      </x:c>
      <x:c r="X1098" s="37" t="n">
        <x:v>0</x:v>
      </x:c>
      <x:c r="Y1098" s="37" t="n">
        <x:v>2105.323207808831</x:v>
      </x:c>
      <x:c r="Z1098" s="37" t="n">
        <x:v>10854192.311892139</x:v>
      </x:c>
      <x:c r="AA1098" s="37" t="n">
        <x:v>0</x:v>
      </x:c>
      <x:c r="AB1098" s="37" t="n">
        <x:v>10854192.311892139</x:v>
      </x:c>
      <x:c r="AC1098" s="37" t="n">
        <x:v>825225.3819260951</x:v>
      </x:c>
      <x:c r="AD1098" s="37" t="n">
        <x:v>0</x:v>
      </x:c>
      <x:c r="AE1098" s="37" t="n">
        <x:v>0</x:v>
      </x:c>
      <x:c r="AF1098" s="47" t="b">
        <x:v>0</x:v>
      </x:c>
      <x:c r="AG1098" s="47" t="b">
        <x:v>0</x:v>
      </x:c>
      <x:c r="AH1098" s="48" t="n">
        <x:v>0</x:v>
      </x:c>
      <x:c r="AI1098" s="48" t="n">
        <x:v>1.1920928955078125e-7</x:v>
      </x:c>
      <x:c r="AJ1098" s="37" t="str">
        <x:v>passed</x:v>
      </x:c>
    </x:row>
    <x:row r="1099" ht="21" customHeight="1">
      <x:c r="A1099" s="2"/>
      <x:c r="B1099" s="2"/>
      <x:c r="C1099" s="2" t="str">
        <x:v>2023</x:v>
      </x:c>
      <x:c r="D1099" s="5" t="n">
        <x:v>44964</x:v>
      </x:c>
      <x:c r="E1099" s="2" t="str">
        <x:v>unhedged</x:v>
      </x:c>
      <x:c r="F1099" s="37" t="n">
        <x:v>1201258.6436678148</x:v>
      </x:c>
      <x:c r="G1099" s="37" t="n">
        <x:v>10535383.372052336</x:v>
      </x:c>
      <x:c r="H1099" s="37" t="n">
        <x:v>50227.30002402114</x:v>
      </x:c>
      <x:c r="I1099" s="37" t="n">
        <x:v>10485156.072028315</x:v>
      </x:c>
      <x:c r="J1099" s="37" t="n">
        <x:v>10535383.372052336</x:v>
      </x:c>
      <x:c r="K1099" s="37" t="n">
        <x:v>0</x:v>
      </x:c>
      <x:c r="L1099" s="37" t="n">
        <x:v>11736642.015720151</x:v>
      </x:c>
      <x:c r="M1099" s="37" t="n">
        <x:v>0</x:v>
      </x:c>
      <x:c r="N1099" s="37" t="n">
        <x:v>0</x:v>
      </x:c>
      <x:c r="O1099" s="37" t="n">
        <x:v>65.81878492492251</x:v>
      </x:c>
      <x:c r="P1099" s="37" t="n">
        <x:v>0</x:v>
      </x:c>
      <x:c r="Q1099" s="37" t="n">
        <x:v>0</x:v>
      </x:c>
      <x:c r="R1099" s="37" t="n">
        <x:v>0</x:v>
      </x:c>
      <x:c r="S1099" s="37" t="n">
        <x:v>0</x:v>
      </x:c>
      <x:c r="T1099" s="37" t="n">
        <x:v>0</x:v>
      </x:c>
      <x:c r="U1099" s="37" t="n">
        <x:v>0</x:v>
      </x:c>
      <x:c r="V1099" s="37" t="n">
        <x:v>0</x:v>
      </x:c>
      <x:c r="W1099" s="37" t="n">
        <x:v>2301.5130099370144</x:v>
      </x:c>
      <x:c r="X1099" s="37" t="n">
        <x:v>0</x:v>
      </x:c>
      <x:c r="Y1099" s="37" t="n">
        <x:v>1042.869342122179</x:v>
      </x:c>
      <x:c r="Z1099" s="37" t="n">
        <x:v>0</x:v>
      </x:c>
      <x:c r="AA1099" s="37" t="n">
        <x:v>0</x:v>
      </x:c>
      <x:c r="AB1099" s="37" t="n">
        <x:v>0</x:v>
      </x:c>
      <x:c r="AC1099" s="37" t="n">
        <x:v>1201258.6436678148</x:v>
      </x:c>
      <x:c r="AD1099" s="37" t="n">
        <x:v>0</x:v>
      </x:c>
      <x:c r="AE1099" s="37" t="n">
        <x:v>0</x:v>
      </x:c>
      <x:c r="AF1099" s="47" t="b">
        <x:v>0</x:v>
      </x:c>
      <x:c r="AG1099" s="47" t="b">
        <x:v>0</x:v>
      </x:c>
      <x:c r="AH1099" s="48" t="n">
        <x:v>0</x:v>
      </x:c>
      <x:c r="AI1099" s="48" t="n">
        <x:v>1.1920928955078125e-7</x:v>
      </x:c>
      <x:c r="AJ1099" s="37" t="str">
        <x:v>passed</x:v>
      </x:c>
    </x:row>
    <x:row r="1100" ht="21" customHeight="1">
      <x:c r="A1100" s="2"/>
      <x:c r="B1100" s="2"/>
      <x:c r="C1100" s="2" t="str">
        <x:v>2023</x:v>
      </x:c>
      <x:c r="D1100" s="5" t="n">
        <x:v>44964</x:v>
      </x:c>
      <x:c r="E1100" s="2" t="str">
        <x:v>duration</x:v>
      </x:c>
      <x:c r="F1100" s="37" t="n">
        <x:v>7740961.425334083</x:v>
      </x:c>
      <x:c r="G1100" s="37" t="n">
        <x:v>3895292.727784084</x:v>
      </x:c>
      <x:c r="H1100" s="37" t="n">
        <x:v>24801.291528835838</x:v>
      </x:c>
      <x:c r="I1100" s="37" t="n">
        <x:v>3870491.4362552483</x:v>
      </x:c>
      <x:c r="J1100" s="37" t="n">
        <x:v>10535383.372052336</x:v>
      </x:c>
      <x:c r="K1100" s="37" t="n">
        <x:v>6640090.644268252</x:v>
      </x:c>
      <x:c r="L1100" s="37" t="n">
        <x:v>11636254.153118167</x:v>
      </x:c>
      <x:c r="M1100" s="37" t="n">
        <x:v>0</x:v>
      </x:c>
      <x:c r="N1100" s="37" t="n">
        <x:v>0</x:v>
      </x:c>
      <x:c r="O1100" s="37" t="n">
        <x:v>424.13902938645333</x:v>
      </x:c>
      <x:c r="P1100" s="37" t="n">
        <x:v>0</x:v>
      </x:c>
      <x:c r="Q1100" s="37" t="n">
        <x:v>0</x:v>
      </x:c>
      <x:c r="R1100" s="37" t="n">
        <x:v>0</x:v>
      </x:c>
      <x:c r="S1100" s="37" t="n">
        <x:v>0</x:v>
      </x:c>
      <x:c r="T1100" s="37" t="n">
        <x:v>0</x:v>
      </x:c>
      <x:c r="U1100" s="37" t="n">
        <x:v>0</x:v>
      </x:c>
      <x:c r="V1100" s="37" t="n">
        <x:v>0</x:v>
      </x:c>
      <x:c r="W1100" s="37" t="n">
        <x:v>14957.413428738713</x:v>
      </x:c>
      <x:c r="X1100" s="37" t="n">
        <x:v>0</x:v>
      </x:c>
      <x:c r="Y1100" s="37" t="n">
        <x:v>1711.5571205313227</x:v>
      </x:c>
      <x:c r="Z1100" s="37" t="n">
        <x:v>6772892.457153617</x:v>
      </x:c>
      <x:c r="AA1100" s="37" t="n">
        <x:v>0</x:v>
      </x:c>
      <x:c r="AB1100" s="37" t="n">
        <x:v>6772892.457153617</x:v>
      </x:c>
      <x:c r="AC1100" s="37" t="n">
        <x:v>968068.9681804655</x:v>
      </x:c>
      <x:c r="AD1100" s="37" t="n">
        <x:v>0</x:v>
      </x:c>
      <x:c r="AE1100" s="37" t="n">
        <x:v>0</x:v>
      </x:c>
      <x:c r="AF1100" s="47" t="b">
        <x:v>0</x:v>
      </x:c>
      <x:c r="AG1100" s="47" t="b">
        <x:v>0</x:v>
      </x:c>
      <x:c r="AH1100" s="48" t="n">
        <x:v>0</x:v>
      </x:c>
      <x:c r="AI1100" s="48" t="n">
        <x:v>5.960464477539063e-8</x:v>
      </x:c>
      <x:c r="AJ1100" s="37" t="str">
        <x:v>passed</x:v>
      </x:c>
    </x:row>
    <x:row r="1101" ht="21" customHeight="1">
      <x:c r="A1101" s="2"/>
      <x:c r="B1101" s="2"/>
      <x:c r="C1101" s="2" t="str">
        <x:v>2023</x:v>
      </x:c>
      <x:c r="D1101" s="5" t="n">
        <x:v>44964</x:v>
      </x:c>
      <x:c r="E1101" s="2" t="str">
        <x:v>unweighted</x:v>
      </x:c>
      <x:c r="F1101" s="37" t="n">
        <x:v>10984720.797614904</x:v>
      </x:c>
      <x:c r="G1101" s="37" t="n">
        <x:v>668351.809563484</x:v>
      </x:c>
      <x:c r="H1101" s="37" t="n">
        <x:v>21362.231608282742</x:v>
      </x:c>
      <x:c r="I1101" s="37" t="n">
        <x:v>646989.5779552013</x:v>
      </x:c>
      <x:c r="J1101" s="37" t="n">
        <x:v>10578241.460604437</x:v>
      </x:c>
      <x:c r="K1101" s="37" t="n">
        <x:v>9909889.651040953</x:v>
      </x:c>
      <x:c r="L1101" s="37" t="n">
        <x:v>11653072.607178388</x:v>
      </x:c>
      <x:c r="M1101" s="37" t="n">
        <x:v>0</x:v>
      </x:c>
      <x:c r="N1101" s="37" t="n">
        <x:v>0</x:v>
      </x:c>
      <x:c r="O1101" s="37" t="n">
        <x:v>601.8695303052664</x:v>
      </x:c>
      <x:c r="P1101" s="37" t="n">
        <x:v>0</x:v>
      </x:c>
      <x:c r="Q1101" s="37" t="n">
        <x:v>0</x:v>
      </x:c>
      <x:c r="R1101" s="37" t="n">
        <x:v>0</x:v>
      </x:c>
      <x:c r="S1101" s="37" t="n">
        <x:v>0</x:v>
      </x:c>
      <x:c r="T1101" s="37" t="n">
        <x:v>0</x:v>
      </x:c>
      <x:c r="U1101" s="37" t="n">
        <x:v>0</x:v>
      </x:c>
      <x:c r="V1101" s="37" t="n">
        <x:v>0</x:v>
      </x:c>
      <x:c r="W1101" s="37" t="n">
        <x:v>20850.572827637196</x:v>
      </x:c>
      <x:c r="X1101" s="37" t="n">
        <x:v>0</x:v>
      </x:c>
      <x:c r="Y1101" s="37" t="n">
        <x:v>2027.9102592176782</x:v>
      </x:c>
      <x:c r="Z1101" s="37" t="n">
        <x:v>10108087.444061771</x:v>
      </x:c>
      <x:c r="AA1101" s="37" t="n">
        <x:v>0</x:v>
      </x:c>
      <x:c r="AB1101" s="37" t="n">
        <x:v>10108087.444061771</x:v>
      </x:c>
      <x:c r="AC1101" s="37" t="n">
        <x:v>876633.3535531331</x:v>
      </x:c>
      <x:c r="AD1101" s="37" t="n">
        <x:v>0</x:v>
      </x:c>
      <x:c r="AE1101" s="37" t="n">
        <x:v>0</x:v>
      </x:c>
      <x:c r="AF1101" s="47" t="b">
        <x:v>0</x:v>
      </x:c>
      <x:c r="AG1101" s="47" t="b">
        <x:v>0</x:v>
      </x:c>
      <x:c r="AH1101" s="48" t="n">
        <x:v>0</x:v>
      </x:c>
      <x:c r="AI1101" s="48" t="n">
        <x:v>1.1920928955078125e-7</x:v>
      </x:c>
      <x:c r="AJ1101" s="37" t="str">
        <x:v>passed</x:v>
      </x:c>
    </x:row>
    <x:row r="1102" ht="21" customHeight="1">
      <x:c r="A1102" s="2"/>
      <x:c r="B1102" s="2"/>
      <x:c r="C1102" s="2" t="str">
        <x:v>2023</x:v>
      </x:c>
      <x:c r="D1102" s="5" t="n">
        <x:v>44964</x:v>
      </x:c>
      <x:c r="E1102" s="2" t="str">
        <x:v>constrained</x:v>
      </x:c>
      <x:c r="F1102" s="37" t="n">
        <x:v>11680057.661911046</x:v>
      </x:c>
      <x:c r="G1102" s="37" t="n">
        <x:v>-30579.163377057528</x:v>
      </x:c>
      <x:c r="H1102" s="37" t="n">
        <x:v>20213.39826938374</x:v>
      </x:c>
      <x:c r="I1102" s="37" t="n">
        <x:v>-50792.56164644127</x:v>
      </x:c>
      <x:c r="J1102" s="37" t="n">
        <x:v>10590770.27484369</x:v>
      </x:c>
      <x:c r="K1102" s="37" t="n">
        <x:v>10621349.438220749</x:v>
      </x:c>
      <x:c r="L1102" s="37" t="n">
        <x:v>11649478.498533988</x:v>
      </x:c>
      <x:c r="M1102" s="37" t="n">
        <x:v>0</x:v>
      </x:c>
      <x:c r="N1102" s="37" t="n">
        <x:v>0</x:v>
      </x:c>
      <x:c r="O1102" s="37" t="n">
        <x:v>639.9680928122252</x:v>
      </x:c>
      <x:c r="P1102" s="37" t="n">
        <x:v>0</x:v>
      </x:c>
      <x:c r="Q1102" s="37" t="n">
        <x:v>0</x:v>
      </x:c>
      <x:c r="R1102" s="37" t="n">
        <x:v>0</x:v>
      </x:c>
      <x:c r="S1102" s="37" t="n">
        <x:v>0</x:v>
      </x:c>
      <x:c r="T1102" s="37" t="n">
        <x:v>0</x:v>
      </x:c>
      <x:c r="U1102" s="37" t="n">
        <x:v>0</x:v>
      </x:c>
      <x:c r="V1102" s="37" t="n">
        <x:v>0</x:v>
      </x:c>
      <x:c r="W1102" s="37" t="n">
        <x:v>22292.00039918907</x:v>
      </x:c>
      <x:c r="X1102" s="37" t="n">
        <x:v>0</x:v>
      </x:c>
      <x:c r="Y1102" s="37" t="n">
        <x:v>2105.323207808831</x:v>
      </x:c>
      <x:c r="Z1102" s="37" t="n">
        <x:v>10833776.426985163</x:v>
      </x:c>
      <x:c r="AA1102" s="37" t="n">
        <x:v>0</x:v>
      </x:c>
      <x:c r="AB1102" s="37" t="n">
        <x:v>10833776.426985163</x:v>
      </x:c>
      <x:c r="AC1102" s="37" t="n">
        <x:v>846281.2349258829</x:v>
      </x:c>
      <x:c r="AD1102" s="37" t="n">
        <x:v>0</x:v>
      </x:c>
      <x:c r="AE1102" s="37" t="n">
        <x:v>0</x:v>
      </x:c>
      <x:c r="AF1102" s="47" t="b">
        <x:v>0</x:v>
      </x:c>
      <x:c r="AG1102" s="47" t="b">
        <x:v>0</x:v>
      </x:c>
      <x:c r="AH1102" s="48" t="n">
        <x:v>0</x:v>
      </x:c>
      <x:c r="AI1102" s="48" t="n">
        <x:v>1.1920928955078125e-7</x:v>
      </x:c>
      <x:c r="AJ1102" s="37" t="str">
        <x:v>passed</x:v>
      </x:c>
    </x:row>
    <x:row r="1103" ht="21" customHeight="1">
      <x:c r="A1103" s="2"/>
      <x:c r="B1103" s="2"/>
      <x:c r="C1103" s="2" t="str">
        <x:v>2023</x:v>
      </x:c>
      <x:c r="D1103" s="5" t="n">
        <x:v>44965</x:v>
      </x:c>
      <x:c r="E1103" s="2" t="str">
        <x:v>unhedged</x:v>
      </x:c>
      <x:c r="F1103" s="37" t="n">
        <x:v>1201324.466059249</x:v>
      </x:c>
      <x:c r="G1103" s="37" t="n">
        <x:v>10545899.907844316</x:v>
      </x:c>
      <x:c r="H1103" s="37" t="n">
        <x:v>50576.13199615662</x:v>
      </x:c>
      <x:c r="I1103" s="37" t="n">
        <x:v>10495323.77584816</x:v>
      </x:c>
      <x:c r="J1103" s="37" t="n">
        <x:v>10545899.907844316</x:v>
      </x:c>
      <x:c r="K1103" s="37" t="n">
        <x:v>0</x:v>
      </x:c>
      <x:c r="L1103" s="37" t="n">
        <x:v>11747224.373903565</x:v>
      </x:c>
      <x:c r="M1103" s="37" t="n">
        <x:v>0</x:v>
      </x:c>
      <x:c r="N1103" s="37" t="n">
        <x:v>0</x:v>
      </x:c>
      <x:c r="O1103" s="37" t="n">
        <x:v>65.82239143410698</x:v>
      </x:c>
      <x:c r="P1103" s="37" t="n">
        <x:v>0</x:v>
      </x:c>
      <x:c r="Q1103" s="37" t="n">
        <x:v>0</x:v>
      </x:c>
      <x:c r="R1103" s="37" t="n">
        <x:v>0</x:v>
      </x:c>
      <x:c r="S1103" s="37" t="n">
        <x:v>0</x:v>
      </x:c>
      <x:c r="T1103" s="37" t="n">
        <x:v>0</x:v>
      </x:c>
      <x:c r="U1103" s="37" t="n">
        <x:v>0</x:v>
      </x:c>
      <x:c r="V1103" s="37" t="n">
        <x:v>0</x:v>
      </x:c>
      <x:c r="W1103" s="37" t="n">
        <x:v>2367.3354013711214</x:v>
      </x:c>
      <x:c r="X1103" s="37" t="n">
        <x:v>0</x:v>
      </x:c>
      <x:c r="Y1103" s="37" t="n">
        <x:v>1042.869342122179</x:v>
      </x:c>
      <x:c r="Z1103" s="37" t="n">
        <x:v>0</x:v>
      </x:c>
      <x:c r="AA1103" s="37" t="n">
        <x:v>0</x:v>
      </x:c>
      <x:c r="AB1103" s="37" t="n">
        <x:v>0</x:v>
      </x:c>
      <x:c r="AC1103" s="37" t="n">
        <x:v>1201324.466059249</x:v>
      </x:c>
      <x:c r="AD1103" s="37" t="n">
        <x:v>0</x:v>
      </x:c>
      <x:c r="AE1103" s="37" t="n">
        <x:v>0</x:v>
      </x:c>
      <x:c r="AF1103" s="47" t="b">
        <x:v>0</x:v>
      </x:c>
      <x:c r="AG1103" s="47" t="b">
        <x:v>0</x:v>
      </x:c>
      <x:c r="AH1103" s="48" t="n">
        <x:v>0</x:v>
      </x:c>
      <x:c r="AI1103" s="48" t="n">
        <x:v>1.1920928955078125e-7</x:v>
      </x:c>
      <x:c r="AJ1103" s="37" t="str">
        <x:v>passed</x:v>
      </x:c>
    </x:row>
    <x:row r="1104" ht="21" customHeight="1">
      <x:c r="A1104" s="2"/>
      <x:c r="B1104" s="2"/>
      <x:c r="C1104" s="2" t="str">
        <x:v>2023</x:v>
      </x:c>
      <x:c r="D1104" s="5" t="n">
        <x:v>44965</x:v>
      </x:c>
      <x:c r="E1104" s="2" t="str">
        <x:v>duration</x:v>
      </x:c>
      <x:c r="F1104" s="37" t="n">
        <x:v>7741385.587603966</x:v>
      </x:c>
      <x:c r="G1104" s="37" t="n">
        <x:v>3898479.198787435</x:v>
      </x:c>
      <x:c r="H1104" s="37" t="n">
        <x:v>24847.432923647684</x:v>
      </x:c>
      <x:c r="I1104" s="37" t="n">
        <x:v>3873631.7658637874</x:v>
      </x:c>
      <x:c r="J1104" s="37" t="n">
        <x:v>10545899.907844316</x:v>
      </x:c>
      <x:c r="K1104" s="37" t="n">
        <x:v>6647420.709056881</x:v>
      </x:c>
      <x:c r="L1104" s="37" t="n">
        <x:v>11639864.7863914</x:v>
      </x:c>
      <x:c r="M1104" s="37" t="n">
        <x:v>0</x:v>
      </x:c>
      <x:c r="N1104" s="37" t="n">
        <x:v>0</x:v>
      </x:c>
      <x:c r="O1104" s="37" t="n">
        <x:v>424.1622698828578</x:v>
      </x:c>
      <x:c r="P1104" s="37" t="n">
        <x:v>0</x:v>
      </x:c>
      <x:c r="Q1104" s="37" t="n">
        <x:v>0</x:v>
      </x:c>
      <x:c r="R1104" s="37" t="n">
        <x:v>0</x:v>
      </x:c>
      <x:c r="S1104" s="37" t="n">
        <x:v>0</x:v>
      </x:c>
      <x:c r="T1104" s="37" t="n">
        <x:v>0</x:v>
      </x:c>
      <x:c r="U1104" s="37" t="n">
        <x:v>0</x:v>
      </x:c>
      <x:c r="V1104" s="37" t="n">
        <x:v>0</x:v>
      </x:c>
      <x:c r="W1104" s="37" t="n">
        <x:v>15381.575698621571</x:v>
      </x:c>
      <x:c r="X1104" s="37" t="n">
        <x:v>0</x:v>
      </x:c>
      <x:c r="Y1104" s="37" t="n">
        <x:v>1711.5571205313227</x:v>
      </x:c>
      <x:c r="Z1104" s="37" t="n">
        <x:v>6780369.123238019</x:v>
      </x:c>
      <x:c r="AA1104" s="37" t="n">
        <x:v>0</x:v>
      </x:c>
      <x:c r="AB1104" s="37" t="n">
        <x:v>6780369.123238019</x:v>
      </x:c>
      <x:c r="AC1104" s="37" t="n">
        <x:v>961016.4643659471</x:v>
      </x:c>
      <x:c r="AD1104" s="37" t="n">
        <x:v>0</x:v>
      </x:c>
      <x:c r="AE1104" s="37" t="n">
        <x:v>0</x:v>
      </x:c>
      <x:c r="AF1104" s="47" t="b">
        <x:v>0</x:v>
      </x:c>
      <x:c r="AG1104" s="47" t="b">
        <x:v>0</x:v>
      </x:c>
      <x:c r="AH1104" s="48" t="n">
        <x:v>0</x:v>
      </x:c>
      <x:c r="AI1104" s="48" t="n">
        <x:v>5.960464477539063e-8</x:v>
      </x:c>
      <x:c r="AJ1104" s="37" t="str">
        <x:v>passed</x:v>
      </x:c>
    </x:row>
    <x:row r="1105" ht="21" customHeight="1">
      <x:c r="A1105" s="2"/>
      <x:c r="B1105" s="2"/>
      <x:c r="C1105" s="2" t="str">
        <x:v>2023</x:v>
      </x:c>
      <x:c r="D1105" s="5" t="n">
        <x:v>44965</x:v>
      </x:c>
      <x:c r="E1105" s="2" t="str">
        <x:v>unweighted</x:v>
      </x:c>
      <x:c r="F1105" s="37" t="n">
        <x:v>10985322.700124364</x:v>
      </x:c>
      <x:c r="G1105" s="37" t="n">
        <x:v>668875.8806499814</x:v>
      </x:c>
      <x:c r="H1105" s="37" t="n">
        <x:v>21339.14178828513</x:v>
      </x:c>
      <x:c r="I1105" s="37" t="n">
        <x:v>647536.7388616963</x:v>
      </x:c>
      <x:c r="J1105" s="37" t="n">
        <x:v>10588833.00181943</x:v>
      </x:c>
      <x:c r="K1105" s="37" t="n">
        <x:v>9919957.12116945</x:v>
      </x:c>
      <x:c r="L1105" s="37" t="n">
        <x:v>11654198.580774346</x:v>
      </x:c>
      <x:c r="M1105" s="37" t="n">
        <x:v>0</x:v>
      </x:c>
      <x:c r="N1105" s="37" t="n">
        <x:v>0</x:v>
      </x:c>
      <x:c r="O1105" s="37" t="n">
        <x:v>601.9025094602257</x:v>
      </x:c>
      <x:c r="P1105" s="37" t="n">
        <x:v>0</x:v>
      </x:c>
      <x:c r="Q1105" s="37" t="n">
        <x:v>0</x:v>
      </x:c>
      <x:c r="R1105" s="37" t="n">
        <x:v>0</x:v>
      </x:c>
      <x:c r="S1105" s="37" t="n">
        <x:v>0</x:v>
      </x:c>
      <x:c r="T1105" s="37" t="n">
        <x:v>0</x:v>
      </x:c>
      <x:c r="U1105" s="37" t="n">
        <x:v>0</x:v>
      </x:c>
      <x:c r="V1105" s="37" t="n">
        <x:v>0</x:v>
      </x:c>
      <x:c r="W1105" s="37" t="n">
        <x:v>21452.47533709742</x:v>
      </x:c>
      <x:c r="X1105" s="37" t="n">
        <x:v>0</x:v>
      </x:c>
      <x:c r="Y1105" s="37" t="n">
        <x:v>2027.9102592176782</x:v>
      </x:c>
      <x:c r="Z1105" s="37" t="n">
        <x:v>10118356.26359284</x:v>
      </x:c>
      <x:c r="AA1105" s="37" t="n">
        <x:v>0</x:v>
      </x:c>
      <x:c r="AB1105" s="37" t="n">
        <x:v>10118356.26359284</x:v>
      </x:c>
      <x:c r="AC1105" s="37" t="n">
        <x:v>866966.4365315251</x:v>
      </x:c>
      <x:c r="AD1105" s="37" t="n">
        <x:v>0</x:v>
      </x:c>
      <x:c r="AE1105" s="37" t="n">
        <x:v>0</x:v>
      </x:c>
      <x:c r="AF1105" s="47" t="b">
        <x:v>0</x:v>
      </x:c>
      <x:c r="AG1105" s="47" t="b">
        <x:v>0</x:v>
      </x:c>
      <x:c r="AH1105" s="48" t="n">
        <x:v>0</x:v>
      </x:c>
      <x:c r="AI1105" s="48" t="n">
        <x:v>1.1920928955078125e-7</x:v>
      </x:c>
      <x:c r="AJ1105" s="37" t="str">
        <x:v>passed</x:v>
      </x:c>
    </x:row>
    <x:row r="1106" ht="21" customHeight="1">
      <x:c r="A1106" s="2"/>
      <x:c r="B1106" s="2"/>
      <x:c r="C1106" s="2" t="str">
        <x:v>2023</x:v>
      </x:c>
      <x:c r="D1106" s="5" t="n">
        <x:v>44965</x:v>
      </x:c>
      <x:c r="E1106" s="2" t="str">
        <x:v>constrained</x:v>
      </x:c>
      <x:c r="F1106" s="37" t="n">
        <x:v>11680697.665070605</x:v>
      </x:c>
      <x:c r="G1106" s="37" t="n">
        <x:v>-30378.705445150656</x:v>
      </x:c>
      <x:c r="H1106" s="37" t="n">
        <x:v>20174.060767724743</x:v>
      </x:c>
      <x:c r="I1106" s="37" t="n">
        <x:v>-50552.7662128754</x:v>
      </x:c>
      <x:c r="J1106" s="37" t="n">
        <x:v>10601384.869446455</x:v>
      </x:c>
      <x:c r="K1106" s="37" t="n">
        <x:v>10631763.574891606</x:v>
      </x:c>
      <x:c r="L1106" s="37" t="n">
        <x:v>11650318.959625455</x:v>
      </x:c>
      <x:c r="M1106" s="37" t="n">
        <x:v>0</x:v>
      </x:c>
      <x:c r="N1106" s="37" t="n">
        <x:v>0</x:v>
      </x:c>
      <x:c r="O1106" s="37" t="n">
        <x:v>640.0031595584005</x:v>
      </x:c>
      <x:c r="P1106" s="37" t="n">
        <x:v>0</x:v>
      </x:c>
      <x:c r="Q1106" s="37" t="n">
        <x:v>0</x:v>
      </x:c>
      <x:c r="R1106" s="37" t="n">
        <x:v>0</x:v>
      </x:c>
      <x:c r="S1106" s="37" t="n">
        <x:v>0</x:v>
      </x:c>
      <x:c r="T1106" s="37" t="n">
        <x:v>0</x:v>
      </x:c>
      <x:c r="U1106" s="37" t="n">
        <x:v>0</x:v>
      </x:c>
      <x:c r="V1106" s="37" t="n">
        <x:v>0</x:v>
      </x:c>
      <x:c r="W1106" s="37" t="n">
        <x:v>22932.00355874747</x:v>
      </x:c>
      <x:c r="X1106" s="37" t="n">
        <x:v>0</x:v>
      </x:c>
      <x:c r="Y1106" s="37" t="n">
        <x:v>2105.323207808831</x:v>
      </x:c>
      <x:c r="Z1106" s="37" t="n">
        <x:v>10844398.846389439</x:v>
      </x:c>
      <x:c r="AA1106" s="37" t="n">
        <x:v>0</x:v>
      </x:c>
      <x:c r="AB1106" s="37" t="n">
        <x:v>10844398.846389439</x:v>
      </x:c>
      <x:c r="AC1106" s="37" t="n">
        <x:v>836298.8186811656</x:v>
      </x:c>
      <x:c r="AD1106" s="37" t="n">
        <x:v>0</x:v>
      </x:c>
      <x:c r="AE1106" s="37" t="n">
        <x:v>0</x:v>
      </x:c>
      <x:c r="AF1106" s="47" t="b">
        <x:v>0</x:v>
      </x:c>
      <x:c r="AG1106" s="47" t="b">
        <x:v>0</x:v>
      </x:c>
      <x:c r="AH1106" s="48" t="n">
        <x:v>0</x:v>
      </x:c>
      <x:c r="AI1106" s="48" t="n">
        <x:v>1.1920928955078125e-7</x:v>
      </x:c>
      <x:c r="AJ1106" s="37" t="str">
        <x:v>passed</x:v>
      </x:c>
    </x:row>
    <x:row r="1107" ht="21" customHeight="1">
      <x:c r="A1107" s="2"/>
      <x:c r="B1107" s="2"/>
      <x:c r="C1107" s="2" t="str">
        <x:v>2023</x:v>
      </x:c>
      <x:c r="D1107" s="5" t="n">
        <x:v>44966</x:v>
      </x:c>
      <x:c r="E1107" s="2" t="str">
        <x:v>unhedged</x:v>
      </x:c>
      <x:c r="F1107" s="37" t="n">
        <x:v>1201390.2920573892</x:v>
      </x:c>
      <x:c r="G1107" s="37" t="n">
        <x:v>10525624.234325018</x:v>
      </x:c>
      <x:c r="H1107" s="37" t="n">
        <x:v>50924.9639682921</x:v>
      </x:c>
      <x:c r="I1107" s="37" t="n">
        <x:v>10474699.270356726</x:v>
      </x:c>
      <x:c r="J1107" s="37" t="n">
        <x:v>10525624.234325018</x:v>
      </x:c>
      <x:c r="K1107" s="37" t="n">
        <x:v>0</x:v>
      </x:c>
      <x:c r="L1107" s="37" t="n">
        <x:v>11727014.526382407</x:v>
      </x:c>
      <x:c r="M1107" s="37" t="n">
        <x:v>0</x:v>
      </x:c>
      <x:c r="N1107" s="37" t="n">
        <x:v>0</x:v>
      </x:c>
      <x:c r="O1107" s="37" t="n">
        <x:v>65.82599814026617</x:v>
      </x:c>
      <x:c r="P1107" s="37" t="n">
        <x:v>0</x:v>
      </x:c>
      <x:c r="Q1107" s="37" t="n">
        <x:v>0</x:v>
      </x:c>
      <x:c r="R1107" s="37" t="n">
        <x:v>0</x:v>
      </x:c>
      <x:c r="S1107" s="37" t="n">
        <x:v>0</x:v>
      </x:c>
      <x:c r="T1107" s="37" t="n">
        <x:v>0</x:v>
      </x:c>
      <x:c r="U1107" s="37" t="n">
        <x:v>0</x:v>
      </x:c>
      <x:c r="V1107" s="37" t="n">
        <x:v>0</x:v>
      </x:c>
      <x:c r="W1107" s="37" t="n">
        <x:v>2433.1613995113876</x:v>
      </x:c>
      <x:c r="X1107" s="37" t="n">
        <x:v>0</x:v>
      </x:c>
      <x:c r="Y1107" s="37" t="n">
        <x:v>1042.869342122179</x:v>
      </x:c>
      <x:c r="Z1107" s="37" t="n">
        <x:v>0</x:v>
      </x:c>
      <x:c r="AA1107" s="37" t="n">
        <x:v>0</x:v>
      </x:c>
      <x:c r="AB1107" s="37" t="n">
        <x:v>0</x:v>
      </x:c>
      <x:c r="AC1107" s="37" t="n">
        <x:v>1201390.2920573892</x:v>
      </x:c>
      <x:c r="AD1107" s="37" t="n">
        <x:v>0</x:v>
      </x:c>
      <x:c r="AE1107" s="37" t="n">
        <x:v>0</x:v>
      </x:c>
      <x:c r="AF1107" s="47" t="b">
        <x:v>0</x:v>
      </x:c>
      <x:c r="AG1107" s="47" t="b">
        <x:v>0</x:v>
      </x:c>
      <x:c r="AH1107" s="48" t="n">
        <x:v>0</x:v>
      </x:c>
      <x:c r="AI1107" s="48" t="n">
        <x:v>1.1920928955078125e-7</x:v>
      </x:c>
      <x:c r="AJ1107" s="37" t="str">
        <x:v>passed</x:v>
      </x:c>
    </x:row>
    <x:row r="1108" ht="21" customHeight="1">
      <x:c r="A1108" s="2"/>
      <x:c r="B1108" s="2"/>
      <x:c r="C1108" s="2" t="str">
        <x:v>2023</x:v>
      </x:c>
      <x:c r="D1108" s="5" t="n">
        <x:v>44966</x:v>
      </x:c>
      <x:c r="E1108" s="2" t="str">
        <x:v>duration</x:v>
      </x:c>
      <x:c r="F1108" s="37" t="n">
        <x:v>7741809.773115615</x:v>
      </x:c>
      <x:c r="G1108" s="37" t="n">
        <x:v>3895223.726123556</x:v>
      </x:c>
      <x:c r="H1108" s="37" t="n">
        <x:v>24893.574318459534</x:v>
      </x:c>
      <x:c r="I1108" s="37" t="n">
        <x:v>3870330.1518050963</x:v>
      </x:c>
      <x:c r="J1108" s="37" t="n">
        <x:v>10525624.234325018</x:v>
      </x:c>
      <x:c r="K1108" s="37" t="n">
        <x:v>6630400.508201462</x:v>
      </x:c>
      <x:c r="L1108" s="37" t="n">
        <x:v>11637033.49923917</x:v>
      </x:c>
      <x:c r="M1108" s="37" t="n">
        <x:v>0</x:v>
      </x:c>
      <x:c r="N1108" s="37" t="n">
        <x:v>0</x:v>
      </x:c>
      <x:c r="O1108" s="37" t="n">
        <x:v>424.18551164958626</x:v>
      </x:c>
      <x:c r="P1108" s="37" t="n">
        <x:v>0</x:v>
      </x:c>
      <x:c r="Q1108" s="37" t="n">
        <x:v>0</x:v>
      </x:c>
      <x:c r="R1108" s="37" t="n">
        <x:v>0</x:v>
      </x:c>
      <x:c r="S1108" s="37" t="n">
        <x:v>0</x:v>
      </x:c>
      <x:c r="T1108" s="37" t="n">
        <x:v>0</x:v>
      </x:c>
      <x:c r="U1108" s="37" t="n">
        <x:v>0</x:v>
      </x:c>
      <x:c r="V1108" s="37" t="n">
        <x:v>0</x:v>
      </x:c>
      <x:c r="W1108" s="37" t="n">
        <x:v>15805.761210271157</x:v>
      </x:c>
      <x:c r="X1108" s="37" t="n">
        <x:v>0</x:v>
      </x:c>
      <x:c r="Y1108" s="37" t="n">
        <x:v>1711.5571205313227</x:v>
      </x:c>
      <x:c r="Z1108" s="37" t="n">
        <x:v>6763008.518365491</x:v>
      </x:c>
      <x:c r="AA1108" s="37" t="n">
        <x:v>0</x:v>
      </x:c>
      <x:c r="AB1108" s="37" t="n">
        <x:v>6763008.518365491</x:v>
      </x:c>
      <x:c r="AC1108" s="37" t="n">
        <x:v>978801.2547501242</x:v>
      </x:c>
      <x:c r="AD1108" s="37" t="n">
        <x:v>0</x:v>
      </x:c>
      <x:c r="AE1108" s="37" t="n">
        <x:v>0</x:v>
      </x:c>
      <x:c r="AF1108" s="47" t="b">
        <x:v>0</x:v>
      </x:c>
      <x:c r="AG1108" s="47" t="b">
        <x:v>0</x:v>
      </x:c>
      <x:c r="AH1108" s="48" t="n">
        <x:v>0</x:v>
      </x:c>
      <x:c r="AI1108" s="48" t="n">
        <x:v>5.960464477539063e-8</x:v>
      </x:c>
      <x:c r="AJ1108" s="37" t="str">
        <x:v>passed</x:v>
      </x:c>
    </x:row>
    <x:row r="1109" ht="21" customHeight="1">
      <x:c r="A1109" s="2"/>
      <x:c r="B1109" s="2"/>
      <x:c r="C1109" s="2" t="str">
        <x:v>2023</x:v>
      </x:c>
      <x:c r="D1109" s="5" t="n">
        <x:v>44966</x:v>
      </x:c>
      <x:c r="E1109" s="2" t="str">
        <x:v>unweighted</x:v>
      </x:c>
      <x:c r="F1109" s="37" t="n">
        <x:v>10985924.635614783</x:v>
      </x:c>
      <x:c r="G1109" s="37" t="n">
        <x:v>668096.3028013092</x:v>
      </x:c>
      <x:c r="H1109" s="37" t="n">
        <x:v>21316.051968287513</x:v>
      </x:c>
      <x:c r="I1109" s="37" t="n">
        <x:v>646780.2508330216</x:v>
      </x:c>
      <x:c r="J1109" s="37" t="n">
        <x:v>10568315.841526981</x:v>
      </x:c>
      <x:c r="K1109" s="37" t="n">
        <x:v>9900219.538725672</x:v>
      </x:c>
      <x:c r="L1109" s="37" t="n">
        <x:v>11654020.938416092</x:v>
      </x:c>
      <x:c r="M1109" s="37" t="n">
        <x:v>0</x:v>
      </x:c>
      <x:c r="N1109" s="37" t="n">
        <x:v>0</x:v>
      </x:c>
      <x:c r="O1109" s="37" t="n">
        <x:v>601.9354904182255</x:v>
      </x:c>
      <x:c r="P1109" s="37" t="n">
        <x:v>0</x:v>
      </x:c>
      <x:c r="Q1109" s="37" t="n">
        <x:v>0</x:v>
      </x:c>
      <x:c r="R1109" s="37" t="n">
        <x:v>0</x:v>
      </x:c>
      <x:c r="S1109" s="37" t="n">
        <x:v>0</x:v>
      </x:c>
      <x:c r="T1109" s="37" t="n">
        <x:v>0</x:v>
      </x:c>
      <x:c r="U1109" s="37" t="n">
        <x:v>0</x:v>
      </x:c>
      <x:c r="V1109" s="37" t="n">
        <x:v>0</x:v>
      </x:c>
      <x:c r="W1109" s="37" t="n">
        <x:v>22054.410827515647</x:v>
      </x:c>
      <x:c r="X1109" s="37" t="n">
        <x:v>0</x:v>
      </x:c>
      <x:c r="Y1109" s="37" t="n">
        <x:v>2027.9102592176782</x:v>
      </x:c>
      <x:c r="Z1109" s="37" t="n">
        <x:v>10098223.929500187</x:v>
      </x:c>
      <x:c r="AA1109" s="37" t="n">
        <x:v>0</x:v>
      </x:c>
      <x:c r="AB1109" s="37" t="n">
        <x:v>10098223.929500187</x:v>
      </x:c>
      <x:c r="AC1109" s="37" t="n">
        <x:v>887700.7061145958</x:v>
      </x:c>
      <x:c r="AD1109" s="37" t="n">
        <x:v>0</x:v>
      </x:c>
      <x:c r="AE1109" s="37" t="n">
        <x:v>0</x:v>
      </x:c>
      <x:c r="AF1109" s="47" t="b">
        <x:v>0</x:v>
      </x:c>
      <x:c r="AG1109" s="47" t="b">
        <x:v>0</x:v>
      </x:c>
      <x:c r="AH1109" s="48" t="n">
        <x:v>0</x:v>
      </x:c>
      <x:c r="AI1109" s="48" t="n">
        <x:v>1.1920928955078125e-7</x:v>
      </x:c>
      <x:c r="AJ1109" s="37" t="str">
        <x:v>passed</x:v>
      </x:c>
    </x:row>
    <x:row r="1110" ht="21" customHeight="1">
      <x:c r="A1110" s="2"/>
      <x:c r="B1110" s="2"/>
      <x:c r="C1110" s="2" t="str">
        <x:v>2023</x:v>
      </x:c>
      <x:c r="D1110" s="5" t="n">
        <x:v>44966</x:v>
      </x:c>
      <x:c r="E1110" s="2" t="str">
        <x:v>constrained</x:v>
      </x:c>
      <x:c r="F1110" s="37" t="n">
        <x:v>11681337.70329883</x:v>
      </x:c>
      <x:c r="G1110" s="37" t="n">
        <x:v>-30618.02979833744</x:v>
      </x:c>
      <x:c r="H1110" s="37" t="n">
        <x:v>20134.723266065743</x:v>
      </x:c>
      <x:c r="I1110" s="37" t="n">
        <x:v>-50752.75306440318</x:v>
      </x:c>
      <x:c r="J1110" s="37" t="n">
        <x:v>10580797.738414409</x:v>
      </x:c>
      <x:c r="K1110" s="37" t="n">
        <x:v>10611415.768212747</x:v>
      </x:c>
      <x:c r="L1110" s="37" t="n">
        <x:v>11650719.673500491</x:v>
      </x:c>
      <x:c r="M1110" s="37" t="n">
        <x:v>0</x:v>
      </x:c>
      <x:c r="N1110" s="37" t="n">
        <x:v>0</x:v>
      </x:c>
      <x:c r="O1110" s="37" t="n">
        <x:v>640.038228224963</x:v>
      </x:c>
      <x:c r="P1110" s="37" t="n">
        <x:v>0</x:v>
      </x:c>
      <x:c r="Q1110" s="37" t="n">
        <x:v>0</x:v>
      </x:c>
      <x:c r="R1110" s="37" t="n">
        <x:v>0</x:v>
      </x:c>
      <x:c r="S1110" s="37" t="n">
        <x:v>0</x:v>
      </x:c>
      <x:c r="T1110" s="37" t="n">
        <x:v>0</x:v>
      </x:c>
      <x:c r="U1110" s="37" t="n">
        <x:v>0</x:v>
      </x:c>
      <x:c r="V1110" s="37" t="n">
        <x:v>0</x:v>
      </x:c>
      <x:c r="W1110" s="37" t="n">
        <x:v>23572.041786972433</x:v>
      </x:c>
      <x:c r="X1110" s="37" t="n">
        <x:v>0</x:v>
      </x:c>
      <x:c r="Y1110" s="37" t="n">
        <x:v>2105.323207808831</x:v>
      </x:c>
      <x:c r="Z1110" s="37" t="n">
        <x:v>10823644.083577001</x:v>
      </x:c>
      <x:c r="AA1110" s="37" t="n">
        <x:v>0</x:v>
      </x:c>
      <x:c r="AB1110" s="37" t="n">
        <x:v>10823644.083577001</x:v>
      </x:c>
      <x:c r="AC1110" s="37" t="n">
        <x:v>857693.619721828</x:v>
      </x:c>
      <x:c r="AD1110" s="37" t="n">
        <x:v>0</x:v>
      </x:c>
      <x:c r="AE1110" s="37" t="n">
        <x:v>0</x:v>
      </x:c>
      <x:c r="AF1110" s="47" t="b">
        <x:v>0</x:v>
      </x:c>
      <x:c r="AG1110" s="47" t="b">
        <x:v>0</x:v>
      </x:c>
      <x:c r="AH1110" s="48" t="n">
        <x:v>0</x:v>
      </x:c>
      <x:c r="AI1110" s="48" t="n">
        <x:v>1.1920928955078125e-7</x:v>
      </x:c>
      <x:c r="AJ1110" s="37" t="str">
        <x:v>passed</x:v>
      </x:c>
    </x:row>
    <x:row r="1111" ht="21" customHeight="1">
      <x:c r="A1111" s="2"/>
      <x:c r="B1111" s="2"/>
      <x:c r="C1111" s="2" t="str">
        <x:v>2023</x:v>
      </x:c>
      <x:c r="D1111" s="5" t="n">
        <x:v>44967</x:v>
      </x:c>
      <x:c r="E1111" s="2" t="str">
        <x:v>unhedged</x:v>
      </x:c>
      <x:c r="F1111" s="37" t="n">
        <x:v>1201456.1216624335</x:v>
      </x:c>
      <x:c r="G1111" s="37" t="n">
        <x:v>10489948.038220504</x:v>
      </x:c>
      <x:c r="H1111" s="37" t="n">
        <x:v>51273.79594042757</x:v>
      </x:c>
      <x:c r="I1111" s="37" t="n">
        <x:v>10438674.242280077</x:v>
      </x:c>
      <x:c r="J1111" s="37" t="n">
        <x:v>10489948.038220504</x:v>
      </x:c>
      <x:c r="K1111" s="37" t="n">
        <x:v>0</x:v>
      </x:c>
      <x:c r="L1111" s="37" t="n">
        <x:v>11691404.159882938</x:v>
      </x:c>
      <x:c r="M1111" s="37" t="n">
        <x:v>0</x:v>
      </x:c>
      <x:c r="N1111" s="37" t="n">
        <x:v>0</x:v>
      </x:c>
      <x:c r="O1111" s="37" t="n">
        <x:v>65.8296050443314</x:v>
      </x:c>
      <x:c r="P1111" s="37" t="n">
        <x:v>0</x:v>
      </x:c>
      <x:c r="Q1111" s="37" t="n">
        <x:v>0</x:v>
      </x:c>
      <x:c r="R1111" s="37" t="n">
        <x:v>0</x:v>
      </x:c>
      <x:c r="S1111" s="37" t="n">
        <x:v>0</x:v>
      </x:c>
      <x:c r="T1111" s="37" t="n">
        <x:v>0</x:v>
      </x:c>
      <x:c r="U1111" s="37" t="n">
        <x:v>0</x:v>
      </x:c>
      <x:c r="V1111" s="37" t="n">
        <x:v>0</x:v>
      </x:c>
      <x:c r="W1111" s="37" t="n">
        <x:v>2498.991004555719</x:v>
      </x:c>
      <x:c r="X1111" s="37" t="n">
        <x:v>0</x:v>
      </x:c>
      <x:c r="Y1111" s="37" t="n">
        <x:v>1042.869342122179</x:v>
      </x:c>
      <x:c r="Z1111" s="37" t="n">
        <x:v>0</x:v>
      </x:c>
      <x:c r="AA1111" s="37" t="n">
        <x:v>0</x:v>
      </x:c>
      <x:c r="AB1111" s="37" t="n">
        <x:v>0</x:v>
      </x:c>
      <x:c r="AC1111" s="37" t="n">
        <x:v>1201456.1216624335</x:v>
      </x:c>
      <x:c r="AD1111" s="37" t="n">
        <x:v>0</x:v>
      </x:c>
      <x:c r="AE1111" s="37" t="n">
        <x:v>0</x:v>
      </x:c>
      <x:c r="AF1111" s="47" t="b">
        <x:v>0</x:v>
      </x:c>
      <x:c r="AG1111" s="47" t="b">
        <x:v>0</x:v>
      </x:c>
      <x:c r="AH1111" s="48" t="n">
        <x:v>0</x:v>
      </x:c>
      <x:c r="AI1111" s="48" t="n">
        <x:v>1.1920928955078125e-7</x:v>
      </x:c>
      <x:c r="AJ1111" s="37" t="str">
        <x:v>passed</x:v>
      </x:c>
    </x:row>
    <x:row r="1112" ht="21" customHeight="1">
      <x:c r="A1112" s="2"/>
      <x:c r="B1112" s="2"/>
      <x:c r="C1112" s="2" t="str">
        <x:v>2023</x:v>
      </x:c>
      <x:c r="D1112" s="5" t="n">
        <x:v>44967</x:v>
      </x:c>
      <x:c r="E1112" s="2" t="str">
        <x:v>duration</x:v>
      </x:c>
      <x:c r="F1112" s="37" t="n">
        <x:v>7742233.981870307</x:v>
      </x:c>
      <x:c r="G1112" s="37" t="n">
        <x:v>3903134.0209513027</x:v>
      </x:c>
      <x:c r="H1112" s="37" t="n">
        <x:v>24939.71571327137</x:v>
      </x:c>
      <x:c r="I1112" s="37" t="n">
        <x:v>3878194.3052380313</x:v>
      </x:c>
      <x:c r="J1112" s="37" t="n">
        <x:v>10489948.038220504</x:v>
      </x:c>
      <x:c r="K1112" s="37" t="n">
        <x:v>6586814.017269202</x:v>
      </x:c>
      <x:c r="L1112" s="37" t="n">
        <x:v>11645368.00282161</x:v>
      </x:c>
      <x:c r="M1112" s="37" t="n">
        <x:v>0</x:v>
      </x:c>
      <x:c r="N1112" s="37" t="n">
        <x:v>0</x:v>
      </x:c>
      <x:c r="O1112" s="37" t="n">
        <x:v>424.2087546912953</x:v>
      </x:c>
      <x:c r="P1112" s="37" t="n">
        <x:v>0</x:v>
      </x:c>
      <x:c r="Q1112" s="37" t="n">
        <x:v>0</x:v>
      </x:c>
      <x:c r="R1112" s="37" t="n">
        <x:v>0</x:v>
      </x:c>
      <x:c r="S1112" s="37" t="n">
        <x:v>0</x:v>
      </x:c>
      <x:c r="T1112" s="37" t="n">
        <x:v>0</x:v>
      </x:c>
      <x:c r="U1112" s="37" t="n">
        <x:v>0</x:v>
      </x:c>
      <x:c r="V1112" s="37" t="n">
        <x:v>0</x:v>
      </x:c>
      <x:c r="W1112" s="37" t="n">
        <x:v>16229.969964962453</x:v>
      </x:c>
      <x:c r="X1112" s="37" t="n">
        <x:v>0</x:v>
      </x:c>
      <x:c r="Y1112" s="37" t="n">
        <x:v>1711.5571205313227</x:v>
      </x:c>
      <x:c r="Z1112" s="37" t="n">
        <x:v>6718550.297614586</x:v>
      </x:c>
      <x:c r="AA1112" s="37" t="n">
        <x:v>0</x:v>
      </x:c>
      <x:c r="AB1112" s="37" t="n">
        <x:v>6718550.297614586</x:v>
      </x:c>
      <x:c r="AC1112" s="37" t="n">
        <x:v>1023683.684255721</x:v>
      </x:c>
      <x:c r="AD1112" s="37" t="n">
        <x:v>0</x:v>
      </x:c>
      <x:c r="AE1112" s="37" t="n">
        <x:v>0</x:v>
      </x:c>
      <x:c r="AF1112" s="47" t="b">
        <x:v>0</x:v>
      </x:c>
      <x:c r="AG1112" s="47" t="b">
        <x:v>0</x:v>
      </x:c>
      <x:c r="AH1112" s="48" t="n">
        <x:v>0</x:v>
      </x:c>
      <x:c r="AI1112" s="48" t="n">
        <x:v>5.960464477539063e-8</x:v>
      </x:c>
      <x:c r="AJ1112" s="37" t="str">
        <x:v>passed</x:v>
      </x:c>
    </x:row>
    <x:row r="1113" ht="21" customHeight="1">
      <x:c r="A1113" s="2"/>
      <x:c r="B1113" s="2"/>
      <x:c r="C1113" s="2" t="str">
        <x:v>2023</x:v>
      </x:c>
      <x:c r="D1113" s="5" t="n">
        <x:v>44967</x:v>
      </x:c>
      <x:c r="E1113" s="2" t="str">
        <x:v>unweighted</x:v>
      </x:c>
      <x:c r="F1113" s="37" t="n">
        <x:v>10986526.604087966</x:v>
      </x:c>
      <x:c r="G1113" s="37" t="n">
        <x:v>667522.0358945333</x:v>
      </x:c>
      <x:c r="H1113" s="37" t="n">
        <x:v>21292.962148289884</x:v>
      </x:c>
      <x:c r="I1113" s="37" t="n">
        <x:v>646229.0737462434</x:v>
      </x:c>
      <x:c r="J1113" s="37" t="n">
        <x:v>10532237.030435434</x:v>
      </x:c>
      <x:c r="K1113" s="37" t="n">
        <x:v>9864714.9945409</x:v>
      </x:c>
      <x:c r="L1113" s="37" t="n">
        <x:v>11654048.6399825</x:v>
      </x:c>
      <x:c r="M1113" s="37" t="n">
        <x:v>0</x:v>
      </x:c>
      <x:c r="N1113" s="37" t="n">
        <x:v>0</x:v>
      </x:c>
      <x:c r="O1113" s="37" t="n">
        <x:v>601.9684731829911</x:v>
      </x:c>
      <x:c r="P1113" s="37" t="n">
        <x:v>0</x:v>
      </x:c>
      <x:c r="Q1113" s="37" t="n">
        <x:v>0</x:v>
      </x:c>
      <x:c r="R1113" s="37" t="n">
        <x:v>0</x:v>
      </x:c>
      <x:c r="S1113" s="37" t="n">
        <x:v>0</x:v>
      </x:c>
      <x:c r="T1113" s="37" t="n">
        <x:v>0</x:v>
      </x:c>
      <x:c r="U1113" s="37" t="n">
        <x:v>0</x:v>
      </x:c>
      <x:c r="V1113" s="37" t="n">
        <x:v>0</x:v>
      </x:c>
      <x:c r="W1113" s="37" t="n">
        <x:v>22656.379300698638</x:v>
      </x:c>
      <x:c r="X1113" s="37" t="n">
        <x:v>0</x:v>
      </x:c>
      <x:c r="Y1113" s="37" t="n">
        <x:v>2027.9102592176782</x:v>
      </x:c>
      <x:c r="Z1113" s="37" t="n">
        <x:v>10062009.294431718</x:v>
      </x:c>
      <x:c r="AA1113" s="37" t="n">
        <x:v>0</x:v>
      </x:c>
      <x:c r="AB1113" s="37" t="n">
        <x:v>10062009.294431718</x:v>
      </x:c>
      <x:c r="AC1113" s="37" t="n">
        <x:v>924517.3096562475</x:v>
      </x:c>
      <x:c r="AD1113" s="37" t="n">
        <x:v>0</x:v>
      </x:c>
      <x:c r="AE1113" s="37" t="n">
        <x:v>0</x:v>
      </x:c>
      <x:c r="AF1113" s="47" t="b">
        <x:v>0</x:v>
      </x:c>
      <x:c r="AG1113" s="47" t="b">
        <x:v>0</x:v>
      </x:c>
      <x:c r="AH1113" s="48" t="n">
        <x:v>0</x:v>
      </x:c>
      <x:c r="AI1113" s="48" t="n">
        <x:v>1.1920928955078125e-7</x:v>
      </x:c>
      <x:c r="AJ1113" s="37" t="str">
        <x:v>passed</x:v>
      </x:c>
    </x:row>
    <x:row r="1114" ht="21" customHeight="1">
      <x:c r="A1114" s="2"/>
      <x:c r="B1114" s="2"/>
      <x:c r="C1114" s="2" t="str">
        <x:v>2023</x:v>
      </x:c>
      <x:c r="D1114" s="5" t="n">
        <x:v>44967</x:v>
      </x:c>
      <x:c r="E1114" s="2" t="str">
        <x:v>constrained</x:v>
      </x:c>
      <x:c r="F1114" s="37" t="n">
        <x:v>11681977.77659764</x:v>
      </x:c>
      <x:c r="G1114" s="37" t="n">
        <x:v>-30568.706860924736</x:v>
      </x:c>
      <x:c r="H1114" s="37" t="n">
        <x:v>20095.38576440673</x:v>
      </x:c>
      <x:c r="I1114" s="37" t="n">
        <x:v>-50664.09262533147</x:v>
      </x:c>
      <x:c r="J1114" s="37" t="n">
        <x:v>10544606.436088758</x:v>
      </x:c>
      <x:c r="K1114" s="37" t="n">
        <x:v>10575175.142949682</x:v>
      </x:c>
      <x:c r="L1114" s="37" t="n">
        <x:v>11651409.069736715</x:v>
      </x:c>
      <x:c r="M1114" s="37" t="n">
        <x:v>0</x:v>
      </x:c>
      <x:c r="N1114" s="37" t="n">
        <x:v>0</x:v>
      </x:c>
      <x:c r="O1114" s="37" t="n">
        <x:v>640.0732988100499</x:v>
      </x:c>
      <x:c r="P1114" s="37" t="n">
        <x:v>0</x:v>
      </x:c>
      <x:c r="Q1114" s="37" t="n">
        <x:v>0</x:v>
      </x:c>
      <x:c r="R1114" s="37" t="n">
        <x:v>0</x:v>
      </x:c>
      <x:c r="S1114" s="37" t="n">
        <x:v>0</x:v>
      </x:c>
      <x:c r="T1114" s="37" t="n">
        <x:v>0</x:v>
      </x:c>
      <x:c r="U1114" s="37" t="n">
        <x:v>0</x:v>
      </x:c>
      <x:c r="V1114" s="37" t="n">
        <x:v>0</x:v>
      </x:c>
      <x:c r="W1114" s="37" t="n">
        <x:v>24212.115085782483</x:v>
      </x:c>
      <x:c r="X1114" s="37" t="n">
        <x:v>0</x:v>
      </x:c>
      <x:c r="Y1114" s="37" t="n">
        <x:v>2105.323207808831</x:v>
      </x:c>
      <x:c r="Z1114" s="37" t="n">
        <x:v>10786678.645808676</x:v>
      </x:c>
      <x:c r="AA1114" s="37" t="n">
        <x:v>0</x:v>
      </x:c>
      <x:c r="AB1114" s="37" t="n">
        <x:v>10786678.645808676</x:v>
      </x:c>
      <x:c r="AC1114" s="37" t="n">
        <x:v>895299.1307889633</x:v>
      </x:c>
      <x:c r="AD1114" s="37" t="n">
        <x:v>0</x:v>
      </x:c>
      <x:c r="AE1114" s="37" t="n">
        <x:v>0</x:v>
      </x:c>
      <x:c r="AF1114" s="47" t="b">
        <x:v>0</x:v>
      </x:c>
      <x:c r="AG1114" s="47" t="b">
        <x:v>0</x:v>
      </x:c>
      <x:c r="AH1114" s="48" t="n">
        <x:v>0</x:v>
      </x:c>
      <x:c r="AI1114" s="48" t="n">
        <x:v>1.1920928955078125e-7</x:v>
      </x:c>
      <x:c r="AJ1114" s="37" t="str">
        <x:v>passed</x:v>
      </x:c>
    </x:row>
    <x:row r="1115" ht="21" customHeight="1">
      <x:c r="A1115" s="2"/>
      <x:c r="B1115" s="2"/>
      <x:c r="C1115" s="2" t="str">
        <x:v>2023</x:v>
      </x:c>
      <x:c r="D1115" s="5" t="n">
        <x:v>44970</x:v>
      </x:c>
      <x:c r="E1115" s="2" t="str">
        <x:v>unhedged</x:v>
      </x:c>
      <x:c r="F1115" s="37" t="n">
        <x:v>1201653.632120967</x:v>
      </x:c>
      <x:c r="G1115" s="37" t="n">
        <x:v>10503644.943122523</x:v>
      </x:c>
      <x:c r="H1115" s="37" t="n">
        <x:v>52320.29185683402</x:v>
      </x:c>
      <x:c r="I1115" s="37" t="n">
        <x:v>10451324.651265688</x:v>
      </x:c>
      <x:c r="J1115" s="37" t="n">
        <x:v>10503644.943122523</x:v>
      </x:c>
      <x:c r="K1115" s="37" t="n">
        <x:v>0</x:v>
      </x:c>
      <x:c r="L1115" s="37" t="n">
        <x:v>11705298.57524349</x:v>
      </x:c>
      <x:c r="M1115" s="37" t="n">
        <x:v>0</x:v>
      </x:c>
      <x:c r="N1115" s="37" t="n">
        <x:v>0</x:v>
      </x:c>
      <x:c r="O1115" s="37" t="n">
        <x:v>197.5104585334193</x:v>
      </x:c>
      <x:c r="P1115" s="37" t="n">
        <x:v>0</x:v>
      </x:c>
      <x:c r="Q1115" s="37" t="n">
        <x:v>0</x:v>
      </x:c>
      <x:c r="R1115" s="37" t="n">
        <x:v>0</x:v>
      </x:c>
      <x:c r="S1115" s="37" t="n">
        <x:v>0</x:v>
      </x:c>
      <x:c r="T1115" s="37" t="n">
        <x:v>0</x:v>
      </x:c>
      <x:c r="U1115" s="37" t="n">
        <x:v>0</x:v>
      </x:c>
      <x:c r="V1115" s="37" t="n">
        <x:v>0</x:v>
      </x:c>
      <x:c r="W1115" s="37" t="n">
        <x:v>2696.5014630891383</x:v>
      </x:c>
      <x:c r="X1115" s="37" t="n">
        <x:v>0</x:v>
      </x:c>
      <x:c r="Y1115" s="37" t="n">
        <x:v>1042.869342122179</x:v>
      </x:c>
      <x:c r="Z1115" s="37" t="n">
        <x:v>0</x:v>
      </x:c>
      <x:c r="AA1115" s="37" t="n">
        <x:v>0</x:v>
      </x:c>
      <x:c r="AB1115" s="37" t="n">
        <x:v>0</x:v>
      </x:c>
      <x:c r="AC1115" s="37" t="n">
        <x:v>1201653.632120967</x:v>
      </x:c>
      <x:c r="AD1115" s="37" t="n">
        <x:v>0</x:v>
      </x:c>
      <x:c r="AE1115" s="37" t="n">
        <x:v>0</x:v>
      </x:c>
      <x:c r="AF1115" s="47" t="b">
        <x:v>0</x:v>
      </x:c>
      <x:c r="AG1115" s="47" t="b">
        <x:v>0</x:v>
      </x:c>
      <x:c r="AH1115" s="48" t="n">
        <x:v>0</x:v>
      </x:c>
      <x:c r="AI1115" s="48" t="n">
        <x:v>1.1920928955078125e-7</x:v>
      </x:c>
      <x:c r="AJ1115" s="37" t="str">
        <x:v>passed</x:v>
      </x:c>
    </x:row>
    <x:row r="1116" ht="21" customHeight="1">
      <x:c r="A1116" s="2"/>
      <x:c r="B1116" s="2"/>
      <x:c r="C1116" s="2" t="str">
        <x:v>2023</x:v>
      </x:c>
      <x:c r="D1116" s="5" t="n">
        <x:v>44970</x:v>
      </x:c>
      <x:c r="E1116" s="2" t="str">
        <x:v>duration</x:v>
      </x:c>
      <x:c r="F1116" s="37" t="n">
        <x:v>7743506.7476053685</x:v>
      </x:c>
      <x:c r="G1116" s="37" t="n">
        <x:v>3897223.828102465</x:v>
      </x:c>
      <x:c r="H1116" s="37" t="n">
        <x:v>25078.139897706915</x:v>
      </x:c>
      <x:c r="I1116" s="37" t="n">
        <x:v>3872145.688204758</x:v>
      </x:c>
      <x:c r="J1116" s="37" t="n">
        <x:v>10503644.943122523</x:v>
      </x:c>
      <x:c r="K1116" s="37" t="n">
        <x:v>6606421.115020058</x:v>
      </x:c>
      <x:c r="L1116" s="37" t="n">
        <x:v>11640730.575707834</x:v>
      </x:c>
      <x:c r="M1116" s="37" t="n">
        <x:v>0</x:v>
      </x:c>
      <x:c r="N1116" s="37" t="n">
        <x:v>0</x:v>
      </x:c>
      <x:c r="O1116" s="37" t="n">
        <x:v>1272.7657350618392</x:v>
      </x:c>
      <x:c r="P1116" s="37" t="n">
        <x:v>0</x:v>
      </x:c>
      <x:c r="Q1116" s="37" t="n">
        <x:v>0</x:v>
      </x:c>
      <x:c r="R1116" s="37" t="n">
        <x:v>0</x:v>
      </x:c>
      <x:c r="S1116" s="37" t="n">
        <x:v>0</x:v>
      </x:c>
      <x:c r="T1116" s="37" t="n">
        <x:v>0</x:v>
      </x:c>
      <x:c r="U1116" s="37" t="n">
        <x:v>0</x:v>
      </x:c>
      <x:c r="V1116" s="37" t="n">
        <x:v>0</x:v>
      </x:c>
      <x:c r="W1116" s="37" t="n">
        <x:v>17502.735700024292</x:v>
      </x:c>
      <x:c r="X1116" s="37" t="n">
        <x:v>0</x:v>
      </x:c>
      <x:c r="Y1116" s="37" t="n">
        <x:v>1711.5571205313227</x:v>
      </x:c>
      <x:c r="Z1116" s="37" t="n">
        <x:v>6738549.537320459</x:v>
      </x:c>
      <x:c r="AA1116" s="37" t="n">
        <x:v>0</x:v>
      </x:c>
      <x:c r="AB1116" s="37" t="n">
        <x:v>6738549.537320459</x:v>
      </x:c>
      <x:c r="AC1116" s="37" t="n">
        <x:v>1004957.2102849092</x:v>
      </x:c>
      <x:c r="AD1116" s="37" t="n">
        <x:v>0</x:v>
      </x:c>
      <x:c r="AE1116" s="37" t="n">
        <x:v>0</x:v>
      </x:c>
      <x:c r="AF1116" s="47" t="b">
        <x:v>0</x:v>
      </x:c>
      <x:c r="AG1116" s="47" t="b">
        <x:v>0</x:v>
      </x:c>
      <x:c r="AH1116" s="48" t="n">
        <x:v>0</x:v>
      </x:c>
      <x:c r="AI1116" s="48" t="n">
        <x:v>5.960464477539063e-8</x:v>
      </x:c>
      <x:c r="AJ1116" s="37" t="str">
        <x:v>passed</x:v>
      </x:c>
    </x:row>
    <x:row r="1117" ht="21" customHeight="1">
      <x:c r="A1117" s="2"/>
      <x:c r="B1117" s="2"/>
      <x:c r="C1117" s="2" t="str">
        <x:v>2023</x:v>
      </x:c>
      <x:c r="D1117" s="5" t="n">
        <x:v>44970</x:v>
      </x:c>
      <x:c r="E1117" s="2" t="str">
        <x:v>unweighted</x:v>
      </x:c>
      <x:c r="F1117" s="37" t="n">
        <x:v>10988332.707422195</x:v>
      </x:c>
      <x:c r="G1117" s="37" t="n">
        <x:v>667687.5470765634</x:v>
      </x:c>
      <x:c r="H1117" s="37" t="n">
        <x:v>21223.692688297047</x:v>
      </x:c>
      <x:c r="I1117" s="37" t="n">
        <x:v>646463.8543882663</x:v>
      </x:c>
      <x:c r="J1117" s="37" t="n">
        <x:v>10546201.988857558</x:v>
      </x:c>
      <x:c r="K1117" s="37" t="n">
        <x:v>9878514.441780994</x:v>
      </x:c>
      <x:c r="L1117" s="37" t="n">
        <x:v>11656020.254498757</x:v>
      </x:c>
      <x:c r="M1117" s="37" t="n">
        <x:v>0</x:v>
      </x:c>
      <x:c r="N1117" s="37" t="n">
        <x:v>0</x:v>
      </x:c>
      <x:c r="O1117" s="37" t="n">
        <x:v>1806.1033342294395</x:v>
      </x:c>
      <x:c r="P1117" s="37" t="n">
        <x:v>0</x:v>
      </x:c>
      <x:c r="Q1117" s="37" t="n">
        <x:v>0</x:v>
      </x:c>
      <x:c r="R1117" s="37" t="n">
        <x:v>0</x:v>
      </x:c>
      <x:c r="S1117" s="37" t="n">
        <x:v>0</x:v>
      </x:c>
      <x:c r="T1117" s="37" t="n">
        <x:v>0</x:v>
      </x:c>
      <x:c r="U1117" s="37" t="n">
        <x:v>0</x:v>
      </x:c>
      <x:c r="V1117" s="37" t="n">
        <x:v>0</x:v>
      </x:c>
      <x:c r="W1117" s="37" t="n">
        <x:v>24462.482634928077</x:v>
      </x:c>
      <x:c r="X1117" s="37" t="n">
        <x:v>0</x:v>
      </x:c>
      <x:c r="Y1117" s="37" t="n">
        <x:v>2027.9102592176782</x:v>
      </x:c>
      <x:c r="Z1117" s="37" t="n">
        <x:v>10076084.730616614</x:v>
      </x:c>
      <x:c r="AA1117" s="37" t="n">
        <x:v>0</x:v>
      </x:c>
      <x:c r="AB1117" s="37" t="n">
        <x:v>10076084.730616614</x:v>
      </x:c>
      <x:c r="AC1117" s="37" t="n">
        <x:v>912247.9768055808</x:v>
      </x:c>
      <x:c r="AD1117" s="37" t="n">
        <x:v>0</x:v>
      </x:c>
      <x:c r="AE1117" s="37" t="n">
        <x:v>0</x:v>
      </x:c>
      <x:c r="AF1117" s="47" t="b">
        <x:v>0</x:v>
      </x:c>
      <x:c r="AG1117" s="47" t="b">
        <x:v>0</x:v>
      </x:c>
      <x:c r="AH1117" s="48" t="n">
        <x:v>0</x:v>
      </x:c>
      <x:c r="AI1117" s="48" t="n">
        <x:v>1.1920928955078125e-7</x:v>
      </x:c>
      <x:c r="AJ1117" s="37" t="str">
        <x:v>passed</x:v>
      </x:c>
    </x:row>
    <x:row r="1118" ht="21" customHeight="1">
      <x:c r="A1118" s="2"/>
      <x:c r="B1118" s="2"/>
      <x:c r="C1118" s="2" t="str">
        <x:v>2023</x:v>
      </x:c>
      <x:c r="D1118" s="5" t="n">
        <x:v>44970</x:v>
      </x:c>
      <x:c r="E1118" s="2" t="str">
        <x:v>constrained</x:v>
      </x:c>
      <x:c r="F1118" s="37" t="n">
        <x:v>11683898.206936818</x:v>
      </x:c>
      <x:c r="G1118" s="37" t="n">
        <x:v>-30654.519613156997</x:v>
      </x:c>
      <x:c r="H1118" s="37" t="n">
        <x:v>19977.373259429743</x:v>
      </x:c>
      <x:c r="I1118" s="37" t="n">
        <x:v>-50631.892872586744</x:v>
      </x:c>
      <x:c r="J1118" s="37" t="n">
        <x:v>10558646.386387708</x:v>
      </x:c>
      <x:c r="K1118" s="37" t="n">
        <x:v>10589300.906000866</x:v>
      </x:c>
      <x:c r="L1118" s="37" t="n">
        <x:v>11653243.687323662</x:v>
      </x:c>
      <x:c r="M1118" s="37" t="n">
        <x:v>0</x:v>
      </x:c>
      <x:c r="N1118" s="37" t="n">
        <x:v>0</x:v>
      </x:c>
      <x:c r="O1118" s="37" t="n">
        <x:v>1920.4303391780704</x:v>
      </x:c>
      <x:c r="P1118" s="37" t="n">
        <x:v>0</x:v>
      </x:c>
      <x:c r="Q1118" s="37" t="n">
        <x:v>0</x:v>
      </x:c>
      <x:c r="R1118" s="37" t="n">
        <x:v>0</x:v>
      </x:c>
      <x:c r="S1118" s="37" t="n">
        <x:v>0</x:v>
      </x:c>
      <x:c r="T1118" s="37" t="n">
        <x:v>0</x:v>
      </x:c>
      <x:c r="U1118" s="37" t="n">
        <x:v>0</x:v>
      </x:c>
      <x:c r="V1118" s="37" t="n">
        <x:v>0</x:v>
      </x:c>
      <x:c r="W1118" s="37" t="n">
        <x:v>26132.545424960554</x:v>
      </x:c>
      <x:c r="X1118" s="37" t="n">
        <x:v>0</x:v>
      </x:c>
      <x:c r="Y1118" s="37" t="n">
        <x:v>2105.323207808831</x:v>
      </x:c>
      <x:c r="Z1118" s="37" t="n">
        <x:v>10801086.924120883</x:v>
      </x:c>
      <x:c r="AA1118" s="37" t="n">
        <x:v>0</x:v>
      </x:c>
      <x:c r="AB1118" s="37" t="n">
        <x:v>10801086.924120883</x:v>
      </x:c>
      <x:c r="AC1118" s="37" t="n">
        <x:v>882811.2828159351</x:v>
      </x:c>
      <x:c r="AD1118" s="37" t="n">
        <x:v>0</x:v>
      </x:c>
      <x:c r="AE1118" s="37" t="n">
        <x:v>0</x:v>
      </x:c>
      <x:c r="AF1118" s="47" t="b">
        <x:v>0</x:v>
      </x:c>
      <x:c r="AG1118" s="47" t="b">
        <x:v>0</x:v>
      </x:c>
      <x:c r="AH1118" s="48" t="n">
        <x:v>0</x:v>
      </x:c>
      <x:c r="AI1118" s="48" t="n">
        <x:v>1.1920928955078125e-7</x:v>
      </x:c>
      <x:c r="AJ1118" s="37" t="str">
        <x:v>passed</x:v>
      </x:c>
    </x:row>
    <x:row r="1119" ht="21" customHeight="1">
      <x:c r="A1119" s="2"/>
      <x:c r="B1119" s="2"/>
      <x:c r="C1119" s="2" t="str">
        <x:v>2023</x:v>
      </x:c>
      <x:c r="D1119" s="5" t="n">
        <x:v>44971</x:v>
      </x:c>
      <x:c r="E1119" s="2" t="str">
        <x:v>unhedged</x:v>
      </x:c>
      <x:c r="F1119" s="37" t="n">
        <x:v>1201719.4761556038</x:v>
      </x:c>
      <x:c r="G1119" s="37" t="n">
        <x:v>10471096.835644677</x:v>
      </x:c>
      <x:c r="H1119" s="37" t="n">
        <x:v>52669.12382896949</x:v>
      </x:c>
      <x:c r="I1119" s="37" t="n">
        <x:v>10418427.711815707</x:v>
      </x:c>
      <x:c r="J1119" s="37" t="n">
        <x:v>10471096.835644677</x:v>
      </x:c>
      <x:c r="K1119" s="37" t="n">
        <x:v>0</x:v>
      </x:c>
      <x:c r="L1119" s="37" t="n">
        <x:v>11672816.31180028</x:v>
      </x:c>
      <x:c r="M1119" s="37" t="n">
        <x:v>0</x:v>
      </x:c>
      <x:c r="N1119" s="37" t="n">
        <x:v>0</x:v>
      </x:c>
      <x:c r="O1119" s="37" t="n">
        <x:v>65.84403463685885</x:v>
      </x:c>
      <x:c r="P1119" s="37" t="n">
        <x:v>0</x:v>
      </x:c>
      <x:c r="Q1119" s="37" t="n">
        <x:v>0</x:v>
      </x:c>
      <x:c r="R1119" s="37" t="n">
        <x:v>0</x:v>
      </x:c>
      <x:c r="S1119" s="37" t="n">
        <x:v>0</x:v>
      </x:c>
      <x:c r="T1119" s="37" t="n">
        <x:v>0</x:v>
      </x:c>
      <x:c r="U1119" s="37" t="n">
        <x:v>0</x:v>
      </x:c>
      <x:c r="V1119" s="37" t="n">
        <x:v>0</x:v>
      </x:c>
      <x:c r="W1119" s="37" t="n">
        <x:v>2762.345497725997</x:v>
      </x:c>
      <x:c r="X1119" s="37" t="n">
        <x:v>0</x:v>
      </x:c>
      <x:c r="Y1119" s="37" t="n">
        <x:v>1042.869342122179</x:v>
      </x:c>
      <x:c r="Z1119" s="37" t="n">
        <x:v>0</x:v>
      </x:c>
      <x:c r="AA1119" s="37" t="n">
        <x:v>0</x:v>
      </x:c>
      <x:c r="AB1119" s="37" t="n">
        <x:v>0</x:v>
      </x:c>
      <x:c r="AC1119" s="37" t="n">
        <x:v>1201719.4761556038</x:v>
      </x:c>
      <x:c r="AD1119" s="37" t="n">
        <x:v>0</x:v>
      </x:c>
      <x:c r="AE1119" s="37" t="n">
        <x:v>0</x:v>
      </x:c>
      <x:c r="AF1119" s="47" t="b">
        <x:v>0</x:v>
      </x:c>
      <x:c r="AG1119" s="47" t="b">
        <x:v>0</x:v>
      </x:c>
      <x:c r="AH1119" s="48" t="n">
        <x:v>0</x:v>
      </x:c>
      <x:c r="AI1119" s="48" t="n">
        <x:v>1.1920928955078125e-7</x:v>
      </x:c>
      <x:c r="AJ1119" s="37" t="str">
        <x:v>passed</x:v>
      </x:c>
    </x:row>
    <x:row r="1120" ht="21" customHeight="1">
      <x:c r="A1120" s="2"/>
      <x:c r="B1120" s="2"/>
      <x:c r="C1120" s="2" t="str">
        <x:v>2023</x:v>
      </x:c>
      <x:c r="D1120" s="5" t="n">
        <x:v>44971</x:v>
      </x:c>
      <x:c r="E1120" s="2" t="str">
        <x:v>duration</x:v>
      </x:c>
      <x:c r="F1120" s="37" t="n">
        <x:v>7743931.049344964</x:v>
      </x:c>
      <x:c r="G1120" s="37" t="n">
        <x:v>3891186.6868247367</x:v>
      </x:c>
      <x:c r="H1120" s="37" t="n">
        <x:v>25124.281292518746</x:v>
      </x:c>
      <x:c r="I1120" s="37" t="n">
        <x:v>3866062.405532218</x:v>
      </x:c>
      <x:c r="J1120" s="37" t="n">
        <x:v>10471096.835644677</x:v>
      </x:c>
      <x:c r="K1120" s="37" t="n">
        <x:v>6579910.14881994</x:v>
      </x:c>
      <x:c r="L1120" s="37" t="n">
        <x:v>11635117.736169701</x:v>
      </x:c>
      <x:c r="M1120" s="37" t="n">
        <x:v>0</x:v>
      </x:c>
      <x:c r="N1120" s="37" t="n">
        <x:v>0</x:v>
      </x:c>
      <x:c r="O1120" s="37" t="n">
        <x:v>424.30173959583044</x:v>
      </x:c>
      <x:c r="P1120" s="37" t="n">
        <x:v>0</x:v>
      </x:c>
      <x:c r="Q1120" s="37" t="n">
        <x:v>0</x:v>
      </x:c>
      <x:c r="R1120" s="37" t="n">
        <x:v>0</x:v>
      </x:c>
      <x:c r="S1120" s="37" t="n">
        <x:v>0</x:v>
      </x:c>
      <x:c r="T1120" s="37" t="n">
        <x:v>0</x:v>
      </x:c>
      <x:c r="U1120" s="37" t="n">
        <x:v>0</x:v>
      </x:c>
      <x:c r="V1120" s="37" t="n">
        <x:v>0</x:v>
      </x:c>
      <x:c r="W1120" s="37" t="n">
        <x:v>17927.037439620122</x:v>
      </x:c>
      <x:c r="X1120" s="37" t="n">
        <x:v>0</x:v>
      </x:c>
      <x:c r="Y1120" s="37" t="n">
        <x:v>1711.5571205313227</x:v>
      </x:c>
      <x:c r="Z1120" s="37" t="n">
        <x:v>6711508.351796339</x:v>
      </x:c>
      <x:c r="AA1120" s="37" t="n">
        <x:v>0</x:v>
      </x:c>
      <x:c r="AB1120" s="37" t="n">
        <x:v>6711508.351796339</x:v>
      </x:c>
      <x:c r="AC1120" s="37" t="n">
        <x:v>1032422.6975486251</x:v>
      </x:c>
      <x:c r="AD1120" s="37" t="n">
        <x:v>0</x:v>
      </x:c>
      <x:c r="AE1120" s="37" t="n">
        <x:v>0</x:v>
      </x:c>
      <x:c r="AF1120" s="47" t="b">
        <x:v>0</x:v>
      </x:c>
      <x:c r="AG1120" s="47" t="b">
        <x:v>0</x:v>
      </x:c>
      <x:c r="AH1120" s="48" t="n">
        <x:v>0</x:v>
      </x:c>
      <x:c r="AI1120" s="48" t="n">
        <x:v>5.960464477539063e-8</x:v>
      </x:c>
      <x:c r="AJ1120" s="37" t="str">
        <x:v>passed</x:v>
      </x:c>
    </x:row>
    <x:row r="1121" ht="21" customHeight="1">
      <x:c r="A1121" s="2"/>
      <x:c r="B1121" s="2"/>
      <x:c r="C1121" s="2" t="str">
        <x:v>2023</x:v>
      </x:c>
      <x:c r="D1121" s="5" t="n">
        <x:v>44971</x:v>
      </x:c>
      <x:c r="E1121" s="2" t="str">
        <x:v>unweighted</x:v>
      </x:c>
      <x:c r="F1121" s="37" t="n">
        <x:v>10988934.807844521</x:v>
      </x:c>
      <x:c r="G1121" s="37" t="n">
        <x:v>666410.494916167</x:v>
      </x:c>
      <x:c r="H1121" s="37" t="n">
        <x:v>21200.60286829942</x:v>
      </x:c>
      <x:c r="I1121" s="37" t="n">
        <x:v>645209.8920478675</x:v>
      </x:c>
      <x:c r="J1121" s="37" t="n">
        <x:v>10513542.737439942</x:v>
      </x:c>
      <x:c r="K1121" s="37" t="n">
        <x:v>9847132.242523775</x:v>
      </x:c>
      <x:c r="L1121" s="37" t="n">
        <x:v>11655345.302760689</x:v>
      </x:c>
      <x:c r="M1121" s="37" t="n">
        <x:v>0</x:v>
      </x:c>
      <x:c r="N1121" s="37" t="n">
        <x:v>0</x:v>
      </x:c>
      <x:c r="O1121" s="37" t="n">
        <x:v>602.1004223264754</x:v>
      </x:c>
      <x:c r="P1121" s="37" t="n">
        <x:v>0</x:v>
      </x:c>
      <x:c r="Q1121" s="37" t="n">
        <x:v>0</x:v>
      </x:c>
      <x:c r="R1121" s="37" t="n">
        <x:v>0</x:v>
      </x:c>
      <x:c r="S1121" s="37" t="n">
        <x:v>0</x:v>
      </x:c>
      <x:c r="T1121" s="37" t="n">
        <x:v>0</x:v>
      </x:c>
      <x:c r="U1121" s="37" t="n">
        <x:v>0</x:v>
      </x:c>
      <x:c r="V1121" s="37" t="n">
        <x:v>0</x:v>
      </x:c>
      <x:c r="W1121" s="37" t="n">
        <x:v>25064.583057254553</x:v>
      </x:c>
      <x:c r="X1121" s="37" t="n">
        <x:v>0</x:v>
      </x:c>
      <x:c r="Y1121" s="37" t="n">
        <x:v>2027.9102592176782</x:v>
      </x:c>
      <x:c r="Z1121" s="37" t="n">
        <x:v>10044074.88737425</x:v>
      </x:c>
      <x:c r="AA1121" s="37" t="n">
        <x:v>0</x:v>
      </x:c>
      <x:c r="AB1121" s="37" t="n">
        <x:v>10044074.88737425</x:v>
      </x:c>
      <x:c r="AC1121" s="37" t="n">
        <x:v>944859.9204702713</x:v>
      </x:c>
      <x:c r="AD1121" s="37" t="n">
        <x:v>0</x:v>
      </x:c>
      <x:c r="AE1121" s="37" t="n">
        <x:v>0</x:v>
      </x:c>
      <x:c r="AF1121" s="47" t="b">
        <x:v>0</x:v>
      </x:c>
      <x:c r="AG1121" s="47" t="b">
        <x:v>0</x:v>
      </x:c>
      <x:c r="AH1121" s="48" t="n">
        <x:v>0</x:v>
      </x:c>
      <x:c r="AI1121" s="48" t="n">
        <x:v>1.1920928955078125e-7</x:v>
      </x:c>
      <x:c r="AJ1121" s="37" t="str">
        <x:v>passed</x:v>
      </x:c>
    </x:row>
    <x:row r="1122" ht="21" customHeight="1">
      <x:c r="A1122" s="2"/>
      <x:c r="B1122" s="2"/>
      <x:c r="C1122" s="2" t="str">
        <x:v>2023</x:v>
      </x:c>
      <x:c r="D1122" s="5" t="n">
        <x:v>44971</x:v>
      </x:c>
      <x:c r="E1122" s="2" t="str">
        <x:v>constrained</x:v>
      </x:c>
      <x:c r="F1122" s="37" t="n">
        <x:v>11684538.4205372</x:v>
      </x:c>
      <x:c r="G1122" s="37" t="n">
        <x:v>-30896.755282300364</x:v>
      </x:c>
      <x:c r="H1122" s="37" t="n">
        <x:v>19938.03575777073</x:v>
      </x:c>
      <x:c r="I1122" s="37" t="n">
        <x:v>-50834.7910400711</x:v>
      </x:c>
      <x:c r="J1122" s="37" t="n">
        <x:v>10525955.55989417</x:v>
      </x:c>
      <x:c r="K1122" s="37" t="n">
        <x:v>10556852.315176472</x:v>
      </x:c>
      <x:c r="L1122" s="37" t="n">
        <x:v>11653641.6652549</x:v>
      </x:c>
      <x:c r="M1122" s="37" t="n">
        <x:v>0</x:v>
      </x:c>
      <x:c r="N1122" s="37" t="n">
        <x:v>0</x:v>
      </x:c>
      <x:c r="O1122" s="37" t="n">
        <x:v>640.2136003822088</x:v>
      </x:c>
      <x:c r="P1122" s="37" t="n">
        <x:v>0</x:v>
      </x:c>
      <x:c r="Q1122" s="37" t="n">
        <x:v>0</x:v>
      </x:c>
      <x:c r="R1122" s="37" t="n">
        <x:v>0</x:v>
      </x:c>
      <x:c r="S1122" s="37" t="n">
        <x:v>0</x:v>
      </x:c>
      <x:c r="T1122" s="37" t="n">
        <x:v>0</x:v>
      </x:c>
      <x:c r="U1122" s="37" t="n">
        <x:v>0</x:v>
      </x:c>
      <x:c r="V1122" s="37" t="n">
        <x:v>0</x:v>
      </x:c>
      <x:c r="W1122" s="37" t="n">
        <x:v>26772.759025342762</x:v>
      </x:c>
      <x:c r="X1122" s="37" t="n">
        <x:v>0</x:v>
      </x:c>
      <x:c r="Y1122" s="37" t="n">
        <x:v>2105.323207808831</x:v>
      </x:c>
      <x:c r="Z1122" s="37" t="n">
        <x:v>10767989.361480001</x:v>
      </x:c>
      <x:c r="AA1122" s="37" t="n">
        <x:v>0</x:v>
      </x:c>
      <x:c r="AB1122" s="37" t="n">
        <x:v>10767989.361480001</x:v>
      </x:c>
      <x:c r="AC1122" s="37" t="n">
        <x:v>916549.0590571985</x:v>
      </x:c>
      <x:c r="AD1122" s="37" t="n">
        <x:v>0</x:v>
      </x:c>
      <x:c r="AE1122" s="37" t="n">
        <x:v>0</x:v>
      </x:c>
      <x:c r="AF1122" s="47" t="b">
        <x:v>0</x:v>
      </x:c>
      <x:c r="AG1122" s="47" t="b">
        <x:v>0</x:v>
      </x:c>
      <x:c r="AH1122" s="48" t="n">
        <x:v>0</x:v>
      </x:c>
      <x:c r="AI1122" s="48" t="n">
        <x:v>1.1920928955078125e-7</x:v>
      </x:c>
      <x:c r="AJ1122" s="37" t="str">
        <x:v>passed</x:v>
      </x:c>
    </x:row>
    <x:row r="1123" ht="21" customHeight="1">
      <x:c r="A1123" s="2"/>
      <x:c r="B1123" s="2"/>
      <x:c r="C1123" s="2" t="str">
        <x:v>2023</x:v>
      </x:c>
      <x:c r="D1123" s="5" t="n">
        <x:v>44972</x:v>
      </x:c>
      <x:c r="E1123" s="2" t="str">
        <x:v>unhedged</x:v>
      </x:c>
      <x:c r="F1123" s="37" t="n">
        <x:v>1239285.3237981328</x:v>
      </x:c>
      <x:c r="G1123" s="37" t="n">
        <x:v>10389864.105352847</x:v>
      </x:c>
      <x:c r="H1123" s="37" t="n">
        <x:v>15517.95580110497</x:v>
      </x:c>
      <x:c r="I1123" s="37" t="n">
        <x:v>10374346.149551742</x:v>
      </x:c>
      <x:c r="J1123" s="37" t="n">
        <x:v>10389864.105352847</x:v>
      </x:c>
      <x:c r="K1123" s="37" t="n">
        <x:v>0</x:v>
      </x:c>
      <x:c r="L1123" s="37" t="n">
        <x:v>11629149.42915098</x:v>
      </x:c>
      <x:c r="M1123" s="37" t="n">
        <x:v>37500</x:v>
      </x:c>
      <x:c r="N1123" s="37" t="n">
        <x:v>0</x:v>
      </x:c>
      <x:c r="O1123" s="37" t="n">
        <x:v>65.84764252905734</x:v>
      </x:c>
      <x:c r="P1123" s="37" t="n">
        <x:v>0</x:v>
      </x:c>
      <x:c r="Q1123" s="37" t="n">
        <x:v>0</x:v>
      </x:c>
      <x:c r="R1123" s="37" t="n">
        <x:v>0</x:v>
      </x:c>
      <x:c r="S1123" s="37" t="n">
        <x:v>0</x:v>
      </x:c>
      <x:c r="T1123" s="37" t="n">
        <x:v>0</x:v>
      </x:c>
      <x:c r="U1123" s="37" t="n">
        <x:v>37500</x:v>
      </x:c>
      <x:c r="V1123" s="37" t="n">
        <x:v>0</x:v>
      </x:c>
      <x:c r="W1123" s="37" t="n">
        <x:v>2828.1931402550545</x:v>
      </x:c>
      <x:c r="X1123" s="37" t="n">
        <x:v>0</x:v>
      </x:c>
      <x:c r="Y1123" s="37" t="n">
        <x:v>1042.869342122179</x:v>
      </x:c>
      <x:c r="Z1123" s="37" t="n">
        <x:v>0</x:v>
      </x:c>
      <x:c r="AA1123" s="37" t="n">
        <x:v>0</x:v>
      </x:c>
      <x:c r="AB1123" s="37" t="n">
        <x:v>0</x:v>
      </x:c>
      <x:c r="AC1123" s="37" t="n">
        <x:v>1239285.3237981328</x:v>
      </x:c>
      <x:c r="AD1123" s="37" t="n">
        <x:v>0</x:v>
      </x:c>
      <x:c r="AE1123" s="37" t="n">
        <x:v>0</x:v>
      </x:c>
      <x:c r="AF1123" s="47" t="b">
        <x:v>0</x:v>
      </x:c>
      <x:c r="AG1123" s="47" t="b">
        <x:v>0</x:v>
      </x:c>
      <x:c r="AH1123" s="48" t="n">
        <x:v>0</x:v>
      </x:c>
      <x:c r="AI1123" s="48" t="n">
        <x:v>1.1920928955078125e-7</x:v>
      </x:c>
      <x:c r="AJ1123" s="37" t="str">
        <x:v>passed</x:v>
      </x:c>
    </x:row>
    <x:row r="1124" ht="21" customHeight="1">
      <x:c r="A1124" s="2"/>
      <x:c r="B1124" s="2"/>
      <x:c r="C1124" s="2" t="str">
        <x:v>2023</x:v>
      </x:c>
      <x:c r="D1124" s="5" t="n">
        <x:v>44972</x:v>
      </x:c>
      <x:c r="E1124" s="2" t="str">
        <x:v>duration</x:v>
      </x:c>
      <x:c r="F1124" s="37" t="n">
        <x:v>7781855.37433397</x:v>
      </x:c>
      <x:c r="G1124" s="37" t="n">
        <x:v>3876502.4647356817</x:v>
      </x:c>
      <x:c r="H1124" s="37" t="n">
        <x:v>-12329.577312669408</x:v>
      </x:c>
      <x:c r="I1124" s="37" t="n">
        <x:v>3888832.042048351</x:v>
      </x:c>
      <x:c r="J1124" s="37" t="n">
        <x:v>10389864.105352847</x:v>
      </x:c>
      <x:c r="K1124" s="37" t="n">
        <x:v>6513361.640617165</x:v>
      </x:c>
      <x:c r="L1124" s="37" t="n">
        <x:v>11658357.839069651</x:v>
      </x:c>
      <x:c r="M1124" s="37" t="n">
        <x:v>37500</x:v>
      </x:c>
      <x:c r="N1124" s="37" t="n">
        <x:v>0</x:v>
      </x:c>
      <x:c r="O1124" s="37" t="n">
        <x:v>424.32498900592327</x:v>
      </x:c>
      <x:c r="P1124" s="37" t="n">
        <x:v>0</x:v>
      </x:c>
      <x:c r="Q1124" s="37" t="n">
        <x:v>0</x:v>
      </x:c>
      <x:c r="R1124" s="37" t="n">
        <x:v>0</x:v>
      </x:c>
      <x:c r="S1124" s="37" t="n">
        <x:v>0</x:v>
      </x:c>
      <x:c r="T1124" s="37" t="n">
        <x:v>0</x:v>
      </x:c>
      <x:c r="U1124" s="37" t="n">
        <x:v>37500</x:v>
      </x:c>
      <x:c r="V1124" s="37" t="n">
        <x:v>0</x:v>
      </x:c>
      <x:c r="W1124" s="37" t="n">
        <x:v>18351.362428626046</x:v>
      </x:c>
      <x:c r="X1124" s="37" t="n">
        <x:v>0</x:v>
      </x:c>
      <x:c r="Y1124" s="37" t="n">
        <x:v>1711.5571205313227</x:v>
      </x:c>
      <x:c r="Z1124" s="37" t="n">
        <x:v>6643628.873429508</x:v>
      </x:c>
      <x:c r="AA1124" s="37" t="n">
        <x:v>0</x:v>
      </x:c>
      <x:c r="AB1124" s="37" t="n">
        <x:v>6643628.873429508</x:v>
      </x:c>
      <x:c r="AC1124" s="37" t="n">
        <x:v>1138226.5009044623</x:v>
      </x:c>
      <x:c r="AD1124" s="37" t="n">
        <x:v>0</x:v>
      </x:c>
      <x:c r="AE1124" s="37" t="n">
        <x:v>0</x:v>
      </x:c>
      <x:c r="AF1124" s="47" t="b">
        <x:v>0</x:v>
      </x:c>
      <x:c r="AG1124" s="47" t="b">
        <x:v>0</x:v>
      </x:c>
      <x:c r="AH1124" s="48" t="n">
        <x:v>0</x:v>
      </x:c>
      <x:c r="AI1124" s="48" t="n">
        <x:v>5.960464477539063e-8</x:v>
      </x:c>
      <x:c r="AJ1124" s="37" t="str">
        <x:v>passed</x:v>
      </x:c>
    </x:row>
    <x:row r="1125" ht="21" customHeight="1">
      <x:c r="A1125" s="2"/>
      <x:c r="B1125" s="2"/>
      <x:c r="C1125" s="2" t="str">
        <x:v>2023</x:v>
      </x:c>
      <x:c r="D1125" s="5" t="n">
        <x:v>44972</x:v>
      </x:c>
      <x:c r="E1125" s="2" t="str">
        <x:v>unweighted</x:v>
      </x:c>
      <x:c r="F1125" s="37" t="n">
        <x:v>11027036.94125865</x:v>
      </x:c>
      <x:c r="G1125" s="37" t="n">
        <x:v>629280.5884463699</x:v>
      </x:c>
      <x:c r="H1125" s="37" t="n">
        <x:v>-16322.4869516982</x:v>
      </x:c>
      <x:c r="I1125" s="37" t="n">
        <x:v>645603.0753980681</x:v>
      </x:c>
      <x:c r="J1125" s="37" t="n">
        <x:v>10432185.762940906</x:v>
      </x:c>
      <x:c r="K1125" s="37" t="n">
        <x:v>9802905.174494537</x:v>
      </x:c>
      <x:c r="L1125" s="37" t="n">
        <x:v>11656317.52970502</x:v>
      </x:c>
      <x:c r="M1125" s="37" t="n">
        <x:v>37500</x:v>
      </x:c>
      <x:c r="N1125" s="37" t="n">
        <x:v>0</x:v>
      </x:c>
      <x:c r="O1125" s="37" t="n">
        <x:v>602.1334141287953</x:v>
      </x:c>
      <x:c r="P1125" s="37" t="n">
        <x:v>0</x:v>
      </x:c>
      <x:c r="Q1125" s="37" t="n">
        <x:v>0</x:v>
      </x:c>
      <x:c r="R1125" s="37" t="n">
        <x:v>0</x:v>
      </x:c>
      <x:c r="S1125" s="37" t="n">
        <x:v>0</x:v>
      </x:c>
      <x:c r="T1125" s="37" t="n">
        <x:v>0</x:v>
      </x:c>
      <x:c r="U1125" s="37" t="n">
        <x:v>37500</x:v>
      </x:c>
      <x:c r="V1125" s="37" t="n">
        <x:v>0</x:v>
      </x:c>
      <x:c r="W1125" s="37" t="n">
        <x:v>25666.716471383348</x:v>
      </x:c>
      <x:c r="X1125" s="37" t="n">
        <x:v>0</x:v>
      </x:c>
      <x:c r="Y1125" s="37" t="n">
        <x:v>2027.9102592176782</x:v>
      </x:c>
      <x:c r="Z1125" s="37" t="n">
        <x:v>9998963.277984427</x:v>
      </x:c>
      <x:c r="AA1125" s="37" t="n">
        <x:v>0</x:v>
      </x:c>
      <x:c r="AB1125" s="37" t="n">
        <x:v>9998963.277984427</x:v>
      </x:c>
      <x:c r="AC1125" s="37" t="n">
        <x:v>1028073.663274223</x:v>
      </x:c>
      <x:c r="AD1125" s="37" t="n">
        <x:v>0</x:v>
      </x:c>
      <x:c r="AE1125" s="37" t="n">
        <x:v>0</x:v>
      </x:c>
      <x:c r="AF1125" s="47" t="b">
        <x:v>0</x:v>
      </x:c>
      <x:c r="AG1125" s="47" t="b">
        <x:v>0</x:v>
      </x:c>
      <x:c r="AH1125" s="48" t="n">
        <x:v>0</x:v>
      </x:c>
      <x:c r="AI1125" s="48" t="n">
        <x:v>1.1920928955078125e-7</x:v>
      </x:c>
      <x:c r="AJ1125" s="37" t="str">
        <x:v>passed</x:v>
      </x:c>
    </x:row>
    <x:row r="1126" ht="21" customHeight="1">
      <x:c r="A1126" s="2"/>
      <x:c r="B1126" s="2"/>
      <x:c r="C1126" s="2" t="str">
        <x:v>2023</x:v>
      </x:c>
      <x:c r="D1126" s="5" t="n">
        <x:v>44972</x:v>
      </x:c>
      <x:c r="E1126" s="2" t="str">
        <x:v>constrained</x:v>
      </x:c>
      <x:c r="F1126" s="37" t="n">
        <x:v>11722678.669217778</x:v>
      </x:c>
      <x:c r="G1126" s="37" t="n">
        <x:v>-67709.0561692206</x:v>
      </x:c>
      <x:c r="H1126" s="37" t="n">
        <x:v>-17601.301743888274</x:v>
      </x:c>
      <x:c r="I1126" s="37" t="n">
        <x:v>-50107.75442533232</x:v>
      </x:c>
      <x:c r="J1126" s="37" t="n">
        <x:v>10444571.709720321</x:v>
      </x:c>
      <x:c r="K1126" s="37" t="n">
        <x:v>10512280.765889542</x:v>
      </x:c>
      <x:c r="L1126" s="37" t="n">
        <x:v>11654969.613048557</x:v>
      </x:c>
      <x:c r="M1126" s="37" t="n">
        <x:v>37500</x:v>
      </x:c>
      <x:c r="N1126" s="37" t="n">
        <x:v>0</x:v>
      </x:c>
      <x:c r="O1126" s="37" t="n">
        <x:v>640.2486805785447</x:v>
      </x:c>
      <x:c r="P1126" s="37" t="n">
        <x:v>0</x:v>
      </x:c>
      <x:c r="Q1126" s="37" t="n">
        <x:v>0</x:v>
      </x:c>
      <x:c r="R1126" s="37" t="n">
        <x:v>0</x:v>
      </x:c>
      <x:c r="S1126" s="37" t="n">
        <x:v>0</x:v>
      </x:c>
      <x:c r="T1126" s="37" t="n">
        <x:v>0</x:v>
      </x:c>
      <x:c r="U1126" s="37" t="n">
        <x:v>37500</x:v>
      </x:c>
      <x:c r="V1126" s="37" t="n">
        <x:v>0</x:v>
      </x:c>
      <x:c r="W1126" s="37" t="n">
        <x:v>27413.007705921307</x:v>
      </x:c>
      <x:c r="X1126" s="37" t="n">
        <x:v>0</x:v>
      </x:c>
      <x:c r="Y1126" s="37" t="n">
        <x:v>2105.323207808831</x:v>
      </x:c>
      <x:c r="Z1126" s="37" t="n">
        <x:v>10722526.381207334</x:v>
      </x:c>
      <x:c r="AA1126" s="37" t="n">
        <x:v>0</x:v>
      </x:c>
      <x:c r="AB1126" s="37" t="n">
        <x:v>10722526.381207334</x:v>
      </x:c>
      <x:c r="AC1126" s="37" t="n">
        <x:v>1000152.2880104445</x:v>
      </x:c>
      <x:c r="AD1126" s="37" t="n">
        <x:v>0</x:v>
      </x:c>
      <x:c r="AE1126" s="37" t="n">
        <x:v>0</x:v>
      </x:c>
      <x:c r="AF1126" s="47" t="b">
        <x:v>0</x:v>
      </x:c>
      <x:c r="AG1126" s="47" t="b">
        <x:v>0</x:v>
      </x:c>
      <x:c r="AH1126" s="48" t="n">
        <x:v>0</x:v>
      </x:c>
      <x:c r="AI1126" s="48" t="n">
        <x:v>1.1920928955078125e-7</x:v>
      </x:c>
      <x:c r="AJ1126" s="37" t="str">
        <x:v>passed</x:v>
      </x:c>
    </x:row>
    <x:row r="1127" ht="21" customHeight="1">
      <x:c r="A1127" s="2"/>
      <x:c r="B1127" s="2"/>
      <x:c r="C1127" s="2" t="str">
        <x:v>2023</x:v>
      </x:c>
      <x:c r="D1127" s="5" t="n">
        <x:v>44973</x:v>
      </x:c>
      <x:c r="E1127" s="2" t="str">
        <x:v>unhedged</x:v>
      </x:c>
      <x:c r="F1127" s="37" t="n">
        <x:v>1239353.2298432726</x:v>
      </x:c>
      <x:c r="G1127" s="37" t="n">
        <x:v>10394670.158661775</x:v>
      </x:c>
      <x:c r="H1127" s="37" t="n">
        <x:v>15870.165745856355</x:v>
      </x:c>
      <x:c r="I1127" s="37" t="n">
        <x:v>10378799.992915919</x:v>
      </x:c>
      <x:c r="J1127" s="37" t="n">
        <x:v>10394670.158661775</x:v>
      </x:c>
      <x:c r="K1127" s="37" t="n">
        <x:v>0</x:v>
      </x:c>
      <x:c r="L1127" s="37" t="n">
        <x:v>11634023.388505047</x:v>
      </x:c>
      <x:c r="M1127" s="37" t="n">
        <x:v>0</x:v>
      </x:c>
      <x:c r="N1127" s="37" t="n">
        <x:v>0</x:v>
      </x:c>
      <x:c r="O1127" s="37" t="n">
        <x:v>67.90604513976723</x:v>
      </x:c>
      <x:c r="P1127" s="37" t="n">
        <x:v>0</x:v>
      </x:c>
      <x:c r="Q1127" s="37" t="n">
        <x:v>0</x:v>
      </x:c>
      <x:c r="R1127" s="37" t="n">
        <x:v>0</x:v>
      </x:c>
      <x:c r="S1127" s="37" t="n">
        <x:v>0</x:v>
      </x:c>
      <x:c r="T1127" s="37" t="n">
        <x:v>0</x:v>
      </x:c>
      <x:c r="U1127" s="37" t="n">
        <x:v>37500</x:v>
      </x:c>
      <x:c r="V1127" s="37" t="n">
        <x:v>0</x:v>
      </x:c>
      <x:c r="W1127" s="37" t="n">
        <x:v>2896.0991853948217</x:v>
      </x:c>
      <x:c r="X1127" s="37" t="n">
        <x:v>0</x:v>
      </x:c>
      <x:c r="Y1127" s="37" t="n">
        <x:v>1042.869342122179</x:v>
      </x:c>
      <x:c r="Z1127" s="37" t="n">
        <x:v>0</x:v>
      </x:c>
      <x:c r="AA1127" s="37" t="n">
        <x:v>0</x:v>
      </x:c>
      <x:c r="AB1127" s="37" t="n">
        <x:v>0</x:v>
      </x:c>
      <x:c r="AC1127" s="37" t="n">
        <x:v>1239353.2298432726</x:v>
      </x:c>
      <x:c r="AD1127" s="37" t="n">
        <x:v>0</x:v>
      </x:c>
      <x:c r="AE1127" s="37" t="n">
        <x:v>0</x:v>
      </x:c>
      <x:c r="AF1127" s="47" t="b">
        <x:v>0</x:v>
      </x:c>
      <x:c r="AG1127" s="47" t="b">
        <x:v>0</x:v>
      </x:c>
      <x:c r="AH1127" s="48" t="n">
        <x:v>0</x:v>
      </x:c>
      <x:c r="AI1127" s="48" t="n">
        <x:v>1.1920928955078125e-7</x:v>
      </x:c>
      <x:c r="AJ1127" s="37" t="str">
        <x:v>passed</x:v>
      </x:c>
    </x:row>
    <x:row r="1128" ht="21" customHeight="1">
      <x:c r="A1128" s="2"/>
      <x:c r="B1128" s="2"/>
      <x:c r="C1128" s="2" t="str">
        <x:v>2023</x:v>
      </x:c>
      <x:c r="D1128" s="5" t="n">
        <x:v>44973</x:v>
      </x:c>
      <x:c r="E1128" s="2" t="str">
        <x:v>duration</x:v>
      </x:c>
      <x:c r="F1128" s="37" t="n">
        <x:v>7782281.77736818</x:v>
      </x:c>
      <x:c r="G1128" s="37" t="n">
        <x:v>3862648.648268367</x:v>
      </x:c>
      <x:c r="H1128" s="37" t="n">
        <x:v>-12280.057945241659</x:v>
      </x:c>
      <x:c r="I1128" s="37" t="n">
        <x:v>3874928.706213609</x:v>
      </x:c>
      <x:c r="J1128" s="37" t="n">
        <x:v>10394670.158661775</x:v>
      </x:c>
      <x:c r="K1128" s="37" t="n">
        <x:v>6532021.510393407</x:v>
      </x:c>
      <x:c r="L1128" s="37" t="n">
        <x:v>11644930.425636549</x:v>
      </x:c>
      <x:c r="M1128" s="37" t="n">
        <x:v>0</x:v>
      </x:c>
      <x:c r="N1128" s="37" t="n">
        <x:v>0</x:v>
      </x:c>
      <x:c r="O1128" s="37" t="n">
        <x:v>426.4030342102051</x:v>
      </x:c>
      <x:c r="P1128" s="37" t="n">
        <x:v>0</x:v>
      </x:c>
      <x:c r="Q1128" s="37" t="n">
        <x:v>0</x:v>
      </x:c>
      <x:c r="R1128" s="37" t="n">
        <x:v>0</x:v>
      </x:c>
      <x:c r="S1128" s="37" t="n">
        <x:v>0</x:v>
      </x:c>
      <x:c r="T1128" s="37" t="n">
        <x:v>0</x:v>
      </x:c>
      <x:c r="U1128" s="37" t="n">
        <x:v>37500</x:v>
      </x:c>
      <x:c r="V1128" s="37" t="n">
        <x:v>0</x:v>
      </x:c>
      <x:c r="W1128" s="37" t="n">
        <x:v>18777.76546283625</x:v>
      </x:c>
      <x:c r="X1128" s="37" t="n">
        <x:v>0</x:v>
      </x:c>
      <x:c r="Y1128" s="37" t="n">
        <x:v>1711.5571205313227</x:v>
      </x:c>
      <x:c r="Z1128" s="37" t="n">
        <x:v>6662661.940601275</x:v>
      </x:c>
      <x:c r="AA1128" s="37" t="n">
        <x:v>0</x:v>
      </x:c>
      <x:c r="AB1128" s="37" t="n">
        <x:v>6662661.940601275</x:v>
      </x:c>
      <x:c r="AC1128" s="37" t="n">
        <x:v>1119619.8367669052</x:v>
      </x:c>
      <x:c r="AD1128" s="37" t="n">
        <x:v>0</x:v>
      </x:c>
      <x:c r="AE1128" s="37" t="n">
        <x:v>0</x:v>
      </x:c>
      <x:c r="AF1128" s="47" t="b">
        <x:v>0</x:v>
      </x:c>
      <x:c r="AG1128" s="47" t="b">
        <x:v>0</x:v>
      </x:c>
      <x:c r="AH1128" s="48" t="n">
        <x:v>0</x:v>
      </x:c>
      <x:c r="AI1128" s="48" t="n">
        <x:v>5.960464477539063e-8</x:v>
      </x:c>
      <x:c r="AJ1128" s="37" t="str">
        <x:v>passed</x:v>
      </x:c>
    </x:row>
    <x:row r="1129" ht="21" customHeight="1">
      <x:c r="A1129" s="2"/>
      <x:c r="B1129" s="2"/>
      <x:c r="C1129" s="2" t="str">
        <x:v>2023</x:v>
      </x:c>
      <x:c r="D1129" s="5" t="n">
        <x:v>44973</x:v>
      </x:c>
      <x:c r="E1129" s="2" t="str">
        <x:v>unweighted</x:v>
      </x:c>
      <x:c r="F1129" s="37" t="n">
        <x:v>11027641.162460912</x:v>
      </x:c>
      <x:c r="G1129" s="37" t="n">
        <x:v>628323.9682545167</x:v>
      </x:c>
      <x:c r="H1129" s="37" t="n">
        <x:v>-16342.19879907991</x:v>
      </x:c>
      <x:c r="I1129" s="37" t="n">
        <x:v>644666.1670535966</x:v>
      </x:c>
      <x:c r="J1129" s="37" t="n">
        <x:v>10436326.50359273</x:v>
      </x:c>
      <x:c r="K1129" s="37" t="n">
        <x:v>9808002.535338214</x:v>
      </x:c>
      <x:c r="L1129" s="37" t="n">
        <x:v>11655965.130715428</x:v>
      </x:c>
      <x:c r="M1129" s="37" t="n">
        <x:v>0</x:v>
      </x:c>
      <x:c r="N1129" s="37" t="n">
        <x:v>0</x:v>
      </x:c>
      <x:c r="O1129" s="37" t="n">
        <x:v>604.2212022617459</x:v>
      </x:c>
      <x:c r="P1129" s="37" t="n">
        <x:v>0</x:v>
      </x:c>
      <x:c r="Q1129" s="37" t="n">
        <x:v>0</x:v>
      </x:c>
      <x:c r="R1129" s="37" t="n">
        <x:v>0</x:v>
      </x:c>
      <x:c r="S1129" s="37" t="n">
        <x:v>0</x:v>
      </x:c>
      <x:c r="T1129" s="37" t="n">
        <x:v>0</x:v>
      </x:c>
      <x:c r="U1129" s="37" t="n">
        <x:v>37500</x:v>
      </x:c>
      <x:c r="V1129" s="37" t="n">
        <x:v>0</x:v>
      </x:c>
      <x:c r="W1129" s="37" t="n">
        <x:v>26270.937673645094</x:v>
      </x:c>
      <x:c r="X1129" s="37" t="n">
        <x:v>0</x:v>
      </x:c>
      <x:c r="Y1129" s="37" t="n">
        <x:v>2027.9102592176782</x:v>
      </x:c>
      <x:c r="Z1129" s="37" t="n">
        <x:v>10004162.586044978</x:v>
      </x:c>
      <x:c r="AA1129" s="37" t="n">
        <x:v>0</x:v>
      </x:c>
      <x:c r="AB1129" s="37" t="n">
        <x:v>10004162.586044978</x:v>
      </x:c>
      <x:c r="AC1129" s="37" t="n">
        <x:v>1023478.5764159337</x:v>
      </x:c>
      <x:c r="AD1129" s="37" t="n">
        <x:v>0</x:v>
      </x:c>
      <x:c r="AE1129" s="37" t="n">
        <x:v>0</x:v>
      </x:c>
      <x:c r="AF1129" s="47" t="b">
        <x:v>0</x:v>
      </x:c>
      <x:c r="AG1129" s="47" t="b">
        <x:v>0</x:v>
      </x:c>
      <x:c r="AH1129" s="48" t="n">
        <x:v>0</x:v>
      </x:c>
      <x:c r="AI1129" s="48" t="n">
        <x:v>1.1920928955078125e-7</x:v>
      </x:c>
      <x:c r="AJ1129" s="37" t="str">
        <x:v>passed</x:v>
      </x:c>
    </x:row>
    <x:row r="1130" ht="21" customHeight="1">
      <x:c r="A1130" s="2"/>
      <x:c r="B1130" s="2"/>
      <x:c r="C1130" s="2" t="str">
        <x:v>2023</x:v>
      </x:c>
      <x:c r="D1130" s="5" t="n">
        <x:v>44973</x:v>
      </x:c>
      <x:c r="E1130" s="2" t="str">
        <x:v>constrained</x:v>
      </x:c>
      <x:c r="F1130" s="37" t="n">
        <x:v>11723321.007774998</x:v>
      </x:c>
      <x:c r="G1130" s="37" t="n">
        <x:v>-68455.9279983851</x:v>
      </x:c>
      <x:c r="H1130" s="37" t="n">
        <x:v>-17637.26127293137</x:v>
      </x:c>
      <x:c r="I1130" s="37" t="n">
        <x:v>-50818.66672545373</x:v>
      </x:c>
      <x:c r="J1130" s="37" t="n">
        <x:v>10448512.286968507</x:v>
      </x:c>
      <x:c r="K1130" s="37" t="n">
        <x:v>10516968.214966891</x:v>
      </x:c>
      <x:c r="L1130" s="37" t="n">
        <x:v>11654865.079776613</x:v>
      </x:c>
      <x:c r="M1130" s="37" t="n">
        <x:v>0</x:v>
      </x:c>
      <x:c r="N1130" s="37" t="n">
        <x:v>0</x:v>
      </x:c>
      <x:c r="O1130" s="37" t="n">
        <x:v>642.3385572191328</x:v>
      </x:c>
      <x:c r="P1130" s="37" t="n">
        <x:v>0</x:v>
      </x:c>
      <x:c r="Q1130" s="37" t="n">
        <x:v>0</x:v>
      </x:c>
      <x:c r="R1130" s="37" t="n">
        <x:v>0</x:v>
      </x:c>
      <x:c r="S1130" s="37" t="n">
        <x:v>0</x:v>
      </x:c>
      <x:c r="T1130" s="37" t="n">
        <x:v>0</x:v>
      </x:c>
      <x:c r="U1130" s="37" t="n">
        <x:v>37500</x:v>
      </x:c>
      <x:c r="V1130" s="37" t="n">
        <x:v>0</x:v>
      </x:c>
      <x:c r="W1130" s="37" t="n">
        <x:v>28055.34626314044</x:v>
      </x:c>
      <x:c r="X1130" s="37" t="n">
        <x:v>0</x:v>
      </x:c>
      <x:c r="Y1130" s="37" t="n">
        <x:v>2105.323207808831</x:v>
      </x:c>
      <x:c r="Z1130" s="37" t="n">
        <x:v>10727307.57926623</x:v>
      </x:c>
      <x:c r="AA1130" s="37" t="n">
        <x:v>0</x:v>
      </x:c>
      <x:c r="AB1130" s="37" t="n">
        <x:v>10727307.57926623</x:v>
      </x:c>
      <x:c r="AC1130" s="37" t="n">
        <x:v>996013.4285087679</x:v>
      </x:c>
      <x:c r="AD1130" s="37" t="n">
        <x:v>0</x:v>
      </x:c>
      <x:c r="AE1130" s="37" t="n">
        <x:v>0</x:v>
      </x:c>
      <x:c r="AF1130" s="47" t="b">
        <x:v>0</x:v>
      </x:c>
      <x:c r="AG1130" s="47" t="b">
        <x:v>0</x:v>
      </x:c>
      <x:c r="AH1130" s="48" t="n">
        <x:v>0</x:v>
      </x:c>
      <x:c r="AI1130" s="48" t="n">
        <x:v>1.1920928955078125e-7</x:v>
      </x:c>
      <x:c r="AJ1130" s="37" t="str">
        <x:v>passed</x:v>
      </x:c>
    </x:row>
    <x:row r="1131" ht="21" customHeight="1">
      <x:c r="A1131" s="2"/>
      <x:c r="B1131" s="2"/>
      <x:c r="C1131" s="2" t="str">
        <x:v>2023</x:v>
      </x:c>
      <x:c r="D1131" s="5" t="n">
        <x:v>44974</x:v>
      </x:c>
      <x:c r="E1131" s="2" t="str">
        <x:v>unhedged</x:v>
      </x:c>
      <x:c r="F1131" s="37" t="n">
        <x:v>1239421.1396092915</x:v>
      </x:c>
      <x:c r="G1131" s="37" t="n">
        <x:v>10413674.28202106</x:v>
      </x:c>
      <x:c r="H1131" s="37" t="n">
        <x:v>16222.375690607736</x:v>
      </x:c>
      <x:c r="I1131" s="37" t="n">
        <x:v>10397451.906330453</x:v>
      </x:c>
      <x:c r="J1131" s="37" t="n">
        <x:v>10413674.28202106</x:v>
      </x:c>
      <x:c r="K1131" s="37" t="n">
        <x:v>0</x:v>
      </x:c>
      <x:c r="L1131" s="37" t="n">
        <x:v>11653095.421630353</x:v>
      </x:c>
      <x:c r="M1131" s="37" t="n">
        <x:v>0</x:v>
      </x:c>
      <x:c r="N1131" s="37" t="n">
        <x:v>0</x:v>
      </x:c>
      <x:c r="O1131" s="37" t="n">
        <x:v>67.90976601885632</x:v>
      </x:c>
      <x:c r="P1131" s="37" t="n">
        <x:v>0</x:v>
      </x:c>
      <x:c r="Q1131" s="37" t="n">
        <x:v>0</x:v>
      </x:c>
      <x:c r="R1131" s="37" t="n">
        <x:v>0</x:v>
      </x:c>
      <x:c r="S1131" s="37" t="n">
        <x:v>0</x:v>
      </x:c>
      <x:c r="T1131" s="37" t="n">
        <x:v>0</x:v>
      </x:c>
      <x:c r="U1131" s="37" t="n">
        <x:v>37500</x:v>
      </x:c>
      <x:c r="V1131" s="37" t="n">
        <x:v>0</x:v>
      </x:c>
      <x:c r="W1131" s="37" t="n">
        <x:v>2964.008951413678</x:v>
      </x:c>
      <x:c r="X1131" s="37" t="n">
        <x:v>0</x:v>
      </x:c>
      <x:c r="Y1131" s="37" t="n">
        <x:v>1042.869342122179</x:v>
      </x:c>
      <x:c r="Z1131" s="37" t="n">
        <x:v>0</x:v>
      </x:c>
      <x:c r="AA1131" s="37" t="n">
        <x:v>0</x:v>
      </x:c>
      <x:c r="AB1131" s="37" t="n">
        <x:v>0</x:v>
      </x:c>
      <x:c r="AC1131" s="37" t="n">
        <x:v>1239421.1396092915</x:v>
      </x:c>
      <x:c r="AD1131" s="37" t="n">
        <x:v>0</x:v>
      </x:c>
      <x:c r="AE1131" s="37" t="n">
        <x:v>0</x:v>
      </x:c>
      <x:c r="AF1131" s="47" t="b">
        <x:v>0</x:v>
      </x:c>
      <x:c r="AG1131" s="47" t="b">
        <x:v>0</x:v>
      </x:c>
      <x:c r="AH1131" s="48" t="n">
        <x:v>0</x:v>
      </x:c>
      <x:c r="AI1131" s="48" t="n">
        <x:v>1.1920928955078125e-7</x:v>
      </x:c>
      <x:c r="AJ1131" s="37" t="str">
        <x:v>passed</x:v>
      </x:c>
    </x:row>
    <x:row r="1132" ht="21" customHeight="1">
      <x:c r="A1132" s="2"/>
      <x:c r="B1132" s="2"/>
      <x:c r="C1132" s="2" t="str">
        <x:v>2023</x:v>
      </x:c>
      <x:c r="D1132" s="5" t="n">
        <x:v>44974</x:v>
      </x:c>
      <x:c r="E1132" s="2" t="str">
        <x:v>duration</x:v>
      </x:c>
      <x:c r="F1132" s="37" t="n">
        <x:v>7782708.203766941</x:v>
      </x:c>
      <x:c r="G1132" s="37" t="n">
        <x:v>3863707.77370598</x:v>
      </x:c>
      <x:c r="H1132" s="37" t="n">
        <x:v>-12230.53857781391</x:v>
      </x:c>
      <x:c r="I1132" s="37" t="n">
        <x:v>3875938.312283794</x:v>
      </x:c>
      <x:c r="J1132" s="37" t="n">
        <x:v>10413674.28202106</x:v>
      </x:c>
      <x:c r="K1132" s="37" t="n">
        <x:v>6549966.508315082</x:v>
      </x:c>
      <x:c r="L1132" s="37" t="n">
        <x:v>11646415.97747292</x:v>
      </x:c>
      <x:c r="M1132" s="37" t="n">
        <x:v>0</x:v>
      </x:c>
      <x:c r="N1132" s="37" t="n">
        <x:v>0</x:v>
      </x:c>
      <x:c r="O1132" s="37" t="n">
        <x:v>426.42639876063913</x:v>
      </x:c>
      <x:c r="P1132" s="37" t="n">
        <x:v>0</x:v>
      </x:c>
      <x:c r="Q1132" s="37" t="n">
        <x:v>0</x:v>
      </x:c>
      <x:c r="R1132" s="37" t="n">
        <x:v>0</x:v>
      </x:c>
      <x:c r="S1132" s="37" t="n">
        <x:v>0</x:v>
      </x:c>
      <x:c r="T1132" s="37" t="n">
        <x:v>0</x:v>
      </x:c>
      <x:c r="U1132" s="37" t="n">
        <x:v>37500</x:v>
      </x:c>
      <x:c r="V1132" s="37" t="n">
        <x:v>0</x:v>
      </x:c>
      <x:c r="W1132" s="37" t="n">
        <x:v>19204.19186159689</x:v>
      </x:c>
      <x:c r="X1132" s="37" t="n">
        <x:v>0</x:v>
      </x:c>
      <x:c r="Y1132" s="37" t="n">
        <x:v>1711.5571205313227</x:v>
      </x:c>
      <x:c r="Z1132" s="37" t="n">
        <x:v>6680965.838481383</x:v>
      </x:c>
      <x:c r="AA1132" s="37" t="n">
        <x:v>0</x:v>
      </x:c>
      <x:c r="AB1132" s="37" t="n">
        <x:v>6680965.838481383</x:v>
      </x:c>
      <x:c r="AC1132" s="37" t="n">
        <x:v>1101742.3652855577</x:v>
      </x:c>
      <x:c r="AD1132" s="37" t="n">
        <x:v>0</x:v>
      </x:c>
      <x:c r="AE1132" s="37" t="n">
        <x:v>0</x:v>
      </x:c>
      <x:c r="AF1132" s="47" t="b">
        <x:v>0</x:v>
      </x:c>
      <x:c r="AG1132" s="47" t="b">
        <x:v>0</x:v>
      </x:c>
      <x:c r="AH1132" s="48" t="n">
        <x:v>0</x:v>
      </x:c>
      <x:c r="AI1132" s="48" t="n">
        <x:v>5.960464477539063e-8</x:v>
      </x:c>
      <x:c r="AJ1132" s="37" t="str">
        <x:v>passed</x:v>
      </x:c>
    </x:row>
    <x:row r="1133" ht="21" customHeight="1">
      <x:c r="A1133" s="2"/>
      <x:c r="B1133" s="2"/>
      <x:c r="C1133" s="2" t="str">
        <x:v>2023</x:v>
      </x:c>
      <x:c r="D1133" s="5" t="n">
        <x:v>44974</x:v>
      </x:c>
      <x:c r="E1133" s="2" t="str">
        <x:v>unweighted</x:v>
      </x:c>
      <x:c r="F1133" s="37" t="n">
        <x:v>11028245.416771183</x:v>
      </x:c>
      <x:c r="G1133" s="37" t="n">
        <x:v>629038.0892592565</x:v>
      </x:c>
      <x:c r="H1133" s="37" t="n">
        <x:v>-16361.910646461627</x:v>
      </x:c>
      <x:c r="I1133" s="37" t="n">
        <x:v>645399.9999057181</x:v>
      </x:c>
      <x:c r="J1133" s="37" t="n">
        <x:v>10455536.025771542</x:v>
      </x:c>
      <x:c r="K1133" s="37" t="n">
        <x:v>9826497.936512284</x:v>
      </x:c>
      <x:c r="L1133" s="37" t="n">
        <x:v>11657283.506030438</x:v>
      </x:c>
      <x:c r="M1133" s="37" t="n">
        <x:v>0</x:v>
      </x:c>
      <x:c r="N1133" s="37" t="n">
        <x:v>0</x:v>
      </x:c>
      <x:c r="O1133" s="37" t="n">
        <x:v>604.2543102707714</x:v>
      </x:c>
      <x:c r="P1133" s="37" t="n">
        <x:v>0</x:v>
      </x:c>
      <x:c r="Q1133" s="37" t="n">
        <x:v>0</x:v>
      </x:c>
      <x:c r="R1133" s="37" t="n">
        <x:v>0</x:v>
      </x:c>
      <x:c r="S1133" s="37" t="n">
        <x:v>0</x:v>
      </x:c>
      <x:c r="T1133" s="37" t="n">
        <x:v>0</x:v>
      </x:c>
      <x:c r="U1133" s="37" t="n">
        <x:v>37500</x:v>
      </x:c>
      <x:c r="V1133" s="37" t="n">
        <x:v>0</x:v>
      </x:c>
      <x:c r="W1133" s="37" t="n">
        <x:v>26875.191983915865</x:v>
      </x:c>
      <x:c r="X1133" s="37" t="n">
        <x:v>0</x:v>
      </x:c>
      <x:c r="Y1133" s="37" t="n">
        <x:v>2027.9102592176782</x:v>
      </x:c>
      <x:c r="Z1133" s="37" t="n">
        <x:v>10023027.895242529</x:v>
      </x:c>
      <x:c r="AA1133" s="37" t="n">
        <x:v>0</x:v>
      </x:c>
      <x:c r="AB1133" s="37" t="n">
        <x:v>10023027.895242529</x:v>
      </x:c>
      <x:c r="AC1133" s="37" t="n">
        <x:v>1005217.5215286538</x:v>
      </x:c>
      <x:c r="AD1133" s="37" t="n">
        <x:v>0</x:v>
      </x:c>
      <x:c r="AE1133" s="37" t="n">
        <x:v>0</x:v>
      </x:c>
      <x:c r="AF1133" s="47" t="b">
        <x:v>0</x:v>
      </x:c>
      <x:c r="AG1133" s="47" t="b">
        <x:v>0</x:v>
      </x:c>
      <x:c r="AH1133" s="48" t="n">
        <x:v>0</x:v>
      </x:c>
      <x:c r="AI1133" s="48" t="n">
        <x:v>1.1920928955078125e-7</x:v>
      </x:c>
      <x:c r="AJ1133" s="37" t="str">
        <x:v>passed</x:v>
      </x:c>
    </x:row>
    <x:row r="1134" ht="21" customHeight="1">
      <x:c r="A1134" s="2"/>
      <x:c r="B1134" s="2"/>
      <x:c r="C1134" s="2" t="str">
        <x:v>2023</x:v>
      </x:c>
      <x:c r="D1134" s="5" t="n">
        <x:v>44974</x:v>
      </x:c>
      <x:c r="E1134" s="2" t="str">
        <x:v>constrained</x:v>
      </x:c>
      <x:c r="F1134" s="37" t="n">
        <x:v>11723963.381528847</x:v>
      </x:c>
      <x:c r="G1134" s="37" t="n">
        <x:v>-68195.40577921196</x:v>
      </x:c>
      <x:c r="H1134" s="37" t="n">
        <x:v>-17673.22080197447</x:v>
      </x:c>
      <x:c r="I1134" s="37" t="n">
        <x:v>-50522.184977237484</x:v>
      </x:c>
      <x:c r="J1134" s="37" t="n">
        <x:v>10467780.218488405</x:v>
      </x:c>
      <x:c r="K1134" s="37" t="n">
        <x:v>10535975.624267615</x:v>
      </x:c>
      <x:c r="L1134" s="37" t="n">
        <x:v>11655767.975749634</x:v>
      </x:c>
      <x:c r="M1134" s="37" t="n">
        <x:v>0</x:v>
      </x:c>
      <x:c r="N1134" s="37" t="n">
        <x:v>0</x:v>
      </x:c>
      <x:c r="O1134" s="37" t="n">
        <x:v>642.373753849417</x:v>
      </x:c>
      <x:c r="P1134" s="37" t="n">
        <x:v>0</x:v>
      </x:c>
      <x:c r="Q1134" s="37" t="n">
        <x:v>0</x:v>
      </x:c>
      <x:c r="R1134" s="37" t="n">
        <x:v>0</x:v>
      </x:c>
      <x:c r="S1134" s="37" t="n">
        <x:v>0</x:v>
      </x:c>
      <x:c r="T1134" s="37" t="n">
        <x:v>0</x:v>
      </x:c>
      <x:c r="U1134" s="37" t="n">
        <x:v>37500</x:v>
      </x:c>
      <x:c r="V1134" s="37" t="n">
        <x:v>0</x:v>
      </x:c>
      <x:c r="W1134" s="37" t="n">
        <x:v>28697.720016989857</x:v>
      </x:c>
      <x:c r="X1134" s="37" t="n">
        <x:v>0</x:v>
      </x:c>
      <x:c r="Y1134" s="37" t="n">
        <x:v>2105.323207808831</x:v>
      </x:c>
      <x:c r="Z1134" s="37" t="n">
        <x:v>10746695.136752969</x:v>
      </x:c>
      <x:c r="AA1134" s="37" t="n">
        <x:v>0</x:v>
      </x:c>
      <x:c r="AB1134" s="37" t="n">
        <x:v>10746695.136752969</x:v>
      </x:c>
      <x:c r="AC1134" s="37" t="n">
        <x:v>977268.2447758783</x:v>
      </x:c>
      <x:c r="AD1134" s="37" t="n">
        <x:v>0</x:v>
      </x:c>
      <x:c r="AE1134" s="37" t="n">
        <x:v>0</x:v>
      </x:c>
      <x:c r="AF1134" s="47" t="b">
        <x:v>0</x:v>
      </x:c>
      <x:c r="AG1134" s="47" t="b">
        <x:v>0</x:v>
      </x:c>
      <x:c r="AH1134" s="48" t="n">
        <x:v>0</x:v>
      </x:c>
      <x:c r="AI1134" s="48" t="n">
        <x:v>1.1920928955078125e-7</x:v>
      </x:c>
      <x:c r="AJ1134" s="37" t="str">
        <x:v>passed</x:v>
      </x:c>
    </x:row>
    <x:row r="1135" ht="21" customHeight="1">
      <x:c r="A1135" s="2"/>
      <x:c r="B1135" s="2"/>
      <x:c r="C1135" s="2" t="str">
        <x:v>2023</x:v>
      </x:c>
      <x:c r="D1135" s="5" t="n">
        <x:v>44978</x:v>
      </x:c>
      <x:c r="E1135" s="2" t="str">
        <x:v>unhedged</x:v>
      </x:c>
      <x:c r="F1135" s="37" t="n">
        <x:v>1239692.8158862367</x:v>
      </x:c>
      <x:c r="G1135" s="37" t="n">
        <x:v>10351716.29924678</x:v>
      </x:c>
      <x:c r="H1135" s="37" t="n">
        <x:v>17631.21546961326</x:v>
      </x:c>
      <x:c r="I1135" s="37" t="n">
        <x:v>10334085.083777167</x:v>
      </x:c>
      <x:c r="J1135" s="37" t="n">
        <x:v>10351716.29924678</x:v>
      </x:c>
      <x:c r="K1135" s="37" t="n">
        <x:v>0</x:v>
      </x:c>
      <x:c r="L1135" s="37" t="n">
        <x:v>11591409.115133017</x:v>
      </x:c>
      <x:c r="M1135" s="37" t="n">
        <x:v>0</x:v>
      </x:c>
      <x:c r="N1135" s="37" t="n">
        <x:v>0</x:v>
      </x:c>
      <x:c r="O1135" s="37" t="n">
        <x:v>271.6762769452762</x:v>
      </x:c>
      <x:c r="P1135" s="37" t="n">
        <x:v>0</x:v>
      </x:c>
      <x:c r="Q1135" s="37" t="n">
        <x:v>0</x:v>
      </x:c>
      <x:c r="R1135" s="37" t="n">
        <x:v>0</x:v>
      </x:c>
      <x:c r="S1135" s="37" t="n">
        <x:v>0</x:v>
      </x:c>
      <x:c r="T1135" s="37" t="n">
        <x:v>0</x:v>
      </x:c>
      <x:c r="U1135" s="37" t="n">
        <x:v>37500</x:v>
      </x:c>
      <x:c r="V1135" s="37" t="n">
        <x:v>0</x:v>
      </x:c>
      <x:c r="W1135" s="37" t="n">
        <x:v>3235.685228358954</x:v>
      </x:c>
      <x:c r="X1135" s="37" t="n">
        <x:v>0</x:v>
      </x:c>
      <x:c r="Y1135" s="37" t="n">
        <x:v>1042.869342122179</x:v>
      </x:c>
      <x:c r="Z1135" s="37" t="n">
        <x:v>0</x:v>
      </x:c>
      <x:c r="AA1135" s="37" t="n">
        <x:v>0</x:v>
      </x:c>
      <x:c r="AB1135" s="37" t="n">
        <x:v>0</x:v>
      </x:c>
      <x:c r="AC1135" s="37" t="n">
        <x:v>1239692.8158862367</x:v>
      </x:c>
      <x:c r="AD1135" s="37" t="n">
        <x:v>0</x:v>
      </x:c>
      <x:c r="AE1135" s="37" t="n">
        <x:v>0</x:v>
      </x:c>
      <x:c r="AF1135" s="47" t="b">
        <x:v>0</x:v>
      </x:c>
      <x:c r="AG1135" s="47" t="b">
        <x:v>0</x:v>
      </x:c>
      <x:c r="AH1135" s="48" t="n">
        <x:v>0</x:v>
      </x:c>
      <x:c r="AI1135" s="48" t="n">
        <x:v>1.1920928955078125e-7</x:v>
      </x:c>
      <x:c r="AJ1135" s="37" t="str">
        <x:v>passed</x:v>
      </x:c>
    </x:row>
    <x:row r="1136" ht="21" customHeight="1">
      <x:c r="A1136" s="2"/>
      <x:c r="B1136" s="2"/>
      <x:c r="C1136" s="2" t="str">
        <x:v>2023</x:v>
      </x:c>
      <x:c r="D1136" s="5" t="n">
        <x:v>44978</x:v>
      </x:c>
      <x:c r="E1136" s="2" t="str">
        <x:v>duration</x:v>
      </x:c>
      <x:c r="F1136" s="37" t="n">
        <x:v>7784414.143033087</x:v>
      </x:c>
      <x:c r="G1136" s="37" t="n">
        <x:v>3866941.8107030545</x:v>
      </x:c>
      <x:c r="H1136" s="37" t="n">
        <x:v>-12032.461108102925</x:v>
      </x:c>
      <x:c r="I1136" s="37" t="n">
        <x:v>3878974.2718111575</x:v>
      </x:c>
      <x:c r="J1136" s="37" t="n">
        <x:v>10351716.29924678</x:v>
      </x:c>
      <x:c r="K1136" s="37" t="n">
        <x:v>6484774.488543726</x:v>
      </x:c>
      <x:c r="L1136" s="37" t="n">
        <x:v>11651355.953736141</x:v>
      </x:c>
      <x:c r="M1136" s="37" t="n">
        <x:v>0</x:v>
      </x:c>
      <x:c r="N1136" s="37" t="n">
        <x:v>0</x:v>
      </x:c>
      <x:c r="O1136" s="37" t="n">
        <x:v>1705.9392661461607</x:v>
      </x:c>
      <x:c r="P1136" s="37" t="n">
        <x:v>0</x:v>
      </x:c>
      <x:c r="Q1136" s="37" t="n">
        <x:v>0</x:v>
      </x:c>
      <x:c r="R1136" s="37" t="n">
        <x:v>0</x:v>
      </x:c>
      <x:c r="S1136" s="37" t="n">
        <x:v>0</x:v>
      </x:c>
      <x:c r="T1136" s="37" t="n">
        <x:v>0</x:v>
      </x:c>
      <x:c r="U1136" s="37" t="n">
        <x:v>37500</x:v>
      </x:c>
      <x:c r="V1136" s="37" t="n">
        <x:v>0</x:v>
      </x:c>
      <x:c r="W1136" s="37" t="n">
        <x:v>20910.13112774305</x:v>
      </x:c>
      <x:c r="X1136" s="37" t="n">
        <x:v>0</x:v>
      </x:c>
      <x:c r="Y1136" s="37" t="n">
        <x:v>1711.5571205313227</x:v>
      </x:c>
      <x:c r="Z1136" s="37" t="n">
        <x:v>6614469.9783146</x:v>
      </x:c>
      <x:c r="AA1136" s="37" t="n">
        <x:v>0</x:v>
      </x:c>
      <x:c r="AB1136" s="37" t="n">
        <x:v>6614469.9783146</x:v>
      </x:c>
      <x:c r="AC1136" s="37" t="n">
        <x:v>1169944.1647184873</x:v>
      </x:c>
      <x:c r="AD1136" s="37" t="n">
        <x:v>0</x:v>
      </x:c>
      <x:c r="AE1136" s="37" t="n">
        <x:v>0</x:v>
      </x:c>
      <x:c r="AF1136" s="47" t="b">
        <x:v>0</x:v>
      </x:c>
      <x:c r="AG1136" s="47" t="b">
        <x:v>0</x:v>
      </x:c>
      <x:c r="AH1136" s="48" t="n">
        <x:v>0</x:v>
      </x:c>
      <x:c r="AI1136" s="48" t="n">
        <x:v>5.960464477539063e-8</x:v>
      </x:c>
      <x:c r="AJ1136" s="37" t="str">
        <x:v>passed</x:v>
      </x:c>
    </x:row>
    <x:row r="1137" ht="21" customHeight="1">
      <x:c r="A1137" s="2"/>
      <x:c r="B1137" s="2"/>
      <x:c r="C1137" s="2" t="str">
        <x:v>2023</x:v>
      </x:c>
      <x:c r="D1137" s="5" t="n">
        <x:v>44978</x:v>
      </x:c>
      <x:c r="E1137" s="2" t="str">
        <x:v>unweighted</x:v>
      </x:c>
      <x:c r="F1137" s="37" t="n">
        <x:v>11030662.76512867</x:v>
      </x:c>
      <x:c r="G1137" s="37" t="n">
        <x:v>627506.8747015264</x:v>
      </x:c>
      <x:c r="H1137" s="37" t="n">
        <x:v>-16440.75803598849</x:v>
      </x:c>
      <x:c r="I1137" s="37" t="n">
        <x:v>643947.6327375148</x:v>
      </x:c>
      <x:c r="J1137" s="37" t="n">
        <x:v>10392903.95793357</x:v>
      </x:c>
      <x:c r="K1137" s="37" t="n">
        <x:v>9765397.083232043</x:v>
      </x:c>
      <x:c r="L1137" s="37" t="n">
        <x:v>11658169.639830196</x:v>
      </x:c>
      <x:c r="M1137" s="37" t="n">
        <x:v>0</x:v>
      </x:c>
      <x:c r="N1137" s="37" t="n">
        <x:v>0</x:v>
      </x:c>
      <x:c r="O1137" s="37" t="n">
        <x:v>2417.34835748747</x:v>
      </x:c>
      <x:c r="P1137" s="37" t="n">
        <x:v>0</x:v>
      </x:c>
      <x:c r="Q1137" s="37" t="n">
        <x:v>0</x:v>
      </x:c>
      <x:c r="R1137" s="37" t="n">
        <x:v>0</x:v>
      </x:c>
      <x:c r="S1137" s="37" t="n">
        <x:v>0</x:v>
      </x:c>
      <x:c r="T1137" s="37" t="n">
        <x:v>0</x:v>
      </x:c>
      <x:c r="U1137" s="37" t="n">
        <x:v>37500</x:v>
      </x:c>
      <x:c r="V1137" s="37" t="n">
        <x:v>0</x:v>
      </x:c>
      <x:c r="W1137" s="37" t="n">
        <x:v>29292.540341403335</x:v>
      </x:c>
      <x:c r="X1137" s="37" t="n">
        <x:v>0</x:v>
      </x:c>
      <x:c r="Y1137" s="37" t="n">
        <x:v>2027.9102592176782</x:v>
      </x:c>
      <x:c r="Z1137" s="37" t="n">
        <x:v>9960705.024896685</x:v>
      </x:c>
      <x:c r="AA1137" s="37" t="n">
        <x:v>0</x:v>
      </x:c>
      <x:c r="AB1137" s="37" t="n">
        <x:v>9960705.024896685</x:v>
      </x:c>
      <x:c r="AC1137" s="37" t="n">
        <x:v>1069957.7402319852</x:v>
      </x:c>
      <x:c r="AD1137" s="37" t="n">
        <x:v>0</x:v>
      </x:c>
      <x:c r="AE1137" s="37" t="n">
        <x:v>0</x:v>
      </x:c>
      <x:c r="AF1137" s="47" t="b">
        <x:v>0</x:v>
      </x:c>
      <x:c r="AG1137" s="47" t="b">
        <x:v>0</x:v>
      </x:c>
      <x:c r="AH1137" s="48" t="n">
        <x:v>0</x:v>
      </x:c>
      <x:c r="AI1137" s="48" t="n">
        <x:v>1.1920928955078125e-7</x:v>
      </x:c>
      <x:c r="AJ1137" s="37" t="str">
        <x:v>passed</x:v>
      </x:c>
    </x:row>
    <x:row r="1138" ht="21" customHeight="1">
      <x:c r="A1138" s="2"/>
      <x:c r="B1138" s="2"/>
      <x:c r="C1138" s="2" t="str">
        <x:v>2023</x:v>
      </x:c>
      <x:c r="D1138" s="5" t="n">
        <x:v>44978</x:v>
      </x:c>
      <x:c r="E1138" s="2" t="str">
        <x:v>constrained</x:v>
      </x:c>
      <x:c r="F1138" s="37" t="n">
        <x:v>11726533.22854916</x:v>
      </x:c>
      <x:c r="G1138" s="37" t="n">
        <x:v>-68538.47005211175</x:v>
      </x:c>
      <x:c r="H1138" s="37" t="n">
        <x:v>-17817.058918146868</x:v>
      </x:c>
      <x:c r="I1138" s="37" t="n">
        <x:v>-50721.41113396488</x:v>
      </x:c>
      <x:c r="J1138" s="37" t="n">
        <x:v>10404952.400968704</x:v>
      </x:c>
      <x:c r="K1138" s="37" t="n">
        <x:v>10473490.871020816</x:v>
      </x:c>
      <x:c r="L1138" s="37" t="n">
        <x:v>11657994.758497048</x:v>
      </x:c>
      <x:c r="M1138" s="37" t="n">
        <x:v>0</x:v>
      </x:c>
      <x:c r="N1138" s="37" t="n">
        <x:v>0</x:v>
      </x:c>
      <x:c r="O1138" s="37" t="n">
        <x:v>2569.8470203131437</x:v>
      </x:c>
      <x:c r="P1138" s="37" t="n">
        <x:v>0</x:v>
      </x:c>
      <x:c r="Q1138" s="37" t="n">
        <x:v>0</x:v>
      </x:c>
      <x:c r="R1138" s="37" t="n">
        <x:v>0</x:v>
      </x:c>
      <x:c r="S1138" s="37" t="n">
        <x:v>0</x:v>
      </x:c>
      <x:c r="T1138" s="37" t="n">
        <x:v>0</x:v>
      </x:c>
      <x:c r="U1138" s="37" t="n">
        <x:v>37500</x:v>
      </x:c>
      <x:c r="V1138" s="37" t="n">
        <x:v>0</x:v>
      </x:c>
      <x:c r="W1138" s="37" t="n">
        <x:v>31267.567037303</x:v>
      </x:c>
      <x:c r="X1138" s="37" t="n">
        <x:v>0</x:v>
      </x:c>
      <x:c r="Y1138" s="37" t="n">
        <x:v>2105.323207808831</x:v>
      </x:c>
      <x:c r="Z1138" s="37" t="n">
        <x:v>10682960.688441232</x:v>
      </x:c>
      <x:c r="AA1138" s="37" t="n">
        <x:v>0</x:v>
      </x:c>
      <x:c r="AB1138" s="37" t="n">
        <x:v>10682960.688441232</x:v>
      </x:c>
      <x:c r="AC1138" s="37" t="n">
        <x:v>1043572.5401079282</x:v>
      </x:c>
      <x:c r="AD1138" s="37" t="n">
        <x:v>0</x:v>
      </x:c>
      <x:c r="AE1138" s="37" t="n">
        <x:v>0</x:v>
      </x:c>
      <x:c r="AF1138" s="47" t="b">
        <x:v>0</x:v>
      </x:c>
      <x:c r="AG1138" s="47" t="b">
        <x:v>0</x:v>
      </x:c>
      <x:c r="AH1138" s="48" t="n">
        <x:v>0</x:v>
      </x:c>
      <x:c r="AI1138" s="48" t="n">
        <x:v>1.1920928955078125e-7</x:v>
      </x:c>
      <x:c r="AJ1138" s="37" t="str">
        <x:v>passed</x:v>
      </x:c>
    </x:row>
    <x:row r="1139" ht="21" customHeight="1">
      <x:c r="A1139" s="2"/>
      <x:c r="B1139" s="2"/>
      <x:c r="C1139" s="2" t="str">
        <x:v>2023</x:v>
      </x:c>
      <x:c r="D1139" s="5" t="n">
        <x:v>44979</x:v>
      </x:c>
      <x:c r="E1139" s="2" t="str">
        <x:v>unhedged</x:v>
      </x:c>
      <x:c r="F1139" s="37" t="n">
        <x:v>1239760.7442597102</x:v>
      </x:c>
      <x:c r="G1139" s="37" t="n">
        <x:v>10335740.527267221</x:v>
      </x:c>
      <x:c r="H1139" s="37" t="n">
        <x:v>17983.425414364643</x:v>
      </x:c>
      <x:c r="I1139" s="37" t="n">
        <x:v>10317757.101852857</x:v>
      </x:c>
      <x:c r="J1139" s="37" t="n">
        <x:v>10335740.527267221</x:v>
      </x:c>
      <x:c r="K1139" s="37" t="n">
        <x:v>0</x:v>
      </x:c>
      <x:c r="L1139" s="37" t="n">
        <x:v>11575501.27152693</x:v>
      </x:c>
      <x:c r="M1139" s="37" t="n">
        <x:v>0</x:v>
      </x:c>
      <x:c r="N1139" s="37" t="n">
        <x:v>0</x:v>
      </x:c>
      <x:c r="O1139" s="37" t="n">
        <x:v>67.92837347346358</x:v>
      </x:c>
      <x:c r="P1139" s="37" t="n">
        <x:v>0</x:v>
      </x:c>
      <x:c r="Q1139" s="37" t="n">
        <x:v>0</x:v>
      </x:c>
      <x:c r="R1139" s="37" t="n">
        <x:v>0</x:v>
      </x:c>
      <x:c r="S1139" s="37" t="n">
        <x:v>0</x:v>
      </x:c>
      <x:c r="T1139" s="37" t="n">
        <x:v>0</x:v>
      </x:c>
      <x:c r="U1139" s="37" t="n">
        <x:v>37500</x:v>
      </x:c>
      <x:c r="V1139" s="37" t="n">
        <x:v>0</x:v>
      </x:c>
      <x:c r="W1139" s="37" t="n">
        <x:v>3303.6136018324178</x:v>
      </x:c>
      <x:c r="X1139" s="37" t="n">
        <x:v>0</x:v>
      </x:c>
      <x:c r="Y1139" s="37" t="n">
        <x:v>1042.869342122179</x:v>
      </x:c>
      <x:c r="Z1139" s="37" t="n">
        <x:v>0</x:v>
      </x:c>
      <x:c r="AA1139" s="37" t="n">
        <x:v>0</x:v>
      </x:c>
      <x:c r="AB1139" s="37" t="n">
        <x:v>0</x:v>
      </x:c>
      <x:c r="AC1139" s="37" t="n">
        <x:v>1239760.7442597102</x:v>
      </x:c>
      <x:c r="AD1139" s="37" t="n">
        <x:v>0</x:v>
      </x:c>
      <x:c r="AE1139" s="37" t="n">
        <x:v>0</x:v>
      </x:c>
      <x:c r="AF1139" s="47" t="b">
        <x:v>0</x:v>
      </x:c>
      <x:c r="AG1139" s="47" t="b">
        <x:v>0</x:v>
      </x:c>
      <x:c r="AH1139" s="48" t="n">
        <x:v>0</x:v>
      </x:c>
      <x:c r="AI1139" s="48" t="n">
        <x:v>1.1920928955078125e-7</x:v>
      </x:c>
      <x:c r="AJ1139" s="37" t="str">
        <x:v>passed</x:v>
      </x:c>
    </x:row>
    <x:row r="1140" ht="21" customHeight="1">
      <x:c r="A1140" s="2"/>
      <x:c r="B1140" s="2"/>
      <x:c r="C1140" s="2" t="str">
        <x:v>2023</x:v>
      </x:c>
      <x:c r="D1140" s="5" t="n">
        <x:v>44979</x:v>
      </x:c>
      <x:c r="E1140" s="2" t="str">
        <x:v>duration</x:v>
      </x:c>
      <x:c r="F1140" s="37" t="n">
        <x:v>7784840.686273803</x:v>
      </x:c>
      <x:c r="G1140" s="37" t="n">
        <x:v>3883460.149615894</x:v>
      </x:c>
      <x:c r="H1140" s="37" t="n">
        <x:v>-11982.941740675176</x:v>
      </x:c>
      <x:c r="I1140" s="37" t="n">
        <x:v>3895443.0913565694</x:v>
      </x:c>
      <x:c r="J1140" s="37" t="n">
        <x:v>10335740.527267221</x:v>
      </x:c>
      <x:c r="K1140" s="37" t="n">
        <x:v>6452280.377651328</x:v>
      </x:c>
      <x:c r="L1140" s="37" t="n">
        <x:v>11668300.835889697</x:v>
      </x:c>
      <x:c r="M1140" s="37" t="n">
        <x:v>0</x:v>
      </x:c>
      <x:c r="N1140" s="37" t="n">
        <x:v>0</x:v>
      </x:c>
      <x:c r="O1140" s="37" t="n">
        <x:v>426.54324071574956</x:v>
      </x:c>
      <x:c r="P1140" s="37" t="n">
        <x:v>0</x:v>
      </x:c>
      <x:c r="Q1140" s="37" t="n">
        <x:v>0</x:v>
      </x:c>
      <x:c r="R1140" s="37" t="n">
        <x:v>0</x:v>
      </x:c>
      <x:c r="S1140" s="37" t="n">
        <x:v>0</x:v>
      </x:c>
      <x:c r="T1140" s="37" t="n">
        <x:v>0</x:v>
      </x:c>
      <x:c r="U1140" s="37" t="n">
        <x:v>37500</x:v>
      </x:c>
      <x:c r="V1140" s="37" t="n">
        <x:v>0</x:v>
      </x:c>
      <x:c r="W1140" s="37" t="n">
        <x:v>21336.6743684588</x:v>
      </x:c>
      <x:c r="X1140" s="37" t="n">
        <x:v>0</x:v>
      </x:c>
      <x:c r="Y1140" s="37" t="n">
        <x:v>1711.5571205313227</x:v>
      </x:c>
      <x:c r="Z1140" s="37" t="n">
        <x:v>6581325.985204355</x:v>
      </x:c>
      <x:c r="AA1140" s="37" t="n">
        <x:v>0</x:v>
      </x:c>
      <x:c r="AB1140" s="37" t="n">
        <x:v>6581325.985204355</x:v>
      </x:c>
      <x:c r="AC1140" s="37" t="n">
        <x:v>1203514.7010694481</x:v>
      </x:c>
      <x:c r="AD1140" s="37" t="n">
        <x:v>0</x:v>
      </x:c>
      <x:c r="AE1140" s="37" t="n">
        <x:v>0</x:v>
      </x:c>
      <x:c r="AF1140" s="47" t="b">
        <x:v>0</x:v>
      </x:c>
      <x:c r="AG1140" s="47" t="b">
        <x:v>0</x:v>
      </x:c>
      <x:c r="AH1140" s="48" t="n">
        <x:v>0</x:v>
      </x:c>
      <x:c r="AI1140" s="48" t="n">
        <x:v>5.960464477539063e-8</x:v>
      </x:c>
      <x:c r="AJ1140" s="37" t="str">
        <x:v>passed</x:v>
      </x:c>
    </x:row>
    <x:row r="1141" ht="21" customHeight="1">
      <x:c r="A1141" s="2"/>
      <x:c r="B1141" s="2"/>
      <x:c r="C1141" s="2" t="str">
        <x:v>2023</x:v>
      </x:c>
      <x:c r="D1141" s="5" t="n">
        <x:v>44979</x:v>
      </x:c>
      <x:c r="E1141" s="2" t="str">
        <x:v>unweighted</x:v>
      </x:c>
      <x:c r="F1141" s="37" t="n">
        <x:v>11031267.185006212</x:v>
      </x:c>
      <x:c r="G1141" s="37" t="n">
        <x:v>628336.2395394394</x:v>
      </x:c>
      <x:c r="H1141" s="37" t="n">
        <x:v>-16460.469883370202</x:v>
      </x:c>
      <x:c r="I1141" s="37" t="n">
        <x:v>644796.7094228097</x:v>
      </x:c>
      <x:c r="J1141" s="37" t="n">
        <x:v>10377390.664207684</x:v>
      </x:c>
      <x:c r="K1141" s="37" t="n">
        <x:v>9749054.424668243</x:v>
      </x:c>
      <x:c r="L1141" s="37" t="n">
        <x:v>11659603.424545651</x:v>
      </x:c>
      <x:c r="M1141" s="37" t="n">
        <x:v>0</x:v>
      </x:c>
      <x:c r="N1141" s="37" t="n">
        <x:v>0</x:v>
      </x:c>
      <x:c r="O1141" s="37" t="n">
        <x:v>604.4198775421828</x:v>
      </x:c>
      <x:c r="P1141" s="37" t="n">
        <x:v>0</x:v>
      </x:c>
      <x:c r="Q1141" s="37" t="n">
        <x:v>0</x:v>
      </x:c>
      <x:c r="R1141" s="37" t="n">
        <x:v>0</x:v>
      </x:c>
      <x:c r="S1141" s="37" t="n">
        <x:v>0</x:v>
      </x:c>
      <x:c r="T1141" s="37" t="n">
        <x:v>0</x:v>
      </x:c>
      <x:c r="U1141" s="37" t="n">
        <x:v>37500</x:v>
      </x:c>
      <x:c r="V1141" s="37" t="n">
        <x:v>0</x:v>
      </x:c>
      <x:c r="W1141" s="37" t="n">
        <x:v>29896.960218945518</x:v>
      </x:c>
      <x:c r="X1141" s="37" t="n">
        <x:v>0</x:v>
      </x:c>
      <x:c r="Y1141" s="37" t="n">
        <x:v>2027.9102592176782</x:v>
      </x:c>
      <x:c r="Z1141" s="37" t="n">
        <x:v>9944035.513161609</x:v>
      </x:c>
      <x:c r="AA1141" s="37" t="n">
        <x:v>0</x:v>
      </x:c>
      <x:c r="AB1141" s="37" t="n">
        <x:v>9944035.513161609</x:v>
      </x:c>
      <x:c r="AC1141" s="37" t="n">
        <x:v>1087231.6718446035</x:v>
      </x:c>
      <x:c r="AD1141" s="37" t="n">
        <x:v>0</x:v>
      </x:c>
      <x:c r="AE1141" s="37" t="n">
        <x:v>0</x:v>
      </x:c>
      <x:c r="AF1141" s="47" t="b">
        <x:v>0</x:v>
      </x:c>
      <x:c r="AG1141" s="47" t="b">
        <x:v>0</x:v>
      </x:c>
      <x:c r="AH1141" s="48" t="n">
        <x:v>0</x:v>
      </x:c>
      <x:c r="AI1141" s="48" t="n">
        <x:v>1.1920928955078125e-7</x:v>
      </x:c>
      <x:c r="AJ1141" s="37" t="str">
        <x:v>passed</x:v>
      </x:c>
    </x:row>
    <x:row r="1142" ht="21" customHeight="1">
      <x:c r="A1142" s="2"/>
      <x:c r="B1142" s="2"/>
      <x:c r="C1142" s="2" t="str">
        <x:v>2023</x:v>
      </x:c>
      <x:c r="D1142" s="5" t="n">
        <x:v>44979</x:v>
      </x:c>
      <x:c r="E1142" s="2" t="str">
        <x:v>constrained</x:v>
      </x:c>
      <x:c r="F1142" s="37" t="n">
        <x:v>11727175.77831511</x:v>
      </x:c>
      <x:c r="G1142" s="37" t="n">
        <x:v>-67826.28883110179</x:v>
      </x:c>
      <x:c r="H1142" s="37" t="n">
        <x:v>-17853.018447189963</x:v>
      </x:c>
      <x:c r="I1142" s="37" t="n">
        <x:v>-49973.270383911826</x:v>
      </x:c>
      <x:c r="J1142" s="37" t="n">
        <x:v>10389582.245024417</x:v>
      </x:c>
      <x:c r="K1142" s="37" t="n">
        <x:v>10457408.533855518</x:v>
      </x:c>
      <x:c r="L1142" s="37" t="n">
        <x:v>11659349.489484008</x:v>
      </x:c>
      <x:c r="M1142" s="37" t="n">
        <x:v>0</x:v>
      </x:c>
      <x:c r="N1142" s="37" t="n">
        <x:v>0</x:v>
      </x:c>
      <x:c r="O1142" s="37" t="n">
        <x:v>642.5497659500688</x:v>
      </x:c>
      <x:c r="P1142" s="37" t="n">
        <x:v>0</x:v>
      </x:c>
      <x:c r="Q1142" s="37" t="n">
        <x:v>0</x:v>
      </x:c>
      <x:c r="R1142" s="37" t="n">
        <x:v>0</x:v>
      </x:c>
      <x:c r="S1142" s="37" t="n">
        <x:v>0</x:v>
      </x:c>
      <x:c r="T1142" s="37" t="n">
        <x:v>0</x:v>
      </x:c>
      <x:c r="U1142" s="37" t="n">
        <x:v>37500</x:v>
      </x:c>
      <x:c r="V1142" s="37" t="n">
        <x:v>0</x:v>
      </x:c>
      <x:c r="W1142" s="37" t="n">
        <x:v>31910.11680325307</x:v>
      </x:c>
      <x:c r="X1142" s="37" t="n">
        <x:v>0</x:v>
      </x:c>
      <x:c r="Y1142" s="37" t="n">
        <x:v>2105.323207808831</x:v>
      </x:c>
      <x:c r="Z1142" s="37" t="n">
        <x:v>10666556.704532629</x:v>
      </x:c>
      <x:c r="AA1142" s="37" t="n">
        <x:v>0</x:v>
      </x:c>
      <x:c r="AB1142" s="37" t="n">
        <x:v>10666556.704532629</x:v>
      </x:c>
      <x:c r="AC1142" s="37" t="n">
        <x:v>1060619.0737824813</x:v>
      </x:c>
      <x:c r="AD1142" s="37" t="n">
        <x:v>0</x:v>
      </x:c>
      <x:c r="AE1142" s="37" t="n">
        <x:v>0</x:v>
      </x:c>
      <x:c r="AF1142" s="47" t="b">
        <x:v>0</x:v>
      </x:c>
      <x:c r="AG1142" s="47" t="b">
        <x:v>0</x:v>
      </x:c>
      <x:c r="AH1142" s="48" t="n">
        <x:v>0</x:v>
      </x:c>
      <x:c r="AI1142" s="48" t="n">
        <x:v>1.1920928955078125e-7</x:v>
      </x:c>
      <x:c r="AJ1142" s="37" t="str">
        <x:v>passed</x:v>
      </x:c>
    </x:row>
    <x:row r="1143" ht="21" customHeight="1">
      <x:c r="A1143" s="2"/>
      <x:c r="B1143" s="2"/>
      <x:c r="C1143" s="2" t="str">
        <x:v>2023</x:v>
      </x:c>
      <x:c r="D1143" s="5" t="n">
        <x:v>44980</x:v>
      </x:c>
      <x:c r="E1143" s="2" t="str">
        <x:v>unhedged</x:v>
      </x:c>
      <x:c r="F1143" s="37" t="n">
        <x:v>1239828.676355286</x:v>
      </x:c>
      <x:c r="G1143" s="37" t="n">
        <x:v>10357680.24991589</x:v>
      </x:c>
      <x:c r="H1143" s="37" t="n">
        <x:v>18335.63535911602</x:v>
      </x:c>
      <x:c r="I1143" s="37" t="n">
        <x:v>10339344.614556774</x:v>
      </x:c>
      <x:c r="J1143" s="37" t="n">
        <x:v>10357680.24991589</x:v>
      </x:c>
      <x:c r="K1143" s="37" t="n">
        <x:v>0</x:v>
      </x:c>
      <x:c r="L1143" s="37" t="n">
        <x:v>11597508.926271176</x:v>
      </x:c>
      <x:c r="M1143" s="37" t="n">
        <x:v>0</x:v>
      </x:c>
      <x:c r="N1143" s="37" t="n">
        <x:v>0</x:v>
      </x:c>
      <x:c r="O1143" s="37" t="n">
        <x:v>67.93209557584487</x:v>
      </x:c>
      <x:c r="P1143" s="37" t="n">
        <x:v>0</x:v>
      </x:c>
      <x:c r="Q1143" s="37" t="n">
        <x:v>0</x:v>
      </x:c>
      <x:c r="R1143" s="37" t="n">
        <x:v>0</x:v>
      </x:c>
      <x:c r="S1143" s="37" t="n">
        <x:v>0</x:v>
      </x:c>
      <x:c r="T1143" s="37" t="n">
        <x:v>0</x:v>
      </x:c>
      <x:c r="U1143" s="37" t="n">
        <x:v>37500</x:v>
      </x:c>
      <x:c r="V1143" s="37" t="n">
        <x:v>0</x:v>
      </x:c>
      <x:c r="W1143" s="37" t="n">
        <x:v>3371.5456974082626</x:v>
      </x:c>
      <x:c r="X1143" s="37" t="n">
        <x:v>0</x:v>
      </x:c>
      <x:c r="Y1143" s="37" t="n">
        <x:v>1042.869342122179</x:v>
      </x:c>
      <x:c r="Z1143" s="37" t="n">
        <x:v>0</x:v>
      </x:c>
      <x:c r="AA1143" s="37" t="n">
        <x:v>0</x:v>
      </x:c>
      <x:c r="AB1143" s="37" t="n">
        <x:v>0</x:v>
      </x:c>
      <x:c r="AC1143" s="37" t="n">
        <x:v>1239828.676355286</x:v>
      </x:c>
      <x:c r="AD1143" s="37" t="n">
        <x:v>0</x:v>
      </x:c>
      <x:c r="AE1143" s="37" t="n">
        <x:v>0</x:v>
      </x:c>
      <x:c r="AF1143" s="47" t="b">
        <x:v>0</x:v>
      </x:c>
      <x:c r="AG1143" s="47" t="b">
        <x:v>0</x:v>
      </x:c>
      <x:c r="AH1143" s="48" t="n">
        <x:v>0</x:v>
      </x:c>
      <x:c r="AI1143" s="48" t="n">
        <x:v>1.1920928955078125e-7</x:v>
      </x:c>
      <x:c r="AJ1143" s="37" t="str">
        <x:v>passed</x:v>
      </x:c>
    </x:row>
    <x:row r="1144" ht="21" customHeight="1">
      <x:c r="A1144" s="2"/>
      <x:c r="B1144" s="2"/>
      <x:c r="C1144" s="2" t="str">
        <x:v>2023</x:v>
      </x:c>
      <x:c r="D1144" s="5" t="n">
        <x:v>44980</x:v>
      </x:c>
      <x:c r="E1144" s="2" t="str">
        <x:v>duration</x:v>
      </x:c>
      <x:c r="F1144" s="37" t="n">
        <x:v>7785267.25288675</x:v>
      </x:c>
      <x:c r="G1144" s="37" t="n">
        <x:v>3881638.2035921104</x:v>
      </x:c>
      <x:c r="H1144" s="37" t="n">
        <x:v>-11933.422373247433</x:v>
      </x:c>
      <x:c r="I1144" s="37" t="n">
        <x:v>3893571.6259653578</x:v>
      </x:c>
      <x:c r="J1144" s="37" t="n">
        <x:v>10357680.24991589</x:v>
      </x:c>
      <x:c r="K1144" s="37" t="n">
        <x:v>6476042.046323781</x:v>
      </x:c>
      <x:c r="L1144" s="37" t="n">
        <x:v>11666905.45647886</x:v>
      </x:c>
      <x:c r="M1144" s="37" t="n">
        <x:v>0</x:v>
      </x:c>
      <x:c r="N1144" s="37" t="n">
        <x:v>0</x:v>
      </x:c>
      <x:c r="O1144" s="37" t="n">
        <x:v>426.5666129468009</x:v>
      </x:c>
      <x:c r="P1144" s="37" t="n">
        <x:v>0</x:v>
      </x:c>
      <x:c r="Q1144" s="37" t="n">
        <x:v>0</x:v>
      </x:c>
      <x:c r="R1144" s="37" t="n">
        <x:v>0</x:v>
      </x:c>
      <x:c r="S1144" s="37" t="n">
        <x:v>0</x:v>
      </x:c>
      <x:c r="T1144" s="37" t="n">
        <x:v>0</x:v>
      </x:c>
      <x:c r="U1144" s="37" t="n">
        <x:v>37500</x:v>
      </x:c>
      <x:c r="V1144" s="37" t="n">
        <x:v>0</x:v>
      </x:c>
      <x:c r="W1144" s="37" t="n">
        <x:v>21763.2409814056</x:v>
      </x:c>
      <x:c r="X1144" s="37" t="n">
        <x:v>0</x:v>
      </x:c>
      <x:c r="Y1144" s="37" t="n">
        <x:v>1711.5571205313227</x:v>
      </x:c>
      <x:c r="Z1144" s="37" t="n">
        <x:v>6605562.887250257</x:v>
      </x:c>
      <x:c r="AA1144" s="37" t="n">
        <x:v>0</x:v>
      </x:c>
      <x:c r="AB1144" s="37" t="n">
        <x:v>6605562.887250257</x:v>
      </x:c>
      <x:c r="AC1144" s="37" t="n">
        <x:v>1179704.365636493</x:v>
      </x:c>
      <x:c r="AD1144" s="37" t="n">
        <x:v>0</x:v>
      </x:c>
      <x:c r="AE1144" s="37" t="n">
        <x:v>0</x:v>
      </x:c>
      <x:c r="AF1144" s="47" t="b">
        <x:v>0</x:v>
      </x:c>
      <x:c r="AG1144" s="47" t="b">
        <x:v>0</x:v>
      </x:c>
      <x:c r="AH1144" s="48" t="n">
        <x:v>0</x:v>
      </x:c>
      <x:c r="AI1144" s="48" t="n">
        <x:v>5.960464477539063e-8</x:v>
      </x:c>
      <x:c r="AJ1144" s="37" t="str">
        <x:v>passed</x:v>
      </x:c>
    </x:row>
    <x:row r="1145" ht="21" customHeight="1">
      <x:c r="A1145" s="2"/>
      <x:c r="B1145" s="2"/>
      <x:c r="C1145" s="2" t="str">
        <x:v>2023</x:v>
      </x:c>
      <x:c r="D1145" s="5" t="n">
        <x:v>44980</x:v>
      </x:c>
      <x:c r="E1145" s="2" t="str">
        <x:v>unweighted</x:v>
      </x:c>
      <x:c r="F1145" s="37" t="n">
        <x:v>11031871.638002653</x:v>
      </x:c>
      <x:c r="G1145" s="37" t="n">
        <x:v>628933.7129962018</x:v>
      </x:c>
      <x:c r="H1145" s="37" t="n">
        <x:v>-16480.181730751923</x:v>
      </x:c>
      <x:c r="I1145" s="37" t="n">
        <x:v>645413.8947269537</x:v>
      </x:c>
      <x:c r="J1145" s="37" t="n">
        <x:v>10399635.835557172</x:v>
      </x:c>
      <x:c r="K1145" s="37" t="n">
        <x:v>9770702.12256097</x:v>
      </x:c>
      <x:c r="L1145" s="37" t="n">
        <x:v>11660805.350998854</x:v>
      </x:c>
      <x:c r="M1145" s="37" t="n">
        <x:v>0</x:v>
      </x:c>
      <x:c r="N1145" s="37" t="n">
        <x:v>0</x:v>
      </x:c>
      <x:c r="O1145" s="37" t="n">
        <x:v>604.4529964402318</x:v>
      </x:c>
      <x:c r="P1145" s="37" t="n">
        <x:v>0</x:v>
      </x:c>
      <x:c r="Q1145" s="37" t="n">
        <x:v>0</x:v>
      </x:c>
      <x:c r="R1145" s="37" t="n">
        <x:v>0</x:v>
      </x:c>
      <x:c r="S1145" s="37" t="n">
        <x:v>0</x:v>
      </x:c>
      <x:c r="T1145" s="37" t="n">
        <x:v>0</x:v>
      </x:c>
      <x:c r="U1145" s="37" t="n">
        <x:v>37500</x:v>
      </x:c>
      <x:c r="V1145" s="37" t="n">
        <x:v>0</x:v>
      </x:c>
      <x:c r="W1145" s="37" t="n">
        <x:v>30501.41321538575</x:v>
      </x:c>
      <x:c r="X1145" s="37" t="n">
        <x:v>0</x:v>
      </x:c>
      <x:c r="Y1145" s="37" t="n">
        <x:v>2027.9102592176782</x:v>
      </x:c>
      <x:c r="Z1145" s="37" t="n">
        <x:v>9966116.16501219</x:v>
      </x:c>
      <x:c r="AA1145" s="37" t="n">
        <x:v>0</x:v>
      </x:c>
      <x:c r="AB1145" s="37" t="n">
        <x:v>9966116.16501219</x:v>
      </x:c>
      <x:c r="AC1145" s="37" t="n">
        <x:v>1065755.4729904626</x:v>
      </x:c>
      <x:c r="AD1145" s="37" t="n">
        <x:v>0</x:v>
      </x:c>
      <x:c r="AE1145" s="37" t="n">
        <x:v>0</x:v>
      </x:c>
      <x:c r="AF1145" s="47" t="b">
        <x:v>0</x:v>
      </x:c>
      <x:c r="AG1145" s="47" t="b">
        <x:v>0</x:v>
      </x:c>
      <x:c r="AH1145" s="48" t="n">
        <x:v>0</x:v>
      </x:c>
      <x:c r="AI1145" s="48" t="n">
        <x:v>1.1920928955078125e-7</x:v>
      </x:c>
      <x:c r="AJ1145" s="37" t="str">
        <x:v>passed</x:v>
      </x:c>
    </x:row>
    <x:row r="1146" ht="21" customHeight="1">
      <x:c r="A1146" s="2"/>
      <x:c r="B1146" s="2"/>
      <x:c r="C1146" s="2" t="str">
        <x:v>2023</x:v>
      </x:c>
      <x:c r="D1146" s="5" t="n">
        <x:v>44980</x:v>
      </x:c>
      <x:c r="E1146" s="2" t="str">
        <x:v>constrained</x:v>
      </x:c>
      <x:c r="F1146" s="37" t="n">
        <x:v>11727818.363289265</x:v>
      </x:c>
      <x:c r="G1146" s="37" t="n">
        <x:v>-67775.26689031106</x:v>
      </x:c>
      <x:c r="H1146" s="37" t="n">
        <x:v>-17888.97797623307</x:v>
      </x:c>
      <x:c r="I1146" s="37" t="n">
        <x:v>-49886.28891407799</x:v>
      </x:c>
      <x:c r="J1146" s="37" t="n">
        <x:v>10411915.186213858</x:v>
      </x:c>
      <x:c r="K1146" s="37" t="n">
        <x:v>10479690.45310417</x:v>
      </x:c>
      <x:c r="L1146" s="37" t="n">
        <x:v>11660043.096398953</x:v>
      </x:c>
      <x:c r="M1146" s="37" t="n">
        <x:v>0</x:v>
      </x:c>
      <x:c r="N1146" s="37" t="n">
        <x:v>0</x:v>
      </x:c>
      <x:c r="O1146" s="37" t="n">
        <x:v>642.58497415483</x:v>
      </x:c>
      <x:c r="P1146" s="37" t="n">
        <x:v>0</x:v>
      </x:c>
      <x:c r="Q1146" s="37" t="n">
        <x:v>0</x:v>
      </x:c>
      <x:c r="R1146" s="37" t="n">
        <x:v>0</x:v>
      </x:c>
      <x:c r="S1146" s="37" t="n">
        <x:v>0</x:v>
      </x:c>
      <x:c r="T1146" s="37" t="n">
        <x:v>0</x:v>
      </x:c>
      <x:c r="U1146" s="37" t="n">
        <x:v>37500</x:v>
      </x:c>
      <x:c r="V1146" s="37" t="n">
        <x:v>0</x:v>
      </x:c>
      <x:c r="W1146" s="37" t="n">
        <x:v>32552.7017774079</x:v>
      </x:c>
      <x:c r="X1146" s="37" t="n">
        <x:v>0</x:v>
      </x:c>
      <x:c r="Y1146" s="37" t="n">
        <x:v>2105.323207808831</x:v>
      </x:c>
      <x:c r="Z1146" s="37" t="n">
        <x:v>10689284.262166254</x:v>
      </x:c>
      <x:c r="AA1146" s="37" t="n">
        <x:v>0</x:v>
      </x:c>
      <x:c r="AB1146" s="37" t="n">
        <x:v>10689284.262166254</x:v>
      </x:c>
      <x:c r="AC1146" s="37" t="n">
        <x:v>1038534.1011230107</x:v>
      </x:c>
      <x:c r="AD1146" s="37" t="n">
        <x:v>0</x:v>
      </x:c>
      <x:c r="AE1146" s="37" t="n">
        <x:v>0</x:v>
      </x:c>
      <x:c r="AF1146" s="47" t="b">
        <x:v>0</x:v>
      </x:c>
      <x:c r="AG1146" s="47" t="b">
        <x:v>0</x:v>
      </x:c>
      <x:c r="AH1146" s="48" t="n">
        <x:v>0</x:v>
      </x:c>
      <x:c r="AI1146" s="48" t="n">
        <x:v>1.1920928955078125e-7</x:v>
      </x:c>
      <x:c r="AJ1146" s="37" t="str">
        <x:v>passed</x:v>
      </x:c>
    </x:row>
    <x:row r="1147" ht="21" customHeight="1">
      <x:c r="A1147" s="2"/>
      <x:c r="B1147" s="2"/>
      <x:c r="C1147" s="2" t="str">
        <x:v>2023</x:v>
      </x:c>
      <x:c r="D1147" s="5" t="n">
        <x:v>44981</x:v>
      </x:c>
      <x:c r="E1147" s="2" t="str">
        <x:v>unhedged</x:v>
      </x:c>
      <x:c r="F1147" s="37" t="n">
        <x:v>1239896.6121731685</x:v>
      </x:c>
      <x:c r="G1147" s="37" t="n">
        <x:v>10315537.478233889</x:v>
      </x:c>
      <x:c r="H1147" s="37" t="n">
        <x:v>18687.845303867405</x:v>
      </x:c>
      <x:c r="I1147" s="37" t="n">
        <x:v>10296849.632930022</x:v>
      </x:c>
      <x:c r="J1147" s="37" t="n">
        <x:v>10315537.478233889</x:v>
      </x:c>
      <x:c r="K1147" s="37" t="n">
        <x:v>0</x:v>
      </x:c>
      <x:c r="L1147" s="37" t="n">
        <x:v>11555434.090407057</x:v>
      </x:c>
      <x:c r="M1147" s="37" t="n">
        <x:v>0</x:v>
      </x:c>
      <x:c r="N1147" s="37" t="n">
        <x:v>0</x:v>
      </x:c>
      <x:c r="O1147" s="37" t="n">
        <x:v>67.93581788241863</x:v>
      </x:c>
      <x:c r="P1147" s="37" t="n">
        <x:v>0</x:v>
      </x:c>
      <x:c r="Q1147" s="37" t="n">
        <x:v>0</x:v>
      </x:c>
      <x:c r="R1147" s="37" t="n">
        <x:v>0</x:v>
      </x:c>
      <x:c r="S1147" s="37" t="n">
        <x:v>0</x:v>
      </x:c>
      <x:c r="T1147" s="37" t="n">
        <x:v>0</x:v>
      </x:c>
      <x:c r="U1147" s="37" t="n">
        <x:v>37500</x:v>
      </x:c>
      <x:c r="V1147" s="37" t="n">
        <x:v>0</x:v>
      </x:c>
      <x:c r="W1147" s="37" t="n">
        <x:v>3439.4815152906813</x:v>
      </x:c>
      <x:c r="X1147" s="37" t="n">
        <x:v>0</x:v>
      </x:c>
      <x:c r="Y1147" s="37" t="n">
        <x:v>1042.869342122179</x:v>
      </x:c>
      <x:c r="Z1147" s="37" t="n">
        <x:v>0</x:v>
      </x:c>
      <x:c r="AA1147" s="37" t="n">
        <x:v>0</x:v>
      </x:c>
      <x:c r="AB1147" s="37" t="n">
        <x:v>0</x:v>
      </x:c>
      <x:c r="AC1147" s="37" t="n">
        <x:v>1239896.6121731685</x:v>
      </x:c>
      <x:c r="AD1147" s="37" t="n">
        <x:v>0</x:v>
      </x:c>
      <x:c r="AE1147" s="37" t="n">
        <x:v>0</x:v>
      </x:c>
      <x:c r="AF1147" s="47" t="b">
        <x:v>0</x:v>
      </x:c>
      <x:c r="AG1147" s="47" t="b">
        <x:v>0</x:v>
      </x:c>
      <x:c r="AH1147" s="48" t="n">
        <x:v>0</x:v>
      </x:c>
      <x:c r="AI1147" s="48" t="n">
        <x:v>1.1920928955078125e-7</x:v>
      </x:c>
      <x:c r="AJ1147" s="37" t="str">
        <x:v>passed</x:v>
      </x:c>
    </x:row>
    <x:row r="1148" ht="21" customHeight="1">
      <x:c r="A1148" s="2"/>
      <x:c r="B1148" s="2"/>
      <x:c r="C1148" s="2" t="str">
        <x:v>2023</x:v>
      </x:c>
      <x:c r="D1148" s="5" t="n">
        <x:v>44981</x:v>
      </x:c>
      <x:c r="E1148" s="2" t="str">
        <x:v>duration</x:v>
      </x:c>
      <x:c r="F1148" s="37" t="n">
        <x:v>7785693.842873209</x:v>
      </x:c>
      <x:c r="G1148" s="37" t="n">
        <x:v>3878642.2793563027</x:v>
      </x:c>
      <x:c r="H1148" s="37" t="n">
        <x:v>-11883.903005819682</x:v>
      </x:c>
      <x:c r="I1148" s="37" t="n">
        <x:v>3890526.1823621225</x:v>
      </x:c>
      <x:c r="J1148" s="37" t="n">
        <x:v>10315537.478233889</x:v>
      </x:c>
      <x:c r="K1148" s="37" t="n">
        <x:v>6436895.198877587</x:v>
      </x:c>
      <x:c r="L1148" s="37" t="n">
        <x:v>11664336.122229513</x:v>
      </x:c>
      <x:c r="M1148" s="37" t="n">
        <x:v>0</x:v>
      </x:c>
      <x:c r="N1148" s="37" t="n">
        <x:v>0</x:v>
      </x:c>
      <x:c r="O1148" s="37" t="n">
        <x:v>426.5899864593521</x:v>
      </x:c>
      <x:c r="P1148" s="37" t="n">
        <x:v>0</x:v>
      </x:c>
      <x:c r="Q1148" s="37" t="n">
        <x:v>0</x:v>
      </x:c>
      <x:c r="R1148" s="37" t="n">
        <x:v>0</x:v>
      </x:c>
      <x:c r="S1148" s="37" t="n">
        <x:v>0</x:v>
      </x:c>
      <x:c r="T1148" s="37" t="n">
        <x:v>0</x:v>
      </x:c>
      <x:c r="U1148" s="37" t="n">
        <x:v>37500</x:v>
      </x:c>
      <x:c r="V1148" s="37" t="n">
        <x:v>0</x:v>
      </x:c>
      <x:c r="W1148" s="37" t="n">
        <x:v>22189.830967864953</x:v>
      </x:c>
      <x:c r="X1148" s="37" t="n">
        <x:v>0</x:v>
      </x:c>
      <x:c r="Y1148" s="37" t="n">
        <x:v>1711.5571205313227</x:v>
      </x:c>
      <x:c r="Z1148" s="37" t="n">
        <x:v>6565633.1028551385</x:v>
      </x:c>
      <x:c r="AA1148" s="37" t="n">
        <x:v>0</x:v>
      </x:c>
      <x:c r="AB1148" s="37" t="n">
        <x:v>6565633.1028551385</x:v>
      </x:c>
      <x:c r="AC1148" s="37" t="n">
        <x:v>1220060.7400180707</x:v>
      </x:c>
      <x:c r="AD1148" s="37" t="n">
        <x:v>0</x:v>
      </x:c>
      <x:c r="AE1148" s="37" t="n">
        <x:v>0</x:v>
      </x:c>
      <x:c r="AF1148" s="47" t="b">
        <x:v>0</x:v>
      </x:c>
      <x:c r="AG1148" s="47" t="b">
        <x:v>0</x:v>
      </x:c>
      <x:c r="AH1148" s="48" t="n">
        <x:v>0</x:v>
      </x:c>
      <x:c r="AI1148" s="48" t="n">
        <x:v>5.960464477539063e-8</x:v>
      </x:c>
      <x:c r="AJ1148" s="37" t="str">
        <x:v>passed</x:v>
      </x:c>
    </x:row>
    <x:row r="1149" ht="21" customHeight="1">
      <x:c r="A1149" s="2"/>
      <x:c r="B1149" s="2"/>
      <x:c r="C1149" s="2" t="str">
        <x:v>2023</x:v>
      </x:c>
      <x:c r="D1149" s="5" t="n">
        <x:v>44981</x:v>
      </x:c>
      <x:c r="E1149" s="2" t="str">
        <x:v>unweighted</x:v>
      </x:c>
      <x:c r="F1149" s="37" t="n">
        <x:v>11032476.124119803</x:v>
      </x:c>
      <x:c r="G1149" s="37" t="n">
        <x:v>627737.4725055887</x:v>
      </x:c>
      <x:c r="H1149" s="37" t="n">
        <x:v>-16499.893578133637</x:v>
      </x:c>
      <x:c r="I1149" s="37" t="n">
        <x:v>644237.3660837223</x:v>
      </x:c>
      <x:c r="J1149" s="37" t="n">
        <x:v>10357065.19596574</x:v>
      </x:c>
      <x:c r="K1149" s="37" t="n">
        <x:v>9729327.72346015</x:v>
      </x:c>
      <x:c r="L1149" s="37" t="n">
        <x:v>11660213.596625391</x:v>
      </x:c>
      <x:c r="M1149" s="37" t="n">
        <x:v>0</x:v>
      </x:c>
      <x:c r="N1149" s="37" t="n">
        <x:v>0</x:v>
      </x:c>
      <x:c r="O1149" s="37" t="n">
        <x:v>604.4861171506345</x:v>
      </x:c>
      <x:c r="P1149" s="37" t="n">
        <x:v>0</x:v>
      </x:c>
      <x:c r="Q1149" s="37" t="n">
        <x:v>0</x:v>
      </x:c>
      <x:c r="R1149" s="37" t="n">
        <x:v>0</x:v>
      </x:c>
      <x:c r="S1149" s="37" t="n">
        <x:v>0</x:v>
      </x:c>
      <x:c r="T1149" s="37" t="n">
        <x:v>0</x:v>
      </x:c>
      <x:c r="U1149" s="37" t="n">
        <x:v>37500</x:v>
      </x:c>
      <x:c r="V1149" s="37" t="n">
        <x:v>0</x:v>
      </x:c>
      <x:c r="W1149" s="37" t="n">
        <x:v>31105.899332536384</x:v>
      </x:c>
      <x:c r="X1149" s="37" t="n">
        <x:v>0</x:v>
      </x:c>
      <x:c r="Y1149" s="37" t="n">
        <x:v>2027.9102592176782</x:v>
      </x:c>
      <x:c r="Z1149" s="37" t="n">
        <x:v>9923914.277929354</x:v>
      </x:c>
      <x:c r="AA1149" s="37" t="n">
        <x:v>0</x:v>
      </x:c>
      <x:c r="AB1149" s="37" t="n">
        <x:v>9923914.277929354</x:v>
      </x:c>
      <x:c r="AC1149" s="37" t="n">
        <x:v>1108561.8461904489</x:v>
      </x:c>
      <x:c r="AD1149" s="37" t="n">
        <x:v>0</x:v>
      </x:c>
      <x:c r="AE1149" s="37" t="n">
        <x:v>0</x:v>
      </x:c>
      <x:c r="AF1149" s="47" t="b">
        <x:v>0</x:v>
      </x:c>
      <x:c r="AG1149" s="47" t="b">
        <x:v>0</x:v>
      </x:c>
      <x:c r="AH1149" s="48" t="n">
        <x:v>0</x:v>
      </x:c>
      <x:c r="AI1149" s="48" t="n">
        <x:v>1.1920928955078125e-7</x:v>
      </x:c>
      <x:c r="AJ1149" s="37" t="str">
        <x:v>passed</x:v>
      </x:c>
    </x:row>
    <x:row r="1150" ht="21" customHeight="1">
      <x:c r="A1150" s="2"/>
      <x:c r="B1150" s="2"/>
      <x:c r="C1150" s="2" t="str">
        <x:v>2023</x:v>
      </x:c>
      <x:c r="D1150" s="5" t="n">
        <x:v>44981</x:v>
      </x:c>
      <x:c r="E1150" s="2" t="str">
        <x:v>constrained</x:v>
      </x:c>
      <x:c r="F1150" s="37" t="n">
        <x:v>11728460.983473554</x:v>
      </x:c>
      <x:c r="G1150" s="37" t="n">
        <x:v>-67895.2381631581</x:v>
      </x:c>
      <x:c r="H1150" s="37" t="n">
        <x:v>-17924.937505276164</x:v>
      </x:c>
      <x:c r="I1150" s="37" t="n">
        <x:v>-49970.30065788193</x:v>
      </x:c>
      <x:c r="J1150" s="37" t="n">
        <x:v>10369220.94473111</x:v>
      </x:c>
      <x:c r="K1150" s="37" t="n">
        <x:v>10437116.182894269</x:v>
      </x:c>
      <x:c r="L1150" s="37" t="n">
        <x:v>11660565.745310396</x:v>
      </x:c>
      <x:c r="M1150" s="37" t="n">
        <x:v>0</x:v>
      </x:c>
      <x:c r="N1150" s="37" t="n">
        <x:v>0</x:v>
      </x:c>
      <x:c r="O1150" s="37" t="n">
        <x:v>642.6201842892915</x:v>
      </x:c>
      <x:c r="P1150" s="37" t="n">
        <x:v>0</x:v>
      </x:c>
      <x:c r="Q1150" s="37" t="n">
        <x:v>0</x:v>
      </x:c>
      <x:c r="R1150" s="37" t="n">
        <x:v>0</x:v>
      </x:c>
      <x:c r="S1150" s="37" t="n">
        <x:v>0</x:v>
      </x:c>
      <x:c r="T1150" s="37" t="n">
        <x:v>0</x:v>
      </x:c>
      <x:c r="U1150" s="37" t="n">
        <x:v>37500</x:v>
      </x:c>
      <x:c r="V1150" s="37" t="n">
        <x:v>0</x:v>
      </x:c>
      <x:c r="W1150" s="37" t="n">
        <x:v>33195.32196169719</x:v>
      </x:c>
      <x:c r="X1150" s="37" t="n">
        <x:v>0</x:v>
      </x:c>
      <x:c r="Y1150" s="37" t="n">
        <x:v>2105.323207808831</x:v>
      </x:c>
      <x:c r="Z1150" s="37" t="n">
        <x:v>10645858.506552154</x:v>
      </x:c>
      <x:c r="AA1150" s="37" t="n">
        <x:v>0</x:v>
      </x:c>
      <x:c r="AB1150" s="37" t="n">
        <x:v>10645858.506552154</x:v>
      </x:c>
      <x:c r="AC1150" s="37" t="n">
        <x:v>1082602.4769214</x:v>
      </x:c>
      <x:c r="AD1150" s="37" t="n">
        <x:v>0</x:v>
      </x:c>
      <x:c r="AE1150" s="37" t="n">
        <x:v>0</x:v>
      </x:c>
      <x:c r="AF1150" s="47" t="b">
        <x:v>0</x:v>
      </x:c>
      <x:c r="AG1150" s="47" t="b">
        <x:v>0</x:v>
      </x:c>
      <x:c r="AH1150" s="48" t="n">
        <x:v>0</x:v>
      </x:c>
      <x:c r="AI1150" s="48" t="n">
        <x:v>1.1920928955078125e-7</x:v>
      </x:c>
      <x:c r="AJ1150" s="37" t="str">
        <x:v>passed</x:v>
      </x:c>
    </x:row>
    <x:row r="1151" ht="21" customHeight="1">
      <x:c r="A1151" s="2"/>
      <x:c r="B1151" s="2"/>
      <x:c r="C1151" s="2" t="str">
        <x:v>2023</x:v>
      </x:c>
      <x:c r="D1151" s="5" t="n">
        <x:v>44984</x:v>
      </x:c>
      <x:c r="E1151" s="2" t="str">
        <x:v>unhedged</x:v>
      </x:c>
      <x:c r="F1151" s="37" t="n">
        <x:v>1240100.4419626954</x:v>
      </x:c>
      <x:c r="G1151" s="37" t="n">
        <x:v>10333959.098994555</x:v>
      </x:c>
      <x:c r="H1151" s="37" t="n">
        <x:v>19744.475138121546</x:v>
      </x:c>
      <x:c r="I1151" s="37" t="n">
        <x:v>10314214.623856433</x:v>
      </x:c>
      <x:c r="J1151" s="37" t="n">
        <x:v>10333959.098994555</x:v>
      </x:c>
      <x:c r="K1151" s="37" t="n">
        <x:v>0</x:v>
      </x:c>
      <x:c r="L1151" s="37" t="n">
        <x:v>11574059.54095725</x:v>
      </x:c>
      <x:c r="M1151" s="37" t="n">
        <x:v>0</x:v>
      </x:c>
      <x:c r="N1151" s="37" t="n">
        <x:v>0</x:v>
      </x:c>
      <x:c r="O1151" s="37" t="n">
        <x:v>203.8297895269934</x:v>
      </x:c>
      <x:c r="P1151" s="37" t="n">
        <x:v>0</x:v>
      </x:c>
      <x:c r="Q1151" s="37" t="n">
        <x:v>0</x:v>
      </x:c>
      <x:c r="R1151" s="37" t="n">
        <x:v>0</x:v>
      </x:c>
      <x:c r="S1151" s="37" t="n">
        <x:v>0</x:v>
      </x:c>
      <x:c r="T1151" s="37" t="n">
        <x:v>0</x:v>
      </x:c>
      <x:c r="U1151" s="37" t="n">
        <x:v>37500</x:v>
      </x:c>
      <x:c r="V1151" s="37" t="n">
        <x:v>0</x:v>
      </x:c>
      <x:c r="W1151" s="37" t="n">
        <x:v>3643.3113048176747</x:v>
      </x:c>
      <x:c r="X1151" s="37" t="n">
        <x:v>0</x:v>
      </x:c>
      <x:c r="Y1151" s="37" t="n">
        <x:v>1042.869342122179</x:v>
      </x:c>
      <x:c r="Z1151" s="37" t="n">
        <x:v>0</x:v>
      </x:c>
      <x:c r="AA1151" s="37" t="n">
        <x:v>0</x:v>
      </x:c>
      <x:c r="AB1151" s="37" t="n">
        <x:v>0</x:v>
      </x:c>
      <x:c r="AC1151" s="37" t="n">
        <x:v>1240100.4419626954</x:v>
      </x:c>
      <x:c r="AD1151" s="37" t="n">
        <x:v>0</x:v>
      </x:c>
      <x:c r="AE1151" s="37" t="n">
        <x:v>0</x:v>
      </x:c>
      <x:c r="AF1151" s="47" t="b">
        <x:v>0</x:v>
      </x:c>
      <x:c r="AG1151" s="47" t="b">
        <x:v>0</x:v>
      </x:c>
      <x:c r="AH1151" s="48" t="n">
        <x:v>0</x:v>
      </x:c>
      <x:c r="AI1151" s="48" t="n">
        <x:v>1.1920928955078125e-7</x:v>
      </x:c>
      <x:c r="AJ1151" s="37" t="str">
        <x:v>passed</x:v>
      </x:c>
    </x:row>
    <x:row r="1152" ht="21" customHeight="1">
      <x:c r="A1152" s="2"/>
      <x:c r="B1152" s="2"/>
      <x:c r="C1152" s="2" t="str">
        <x:v>2023</x:v>
      </x:c>
      <x:c r="D1152" s="5" t="n">
        <x:v>44984</x:v>
      </x:c>
      <x:c r="E1152" s="2" t="str">
        <x:v>duration</x:v>
      </x:c>
      <x:c r="F1152" s="37" t="n">
        <x:v>7786973.753086475</x:v>
      </x:c>
      <x:c r="G1152" s="37" t="n">
        <x:v>3880818.792608825</x:v>
      </x:c>
      <x:c r="H1152" s="37" t="n">
        <x:v>-11735.344903536445</x:v>
      </x:c>
      <x:c r="I1152" s="37" t="n">
        <x:v>3892554.1375123616</x:v>
      </x:c>
      <x:c r="J1152" s="37" t="n">
        <x:v>10333959.098994555</x:v>
      </x:c>
      <x:c r="K1152" s="37" t="n">
        <x:v>6453140.306385729</x:v>
      </x:c>
      <x:c r="L1152" s="37" t="n">
        <x:v>11667792.5456953</x:v>
      </x:c>
      <x:c r="M1152" s="37" t="n">
        <x:v>0</x:v>
      </x:c>
      <x:c r="N1152" s="37" t="n">
        <x:v>0</x:v>
      </x:c>
      <x:c r="O1152" s="37" t="n">
        <x:v>1279.910213265568</x:v>
      </x:c>
      <x:c r="P1152" s="37" t="n">
        <x:v>0</x:v>
      </x:c>
      <x:c r="Q1152" s="37" t="n">
        <x:v>0</x:v>
      </x:c>
      <x:c r="R1152" s="37" t="n">
        <x:v>0</x:v>
      </x:c>
      <x:c r="S1152" s="37" t="n">
        <x:v>0</x:v>
      </x:c>
      <x:c r="T1152" s="37" t="n">
        <x:v>0</x:v>
      </x:c>
      <x:c r="U1152" s="37" t="n">
        <x:v>37500</x:v>
      </x:c>
      <x:c r="V1152" s="37" t="n">
        <x:v>0</x:v>
      </x:c>
      <x:c r="W1152" s="37" t="n">
        <x:v>23469.74118113052</x:v>
      </x:c>
      <x:c r="X1152" s="37" t="n">
        <x:v>0</x:v>
      </x:c>
      <x:c r="Y1152" s="37" t="n">
        <x:v>1711.5571205313227</x:v>
      </x:c>
      <x:c r="Z1152" s="37" t="n">
        <x:v>6582203.112513444</x:v>
      </x:c>
      <x:c r="AA1152" s="37" t="n">
        <x:v>0</x:v>
      </x:c>
      <x:c r="AB1152" s="37" t="n">
        <x:v>6582203.112513444</x:v>
      </x:c>
      <x:c r="AC1152" s="37" t="n">
        <x:v>1204770.6405730303</x:v>
      </x:c>
      <x:c r="AD1152" s="37" t="n">
        <x:v>0</x:v>
      </x:c>
      <x:c r="AE1152" s="37" t="n">
        <x:v>0</x:v>
      </x:c>
      <x:c r="AF1152" s="47" t="b">
        <x:v>0</x:v>
      </x:c>
      <x:c r="AG1152" s="47" t="b">
        <x:v>0</x:v>
      </x:c>
      <x:c r="AH1152" s="48" t="n">
        <x:v>0</x:v>
      </x:c>
      <x:c r="AI1152" s="48" t="n">
        <x:v>5.960464477539063e-8</x:v>
      </x:c>
      <x:c r="AJ1152" s="37" t="str">
        <x:v>passed</x:v>
      </x:c>
    </x:row>
    <x:row r="1153" ht="21" customHeight="1">
      <x:c r="A1153" s="2"/>
      <x:c r="B1153" s="2"/>
      <x:c r="C1153" s="2" t="str">
        <x:v>2023</x:v>
      </x:c>
      <x:c r="D1153" s="5" t="n">
        <x:v>44984</x:v>
      </x:c>
      <x:c r="E1153" s="2" t="str">
        <x:v>unweighted</x:v>
      </x:c>
      <x:c r="F1153" s="37" t="n">
        <x:v>11034289.781213678</x:v>
      </x:c>
      <x:c r="G1153" s="37" t="n">
        <x:v>628442.9316192884</x:v>
      </x:c>
      <x:c r="H1153" s="37" t="n">
        <x:v>-16559.029120278785</x:v>
      </x:c>
      <x:c r="I1153" s="37" t="n">
        <x:v>645001.9607395672</x:v>
      </x:c>
      <x:c r="J1153" s="37" t="n">
        <x:v>10375559.33334787</x:v>
      </x:c>
      <x:c r="K1153" s="37" t="n">
        <x:v>9747116.401728582</x:v>
      </x:c>
      <x:c r="L1153" s="37" t="n">
        <x:v>11662732.712832967</x:v>
      </x:c>
      <x:c r="M1153" s="37" t="n">
        <x:v>0</x:v>
      </x:c>
      <x:c r="N1153" s="37" t="n">
        <x:v>0</x:v>
      </x:c>
      <x:c r="O1153" s="37" t="n">
        <x:v>1813.6570938751101</x:v>
      </x:c>
      <x:c r="P1153" s="37" t="n">
        <x:v>0</x:v>
      </x:c>
      <x:c r="Q1153" s="37" t="n">
        <x:v>0</x:v>
      </x:c>
      <x:c r="R1153" s="37" t="n">
        <x:v>0</x:v>
      </x:c>
      <x:c r="S1153" s="37" t="n">
        <x:v>0</x:v>
      </x:c>
      <x:c r="T1153" s="37" t="n">
        <x:v>0</x:v>
      </x:c>
      <x:c r="U1153" s="37" t="n">
        <x:v>37500</x:v>
      </x:c>
      <x:c r="V1153" s="37" t="n">
        <x:v>0</x:v>
      </x:c>
      <x:c r="W1153" s="37" t="n">
        <x:v>32919.556426411495</x:v>
      </x:c>
      <x:c r="X1153" s="37" t="n">
        <x:v>0</x:v>
      </x:c>
      <x:c r="Y1153" s="37" t="n">
        <x:v>2027.9102592176782</x:v>
      </x:c>
      <x:c r="Z1153" s="37" t="n">
        <x:v>9942058.729763154</x:v>
      </x:c>
      <x:c r="AA1153" s="37" t="n">
        <x:v>0</x:v>
      </x:c>
      <x:c r="AB1153" s="37" t="n">
        <x:v>9942058.729763154</x:v>
      </x:c>
      <x:c r="AC1153" s="37" t="n">
        <x:v>1092231.0514505245</x:v>
      </x:c>
      <x:c r="AD1153" s="37" t="n">
        <x:v>0</x:v>
      </x:c>
      <x:c r="AE1153" s="37" t="n">
        <x:v>0</x:v>
      </x:c>
      <x:c r="AF1153" s="47" t="b">
        <x:v>0</x:v>
      </x:c>
      <x:c r="AG1153" s="47" t="b">
        <x:v>0</x:v>
      </x:c>
      <x:c r="AH1153" s="48" t="n">
        <x:v>0</x:v>
      </x:c>
      <x:c r="AI1153" s="48" t="n">
        <x:v>1.1920928955078125e-7</x:v>
      </x:c>
      <x:c r="AJ1153" s="37" t="str">
        <x:v>passed</x:v>
      </x:c>
    </x:row>
    <x:row r="1154" ht="21" customHeight="1">
      <x:c r="A1154" s="2"/>
      <x:c r="B1154" s="2"/>
      <x:c r="C1154" s="2" t="str">
        <x:v>2023</x:v>
      </x:c>
      <x:c r="D1154" s="5" t="n">
        <x:v>44984</x:v>
      </x:c>
      <x:c r="E1154" s="2" t="str">
        <x:v>constrained</x:v>
      </x:c>
      <x:c r="F1154" s="37" t="n">
        <x:v>11730389.055306533</x:v>
      </x:c>
      <x:c r="G1154" s="37" t="n">
        <x:v>-67826.21243279318</x:v>
      </x:c>
      <x:c r="H1154" s="37" t="n">
        <x:v>-18032.81609240547</x:v>
      </x:c>
      <x:c r="I1154" s="37" t="n">
        <x:v>-49793.39634038771</x:v>
      </x:c>
      <x:c r="J1154" s="37" t="n">
        <x:v>10387736.870534718</x:v>
      </x:c>
      <x:c r="K1154" s="37" t="n">
        <x:v>10455563.08296751</x:v>
      </x:c>
      <x:c r="L1154" s="37" t="n">
        <x:v>11662562.842873741</x:v>
      </x:c>
      <x:c r="M1154" s="37" t="n">
        <x:v>0</x:v>
      </x:c>
      <x:c r="N1154" s="37" t="n">
        <x:v>0</x:v>
      </x:c>
      <x:c r="O1154" s="37" t="n">
        <x:v>1928.071832979098</x:v>
      </x:c>
      <x:c r="P1154" s="37" t="n">
        <x:v>0</x:v>
      </x:c>
      <x:c r="Q1154" s="37" t="n">
        <x:v>0</x:v>
      </x:c>
      <x:c r="R1154" s="37" t="n">
        <x:v>0</x:v>
      </x:c>
      <x:c r="S1154" s="37" t="n">
        <x:v>0</x:v>
      </x:c>
      <x:c r="T1154" s="37" t="n">
        <x:v>0</x:v>
      </x:c>
      <x:c r="U1154" s="37" t="n">
        <x:v>37500</x:v>
      </x:c>
      <x:c r="V1154" s="37" t="n">
        <x:v>0</x:v>
      </x:c>
      <x:c r="W1154" s="37" t="n">
        <x:v>35123.39379467629</x:v>
      </x:c>
      <x:c r="X1154" s="37" t="n">
        <x:v>0</x:v>
      </x:c>
      <x:c r="Y1154" s="37" t="n">
        <x:v>2105.323207808831</x:v>
      </x:c>
      <x:c r="Z1154" s="37" t="n">
        <x:v>10664674.34462686</x:v>
      </x:c>
      <x:c r="AA1154" s="37" t="n">
        <x:v>0</x:v>
      </x:c>
      <x:c r="AB1154" s="37" t="n">
        <x:v>10664674.34462686</x:v>
      </x:c>
      <x:c r="AC1154" s="37" t="n">
        <x:v>1065714.7106796727</x:v>
      </x:c>
      <x:c r="AD1154" s="37" t="n">
        <x:v>0</x:v>
      </x:c>
      <x:c r="AE1154" s="37" t="n">
        <x:v>0</x:v>
      </x:c>
      <x:c r="AF1154" s="47" t="b">
        <x:v>0</x:v>
      </x:c>
      <x:c r="AG1154" s="47" t="b">
        <x:v>0</x:v>
      </x:c>
      <x:c r="AH1154" s="48" t="n">
        <x:v>0</x:v>
      </x:c>
      <x:c r="AI1154" s="48" t="n">
        <x:v>1.1920928955078125e-7</x:v>
      </x:c>
      <x:c r="AJ1154" s="37" t="str">
        <x:v>passed</x:v>
      </x:c>
    </x:row>
    <x:row r="1155" ht="21" customHeight="1">
      <x:c r="A1155" s="2"/>
      <x:c r="B1155" s="2"/>
      <x:c r="C1155" s="2" t="str">
        <x:v>2023</x:v>
      </x:c>
      <x:c r="D1155" s="5" t="n">
        <x:v>44985</x:v>
      </x:c>
      <x:c r="E1155" s="2" t="str">
        <x:v>unhedged</x:v>
      </x:c>
      <x:c r="F1155" s="37" t="n">
        <x:v>1240168.3926718445</x:v>
      </x:c>
      <x:c r="G1155" s="37" t="n">
        <x:v>10336443.730453262</x:v>
      </x:c>
      <x:c r="H1155" s="37" t="n">
        <x:v>20096.68508287293</x:v>
      </x:c>
      <x:c r="I1155" s="37" t="n">
        <x:v>10316347.045370389</x:v>
      </x:c>
      <x:c r="J1155" s="37" t="n">
        <x:v>10336443.730453262</x:v>
      </x:c>
      <x:c r="K1155" s="37" t="n">
        <x:v>0</x:v>
      </x:c>
      <x:c r="L1155" s="37" t="n">
        <x:v>11576612.123125106</x:v>
      </x:c>
      <x:c r="M1155" s="37" t="n">
        <x:v>0</x:v>
      </x:c>
      <x:c r="N1155" s="37" t="n">
        <x:v>0</x:v>
      </x:c>
      <x:c r="O1155" s="37" t="n">
        <x:v>67.95070914900862</x:v>
      </x:c>
      <x:c r="P1155" s="37" t="n">
        <x:v>0</x:v>
      </x:c>
      <x:c r="Q1155" s="37" t="n">
        <x:v>0</x:v>
      </x:c>
      <x:c r="R1155" s="37" t="n">
        <x:v>0</x:v>
      </x:c>
      <x:c r="S1155" s="37" t="n">
        <x:v>0</x:v>
      </x:c>
      <x:c r="T1155" s="37" t="n">
        <x:v>0</x:v>
      </x:c>
      <x:c r="U1155" s="37" t="n">
        <x:v>37500</x:v>
      </x:c>
      <x:c r="V1155" s="37" t="n">
        <x:v>0</x:v>
      </x:c>
      <x:c r="W1155" s="37" t="n">
        <x:v>3711.2620139666833</x:v>
      </x:c>
      <x:c r="X1155" s="37" t="n">
        <x:v>0</x:v>
      </x:c>
      <x:c r="Y1155" s="37" t="n">
        <x:v>1042.869342122179</x:v>
      </x:c>
      <x:c r="Z1155" s="37" t="n">
        <x:v>0</x:v>
      </x:c>
      <x:c r="AA1155" s="37" t="n">
        <x:v>0</x:v>
      </x:c>
      <x:c r="AB1155" s="37" t="n">
        <x:v>0</x:v>
      </x:c>
      <x:c r="AC1155" s="37" t="n">
        <x:v>1240168.3926718445</x:v>
      </x:c>
      <x:c r="AD1155" s="37" t="n">
        <x:v>0</x:v>
      </x:c>
      <x:c r="AE1155" s="37" t="n">
        <x:v>0</x:v>
      </x:c>
      <x:c r="AF1155" s="47" t="b">
        <x:v>0</x:v>
      </x:c>
      <x:c r="AG1155" s="47" t="b">
        <x:v>0</x:v>
      </x:c>
      <x:c r="AH1155" s="48" t="n">
        <x:v>0</x:v>
      </x:c>
      <x:c r="AI1155" s="48" t="n">
        <x:v>1.1920928955078125e-7</x:v>
      </x:c>
      <x:c r="AJ1155" s="37" t="str">
        <x:v>passed</x:v>
      </x:c>
    </x:row>
    <x:row r="1156" ht="21" customHeight="1">
      <x:c r="A1156" s="2"/>
      <x:c r="B1156" s="2"/>
      <x:c r="C1156" s="2" t="str">
        <x:v>2023</x:v>
      </x:c>
      <x:c r="D1156" s="5" t="n">
        <x:v>44985</x:v>
      </x:c>
      <x:c r="E1156" s="2" t="str">
        <x:v>duration</x:v>
      </x:c>
      <x:c r="F1156" s="37" t="n">
        <x:v>7787400.4365797965</x:v>
      </x:c>
      <x:c r="G1156" s="37" t="n">
        <x:v>3879436.4586692993</x:v>
      </x:c>
      <x:c r="H1156" s="37" t="n">
        <x:v>-11685.825536108696</x:v>
      </x:c>
      <x:c r="I1156" s="37" t="n">
        <x:v>3891122.284205408</x:v>
      </x:c>
      <x:c r="J1156" s="37" t="n">
        <x:v>10336443.730453262</x:v>
      </x:c>
      <x:c r="K1156" s="37" t="n">
        <x:v>6457007.271783963</x:v>
      </x:c>
      <x:c r="L1156" s="37" t="n">
        <x:v>11666836.895249095</x:v>
      </x:c>
      <x:c r="M1156" s="37" t="n">
        <x:v>0</x:v>
      </x:c>
      <x:c r="N1156" s="37" t="n">
        <x:v>0</x:v>
      </x:c>
      <x:c r="O1156" s="37" t="n">
        <x:v>426.6834933217615</x:v>
      </x:c>
      <x:c r="P1156" s="37" t="n">
        <x:v>0</x:v>
      </x:c>
      <x:c r="Q1156" s="37" t="n">
        <x:v>0</x:v>
      </x:c>
      <x:c r="R1156" s="37" t="n">
        <x:v>0</x:v>
      </x:c>
      <x:c r="S1156" s="37" t="n">
        <x:v>0</x:v>
      </x:c>
      <x:c r="T1156" s="37" t="n">
        <x:v>0</x:v>
      </x:c>
      <x:c r="U1156" s="37" t="n">
        <x:v>37500</x:v>
      </x:c>
      <x:c r="V1156" s="37" t="n">
        <x:v>0</x:v>
      </x:c>
      <x:c r="W1156" s="37" t="n">
        <x:v>23896.424674452282</x:v>
      </x:c>
      <x:c r="X1156" s="37" t="n">
        <x:v>0</x:v>
      </x:c>
      <x:c r="Y1156" s="37" t="n">
        <x:v>1711.5571205313227</x:v>
      </x:c>
      <x:c r="Z1156" s="37" t="n">
        <x:v>6586147.417219643</x:v>
      </x:c>
      <x:c r="AA1156" s="37" t="n">
        <x:v>0</x:v>
      </x:c>
      <x:c r="AB1156" s="37" t="n">
        <x:v>6586147.417219643</x:v>
      </x:c>
      <x:c r="AC1156" s="37" t="n">
        <x:v>1201253.019360154</x:v>
      </x:c>
      <x:c r="AD1156" s="37" t="n">
        <x:v>0</x:v>
      </x:c>
      <x:c r="AE1156" s="37" t="n">
        <x:v>0</x:v>
      </x:c>
      <x:c r="AF1156" s="47" t="b">
        <x:v>0</x:v>
      </x:c>
      <x:c r="AG1156" s="47" t="b">
        <x:v>0</x:v>
      </x:c>
      <x:c r="AH1156" s="48" t="n">
        <x:v>0</x:v>
      </x:c>
      <x:c r="AI1156" s="48" t="n">
        <x:v>5.960464477539063e-8</x:v>
      </x:c>
      <x:c r="AJ1156" s="37" t="str">
        <x:v>passed</x:v>
      </x:c>
    </x:row>
    <x:row r="1157" ht="21" customHeight="1">
      <x:c r="A1157" s="2"/>
      <x:c r="B1157" s="2"/>
      <x:c r="C1157" s="2" t="str">
        <x:v>2023</x:v>
      </x:c>
      <x:c r="D1157" s="5" t="n">
        <x:v>44985</x:v>
      </x:c>
      <x:c r="E1157" s="2" t="str">
        <x:v>unweighted</x:v>
      </x:c>
      <x:c r="F1157" s="37" t="n">
        <x:v>11034894.39983183</x:v>
      </x:c>
      <x:c r="G1157" s="37" t="n">
        <x:v>628534.7157184039</x:v>
      </x:c>
      <x:c r="H1157" s="37" t="n">
        <x:v>-16578.740967660495</x:v>
      </x:c>
      <x:c r="I1157" s="37" t="n">
        <x:v>645113.4566860644</x:v>
      </x:c>
      <x:c r="J1157" s="37" t="n">
        <x:v>10378076.14576269</x:v>
      </x:c>
      <x:c r="K1157" s="37" t="n">
        <x:v>9749541.430044286</x:v>
      </x:c>
      <x:c r="L1157" s="37" t="n">
        <x:v>11663429.115550233</x:v>
      </x:c>
      <x:c r="M1157" s="37" t="n">
        <x:v>0</x:v>
      </x:c>
      <x:c r="N1157" s="37" t="n">
        <x:v>0</x:v>
      </x:c>
      <x:c r="O1157" s="37" t="n">
        <x:v>604.618618151173</x:v>
      </x:c>
      <x:c r="P1157" s="37" t="n">
        <x:v>0</x:v>
      </x:c>
      <x:c r="Q1157" s="37" t="n">
        <x:v>0</x:v>
      </x:c>
      <x:c r="R1157" s="37" t="n">
        <x:v>0</x:v>
      </x:c>
      <x:c r="S1157" s="37" t="n">
        <x:v>0</x:v>
      </x:c>
      <x:c r="T1157" s="37" t="n">
        <x:v>0</x:v>
      </x:c>
      <x:c r="U1157" s="37" t="n">
        <x:v>37500</x:v>
      </x:c>
      <x:c r="V1157" s="37" t="n">
        <x:v>0</x:v>
      </x:c>
      <x:c r="W1157" s="37" t="n">
        <x:v>33524.17504456267</x:v>
      </x:c>
      <x:c r="X1157" s="37" t="n">
        <x:v>0</x:v>
      </x:c>
      <x:c r="Y1157" s="37" t="n">
        <x:v>2027.9102592176782</x:v>
      </x:c>
      <x:c r="Z1157" s="37" t="n">
        <x:v>9944532.258645171</x:v>
      </x:c>
      <x:c r="AA1157" s="37" t="n">
        <x:v>0</x:v>
      </x:c>
      <x:c r="AB1157" s="37" t="n">
        <x:v>9944532.258645171</x:v>
      </x:c>
      <x:c r="AC1157" s="37" t="n">
        <x:v>1090362.1411866583</x:v>
      </x:c>
      <x:c r="AD1157" s="37" t="n">
        <x:v>0</x:v>
      </x:c>
      <x:c r="AE1157" s="37" t="n">
        <x:v>0</x:v>
      </x:c>
      <x:c r="AF1157" s="47" t="b">
        <x:v>0</x:v>
      </x:c>
      <x:c r="AG1157" s="47" t="b">
        <x:v>0</x:v>
      </x:c>
      <x:c r="AH1157" s="48" t="n">
        <x:v>0</x:v>
      </x:c>
      <x:c r="AI1157" s="48" t="n">
        <x:v>1.1920928955078125e-7</x:v>
      </x:c>
      <x:c r="AJ1157" s="37" t="str">
        <x:v>passed</x:v>
      </x:c>
    </x:row>
    <x:row r="1158" ht="21" customHeight="1">
      <x:c r="A1158" s="2"/>
      <x:c r="B1158" s="2"/>
      <x:c r="C1158" s="2" t="str">
        <x:v>2023</x:v>
      </x:c>
      <x:c r="D1158" s="5" t="n">
        <x:v>44985</x:v>
      </x:c>
      <x:c r="E1158" s="2" t="str">
        <x:v>constrained</x:v>
      </x:c>
      <x:c r="F1158" s="37" t="n">
        <x:v>11731031.816350661</x:v>
      </x:c>
      <x:c r="G1158" s="37" t="n">
        <x:v>-67752.84250087698</x:v>
      </x:c>
      <x:c r="H1158" s="37" t="n">
        <x:v>-18068.775621448563</x:v>
      </x:c>
      <x:c r="I1158" s="37" t="n">
        <x:v>-49684.06687942842</x:v>
      </x:c>
      <x:c r="J1158" s="37" t="n">
        <x:v>10390262.823414782</x:v>
      </x:c>
      <x:c r="K1158" s="37" t="n">
        <x:v>10458015.665915659</x:v>
      </x:c>
      <x:c r="L1158" s="37" t="n">
        <x:v>11663278.973849785</x:v>
      </x:c>
      <x:c r="M1158" s="37" t="n">
        <x:v>0</x:v>
      </x:c>
      <x:c r="N1158" s="37" t="n">
        <x:v>0</x:v>
      </x:c>
      <x:c r="O1158" s="37" t="n">
        <x:v>642.7610441278666</x:v>
      </x:c>
      <x:c r="P1158" s="37" t="n">
        <x:v>0</x:v>
      </x:c>
      <x:c r="Q1158" s="37" t="n">
        <x:v>0</x:v>
      </x:c>
      <x:c r="R1158" s="37" t="n">
        <x:v>0</x:v>
      </x:c>
      <x:c r="S1158" s="37" t="n">
        <x:v>0</x:v>
      </x:c>
      <x:c r="T1158" s="37" t="n">
        <x:v>0</x:v>
      </x:c>
      <x:c r="U1158" s="37" t="n">
        <x:v>37500</x:v>
      </x:c>
      <x:c r="V1158" s="37" t="n">
        <x:v>0</x:v>
      </x:c>
      <x:c r="W1158" s="37" t="n">
        <x:v>35766.154838804156</x:v>
      </x:c>
      <x:c r="X1158" s="37" t="n">
        <x:v>0</x:v>
      </x:c>
      <x:c r="Y1158" s="37" t="n">
        <x:v>2105.323207808831</x:v>
      </x:c>
      <x:c r="Z1158" s="37" t="n">
        <x:v>10667175.979233973</x:v>
      </x:c>
      <x:c r="AA1158" s="37" t="n">
        <x:v>0</x:v>
      </x:c>
      <x:c r="AB1158" s="37" t="n">
        <x:v>10667175.979233973</x:v>
      </x:c>
      <x:c r="AC1158" s="37" t="n">
        <x:v>1063855.8371166885</x:v>
      </x:c>
      <x:c r="AD1158" s="37" t="n">
        <x:v>0</x:v>
      </x:c>
      <x:c r="AE1158" s="37" t="n">
        <x:v>0</x:v>
      </x:c>
      <x:c r="AF1158" s="47" t="b">
        <x:v>0</x:v>
      </x:c>
      <x:c r="AG1158" s="47" t="b">
        <x:v>0</x:v>
      </x:c>
      <x:c r="AH1158" s="48" t="n">
        <x:v>0</x:v>
      </x:c>
      <x:c r="AI1158" s="48" t="n">
        <x:v>1.1920928955078125e-7</x:v>
      </x:c>
      <x:c r="AJ1158" s="37" t="str">
        <x:v>passed</x:v>
      </x:c>
    </x:row>
    <x:row r="1159" ht="21" customHeight="1">
      <x:c r="A1159" s="2"/>
      <x:c r="B1159" s="2"/>
      <x:c r="C1159" s="2" t="str">
        <x:v>2023</x:v>
      </x:c>
      <x:c r="D1159" s="5" t="n">
        <x:v>44986</x:v>
      </x:c>
      <x:c r="E1159" s="2" t="str">
        <x:v>unhedged</x:v>
      </x:c>
      <x:c r="F1159" s="37" t="n">
        <x:v>1240236.3471043196</x:v>
      </x:c>
      <x:c r="G1159" s="37" t="n">
        <x:v>10289916.459407827</x:v>
      </x:c>
      <x:c r="H1159" s="37" t="n">
        <x:v>20448.89502762431</x:v>
      </x:c>
      <x:c r="I1159" s="37" t="n">
        <x:v>10269467.564380202</x:v>
      </x:c>
      <x:c r="J1159" s="37" t="n">
        <x:v>10289916.459407827</x:v>
      </x:c>
      <x:c r="K1159" s="37" t="n">
        <x:v>0</x:v>
      </x:c>
      <x:c r="L1159" s="37" t="n">
        <x:v>11530152.806512147</x:v>
      </x:c>
      <x:c r="M1159" s="37" t="n">
        <x:v>0</x:v>
      </x:c>
      <x:c r="N1159" s="37" t="n">
        <x:v>0</x:v>
      </x:c>
      <x:c r="O1159" s="37" t="n">
        <x:v>67.95443247514777</x:v>
      </x:c>
      <x:c r="P1159" s="37" t="n">
        <x:v>0</x:v>
      </x:c>
      <x:c r="Q1159" s="37" t="n">
        <x:v>0</x:v>
      </x:c>
      <x:c r="R1159" s="37" t="n">
        <x:v>0</x:v>
      </x:c>
      <x:c r="S1159" s="37" t="n">
        <x:v>0</x:v>
      </x:c>
      <x:c r="T1159" s="37" t="n">
        <x:v>0</x:v>
      </x:c>
      <x:c r="U1159" s="37" t="n">
        <x:v>37500</x:v>
      </x:c>
      <x:c r="V1159" s="37" t="n">
        <x:v>0</x:v>
      </x:c>
      <x:c r="W1159" s="37" t="n">
        <x:v>3779.216446441831</x:v>
      </x:c>
      <x:c r="X1159" s="37" t="n">
        <x:v>0</x:v>
      </x:c>
      <x:c r="Y1159" s="37" t="n">
        <x:v>1042.869342122179</x:v>
      </x:c>
      <x:c r="Z1159" s="37" t="n">
        <x:v>0</x:v>
      </x:c>
      <x:c r="AA1159" s="37" t="n">
        <x:v>0</x:v>
      </x:c>
      <x:c r="AB1159" s="37" t="n">
        <x:v>0</x:v>
      </x:c>
      <x:c r="AC1159" s="37" t="n">
        <x:v>1240236.3471043196</x:v>
      </x:c>
      <x:c r="AD1159" s="37" t="n">
        <x:v>0</x:v>
      </x:c>
      <x:c r="AE1159" s="37" t="n">
        <x:v>0</x:v>
      </x:c>
      <x:c r="AF1159" s="47" t="b">
        <x:v>0</x:v>
      </x:c>
      <x:c r="AG1159" s="47" t="b">
        <x:v>0</x:v>
      </x:c>
      <x:c r="AH1159" s="48" t="n">
        <x:v>0</x:v>
      </x:c>
      <x:c r="AI1159" s="48" t="n">
        <x:v>1.1920928955078125e-7</x:v>
      </x:c>
      <x:c r="AJ1159" s="37" t="str">
        <x:v>passed</x:v>
      </x:c>
    </x:row>
    <x:row r="1160" ht="21" customHeight="1">
      <x:c r="A1160" s="2"/>
      <x:c r="B1160" s="2"/>
      <x:c r="C1160" s="2" t="str">
        <x:v>2023</x:v>
      </x:c>
      <x:c r="D1160" s="5" t="n">
        <x:v>44986</x:v>
      </x:c>
      <x:c r="E1160" s="2" t="str">
        <x:v>duration</x:v>
      </x:c>
      <x:c r="F1160" s="37" t="n">
        <x:v>7797318.167411451</x:v>
      </x:c>
      <x:c r="G1160" s="37" t="n">
        <x:v>3870479.853188865</x:v>
      </x:c>
      <x:c r="H1160" s="37" t="n">
        <x:v>-11683.818571031617</x:v>
      </x:c>
      <x:c r="I1160" s="37" t="n">
        <x:v>3882163.6717598964</x:v>
      </x:c>
      <x:c r="J1160" s="37" t="n">
        <x:v>10289916.459407827</x:v>
      </x:c>
      <x:c r="K1160" s="37" t="n">
        <x:v>6419436.606218962</x:v>
      </x:c>
      <x:c r="L1160" s="37" t="n">
        <x:v>11667798.020600315</x:v>
      </x:c>
      <x:c r="M1160" s="37" t="n">
        <x:v>0</x:v>
      </x:c>
      <x:c r="N1160" s="37" t="n">
        <x:v>0</x:v>
      </x:c>
      <x:c r="O1160" s="37" t="n">
        <x:v>426.7068732380867</x:v>
      </x:c>
      <x:c r="P1160" s="37" t="n">
        <x:v>0</x:v>
      </x:c>
      <x:c r="Q1160" s="37" t="n">
        <x:v>0.9491973155732176</x:v>
      </x:c>
      <x:c r="R1160" s="37" t="n">
        <x:v>9491.973155732176</x:v>
      </x:c>
      <x:c r="S1160" s="37" t="n">
        <x:v>9491.973155732176</x:v>
      </x:c>
      <x:c r="T1160" s="37" t="n">
        <x:v>0</x:v>
      </x:c>
      <x:c r="U1160" s="37" t="n">
        <x:v>37500</x:v>
      </x:c>
      <x:c r="V1160" s="37" t="n">
        <x:v>0</x:v>
      </x:c>
      <x:c r="W1160" s="37" t="n">
        <x:v>24323.13154769037</x:v>
      </x:c>
      <x:c r="X1160" s="37" t="n">
        <x:v>0</x:v>
      </x:c>
      <x:c r="Y1160" s="37" t="n">
        <x:v>1712.5063178468959</x:v>
      </x:c>
      <x:c r="Z1160" s="37" t="n">
        <x:v>6547825.338343341</x:v>
      </x:c>
      <x:c r="AA1160" s="37" t="n">
        <x:v>0</x:v>
      </x:c>
      <x:c r="AB1160" s="37" t="n">
        <x:v>6547825.338343341</x:v>
      </x:c>
      <x:c r="AC1160" s="37" t="n">
        <x:v>1249492.8290681103</x:v>
      </x:c>
      <x:c r="AD1160" s="37" t="n">
        <x:v>0</x:v>
      </x:c>
      <x:c r="AE1160" s="37" t="n">
        <x:v>0</x:v>
      </x:c>
      <x:c r="AF1160" s="47" t="b">
        <x:v>0</x:v>
      </x:c>
      <x:c r="AG1160" s="47" t="b">
        <x:v>0</x:v>
      </x:c>
      <x:c r="AH1160" s="48" t="n">
        <x:v>5.3221871354480754e-11</x:v>
      </x:c>
      <x:c r="AI1160" s="48" t="n">
        <x:v>5.960464477539063e-8</x:v>
      </x:c>
      <x:c r="AJ1160" s="37" t="str">
        <x:v>passed</x:v>
      </x:c>
    </x:row>
    <x:row r="1161" ht="21" customHeight="1">
      <x:c r="A1161" s="2"/>
      <x:c r="B1161" s="2"/>
      <x:c r="C1161" s="2" t="str">
        <x:v>2023</x:v>
      </x:c>
      <x:c r="D1161" s="5" t="n">
        <x:v>44986</x:v>
      </x:c>
      <x:c r="E1161" s="2" t="str">
        <x:v>unweighted</x:v>
      </x:c>
      <x:c r="F1161" s="37" t="n">
        <x:v>11223648.23488626</x:v>
      </x:c>
      <x:c r="G1161" s="37" t="n">
        <x:v>439309.1297463343</x:v>
      </x:c>
      <x:c r="H1161" s="37" t="n">
        <x:v>-16986.256827962</x:v>
      </x:c>
      <x:c r="I1161" s="37" t="n">
        <x:v>456295.3865742963</x:v>
      </x:c>
      <x:c r="J1161" s="37" t="n">
        <x:v>10337873.813613048</x:v>
      </x:c>
      <x:c r="K1161" s="37" t="n">
        <x:v>9898564.683866713</x:v>
      </x:c>
      <x:c r="L1161" s="37" t="n">
        <x:v>11662957.364632595</x:v>
      </x:c>
      <x:c r="M1161" s="37" t="n">
        <x:v>0</x:v>
      </x:c>
      <x:c r="N1161" s="37" t="n">
        <x:v>0</x:v>
      </x:c>
      <x:c r="O1161" s="37" t="n">
        <x:v>604.6517479363829</x:v>
      </x:c>
      <x:c r="P1161" s="37" t="n">
        <x:v>0</x:v>
      </x:c>
      <x:c r="Q1161" s="37" t="n">
        <x:v>20.190234172166758</x:v>
      </x:c>
      <x:c r="R1161" s="37" t="n">
        <x:v>188169.37354066756</x:v>
      </x:c>
      <x:c r="S1161" s="37" t="n">
        <x:v>201902.34172166756</x:v>
      </x:c>
      <x:c r="T1161" s="37" t="n">
        <x:v>0</x:v>
      </x:c>
      <x:c r="U1161" s="37" t="n">
        <x:v>37500</x:v>
      </x:c>
      <x:c r="V1161" s="37" t="n">
        <x:v>0</x:v>
      </x:c>
      <x:c r="W1161" s="37" t="n">
        <x:v>34128.82679249905</x:v>
      </x:c>
      <x:c r="X1161" s="37" t="n">
        <x:v>0</x:v>
      </x:c>
      <x:c r="Y1161" s="37" t="n">
        <x:v>2048.100493389845</x:v>
      </x:c>
      <x:c r="Z1161" s="37" t="n">
        <x:v>10096535.977544047</x:v>
      </x:c>
      <x:c r="AA1161" s="37" t="n">
        <x:v>0</x:v>
      </x:c>
      <x:c r="AB1161" s="37" t="n">
        <x:v>10096535.977544047</x:v>
      </x:c>
      <x:c r="AC1161" s="37" t="n">
        <x:v>1127112.2573422138</x:v>
      </x:c>
      <x:c r="AD1161" s="37" t="n">
        <x:v>0</x:v>
      </x:c>
      <x:c r="AE1161" s="37" t="n">
        <x:v>0</x:v>
      </x:c>
      <x:c r="AF1161" s="47" t="b">
        <x:v>0</x:v>
      </x:c>
      <x:c r="AG1161" s="47" t="b">
        <x:v>0</x:v>
      </x:c>
      <x:c r="AH1161" s="48" t="n">
        <x:v>-6.605738178677711e-10</x:v>
      </x:c>
      <x:c r="AI1161" s="48" t="n">
        <x:v>1.1920928955078125e-7</x:v>
      </x:c>
      <x:c r="AJ1161" s="37" t="str">
        <x:v>passed</x:v>
      </x:c>
    </x:row>
    <x:row r="1162" ht="21" customHeight="1">
      <x:c r="A1162" s="2"/>
      <x:c r="B1162" s="2"/>
      <x:c r="C1162" s="2" t="str">
        <x:v>2023</x:v>
      </x:c>
      <x:c r="D1162" s="5" t="n">
        <x:v>44986</x:v>
      </x:c>
      <x:c r="E1162" s="2" t="str">
        <x:v>constrained</x:v>
      </x:c>
      <x:c r="F1162" s="37" t="n">
        <x:v>11772781.814975465</x:v>
      </x:c>
      <x:c r="G1162" s="37" t="n">
        <x:v>-108923.50951471046</x:v>
      </x:c>
      <x:c r="H1162" s="37" t="n">
        <x:v>-18147.689624021797</x:v>
      </x:c>
      <x:c r="I1162" s="37" t="n">
        <x:v>-90775.81989068867</x:v>
      </x:c>
      <x:c r="J1162" s="37" t="n">
        <x:v>10342051.60435759</x:v>
      </x:c>
      <x:c r="K1162" s="37" t="n">
        <x:v>10450975.1138723</x:v>
      </x:c>
      <x:c r="L1162" s="37" t="n">
        <x:v>11663858.305460755</x:v>
      </x:c>
      <x:c r="M1162" s="37" t="n">
        <x:v>0</x:v>
      </x:c>
      <x:c r="N1162" s="37" t="n">
        <x:v>0</x:v>
      </x:c>
      <x:c r="O1162" s="37" t="n">
        <x:v>642.79626391083</x:v>
      </x:c>
      <x:c r="P1162" s="37" t="n">
        <x:v>0</x:v>
      </x:c>
      <x:c r="Q1162" s="37" t="n">
        <x:v>7.526852183312266</x:v>
      </x:c>
      <x:c r="R1162" s="37" t="n">
        <x:v>41114.72921307513</x:v>
      </x:c>
      <x:c r="S1162" s="37" t="n">
        <x:v>75268.52183312265</x:v>
      </x:c>
      <x:c r="T1162" s="37" t="n">
        <x:v>0</x:v>
      </x:c>
      <x:c r="U1162" s="37" t="n">
        <x:v>37500</x:v>
      </x:c>
      <x:c r="V1162" s="37" t="n">
        <x:v>0</x:v>
      </x:c>
      <x:c r="W1162" s="37" t="n">
        <x:v>36408.951102714986</x:v>
      </x:c>
      <x:c r="X1162" s="37" t="n">
        <x:v>0</x:v>
      </x:c>
      <x:c r="Y1162" s="37" t="n">
        <x:v>2112.850059992143</x:v>
      </x:c>
      <x:c r="Z1162" s="37" t="n">
        <x:v>10659994.616149748</x:v>
      </x:c>
      <x:c r="AA1162" s="37" t="n">
        <x:v>0</x:v>
      </x:c>
      <x:c r="AB1162" s="37" t="n">
        <x:v>10659994.616149748</x:v>
      </x:c>
      <x:c r="AC1162" s="37" t="n">
        <x:v>1112787.198825717</x:v>
      </x:c>
      <x:c r="AD1162" s="37" t="n">
        <x:v>0</x:v>
      </x:c>
      <x:c r="AE1162" s="37" t="n">
        <x:v>0</x:v>
      </x:c>
      <x:c r="AF1162" s="47" t="b">
        <x:v>0</x:v>
      </x:c>
      <x:c r="AG1162" s="47" t="b">
        <x:v>0</x:v>
      </x:c>
      <x:c r="AH1162" s="48" t="n">
        <x:v>8.503855397634652e-10</x:v>
      </x:c>
      <x:c r="AI1162" s="48" t="n">
        <x:v>1.1920928955078125e-7</x:v>
      </x:c>
      <x:c r="AJ1162" s="37" t="str">
        <x:v>passed</x:v>
      </x:c>
    </x:row>
    <x:row r="1163" ht="21" customHeight="1">
      <x:c r="A1163" s="2"/>
      <x:c r="B1163" s="2"/>
      <x:c r="C1163" s="2" t="str">
        <x:v>2023</x:v>
      </x:c>
      <x:c r="D1163" s="5" t="n">
        <x:v>44987</x:v>
      </x:c>
      <x:c r="E1163" s="2" t="str">
        <x:v>unhedged</x:v>
      </x:c>
      <x:c r="F1163" s="37" t="n">
        <x:v>1240304.3052603255</x:v>
      </x:c>
      <x:c r="G1163" s="37" t="n">
        <x:v>10259162.471506374</x:v>
      </x:c>
      <x:c r="H1163" s="37" t="n">
        <x:v>20801.10497237569</x:v>
      </x:c>
      <x:c r="I1163" s="37" t="n">
        <x:v>10238361.366533998</x:v>
      </x:c>
      <x:c r="J1163" s="37" t="n">
        <x:v>10259162.471506374</x:v>
      </x:c>
      <x:c r="K1163" s="37" t="n">
        <x:v>0</x:v>
      </x:c>
      <x:c r="L1163" s="37" t="n">
        <x:v>11499466.776766699</x:v>
      </x:c>
      <x:c r="M1163" s="37" t="n">
        <x:v>0</x:v>
      </x:c>
      <x:c r="N1163" s="37" t="n">
        <x:v>0</x:v>
      </x:c>
      <x:c r="O1163" s="37" t="n">
        <x:v>67.95815600594506</x:v>
      </x:c>
      <x:c r="P1163" s="37" t="n">
        <x:v>0</x:v>
      </x:c>
      <x:c r="Q1163" s="37" t="n">
        <x:v>0</x:v>
      </x:c>
      <x:c r="R1163" s="37" t="n">
        <x:v>0</x:v>
      </x:c>
      <x:c r="S1163" s="37" t="n">
        <x:v>0</x:v>
      </x:c>
      <x:c r="T1163" s="37" t="n">
        <x:v>0</x:v>
      </x:c>
      <x:c r="U1163" s="37" t="n">
        <x:v>37500</x:v>
      </x:c>
      <x:c r="V1163" s="37" t="n">
        <x:v>0</x:v>
      </x:c>
      <x:c r="W1163" s="37" t="n">
        <x:v>3847.174602447776</x:v>
      </x:c>
      <x:c r="X1163" s="37" t="n">
        <x:v>0</x:v>
      </x:c>
      <x:c r="Y1163" s="37" t="n">
        <x:v>1042.869342122179</x:v>
      </x:c>
      <x:c r="Z1163" s="37" t="n">
        <x:v>0</x:v>
      </x:c>
      <x:c r="AA1163" s="37" t="n">
        <x:v>0</x:v>
      </x:c>
      <x:c r="AB1163" s="37" t="n">
        <x:v>0</x:v>
      </x:c>
      <x:c r="AC1163" s="37" t="n">
        <x:v>1240304.3052603255</x:v>
      </x:c>
      <x:c r="AD1163" s="37" t="n">
        <x:v>0</x:v>
      </x:c>
      <x:c r="AE1163" s="37" t="n">
        <x:v>0</x:v>
      </x:c>
      <x:c r="AF1163" s="47" t="b">
        <x:v>0</x:v>
      </x:c>
      <x:c r="AG1163" s="47" t="b">
        <x:v>0</x:v>
      </x:c>
      <x:c r="AH1163" s="48" t="n">
        <x:v>0</x:v>
      </x:c>
      <x:c r="AI1163" s="48" t="n">
        <x:v>1.1920928955078125e-7</x:v>
      </x:c>
      <x:c r="AJ1163" s="37" t="str">
        <x:v>passed</x:v>
      </x:c>
    </x:row>
    <x:row r="1164" ht="21" customHeight="1">
      <x:c r="A1164" s="2"/>
      <x:c r="B1164" s="2"/>
      <x:c r="C1164" s="2" t="str">
        <x:v>2023</x:v>
      </x:c>
      <x:c r="D1164" s="5" t="n">
        <x:v>44987</x:v>
      </x:c>
      <x:c r="E1164" s="2" t="str">
        <x:v>duration</x:v>
      </x:c>
      <x:c r="F1164" s="37" t="n">
        <x:v>7797745.417721995</x:v>
      </x:c>
      <x:c r="G1164" s="37" t="n">
        <x:v>3875467.8998912065</x:v>
      </x:c>
      <x:c r="H1164" s="37" t="n">
        <x:v>-11634.747433814722</x:v>
      </x:c>
      <x:c r="I1164" s="37" t="n">
        <x:v>3887102.647325021</x:v>
      </x:c>
      <x:c r="J1164" s="37" t="n">
        <x:v>10259162.471506374</x:v>
      </x:c>
      <x:c r="K1164" s="37" t="n">
        <x:v>6383694.571615168</x:v>
      </x:c>
      <x:c r="L1164" s="37" t="n">
        <x:v>11673213.317613201</x:v>
      </x:c>
      <x:c r="M1164" s="37" t="n">
        <x:v>0</x:v>
      </x:c>
      <x:c r="N1164" s="37" t="n">
        <x:v>0</x:v>
      </x:c>
      <x:c r="O1164" s="37" t="n">
        <x:v>427.25031054392457</x:v>
      </x:c>
      <x:c r="P1164" s="37" t="n">
        <x:v>0</x:v>
      </x:c>
      <x:c r="Q1164" s="37" t="n">
        <x:v>0</x:v>
      </x:c>
      <x:c r="R1164" s="37" t="n">
        <x:v>0</x:v>
      </x:c>
      <x:c r="S1164" s="37" t="n">
        <x:v>0</x:v>
      </x:c>
      <x:c r="T1164" s="37" t="n">
        <x:v>0</x:v>
      </x:c>
      <x:c r="U1164" s="37" t="n">
        <x:v>37500</x:v>
      </x:c>
      <x:c r="V1164" s="37" t="n">
        <x:v>0</x:v>
      </x:c>
      <x:c r="W1164" s="37" t="n">
        <x:v>24750.381858234294</x:v>
      </x:c>
      <x:c r="X1164" s="37" t="n">
        <x:v>0</x:v>
      </x:c>
      <x:c r="Y1164" s="37" t="n">
        <x:v>1712.5063178468959</x:v>
      </x:c>
      <x:c r="Z1164" s="37" t="n">
        <x:v>6511368.463047472</x:v>
      </x:c>
      <x:c r="AA1164" s="37" t="n">
        <x:v>0</x:v>
      </x:c>
      <x:c r="AB1164" s="37" t="n">
        <x:v>6511368.463047472</x:v>
      </x:c>
      <x:c r="AC1164" s="37" t="n">
        <x:v>1286376.9546745233</x:v>
      </x:c>
      <x:c r="AD1164" s="37" t="n">
        <x:v>0</x:v>
      </x:c>
      <x:c r="AE1164" s="37" t="n">
        <x:v>0</x:v>
      </x:c>
      <x:c r="AF1164" s="47" t="b">
        <x:v>0</x:v>
      </x:c>
      <x:c r="AG1164" s="47" t="b">
        <x:v>0</x:v>
      </x:c>
      <x:c r="AH1164" s="48" t="n">
        <x:v>0</x:v>
      </x:c>
      <x:c r="AI1164" s="48" t="n">
        <x:v>5.960464477539063e-8</x:v>
      </x:c>
      <x:c r="AJ1164" s="37" t="str">
        <x:v>passed</x:v>
      </x:c>
    </x:row>
    <x:row r="1165" ht="21" customHeight="1">
      <x:c r="A1165" s="2"/>
      <x:c r="B1165" s="2"/>
      <x:c r="C1165" s="2" t="str">
        <x:v>2023</x:v>
      </x:c>
      <x:c r="D1165" s="5" t="n">
        <x:v>44987</x:v>
      </x:c>
      <x:c r="E1165" s="2" t="str">
        <x:v>unweighted</x:v>
      </x:c>
      <x:c r="F1165" s="37" t="n">
        <x:v>11224263.229310092</x:v>
      </x:c>
      <x:c r="G1165" s="37" t="n">
        <x:v>438835.46090073197</x:v>
      </x:c>
      <x:c r="H1165" s="37" t="n">
        <x:v>-17009.99164548184</x:v>
      </x:c>
      <x:c r="I1165" s="37" t="n">
        <x:v>455845.4525462138</x:v>
      </x:c>
      <x:c r="J1165" s="37" t="n">
        <x:v>10306689.140174454</x:v>
      </x:c>
      <x:c r="K1165" s="37" t="n">
        <x:v>9867853.679273723</x:v>
      </x:c>
      <x:c r="L1165" s="37" t="n">
        <x:v>11663098.690210823</x:v>
      </x:c>
      <x:c r="M1165" s="37" t="n">
        <x:v>0</x:v>
      </x:c>
      <x:c r="N1165" s="37" t="n">
        <x:v>0</x:v>
      </x:c>
      <x:c r="O1165" s="37" t="n">
        <x:v>614.9944238308817</x:v>
      </x:c>
      <x:c r="P1165" s="37" t="n">
        <x:v>0</x:v>
      </x:c>
      <x:c r="Q1165" s="37" t="n">
        <x:v>0</x:v>
      </x:c>
      <x:c r="R1165" s="37" t="n">
        <x:v>0</x:v>
      </x:c>
      <x:c r="S1165" s="37" t="n">
        <x:v>0</x:v>
      </x:c>
      <x:c r="T1165" s="37" t="n">
        <x:v>0</x:v>
      </x:c>
      <x:c r="U1165" s="37" t="n">
        <x:v>37500</x:v>
      </x:c>
      <x:c r="V1165" s="37" t="n">
        <x:v>0</x:v>
      </x:c>
      <x:c r="W1165" s="37" t="n">
        <x:v>34743.82121632993</x:v>
      </x:c>
      <x:c r="X1165" s="37" t="n">
        <x:v>0</x:v>
      </x:c>
      <x:c r="Y1165" s="37" t="n">
        <x:v>2048.100493389845</x:v>
      </x:c>
      <x:c r="Z1165" s="37" t="n">
        <x:v>10065210.752859198</x:v>
      </x:c>
      <x:c r="AA1165" s="37" t="n">
        <x:v>0</x:v>
      </x:c>
      <x:c r="AB1165" s="37" t="n">
        <x:v>10065210.752859198</x:v>
      </x:c>
      <x:c r="AC1165" s="37" t="n">
        <x:v>1159052.476450894</x:v>
      </x:c>
      <x:c r="AD1165" s="37" t="n">
        <x:v>0</x:v>
      </x:c>
      <x:c r="AE1165" s="37" t="n">
        <x:v>0</x:v>
      </x:c>
      <x:c r="AF1165" s="47" t="b">
        <x:v>0</x:v>
      </x:c>
      <x:c r="AG1165" s="47" t="b">
        <x:v>0</x:v>
      </x:c>
      <x:c r="AH1165" s="48" t="n">
        <x:v>0</x:v>
      </x:c>
      <x:c r="AI1165" s="48" t="n">
        <x:v>1.1920928955078125e-7</x:v>
      </x:c>
      <x:c r="AJ1165" s="37" t="str">
        <x:v>passed</x:v>
      </x:c>
    </x:row>
    <x:row r="1166" ht="21" customHeight="1">
      <x:c r="A1166" s="2"/>
      <x:c r="B1166" s="2"/>
      <x:c r="C1166" s="2" t="str">
        <x:v>2023</x:v>
      </x:c>
      <x:c r="D1166" s="5" t="n">
        <x:v>44987</x:v>
      </x:c>
      <x:c r="E1166" s="2" t="str">
        <x:v>constrained</x:v>
      </x:c>
      <x:c r="F1166" s="37" t="n">
        <x:v>11773426.898910534</x:v>
      </x:c>
      <x:c r="G1166" s="37" t="n">
        <x:v>-109078.03404355588</x:v>
      </x:c>
      <x:c r="H1166" s="37" t="n">
        <x:v>-18184.078775739268</x:v>
      </x:c>
      <x:c r="I1166" s="37" t="n">
        <x:v>-90893.95526781661</x:v>
      </x:c>
      <x:c r="J1166" s="37" t="n">
        <x:v>10310830.28228804</x:v>
      </x:c>
      <x:c r="K1166" s="37" t="n">
        <x:v>10419908.316331595</x:v>
      </x:c>
      <x:c r="L1166" s="37" t="n">
        <x:v>11664348.864866978</x:v>
      </x:c>
      <x:c r="M1166" s="37" t="n">
        <x:v>0</x:v>
      </x:c>
      <x:c r="N1166" s="37" t="n">
        <x:v>0</x:v>
      </x:c>
      <x:c r="O1166" s="37" t="n">
        <x:v>645.0839350689203</x:v>
      </x:c>
      <x:c r="P1166" s="37" t="n">
        <x:v>0</x:v>
      </x:c>
      <x:c r="Q1166" s="37" t="n">
        <x:v>0</x:v>
      </x:c>
      <x:c r="R1166" s="37" t="n">
        <x:v>0</x:v>
      </x:c>
      <x:c r="S1166" s="37" t="n">
        <x:v>0</x:v>
      </x:c>
      <x:c r="T1166" s="37" t="n">
        <x:v>0</x:v>
      </x:c>
      <x:c r="U1166" s="37" t="n">
        <x:v>37500</x:v>
      </x:c>
      <x:c r="V1166" s="37" t="n">
        <x:v>0</x:v>
      </x:c>
      <x:c r="W1166" s="37" t="n">
        <x:v>37054.035037783906</x:v>
      </x:c>
      <x:c r="X1166" s="37" t="n">
        <x:v>0</x:v>
      </x:c>
      <x:c r="Y1166" s="37" t="n">
        <x:v>2112.850059992143</x:v>
      </x:c>
      <x:c r="Z1166" s="37" t="n">
        <x:v>10628306.482658228</x:v>
      </x:c>
      <x:c r="AA1166" s="37" t="n">
        <x:v>0</x:v>
      </x:c>
      <x:c r="AB1166" s="37" t="n">
        <x:v>10628306.482658228</x:v>
      </x:c>
      <x:c r="AC1166" s="37" t="n">
        <x:v>1145120.4162523057</x:v>
      </x:c>
      <x:c r="AD1166" s="37" t="n">
        <x:v>0</x:v>
      </x:c>
      <x:c r="AE1166" s="37" t="n">
        <x:v>0</x:v>
      </x:c>
      <x:c r="AF1166" s="47" t="b">
        <x:v>0</x:v>
      </x:c>
      <x:c r="AG1166" s="47" t="b">
        <x:v>0</x:v>
      </x:c>
      <x:c r="AH1166" s="48" t="n">
        <x:v>0</x:v>
      </x:c>
      <x:c r="AI1166" s="48" t="n">
        <x:v>1.1920928955078125e-7</x:v>
      </x:c>
      <x:c r="AJ1166" s="37" t="str">
        <x:v>passed</x:v>
      </x:c>
    </x:row>
    <x:row r="1167" ht="21" customHeight="1">
      <x:c r="A1167" s="2"/>
      <x:c r="B1167" s="2"/>
      <x:c r="C1167" s="2" t="str">
        <x:v>2023</x:v>
      </x:c>
      <x:c r="D1167" s="5" t="n">
        <x:v>44988</x:v>
      </x:c>
      <x:c r="E1167" s="2" t="str">
        <x:v>unhedged</x:v>
      </x:c>
      <x:c r="F1167" s="37" t="n">
        <x:v>1240372.2671400658</x:v>
      </x:c>
      <x:c r="G1167" s="37" t="n">
        <x:v>10303037.568819584</x:v>
      </x:c>
      <x:c r="H1167" s="37" t="n">
        <x:v>21153.31491712707</x:v>
      </x:c>
      <x:c r="I1167" s="37" t="n">
        <x:v>10281884.253902458</x:v>
      </x:c>
      <x:c r="J1167" s="37" t="n">
        <x:v>10303037.568819584</x:v>
      </x:c>
      <x:c r="K1167" s="37" t="n">
        <x:v>0</x:v>
      </x:c>
      <x:c r="L1167" s="37" t="n">
        <x:v>11543409.83595965</x:v>
      </x:c>
      <x:c r="M1167" s="37" t="n">
        <x:v>0</x:v>
      </x:c>
      <x:c r="N1167" s="37" t="n">
        <x:v>0</x:v>
      </x:c>
      <x:c r="O1167" s="37" t="n">
        <x:v>67.96187974023633</x:v>
      </x:c>
      <x:c r="P1167" s="37" t="n">
        <x:v>0</x:v>
      </x:c>
      <x:c r="Q1167" s="37" t="n">
        <x:v>0</x:v>
      </x:c>
      <x:c r="R1167" s="37" t="n">
        <x:v>0</x:v>
      </x:c>
      <x:c r="S1167" s="37" t="n">
        <x:v>0</x:v>
      </x:c>
      <x:c r="T1167" s="37" t="n">
        <x:v>0</x:v>
      </x:c>
      <x:c r="U1167" s="37" t="n">
        <x:v>37500</x:v>
      </x:c>
      <x:c r="V1167" s="37" t="n">
        <x:v>0</x:v>
      </x:c>
      <x:c r="W1167" s="37" t="n">
        <x:v>3915.1364821880125</x:v>
      </x:c>
      <x:c r="X1167" s="37" t="n">
        <x:v>0</x:v>
      </x:c>
      <x:c r="Y1167" s="37" t="n">
        <x:v>1042.869342122179</x:v>
      </x:c>
      <x:c r="Z1167" s="37" t="n">
        <x:v>0</x:v>
      </x:c>
      <x:c r="AA1167" s="37" t="n">
        <x:v>0</x:v>
      </x:c>
      <x:c r="AB1167" s="37" t="n">
        <x:v>0</x:v>
      </x:c>
      <x:c r="AC1167" s="37" t="n">
        <x:v>1240372.2671400658</x:v>
      </x:c>
      <x:c r="AD1167" s="37" t="n">
        <x:v>0</x:v>
      </x:c>
      <x:c r="AE1167" s="37" t="n">
        <x:v>0</x:v>
      </x:c>
      <x:c r="AF1167" s="47" t="b">
        <x:v>0</x:v>
      </x:c>
      <x:c r="AG1167" s="47" t="b">
        <x:v>0</x:v>
      </x:c>
      <x:c r="AH1167" s="48" t="n">
        <x:v>0</x:v>
      </x:c>
      <x:c r="AI1167" s="48" t="n">
        <x:v>1.1920928955078125e-7</x:v>
      </x:c>
      <x:c r="AJ1167" s="37" t="str">
        <x:v>passed</x:v>
      </x:c>
    </x:row>
    <x:row r="1168" ht="21" customHeight="1">
      <x:c r="A1168" s="2"/>
      <x:c r="B1168" s="2"/>
      <x:c r="C1168" s="2" t="str">
        <x:v>2023</x:v>
      </x:c>
      <x:c r="D1168" s="5" t="n">
        <x:v>44988</x:v>
      </x:c>
      <x:c r="E1168" s="2" t="str">
        <x:v>duration</x:v>
      </x:c>
      <x:c r="F1168" s="37" t="n">
        <x:v>7798172.691443514</x:v>
      </x:c>
      <x:c r="G1168" s="37" t="n">
        <x:v>3867970.374789534</x:v>
      </x:c>
      <x:c r="H1168" s="37" t="n">
        <x:v>-11585.676296597834</x:v>
      </x:c>
      <x:c r="I1168" s="37" t="n">
        <x:v>3879556.051086132</x:v>
      </x:c>
      <x:c r="J1168" s="37" t="n">
        <x:v>10303037.568819584</x:v>
      </x:c>
      <x:c r="K1168" s="37" t="n">
        <x:v>6435067.19403005</x:v>
      </x:c>
      <x:c r="L1168" s="37" t="n">
        <x:v>11666143.066233048</x:v>
      </x:c>
      <x:c r="M1168" s="37" t="n">
        <x:v>0</x:v>
      </x:c>
      <x:c r="N1168" s="37" t="n">
        <x:v>0</x:v>
      </x:c>
      <x:c r="O1168" s="37" t="n">
        <x:v>427.2737215189263</x:v>
      </x:c>
      <x:c r="P1168" s="37" t="n">
        <x:v>0</x:v>
      </x:c>
      <x:c r="Q1168" s="37" t="n">
        <x:v>0</x:v>
      </x:c>
      <x:c r="R1168" s="37" t="n">
        <x:v>0</x:v>
      </x:c>
      <x:c r="S1168" s="37" t="n">
        <x:v>0</x:v>
      </x:c>
      <x:c r="T1168" s="37" t="n">
        <x:v>0</x:v>
      </x:c>
      <x:c r="U1168" s="37" t="n">
        <x:v>37500</x:v>
      </x:c>
      <x:c r="V1168" s="37" t="n">
        <x:v>0</x:v>
      </x:c>
      <x:c r="W1168" s="37" t="n">
        <x:v>25177.65557975322</x:v>
      </x:c>
      <x:c r="X1168" s="37" t="n">
        <x:v>0</x:v>
      </x:c>
      <x:c r="Y1168" s="37" t="n">
        <x:v>1712.5063178468959</x:v>
      </x:c>
      <x:c r="Z1168" s="37" t="n">
        <x:v>6563768.537910651</x:v>
      </x:c>
      <x:c r="AA1168" s="37" t="n">
        <x:v>0</x:v>
      </x:c>
      <x:c r="AB1168" s="37" t="n">
        <x:v>6563768.537910651</x:v>
      </x:c>
      <x:c r="AC1168" s="37" t="n">
        <x:v>1234404.1535328627</x:v>
      </x:c>
      <x:c r="AD1168" s="37" t="n">
        <x:v>0</x:v>
      </x:c>
      <x:c r="AE1168" s="37" t="n">
        <x:v>0</x:v>
      </x:c>
      <x:c r="AF1168" s="47" t="b">
        <x:v>0</x:v>
      </x:c>
      <x:c r="AG1168" s="47" t="b">
        <x:v>0</x:v>
      </x:c>
      <x:c r="AH1168" s="48" t="n">
        <x:v>0</x:v>
      </x:c>
      <x:c r="AI1168" s="48" t="n">
        <x:v>5.960464477539063e-8</x:v>
      </x:c>
      <x:c r="AJ1168" s="37" t="str">
        <x:v>passed</x:v>
      </x:c>
    </x:row>
    <x:row r="1169" ht="21" customHeight="1">
      <x:c r="A1169" s="2"/>
      <x:c r="B1169" s="2"/>
      <x:c r="C1169" s="2" t="str">
        <x:v>2023</x:v>
      </x:c>
      <x:c r="D1169" s="5" t="n">
        <x:v>44988</x:v>
      </x:c>
      <x:c r="E1169" s="2" t="str">
        <x:v>unweighted</x:v>
      </x:c>
      <x:c r="F1169" s="37" t="n">
        <x:v>11224878.257432245</x:v>
      </x:c>
      <x:c r="G1169" s="37" t="n">
        <x:v>439440.40111368435</x:v>
      </x:c>
      <x:c r="H1169" s="37" t="n">
        <x:v>-17033.726463001683</x:v>
      </x:c>
      <x:c r="I1169" s="37" t="n">
        <x:v>456474.12757668603</x:v>
      </x:c>
      <x:c r="J1169" s="37" t="n">
        <x:v>10351456.488121651</x:v>
      </x:c>
      <x:c r="K1169" s="37" t="n">
        <x:v>9912016.087007968</x:v>
      </x:c>
      <x:c r="L1169" s="37" t="n">
        <x:v>11664318.65854593</x:v>
      </x:c>
      <x:c r="M1169" s="37" t="n">
        <x:v>0</x:v>
      </x:c>
      <x:c r="N1169" s="37" t="n">
        <x:v>0</x:v>
      </x:c>
      <x:c r="O1169" s="37" t="n">
        <x:v>615.0281221531332</x:v>
      </x:c>
      <x:c r="P1169" s="37" t="n">
        <x:v>0</x:v>
      </x:c>
      <x:c r="Q1169" s="37" t="n">
        <x:v>0</x:v>
      </x:c>
      <x:c r="R1169" s="37" t="n">
        <x:v>0</x:v>
      </x:c>
      <x:c r="S1169" s="37" t="n">
        <x:v>0</x:v>
      </x:c>
      <x:c r="T1169" s="37" t="n">
        <x:v>0</x:v>
      </x:c>
      <x:c r="U1169" s="37" t="n">
        <x:v>37500</x:v>
      </x:c>
      <x:c r="V1169" s="37" t="n">
        <x:v>0</x:v>
      </x:c>
      <x:c r="W1169" s="37" t="n">
        <x:v>35358.849338483065</x:v>
      </x:c>
      <x:c r="X1169" s="37" t="n">
        <x:v>0</x:v>
      </x:c>
      <x:c r="Y1169" s="37" t="n">
        <x:v>2048.100493389845</x:v>
      </x:c>
      <x:c r="Z1169" s="37" t="n">
        <x:v>10110256.408748128</x:v>
      </x:c>
      <x:c r="AA1169" s="37" t="n">
        <x:v>0</x:v>
      </x:c>
      <x:c r="AB1169" s="37" t="n">
        <x:v>10110256.408748128</x:v>
      </x:c>
      <x:c r="AC1169" s="37" t="n">
        <x:v>1114621.8486841172</x:v>
      </x:c>
      <x:c r="AD1169" s="37" t="n">
        <x:v>0</x:v>
      </x:c>
      <x:c r="AE1169" s="37" t="n">
        <x:v>0</x:v>
      </x:c>
      <x:c r="AF1169" s="47" t="b">
        <x:v>0</x:v>
      </x:c>
      <x:c r="AG1169" s="47" t="b">
        <x:v>0</x:v>
      </x:c>
      <x:c r="AH1169" s="48" t="n">
        <x:v>0</x:v>
      </x:c>
      <x:c r="AI1169" s="48" t="n">
        <x:v>1.1920928955078125e-7</x:v>
      </x:c>
      <x:c r="AJ1169" s="37" t="str">
        <x:v>passed</x:v>
      </x:c>
    </x:row>
    <x:row r="1170" ht="21" customHeight="1">
      <x:c r="A1170" s="2"/>
      <x:c r="B1170" s="2"/>
      <x:c r="C1170" s="2" t="str">
        <x:v>2023</x:v>
      </x:c>
      <x:c r="D1170" s="5" t="n">
        <x:v>44988</x:v>
      </x:c>
      <x:c r="E1170" s="2" t="str">
        <x:v>constrained</x:v>
      </x:c>
      <x:c r="F1170" s="37" t="n">
        <x:v>11774072.018192666</x:v>
      </x:c>
      <x:c r="G1170" s="37" t="n">
        <x:v>-109013.83405785133</x:v>
      </x:c>
      <x:c r="H1170" s="37" t="n">
        <x:v>-18220.467927456742</x:v>
      </x:c>
      <x:c r="I1170" s="37" t="n">
        <x:v>-90793.36613039458</x:v>
      </x:c>
      <x:c r="J1170" s="37" t="n">
        <x:v>10355672.370492892</x:v>
      </x:c>
      <x:c r="K1170" s="37" t="n">
        <x:v>10464686.204550743</x:v>
      </x:c>
      <x:c r="L1170" s="37" t="n">
        <x:v>11665058.184134815</x:v>
      </x:c>
      <x:c r="M1170" s="37" t="n">
        <x:v>0</x:v>
      </x:c>
      <x:c r="N1170" s="37" t="n">
        <x:v>0</x:v>
      </x:c>
      <x:c r="O1170" s="37" t="n">
        <x:v>645.1192821320146</x:v>
      </x:c>
      <x:c r="P1170" s="37" t="n">
        <x:v>0</x:v>
      </x:c>
      <x:c r="Q1170" s="37" t="n">
        <x:v>0</x:v>
      </x:c>
      <x:c r="R1170" s="37" t="n">
        <x:v>0</x:v>
      </x:c>
      <x:c r="S1170" s="37" t="n">
        <x:v>0</x:v>
      </x:c>
      <x:c r="T1170" s="37" t="n">
        <x:v>0</x:v>
      </x:c>
      <x:c r="U1170" s="37" t="n">
        <x:v>37500</x:v>
      </x:c>
      <x:c r="V1170" s="37" t="n">
        <x:v>0</x:v>
      </x:c>
      <x:c r="W1170" s="37" t="n">
        <x:v>37699.15431991592</x:v>
      </x:c>
      <x:c r="X1170" s="37" t="n">
        <x:v>0</x:v>
      </x:c>
      <x:c r="Y1170" s="37" t="n">
        <x:v>2112.850059992143</x:v>
      </x:c>
      <x:c r="Z1170" s="37" t="n">
        <x:v>10673979.928641759</x:v>
      </x:c>
      <x:c r="AA1170" s="37" t="n">
        <x:v>0</x:v>
      </x:c>
      <x:c r="AB1170" s="37" t="n">
        <x:v>10673979.928641759</x:v>
      </x:c>
      <x:c r="AC1170" s="37" t="n">
        <x:v>1100092.0895509068</x:v>
      </x:c>
      <x:c r="AD1170" s="37" t="n">
        <x:v>0</x:v>
      </x:c>
      <x:c r="AE1170" s="37" t="n">
        <x:v>0</x:v>
      </x:c>
      <x:c r="AF1170" s="47" t="b">
        <x:v>0</x:v>
      </x:c>
      <x:c r="AG1170" s="47" t="b">
        <x:v>0</x:v>
      </x:c>
      <x:c r="AH1170" s="48" t="n">
        <x:v>0</x:v>
      </x:c>
      <x:c r="AI1170" s="48" t="n">
        <x:v>1.1920928955078125e-7</x:v>
      </x:c>
      <x:c r="AJ1170" s="37" t="str">
        <x:v>passed</x:v>
      </x:c>
    </x:row>
    <x:row r="1171" ht="21" customHeight="1">
      <x:c r="A1171" s="2"/>
      <x:c r="B1171" s="2"/>
      <x:c r="C1171" s="2" t="str">
        <x:v>2023</x:v>
      </x:c>
      <x:c r="D1171" s="5" t="n">
        <x:v>44991</x:v>
      </x:c>
      <x:c r="E1171" s="2" t="str">
        <x:v>unhedged</x:v>
      </x:c>
      <x:c r="F1171" s="37" t="n">
        <x:v>1240576.175123735</x:v>
      </x:c>
      <x:c r="G1171" s="37" t="n">
        <x:v>10314794.906739397</x:v>
      </x:c>
      <x:c r="H1171" s="37" t="n">
        <x:v>22209.944751381216</x:v>
      </x:c>
      <x:c r="I1171" s="37" t="n">
        <x:v>10292584.961988015</x:v>
      </x:c>
      <x:c r="J1171" s="37" t="n">
        <x:v>10314794.906739397</x:v>
      </x:c>
      <x:c r="K1171" s="37" t="n">
        <x:v>0</x:v>
      </x:c>
      <x:c r="L1171" s="37" t="n">
        <x:v>11555371.081863131</x:v>
      </x:c>
      <x:c r="M1171" s="37" t="n">
        <x:v>0</x:v>
      </x:c>
      <x:c r="N1171" s="37" t="n">
        <x:v>0</x:v>
      </x:c>
      <x:c r="O1171" s="37" t="n">
        <x:v>203.90798366931267</x:v>
      </x:c>
      <x:c r="P1171" s="37" t="n">
        <x:v>0</x:v>
      </x:c>
      <x:c r="Q1171" s="37" t="n">
        <x:v>0</x:v>
      </x:c>
      <x:c r="R1171" s="37" t="n">
        <x:v>0</x:v>
      </x:c>
      <x:c r="S1171" s="37" t="n">
        <x:v>0</x:v>
      </x:c>
      <x:c r="T1171" s="37" t="n">
        <x:v>0</x:v>
      </x:c>
      <x:c r="U1171" s="37" t="n">
        <x:v>37500</x:v>
      </x:c>
      <x:c r="V1171" s="37" t="n">
        <x:v>0</x:v>
      </x:c>
      <x:c r="W1171" s="37" t="n">
        <x:v>4119.044465857325</x:v>
      </x:c>
      <x:c r="X1171" s="37" t="n">
        <x:v>0</x:v>
      </x:c>
      <x:c r="Y1171" s="37" t="n">
        <x:v>1042.869342122179</x:v>
      </x:c>
      <x:c r="Z1171" s="37" t="n">
        <x:v>0</x:v>
      </x:c>
      <x:c r="AA1171" s="37" t="n">
        <x:v>0</x:v>
      </x:c>
      <x:c r="AB1171" s="37" t="n">
        <x:v>0</x:v>
      </x:c>
      <x:c r="AC1171" s="37" t="n">
        <x:v>1240576.175123735</x:v>
      </x:c>
      <x:c r="AD1171" s="37" t="n">
        <x:v>0</x:v>
      </x:c>
      <x:c r="AE1171" s="37" t="n">
        <x:v>0</x:v>
      </x:c>
      <x:c r="AF1171" s="47" t="b">
        <x:v>0</x:v>
      </x:c>
      <x:c r="AG1171" s="47" t="b">
        <x:v>0</x:v>
      </x:c>
      <x:c r="AH1171" s="48" t="n">
        <x:v>0</x:v>
      </x:c>
      <x:c r="AI1171" s="48" t="n">
        <x:v>1.1920928955078125e-7</x:v>
      </x:c>
      <x:c r="AJ1171" s="37" t="str">
        <x:v>passed</x:v>
      </x:c>
    </x:row>
    <x:row r="1172" ht="21" customHeight="1">
      <x:c r="A1172" s="2"/>
      <x:c r="B1172" s="2"/>
      <x:c r="C1172" s="2" t="str">
        <x:v>2023</x:v>
      </x:c>
      <x:c r="D1172" s="5" t="n">
        <x:v>44991</x:v>
      </x:c>
      <x:c r="E1172" s="2" t="str">
        <x:v>duration</x:v>
      </x:c>
      <x:c r="F1172" s="37" t="n">
        <x:v>7799454.653086757</x:v>
      </x:c>
      <x:c r="G1172" s="37" t="n">
        <x:v>3851854.283069334</x:v>
      </x:c>
      <x:c r="H1172" s="37" t="n">
        <x:v>-11438.46288494716</x:v>
      </x:c>
      <x:c r="I1172" s="37" t="n">
        <x:v>3863292.745954281</x:v>
      </x:c>
      <x:c r="J1172" s="37" t="n">
        <x:v>10314794.906739397</x:v>
      </x:c>
      <x:c r="K1172" s="37" t="n">
        <x:v>6462940.623670063</x:v>
      </x:c>
      <x:c r="L1172" s="37" t="n">
        <x:v>11651308.93615609</x:v>
      </x:c>
      <x:c r="M1172" s="37" t="n">
        <x:v>0</x:v>
      </x:c>
      <x:c r="N1172" s="37" t="n">
        <x:v>0</x:v>
      </x:c>
      <x:c r="O1172" s="37" t="n">
        <x:v>1281.9616432432085</x:v>
      </x:c>
      <x:c r="P1172" s="37" t="n">
        <x:v>0</x:v>
      </x:c>
      <x:c r="Q1172" s="37" t="n">
        <x:v>0</x:v>
      </x:c>
      <x:c r="R1172" s="37" t="n">
        <x:v>0</x:v>
      </x:c>
      <x:c r="S1172" s="37" t="n">
        <x:v>0</x:v>
      </x:c>
      <x:c r="T1172" s="37" t="n">
        <x:v>0</x:v>
      </x:c>
      <x:c r="U1172" s="37" t="n">
        <x:v>37500</x:v>
      </x:c>
      <x:c r="V1172" s="37" t="n">
        <x:v>0</x:v>
      </x:c>
      <x:c r="W1172" s="37" t="n">
        <x:v>26459.61722299643</x:v>
      </x:c>
      <x:c r="X1172" s="37" t="n">
        <x:v>0</x:v>
      </x:c>
      <x:c r="Y1172" s="37" t="n">
        <x:v>1712.5063178468959</x:v>
      </x:c>
      <x:c r="Z1172" s="37" t="n">
        <x:v>6592199.436143464</x:v>
      </x:c>
      <x:c r="AA1172" s="37" t="n">
        <x:v>0</x:v>
      </x:c>
      <x:c r="AB1172" s="37" t="n">
        <x:v>6592199.436143464</x:v>
      </x:c>
      <x:c r="AC1172" s="37" t="n">
        <x:v>1207255.2169432929</x:v>
      </x:c>
      <x:c r="AD1172" s="37" t="n">
        <x:v>0</x:v>
      </x:c>
      <x:c r="AE1172" s="37" t="n">
        <x:v>0</x:v>
      </x:c>
      <x:c r="AF1172" s="47" t="b">
        <x:v>0</x:v>
      </x:c>
      <x:c r="AG1172" s="47" t="b">
        <x:v>0</x:v>
      </x:c>
      <x:c r="AH1172" s="48" t="n">
        <x:v>0</x:v>
      </x:c>
      <x:c r="AI1172" s="48" t="n">
        <x:v>5.960464477539063e-8</x:v>
      </x:c>
      <x:c r="AJ1172" s="37" t="str">
        <x:v>passed</x:v>
      </x:c>
    </x:row>
    <x:row r="1173" ht="21" customHeight="1">
      <x:c r="A1173" s="2"/>
      <x:c r="B1173" s="2"/>
      <x:c r="C1173" s="2" t="str">
        <x:v>2023</x:v>
      </x:c>
      <x:c r="D1173" s="5" t="n">
        <x:v>44991</x:v>
      </x:c>
      <x:c r="E1173" s="2" t="str">
        <x:v>unweighted</x:v>
      </x:c>
      <x:c r="F1173" s="37" t="n">
        <x:v>11226723.544007124</x:v>
      </x:c>
      <x:c r="G1173" s="37" t="n">
        <x:v>438037.14561475685</x:v>
      </x:c>
      <x:c r="H1173" s="37" t="n">
        <x:v>-17104.930915561217</x:v>
      </x:c>
      <x:c r="I1173" s="37" t="n">
        <x:v>455142.07653031807</x:v>
      </x:c>
      <x:c r="J1173" s="37" t="n">
        <x:v>10363026.1570891</x:v>
      </x:c>
      <x:c r="K1173" s="37" t="n">
        <x:v>9924989.011474343</x:v>
      </x:c>
      <x:c r="L1173" s="37" t="n">
        <x:v>11664760.68962188</x:v>
      </x:c>
      <x:c r="M1173" s="37" t="n">
        <x:v>0</x:v>
      </x:c>
      <x:c r="N1173" s="37" t="n">
        <x:v>0</x:v>
      </x:c>
      <x:c r="O1173" s="37" t="n">
        <x:v>1845.2865748796612</x:v>
      </x:c>
      <x:c r="P1173" s="37" t="n">
        <x:v>0</x:v>
      </x:c>
      <x:c r="Q1173" s="37" t="n">
        <x:v>0</x:v>
      </x:c>
      <x:c r="R1173" s="37" t="n">
        <x:v>0</x:v>
      </x:c>
      <x:c r="S1173" s="37" t="n">
        <x:v>0</x:v>
      </x:c>
      <x:c r="T1173" s="37" t="n">
        <x:v>0</x:v>
      </x:c>
      <x:c r="U1173" s="37" t="n">
        <x:v>37500</x:v>
      </x:c>
      <x:c r="V1173" s="37" t="n">
        <x:v>0</x:v>
      </x:c>
      <x:c r="W1173" s="37" t="n">
        <x:v>37204.13591336273</x:v>
      </x:c>
      <x:c r="X1173" s="37" t="n">
        <x:v>0</x:v>
      </x:c>
      <x:c r="Y1173" s="37" t="n">
        <x:v>2048.100493389845</x:v>
      </x:c>
      <x:c r="Z1173" s="37" t="n">
        <x:v>10123488.79170383</x:v>
      </x:c>
      <x:c r="AA1173" s="37" t="n">
        <x:v>0</x:v>
      </x:c>
      <x:c r="AB1173" s="37" t="n">
        <x:v>10123488.79170383</x:v>
      </x:c>
      <x:c r="AC1173" s="37" t="n">
        <x:v>1103234.7523032948</x:v>
      </x:c>
      <x:c r="AD1173" s="37" t="n">
        <x:v>0</x:v>
      </x:c>
      <x:c r="AE1173" s="37" t="n">
        <x:v>0</x:v>
      </x:c>
      <x:c r="AF1173" s="47" t="b">
        <x:v>0</x:v>
      </x:c>
      <x:c r="AG1173" s="47" t="b">
        <x:v>0</x:v>
      </x:c>
      <x:c r="AH1173" s="48" t="n">
        <x:v>0</x:v>
      </x:c>
      <x:c r="AI1173" s="48" t="n">
        <x:v>1.1920928955078125e-7</x:v>
      </x:c>
      <x:c r="AJ1173" s="37" t="str">
        <x:v>passed</x:v>
      </x:c>
    </x:row>
    <x:row r="1174" ht="21" customHeight="1">
      <x:c r="A1174" s="2"/>
      <x:c r="B1174" s="2"/>
      <x:c r="C1174" s="2" t="str">
        <x:v>2023</x:v>
      </x:c>
      <x:c r="D1174" s="5" t="n">
        <x:v>44991</x:v>
      </x:c>
      <x:c r="E1174" s="2" t="str">
        <x:v>constrained</x:v>
      </x:c>
      <x:c r="F1174" s="37" t="n">
        <x:v>11776007.588140823</x:v>
      </x:c>
      <x:c r="G1174" s="37" t="n">
        <x:v>-110053.90900271854</x:v>
      </x:c>
      <x:c r="H1174" s="37" t="n">
        <x:v>-18329.635382609165</x:v>
      </x:c>
      <x:c r="I1174" s="37" t="n">
        <x:v>-91724.27362010938</x:v>
      </x:c>
      <x:c r="J1174" s="37" t="n">
        <x:v>10367224.217035979</x:v>
      </x:c>
      <x:c r="K1174" s="37" t="n">
        <x:v>10477278.126038698</x:v>
      </x:c>
      <x:c r="L1174" s="37" t="n">
        <x:v>11665953.679138104</x:v>
      </x:c>
      <x:c r="M1174" s="37" t="n">
        <x:v>0</x:v>
      </x:c>
      <x:c r="N1174" s="37" t="n">
        <x:v>0</x:v>
      </x:c>
      <x:c r="O1174" s="37" t="n">
        <x:v>1935.5699481572956</x:v>
      </x:c>
      <x:c r="P1174" s="37" t="n">
        <x:v>0</x:v>
      </x:c>
      <x:c r="Q1174" s="37" t="n">
        <x:v>0</x:v>
      </x:c>
      <x:c r="R1174" s="37" t="n">
        <x:v>0</x:v>
      </x:c>
      <x:c r="S1174" s="37" t="n">
        <x:v>0</x:v>
      </x:c>
      <x:c r="T1174" s="37" t="n">
        <x:v>0</x:v>
      </x:c>
      <x:c r="U1174" s="37" t="n">
        <x:v>37500</x:v>
      </x:c>
      <x:c r="V1174" s="37" t="n">
        <x:v>0</x:v>
      </x:c>
      <x:c r="W1174" s="37" t="n">
        <x:v>39634.724268073216</x:v>
      </x:c>
      <x:c r="X1174" s="37" t="n">
        <x:v>0</x:v>
      </x:c>
      <x:c r="Y1174" s="37" t="n">
        <x:v>2112.850059992143</x:v>
      </x:c>
      <x:c r="Z1174" s="37" t="n">
        <x:v>10686823.688559473</x:v>
      </x:c>
      <x:c r="AA1174" s="37" t="n">
        <x:v>0</x:v>
      </x:c>
      <x:c r="AB1174" s="37" t="n">
        <x:v>10686823.688559473</x:v>
      </x:c>
      <x:c r="AC1174" s="37" t="n">
        <x:v>1089183.8995813504</x:v>
      </x:c>
      <x:c r="AD1174" s="37" t="n">
        <x:v>0</x:v>
      </x:c>
      <x:c r="AE1174" s="37" t="n">
        <x:v>0</x:v>
      </x:c>
      <x:c r="AF1174" s="47" t="b">
        <x:v>0</x:v>
      </x:c>
      <x:c r="AG1174" s="47" t="b">
        <x:v>0</x:v>
      </x:c>
      <x:c r="AH1174" s="48" t="n">
        <x:v>0</x:v>
      </x:c>
      <x:c r="AI1174" s="48" t="n">
        <x:v>1.1920928955078125e-7</x:v>
      </x:c>
      <x:c r="AJ1174" s="37" t="str">
        <x:v>passed</x:v>
      </x:c>
    </x:row>
    <x:row r="1175" ht="21" customHeight="1">
      <x:c r="A1175" s="2"/>
      <x:c r="B1175" s="2"/>
      <x:c r="C1175" s="2" t="str">
        <x:v>2023</x:v>
      </x:c>
      <x:c r="D1175" s="5" t="n">
        <x:v>44992</x:v>
      </x:c>
      <x:c r="E1175" s="2" t="str">
        <x:v>unhedged</x:v>
      </x:c>
      <x:c r="F1175" s="37" t="n">
        <x:v>1240644.151900454</x:v>
      </x:c>
      <x:c r="G1175" s="37" t="n">
        <x:v>10299285.212026544</x:v>
      </x:c>
      <x:c r="H1175" s="37" t="n">
        <x:v>22562.1546961326</x:v>
      </x:c>
      <x:c r="I1175" s="37" t="n">
        <x:v>10276723.05733041</x:v>
      </x:c>
      <x:c r="J1175" s="37" t="n">
        <x:v>10299285.212026544</x:v>
      </x:c>
      <x:c r="K1175" s="37" t="n">
        <x:v>0</x:v>
      </x:c>
      <x:c r="L1175" s="37" t="n">
        <x:v>11539929.363926997</x:v>
      </x:c>
      <x:c r="M1175" s="37" t="n">
        <x:v>0</x:v>
      </x:c>
      <x:c r="N1175" s="37" t="n">
        <x:v>0</x:v>
      </x:c>
      <x:c r="O1175" s="37" t="n">
        <x:v>67.97677671886049</x:v>
      </x:c>
      <x:c r="P1175" s="37" t="n">
        <x:v>0</x:v>
      </x:c>
      <x:c r="Q1175" s="37" t="n">
        <x:v>0</x:v>
      </x:c>
      <x:c r="R1175" s="37" t="n">
        <x:v>0</x:v>
      </x:c>
      <x:c r="S1175" s="37" t="n">
        <x:v>0</x:v>
      </x:c>
      <x:c r="T1175" s="37" t="n">
        <x:v>0</x:v>
      </x:c>
      <x:c r="U1175" s="37" t="n">
        <x:v>37500</x:v>
      </x:c>
      <x:c r="V1175" s="37" t="n">
        <x:v>0</x:v>
      </x:c>
      <x:c r="W1175" s="37" t="n">
        <x:v>4187.021242576186</x:v>
      </x:c>
      <x:c r="X1175" s="37" t="n">
        <x:v>0</x:v>
      </x:c>
      <x:c r="Y1175" s="37" t="n">
        <x:v>1042.869342122179</x:v>
      </x:c>
      <x:c r="Z1175" s="37" t="n">
        <x:v>0</x:v>
      </x:c>
      <x:c r="AA1175" s="37" t="n">
        <x:v>0</x:v>
      </x:c>
      <x:c r="AB1175" s="37" t="n">
        <x:v>0</x:v>
      </x:c>
      <x:c r="AC1175" s="37" t="n">
        <x:v>1240644.151900454</x:v>
      </x:c>
      <x:c r="AD1175" s="37" t="n">
        <x:v>0</x:v>
      </x:c>
      <x:c r="AE1175" s="37" t="n">
        <x:v>0</x:v>
      </x:c>
      <x:c r="AF1175" s="47" t="b">
        <x:v>0</x:v>
      </x:c>
      <x:c r="AG1175" s="47" t="b">
        <x:v>0</x:v>
      </x:c>
      <x:c r="AH1175" s="48" t="n">
        <x:v>0</x:v>
      </x:c>
      <x:c r="AI1175" s="48" t="n">
        <x:v>1.1920928955078125e-7</x:v>
      </x:c>
      <x:c r="AJ1175" s="37" t="str">
        <x:v>passed</x:v>
      </x:c>
    </x:row>
    <x:row r="1176" ht="21" customHeight="1">
      <x:c r="A1176" s="2"/>
      <x:c r="B1176" s="2"/>
      <x:c r="C1176" s="2" t="str">
        <x:v>2023</x:v>
      </x:c>
      <x:c r="D1176" s="5" t="n">
        <x:v>44992</x:v>
      </x:c>
      <x:c r="E1176" s="2" t="str">
        <x:v>duration</x:v>
      </x:c>
      <x:c r="F1176" s="37" t="n">
        <x:v>7799882.020465009</x:v>
      </x:c>
      <x:c r="G1176" s="37" t="n">
        <x:v>3854049.7204492623</x:v>
      </x:c>
      <x:c r="H1176" s="37" t="n">
        <x:v>-11389.391747730271</x:v>
      </x:c>
      <x:c r="I1176" s="37" t="n">
        <x:v>3865439.1121969926</x:v>
      </x:c>
      <x:c r="J1176" s="37" t="n">
        <x:v>10299285.212026544</x:v>
      </x:c>
      <x:c r="K1176" s="37" t="n">
        <x:v>6445235.491577282</x:v>
      </x:c>
      <x:c r="L1176" s="37" t="n">
        <x:v>11653931.74091427</x:v>
      </x:c>
      <x:c r="M1176" s="37" t="n">
        <x:v>0</x:v>
      </x:c>
      <x:c r="N1176" s="37" t="n">
        <x:v>0</x:v>
      </x:c>
      <x:c r="O1176" s="37" t="n">
        <x:v>427.3673782516271</x:v>
      </x:c>
      <x:c r="P1176" s="37" t="n">
        <x:v>0</x:v>
      </x:c>
      <x:c r="Q1176" s="37" t="n">
        <x:v>0</x:v>
      </x:c>
      <x:c r="R1176" s="37" t="n">
        <x:v>0</x:v>
      </x:c>
      <x:c r="S1176" s="37" t="n">
        <x:v>0</x:v>
      </x:c>
      <x:c r="T1176" s="37" t="n">
        <x:v>0</x:v>
      </x:c>
      <x:c r="U1176" s="37" t="n">
        <x:v>37500</x:v>
      </x:c>
      <x:c r="V1176" s="37" t="n">
        <x:v>0</x:v>
      </x:c>
      <x:c r="W1176" s="37" t="n">
        <x:v>26886.984601248056</x:v>
      </x:c>
      <x:c r="X1176" s="37" t="n">
        <x:v>0</x:v>
      </x:c>
      <x:c r="Y1176" s="37" t="n">
        <x:v>1712.5063178468959</x:v>
      </x:c>
      <x:c r="Z1176" s="37" t="n">
        <x:v>6574140.201408828</x:v>
      </x:c>
      <x:c r="AA1176" s="37" t="n">
        <x:v>0</x:v>
      </x:c>
      <x:c r="AB1176" s="37" t="n">
        <x:v>6574140.201408828</x:v>
      </x:c>
      <x:c r="AC1176" s="37" t="n">
        <x:v>1225741.8190561812</x:v>
      </x:c>
      <x:c r="AD1176" s="37" t="n">
        <x:v>0</x:v>
      </x:c>
      <x:c r="AE1176" s="37" t="n">
        <x:v>0</x:v>
      </x:c>
      <x:c r="AF1176" s="47" t="b">
        <x:v>0</x:v>
      </x:c>
      <x:c r="AG1176" s="47" t="b">
        <x:v>0</x:v>
      </x:c>
      <x:c r="AH1176" s="48" t="n">
        <x:v>0</x:v>
      </x:c>
      <x:c r="AI1176" s="48" t="n">
        <x:v>5.960464477539063e-8</x:v>
      </x:c>
      <x:c r="AJ1176" s="37" t="str">
        <x:v>passed</x:v>
      </x:c>
    </x:row>
    <x:row r="1177" ht="21" customHeight="1">
      <x:c r="A1177" s="2"/>
      <x:c r="B1177" s="2"/>
      <x:c r="C1177" s="2" t="str">
        <x:v>2023</x:v>
      </x:c>
      <x:c r="D1177" s="5" t="n">
        <x:v>44992</x:v>
      </x:c>
      <x:c r="E1177" s="2" t="str">
        <x:v>unweighted</x:v>
      </x:c>
      <x:c r="F1177" s="37" t="n">
        <x:v>11227338.706941042</x:v>
      </x:c>
      <x:c r="G1177" s="37" t="n">
        <x:v>438995.79576286994</x:v>
      </x:c>
      <x:c r="H1177" s="37" t="n">
        <x:v>-17128.66573308106</x:v>
      </x:c>
      <x:c r="I1177" s="37" t="n">
        <x:v>456124.461495951</x:v>
      </x:c>
      <x:c r="J1177" s="37" t="n">
        <x:v>10347882.661953103</x:v>
      </x:c>
      <x:c r="K1177" s="37" t="n">
        <x:v>9908886.866190234</x:v>
      </x:c>
      <x:c r="L1177" s="37" t="n">
        <x:v>11666334.502703913</x:v>
      </x:c>
      <x:c r="M1177" s="37" t="n">
        <x:v>0</x:v>
      </x:c>
      <x:c r="N1177" s="37" t="n">
        <x:v>0</x:v>
      </x:c>
      <x:c r="O1177" s="37" t="n">
        <x:v>615.1629339177161</x:v>
      </x:c>
      <x:c r="P1177" s="37" t="n">
        <x:v>0</x:v>
      </x:c>
      <x:c r="Q1177" s="37" t="n">
        <x:v>0</x:v>
      </x:c>
      <x:c r="R1177" s="37" t="n">
        <x:v>0</x:v>
      </x:c>
      <x:c r="S1177" s="37" t="n">
        <x:v>0</x:v>
      </x:c>
      <x:c r="T1177" s="37" t="n">
        <x:v>0</x:v>
      </x:c>
      <x:c r="U1177" s="37" t="n">
        <x:v>37500</x:v>
      </x:c>
      <x:c r="V1177" s="37" t="n">
        <x:v>0</x:v>
      </x:c>
      <x:c r="W1177" s="37" t="n">
        <x:v>37819.29884728044</x:v>
      </x:c>
      <x:c r="X1177" s="37" t="n">
        <x:v>0</x:v>
      </x:c>
      <x:c r="Y1177" s="37" t="n">
        <x:v>2048.100493389845</x:v>
      </x:c>
      <x:c r="Z1177" s="37" t="n">
        <x:v>10107064.60351404</x:v>
      </x:c>
      <x:c r="AA1177" s="37" t="n">
        <x:v>0</x:v>
      </x:c>
      <x:c r="AB1177" s="37" t="n">
        <x:v>10107064.60351404</x:v>
      </x:c>
      <x:c r="AC1177" s="37" t="n">
        <x:v>1120274.1034270022</x:v>
      </x:c>
      <x:c r="AD1177" s="37" t="n">
        <x:v>0</x:v>
      </x:c>
      <x:c r="AE1177" s="37" t="n">
        <x:v>0</x:v>
      </x:c>
      <x:c r="AF1177" s="47" t="b">
        <x:v>0</x:v>
      </x:c>
      <x:c r="AG1177" s="47" t="b">
        <x:v>0</x:v>
      </x:c>
      <x:c r="AH1177" s="48" t="n">
        <x:v>0</x:v>
      </x:c>
      <x:c r="AI1177" s="48" t="n">
        <x:v>1.1920928955078125e-7</x:v>
      </x:c>
      <x:c r="AJ1177" s="37" t="str">
        <x:v>passed</x:v>
      </x:c>
    </x:row>
    <x:row r="1178" ht="21" customHeight="1">
      <x:c r="A1178" s="2"/>
      <x:c r="B1178" s="2"/>
      <x:c r="C1178" s="2" t="str">
        <x:v>2023</x:v>
      </x:c>
      <x:c r="D1178" s="5" t="n">
        <x:v>44992</x:v>
      </x:c>
      <x:c r="E1178" s="2" t="str">
        <x:v>constrained</x:v>
      </x:c>
      <x:c r="F1178" s="37" t="n">
        <x:v>11776652.848830584</x:v>
      </x:c>
      <x:c r="G1178" s="37" t="n">
        <x:v>-108831.39023728887</x:v>
      </x:c>
      <x:c r="H1178" s="37" t="n">
        <x:v>-18366.02453432664</x:v>
      </x:c>
      <x:c r="I1178" s="37" t="n">
        <x:v>-90465.36570296223</x:v>
      </x:c>
      <x:c r="J1178" s="37" t="n">
        <x:v>10352116.80690786</x:v>
      </x:c>
      <x:c r="K1178" s="37" t="n">
        <x:v>10460948.19714515</x:v>
      </x:c>
      <x:c r="L1178" s="37" t="n">
        <x:v>11667821.458593296</x:v>
      </x:c>
      <x:c r="M1178" s="37" t="n">
        <x:v>0</x:v>
      </x:c>
      <x:c r="N1178" s="37" t="n">
        <x:v>0</x:v>
      </x:c>
      <x:c r="O1178" s="37" t="n">
        <x:v>645.2606897614896</x:v>
      </x:c>
      <x:c r="P1178" s="37" t="n">
        <x:v>0</x:v>
      </x:c>
      <x:c r="Q1178" s="37" t="n">
        <x:v>0</x:v>
      </x:c>
      <x:c r="R1178" s="37" t="n">
        <x:v>0</x:v>
      </x:c>
      <x:c r="S1178" s="37" t="n">
        <x:v>0</x:v>
      </x:c>
      <x:c r="T1178" s="37" t="n">
        <x:v>0</x:v>
      </x:c>
      <x:c r="U1178" s="37" t="n">
        <x:v>37500</x:v>
      </x:c>
      <x:c r="V1178" s="37" t="n">
        <x:v>0</x:v>
      </x:c>
      <x:c r="W1178" s="37" t="n">
        <x:v>40279.984957834706</x:v>
      </x:c>
      <x:c r="X1178" s="37" t="n">
        <x:v>0</x:v>
      </x:c>
      <x:c r="Y1178" s="37" t="n">
        <x:v>2112.850059992143</x:v>
      </x:c>
      <x:c r="Z1178" s="37" t="n">
        <x:v>10670167.161088053</x:v>
      </x:c>
      <x:c r="AA1178" s="37" t="n">
        <x:v>0</x:v>
      </x:c>
      <x:c r="AB1178" s="37" t="n">
        <x:v>10670167.161088053</x:v>
      </x:c>
      <x:c r="AC1178" s="37" t="n">
        <x:v>1106485.6877425313</x:v>
      </x:c>
      <x:c r="AD1178" s="37" t="n">
        <x:v>0</x:v>
      </x:c>
      <x:c r="AE1178" s="37" t="n">
        <x:v>0</x:v>
      </x:c>
      <x:c r="AF1178" s="47" t="b">
        <x:v>0</x:v>
      </x:c>
      <x:c r="AG1178" s="47" t="b">
        <x:v>0</x:v>
      </x:c>
      <x:c r="AH1178" s="48" t="n">
        <x:v>0</x:v>
      </x:c>
      <x:c r="AI1178" s="48" t="n">
        <x:v>1.1920928955078125e-7</x:v>
      </x:c>
      <x:c r="AJ1178" s="37" t="str">
        <x:v>passed</x:v>
      </x:c>
    </x:row>
    <x:row r="1179" ht="21" customHeight="1">
      <x:c r="A1179" s="2"/>
      <x:c r="B1179" s="2"/>
      <x:c r="C1179" s="2" t="str">
        <x:v>2023</x:v>
      </x:c>
      <x:c r="D1179" s="5" t="n">
        <x:v>44993</x:v>
      </x:c>
      <x:c r="E1179" s="2" t="str">
        <x:v>unhedged</x:v>
      </x:c>
      <x:c r="F1179" s="37" t="n">
        <x:v>1240712.132401928</x:v>
      </x:c>
      <x:c r="G1179" s="37" t="n">
        <x:v>10292861.015614651</x:v>
      </x:c>
      <x:c r="H1179" s="37" t="n">
        <x:v>22914.364640883978</x:v>
      </x:c>
      <x:c r="I1179" s="37" t="n">
        <x:v>10269946.650973767</x:v>
      </x:c>
      <x:c r="J1179" s="37" t="n">
        <x:v>10292861.015614651</x:v>
      </x:c>
      <x:c r="K1179" s="37" t="n">
        <x:v>0</x:v>
      </x:c>
      <x:c r="L1179" s="37" t="n">
        <x:v>11533573.14801658</x:v>
      </x:c>
      <x:c r="M1179" s="37" t="n">
        <x:v>0</x:v>
      </x:c>
      <x:c r="N1179" s="37" t="n">
        <x:v>0</x:v>
      </x:c>
      <x:c r="O1179" s="37" t="n">
        <x:v>67.98050147411413</x:v>
      </x:c>
      <x:c r="P1179" s="37" t="n">
        <x:v>0</x:v>
      </x:c>
      <x:c r="Q1179" s="37" t="n">
        <x:v>0</x:v>
      </x:c>
      <x:c r="R1179" s="37" t="n">
        <x:v>0</x:v>
      </x:c>
      <x:c r="S1179" s="37" t="n">
        <x:v>0</x:v>
      </x:c>
      <x:c r="T1179" s="37" t="n">
        <x:v>0</x:v>
      </x:c>
      <x:c r="U1179" s="37" t="n">
        <x:v>37500</x:v>
      </x:c>
      <x:c r="V1179" s="37" t="n">
        <x:v>0</x:v>
      </x:c>
      <x:c r="W1179" s="37" t="n">
        <x:v>4255.0017440503</x:v>
      </x:c>
      <x:c r="X1179" s="37" t="n">
        <x:v>0</x:v>
      </x:c>
      <x:c r="Y1179" s="37" t="n">
        <x:v>1042.869342122179</x:v>
      </x:c>
      <x:c r="Z1179" s="37" t="n">
        <x:v>0</x:v>
      </x:c>
      <x:c r="AA1179" s="37" t="n">
        <x:v>0</x:v>
      </x:c>
      <x:c r="AB1179" s="37" t="n">
        <x:v>0</x:v>
      </x:c>
      <x:c r="AC1179" s="37" t="n">
        <x:v>1240712.132401928</x:v>
      </x:c>
      <x:c r="AD1179" s="37" t="n">
        <x:v>0</x:v>
      </x:c>
      <x:c r="AE1179" s="37" t="n">
        <x:v>0</x:v>
      </x:c>
      <x:c r="AF1179" s="47" t="b">
        <x:v>0</x:v>
      </x:c>
      <x:c r="AG1179" s="47" t="b">
        <x:v>0</x:v>
      </x:c>
      <x:c r="AH1179" s="48" t="n">
        <x:v>0</x:v>
      </x:c>
      <x:c r="AI1179" s="48" t="n">
        <x:v>1.1920928955078125e-7</x:v>
      </x:c>
      <x:c r="AJ1179" s="37" t="str">
        <x:v>passed</x:v>
      </x:c>
    </x:row>
    <x:row r="1180" ht="21" customHeight="1">
      <x:c r="A1180" s="2"/>
      <x:c r="B1180" s="2"/>
      <x:c r="C1180" s="2" t="str">
        <x:v>2023</x:v>
      </x:c>
      <x:c r="D1180" s="5" t="n">
        <x:v>44993</x:v>
      </x:c>
      <x:c r="E1180" s="2" t="str">
        <x:v>duration</x:v>
      </x:c>
      <x:c r="F1180" s="37" t="n">
        <x:v>7800309.411260652</x:v>
      </x:c>
      <x:c r="G1180" s="37" t="n">
        <x:v>3849928.206784428</x:v>
      </x:c>
      <x:c r="H1180" s="37" t="n">
        <x:v>-11340.32061051338</x:v>
      </x:c>
      <x:c r="I1180" s="37" t="n">
        <x:v>3861268.5273949415</x:v>
      </x:c>
      <x:c r="J1180" s="37" t="n">
        <x:v>10292861.015614651</x:v>
      </x:c>
      <x:c r="K1180" s="37" t="n">
        <x:v>6442932.808830223</x:v>
      </x:c>
      <x:c r="L1180" s="37" t="n">
        <x:v>11650237.61804508</x:v>
      </x:c>
      <x:c r="M1180" s="37" t="n">
        <x:v>0</x:v>
      </x:c>
      <x:c r="N1180" s="37" t="n">
        <x:v>0</x:v>
      </x:c>
      <x:c r="O1180" s="37" t="n">
        <x:v>427.3907956434414</x:v>
      </x:c>
      <x:c r="P1180" s="37" t="n">
        <x:v>0</x:v>
      </x:c>
      <x:c r="Q1180" s="37" t="n">
        <x:v>0</x:v>
      </x:c>
      <x:c r="R1180" s="37" t="n">
        <x:v>0</x:v>
      </x:c>
      <x:c r="S1180" s="37" t="n">
        <x:v>0</x:v>
      </x:c>
      <x:c r="T1180" s="37" t="n">
        <x:v>0</x:v>
      </x:c>
      <x:c r="U1180" s="37" t="n">
        <x:v>37500</x:v>
      </x:c>
      <x:c r="V1180" s="37" t="n">
        <x:v>0</x:v>
      </x:c>
      <x:c r="W1180" s="37" t="n">
        <x:v>27314.375396891497</x:v>
      </x:c>
      <x:c r="X1180" s="37" t="n">
        <x:v>0</x:v>
      </x:c>
      <x:c r="Y1180" s="37" t="n">
        <x:v>1712.5063178468959</x:v>
      </x:c>
      <x:c r="Z1180" s="37" t="n">
        <x:v>6571791.465006827</x:v>
      </x:c>
      <x:c r="AA1180" s="37" t="n">
        <x:v>0</x:v>
      </x:c>
      <x:c r="AB1180" s="37" t="n">
        <x:v>6571791.465006827</x:v>
      </x:c>
      <x:c r="AC1180" s="37" t="n">
        <x:v>1228517.946253825</x:v>
      </x:c>
      <x:c r="AD1180" s="37" t="n">
        <x:v>0</x:v>
      </x:c>
      <x:c r="AE1180" s="37" t="n">
        <x:v>0</x:v>
      </x:c>
      <x:c r="AF1180" s="47" t="b">
        <x:v>0</x:v>
      </x:c>
      <x:c r="AG1180" s="47" t="b">
        <x:v>0</x:v>
      </x:c>
      <x:c r="AH1180" s="48" t="n">
        <x:v>0</x:v>
      </x:c>
      <x:c r="AI1180" s="48" t="n">
        <x:v>5.960464477539063e-8</x:v>
      </x:c>
      <x:c r="AJ1180" s="37" t="str">
        <x:v>passed</x:v>
      </x:c>
    </x:row>
    <x:row r="1181" ht="21" customHeight="1">
      <x:c r="A1181" s="2"/>
      <x:c r="B1181" s="2"/>
      <x:c r="C1181" s="2" t="str">
        <x:v>2023</x:v>
      </x:c>
      <x:c r="D1181" s="5" t="n">
        <x:v>44993</x:v>
      </x:c>
      <x:c r="E1181" s="2" t="str">
        <x:v>unweighted</x:v>
      </x:c>
      <x:c r="F1181" s="37" t="n">
        <x:v>11227953.90358252</x:v>
      </x:c>
      <x:c r="G1181" s="37" t="n">
        <x:v>438743.93293669133</x:v>
      </x:c>
      <x:c r="H1181" s="37" t="n">
        <x:v>-17152.400550600905</x:v>
      </x:c>
      <x:c r="I1181" s="37" t="n">
        <x:v>455896.3334872922</x:v>
      </x:c>
      <x:c r="J1181" s="37" t="n">
        <x:v>10341495.10013466</x:v>
      </x:c>
      <x:c r="K1181" s="37" t="n">
        <x:v>9902751.167197969</x:v>
      </x:c>
      <x:c r="L1181" s="37" t="n">
        <x:v>11666697.836519212</x:v>
      </x:c>
      <x:c r="M1181" s="37" t="n">
        <x:v>0</x:v>
      </x:c>
      <x:c r="N1181" s="37" t="n">
        <x:v>0</x:v>
      </x:c>
      <x:c r="O1181" s="37" t="n">
        <x:v>615.1966414786875</x:v>
      </x:c>
      <x:c r="P1181" s="37" t="n">
        <x:v>0</x:v>
      </x:c>
      <x:c r="Q1181" s="37" t="n">
        <x:v>0</x:v>
      </x:c>
      <x:c r="R1181" s="37" t="n">
        <x:v>0</x:v>
      </x:c>
      <x:c r="S1181" s="37" t="n">
        <x:v>0</x:v>
      </x:c>
      <x:c r="T1181" s="37" t="n">
        <x:v>0</x:v>
      </x:c>
      <x:c r="U1181" s="37" t="n">
        <x:v>37500</x:v>
      </x:c>
      <x:c r="V1181" s="37" t="n">
        <x:v>0</x:v>
      </x:c>
      <x:c r="W1181" s="37" t="n">
        <x:v>38434.49548875913</x:v>
      </x:c>
      <x:c r="X1181" s="37" t="n">
        <x:v>0</x:v>
      </x:c>
      <x:c r="Y1181" s="37" t="n">
        <x:v>2048.100493389845</x:v>
      </x:c>
      <x:c r="Z1181" s="37" t="n">
        <x:v>10100806.190541929</x:v>
      </x:c>
      <x:c r="AA1181" s="37" t="n">
        <x:v>0</x:v>
      </x:c>
      <x:c r="AB1181" s="37" t="n">
        <x:v>10100806.190541929</x:v>
      </x:c>
      <x:c r="AC1181" s="37" t="n">
        <x:v>1127147.7130405921</x:v>
      </x:c>
      <x:c r="AD1181" s="37" t="n">
        <x:v>0</x:v>
      </x:c>
      <x:c r="AE1181" s="37" t="n">
        <x:v>0</x:v>
      </x:c>
      <x:c r="AF1181" s="47" t="b">
        <x:v>0</x:v>
      </x:c>
      <x:c r="AG1181" s="47" t="b">
        <x:v>0</x:v>
      </x:c>
      <x:c r="AH1181" s="48" t="n">
        <x:v>0</x:v>
      </x:c>
      <x:c r="AI1181" s="48" t="n">
        <x:v>1.1920928955078125e-7</x:v>
      </x:c>
      <x:c r="AJ1181" s="37" t="str">
        <x:v>passed</x:v>
      </x:c>
    </x:row>
    <x:row r="1182" ht="21" customHeight="1">
      <x:c r="A1182" s="2"/>
      <x:c r="B1182" s="2"/>
      <x:c r="C1182" s="2" t="str">
        <x:v>2023</x:v>
      </x:c>
      <x:c r="D1182" s="5" t="n">
        <x:v>44993</x:v>
      </x:c>
      <x:c r="E1182" s="2" t="str">
        <x:v>constrained</x:v>
      </x:c>
      <x:c r="F1182" s="37" t="n">
        <x:v>11777298.144877099</x:v>
      </x:c>
      <x:c r="G1182" s="37" t="n">
        <x:v>-108830.53765493339</x:v>
      </x:c>
      <x:c r="H1182" s="37" t="n">
        <x:v>-18402.413686044114</x:v>
      </x:c>
      <x:c r="I1182" s="37" t="n">
        <x:v>-90428.12396888927</x:v>
      </x:c>
      <x:c r="J1182" s="37" t="n">
        <x:v>10345732.396245185</x:v>
      </x:c>
      <x:c r="K1182" s="37" t="n">
        <x:v>10454562.933900118</x:v>
      </x:c>
      <x:c r="L1182" s="37" t="n">
        <x:v>11668467.607222166</x:v>
      </x:c>
      <x:c r="M1182" s="37" t="n">
        <x:v>0</x:v>
      </x:c>
      <x:c r="N1182" s="37" t="n">
        <x:v>0</x:v>
      </x:c>
      <x:c r="O1182" s="37" t="n">
        <x:v>645.2960465140641</x:v>
      </x:c>
      <x:c r="P1182" s="37" t="n">
        <x:v>0</x:v>
      </x:c>
      <x:c r="Q1182" s="37" t="n">
        <x:v>0</x:v>
      </x:c>
      <x:c r="R1182" s="37" t="n">
        <x:v>0</x:v>
      </x:c>
      <x:c r="S1182" s="37" t="n">
        <x:v>0</x:v>
      </x:c>
      <x:c r="T1182" s="37" t="n">
        <x:v>0</x:v>
      </x:c>
      <x:c r="U1182" s="37" t="n">
        <x:v>37500</x:v>
      </x:c>
      <x:c r="V1182" s="37" t="n">
        <x:v>0</x:v>
      </x:c>
      <x:c r="W1182" s="37" t="n">
        <x:v>40925.28100434877</x:v>
      </x:c>
      <x:c r="X1182" s="37" t="n">
        <x:v>0</x:v>
      </x:c>
      <x:c r="Y1182" s="37" t="n">
        <x:v>2112.850059992143</x:v>
      </x:c>
      <x:c r="Z1182" s="37" t="n">
        <x:v>10663654.19257812</x:v>
      </x:c>
      <x:c r="AA1182" s="37" t="n">
        <x:v>0</x:v>
      </x:c>
      <x:c r="AB1182" s="37" t="n">
        <x:v>10663654.19257812</x:v>
      </x:c>
      <x:c r="AC1182" s="37" t="n">
        <x:v>1113643.9522989783</x:v>
      </x:c>
      <x:c r="AD1182" s="37" t="n">
        <x:v>0</x:v>
      </x:c>
      <x:c r="AE1182" s="37" t="n">
        <x:v>0</x:v>
      </x:c>
      <x:c r="AF1182" s="47" t="b">
        <x:v>0</x:v>
      </x:c>
      <x:c r="AG1182" s="47" t="b">
        <x:v>0</x:v>
      </x:c>
      <x:c r="AH1182" s="48" t="n">
        <x:v>0</x:v>
      </x:c>
      <x:c r="AI1182" s="48" t="n">
        <x:v>1.1920928955078125e-7</x:v>
      </x:c>
      <x:c r="AJ1182" s="37" t="str">
        <x:v>passed</x:v>
      </x:c>
    </x:row>
    <x:row r="1183" ht="21" customHeight="1">
      <x:c r="A1183" s="2"/>
      <x:c r="B1183" s="2"/>
      <x:c r="C1183" s="2" t="str">
        <x:v>2023</x:v>
      </x:c>
      <x:c r="D1183" s="5" t="n">
        <x:v>44994</x:v>
      </x:c>
      <x:c r="E1183" s="2" t="str">
        <x:v>unhedged</x:v>
      </x:c>
      <x:c r="F1183" s="37" t="n">
        <x:v>1240780.1166283612</x:v>
      </x:c>
      <x:c r="G1183" s="37" t="n">
        <x:v>10337684.296028707</x:v>
      </x:c>
      <x:c r="H1183" s="37" t="n">
        <x:v>23266.574585635357</x:v>
      </x:c>
      <x:c r="I1183" s="37" t="n">
        <x:v>10314417.721443072</x:v>
      </x:c>
      <x:c r="J1183" s="37" t="n">
        <x:v>10337684.296028707</x:v>
      </x:c>
      <x:c r="K1183" s="37" t="n">
        <x:v>0</x:v>
      </x:c>
      <x:c r="L1183" s="37" t="n">
        <x:v>11578464.412657069</x:v>
      </x:c>
      <x:c r="M1183" s="37" t="n">
        <x:v>0</x:v>
      </x:c>
      <x:c r="N1183" s="37" t="n">
        <x:v>0</x:v>
      </x:c>
      <x:c r="O1183" s="37" t="n">
        <x:v>67.98422643309459</x:v>
      </x:c>
      <x:c r="P1183" s="37" t="n">
        <x:v>0</x:v>
      </x:c>
      <x:c r="Q1183" s="37" t="n">
        <x:v>0</x:v>
      </x:c>
      <x:c r="R1183" s="37" t="n">
        <x:v>0</x:v>
      </x:c>
      <x:c r="S1183" s="37" t="n">
        <x:v>0</x:v>
      </x:c>
      <x:c r="T1183" s="37" t="n">
        <x:v>0</x:v>
      </x:c>
      <x:c r="U1183" s="37" t="n">
        <x:v>37500</x:v>
      </x:c>
      <x:c r="V1183" s="37" t="n">
        <x:v>0</x:v>
      </x:c>
      <x:c r="W1183" s="37" t="n">
        <x:v>4322.985970483394</x:v>
      </x:c>
      <x:c r="X1183" s="37" t="n">
        <x:v>0</x:v>
      </x:c>
      <x:c r="Y1183" s="37" t="n">
        <x:v>1042.869342122179</x:v>
      </x:c>
      <x:c r="Z1183" s="37" t="n">
        <x:v>0</x:v>
      </x:c>
      <x:c r="AA1183" s="37" t="n">
        <x:v>0</x:v>
      </x:c>
      <x:c r="AB1183" s="37" t="n">
        <x:v>0</x:v>
      </x:c>
      <x:c r="AC1183" s="37" t="n">
        <x:v>1240780.1166283612</x:v>
      </x:c>
      <x:c r="AD1183" s="37" t="n">
        <x:v>0</x:v>
      </x:c>
      <x:c r="AE1183" s="37" t="n">
        <x:v>0</x:v>
      </x:c>
      <x:c r="AF1183" s="47" t="b">
        <x:v>0</x:v>
      </x:c>
      <x:c r="AG1183" s="47" t="b">
        <x:v>0</x:v>
      </x:c>
      <x:c r="AH1183" s="48" t="n">
        <x:v>0</x:v>
      </x:c>
      <x:c r="AI1183" s="48" t="n">
        <x:v>1.1920928955078125e-7</x:v>
      </x:c>
      <x:c r="AJ1183" s="37" t="str">
        <x:v>passed</x:v>
      </x:c>
    </x:row>
    <x:row r="1184" ht="21" customHeight="1">
      <x:c r="A1184" s="2"/>
      <x:c r="B1184" s="2"/>
      <x:c r="C1184" s="2" t="str">
        <x:v>2023</x:v>
      </x:c>
      <x:c r="D1184" s="5" t="n">
        <x:v>44994</x:v>
      </x:c>
      <x:c r="E1184" s="2" t="str">
        <x:v>duration</x:v>
      </x:c>
      <x:c r="F1184" s="37" t="n">
        <x:v>7800736.825474968</x:v>
      </x:c>
      <x:c r="G1184" s="37" t="n">
        <x:v>3859496.414749855</x:v>
      </x:c>
      <x:c r="H1184" s="37" t="n">
        <x:v>-11291.249473296486</x:v>
      </x:c>
      <x:c r="I1184" s="37" t="n">
        <x:v>3870787.6642231517</x:v>
      </x:c>
      <x:c r="J1184" s="37" t="n">
        <x:v>10337684.296028707</x:v>
      </x:c>
      <x:c r="K1184" s="37" t="n">
        <x:v>6478187.881278852</x:v>
      </x:c>
      <x:c r="L1184" s="37" t="n">
        <x:v>11660233.240224823</x:v>
      </x:c>
      <x:c r="M1184" s="37" t="n">
        <x:v>0</x:v>
      </x:c>
      <x:c r="N1184" s="37" t="n">
        <x:v>0</x:v>
      </x:c>
      <x:c r="O1184" s="37" t="n">
        <x:v>427.4142143158242</x:v>
      </x:c>
      <x:c r="P1184" s="37" t="n">
        <x:v>0</x:v>
      </x:c>
      <x:c r="Q1184" s="37" t="n">
        <x:v>0</x:v>
      </x:c>
      <x:c r="R1184" s="37" t="n">
        <x:v>0</x:v>
      </x:c>
      <x:c r="S1184" s="37" t="n">
        <x:v>0</x:v>
      </x:c>
      <x:c r="T1184" s="37" t="n">
        <x:v>0</x:v>
      </x:c>
      <x:c r="U1184" s="37" t="n">
        <x:v>37500</x:v>
      </x:c>
      <x:c r="V1184" s="37" t="n">
        <x:v>0</x:v>
      </x:c>
      <x:c r="W1184" s="37" t="n">
        <x:v>27741.78961120732</x:v>
      </x:c>
      <x:c r="X1184" s="37" t="n">
        <x:v>0</x:v>
      </x:c>
      <x:c r="Y1184" s="37" t="n">
        <x:v>1712.5063178468959</x:v>
      </x:c>
      <x:c r="Z1184" s="37" t="n">
        <x:v>6607751.638904429</x:v>
      </x:c>
      <x:c r="AA1184" s="37" t="n">
        <x:v>0</x:v>
      </x:c>
      <x:c r="AB1184" s="37" t="n">
        <x:v>6607751.638904429</x:v>
      </x:c>
      <x:c r="AC1184" s="37" t="n">
        <x:v>1192985.1865705391</x:v>
      </x:c>
      <x:c r="AD1184" s="37" t="n">
        <x:v>0</x:v>
      </x:c>
      <x:c r="AE1184" s="37" t="n">
        <x:v>0</x:v>
      </x:c>
      <x:c r="AF1184" s="47" t="b">
        <x:v>0</x:v>
      </x:c>
      <x:c r="AG1184" s="47" t="b">
        <x:v>0</x:v>
      </x:c>
      <x:c r="AH1184" s="48" t="n">
        <x:v>0</x:v>
      </x:c>
      <x:c r="AI1184" s="48" t="n">
        <x:v>5.960464477539063e-8</x:v>
      </x:c>
      <x:c r="AJ1184" s="37" t="str">
        <x:v>passed</x:v>
      </x:c>
    </x:row>
    <x:row r="1185" ht="21" customHeight="1">
      <x:c r="A1185" s="2"/>
      <x:c r="B1185" s="2"/>
      <x:c r="C1185" s="2" t="str">
        <x:v>2023</x:v>
      </x:c>
      <x:c r="D1185" s="5" t="n">
        <x:v>44994</x:v>
      </x:c>
      <x:c r="E1185" s="2" t="str">
        <x:v>unweighted</x:v>
      </x:c>
      <x:c r="F1185" s="37" t="n">
        <x:v>11228569.133933403</x:v>
      </x:c>
      <x:c r="G1185" s="37" t="n">
        <x:v>439838.9427399386</x:v>
      </x:c>
      <x:c r="H1185" s="37" t="n">
        <x:v>-17176.135368120747</x:v>
      </x:c>
      <x:c r="I1185" s="37" t="n">
        <x:v>457015.07810805936</x:v>
      </x:c>
      <x:c r="J1185" s="37" t="n">
        <x:v>10386431.30320031</x:v>
      </x:c>
      <x:c r="K1185" s="37" t="n">
        <x:v>9946592.36046037</x:v>
      </x:c>
      <x:c r="L1185" s="37" t="n">
        <x:v>11668408.076673342</x:v>
      </x:c>
      <x:c r="M1185" s="37" t="n">
        <x:v>0</x:v>
      </x:c>
      <x:c r="N1185" s="37" t="n">
        <x:v>0</x:v>
      </x:c>
      <x:c r="O1185" s="37" t="n">
        <x:v>615.230350881815</x:v>
      </x:c>
      <x:c r="P1185" s="37" t="n">
        <x:v>0</x:v>
      </x:c>
      <x:c r="Q1185" s="37" t="n">
        <x:v>0</x:v>
      </x:c>
      <x:c r="R1185" s="37" t="n">
        <x:v>0</x:v>
      </x:c>
      <x:c r="S1185" s="37" t="n">
        <x:v>0</x:v>
      </x:c>
      <x:c r="T1185" s="37" t="n">
        <x:v>0</x:v>
      </x:c>
      <x:c r="U1185" s="37" t="n">
        <x:v>37500</x:v>
      </x:c>
      <x:c r="V1185" s="37" t="n">
        <x:v>0</x:v>
      </x:c>
      <x:c r="W1185" s="37" t="n">
        <x:v>39049.725839640945</x:v>
      </x:c>
      <x:c r="X1185" s="37" t="n">
        <x:v>0</x:v>
      </x:c>
      <x:c r="Y1185" s="37" t="n">
        <x:v>2048.100493389845</x:v>
      </x:c>
      <x:c r="Z1185" s="37" t="n">
        <x:v>10145524.207669578</x:v>
      </x:c>
      <x:c r="AA1185" s="37" t="n">
        <x:v>0</x:v>
      </x:c>
      <x:c r="AB1185" s="37" t="n">
        <x:v>10145524.207669578</x:v>
      </x:c>
      <x:c r="AC1185" s="37" t="n">
        <x:v>1083044.926263824</x:v>
      </x:c>
      <x:c r="AD1185" s="37" t="n">
        <x:v>0</x:v>
      </x:c>
      <x:c r="AE1185" s="37" t="n">
        <x:v>0</x:v>
      </x:c>
      <x:c r="AF1185" s="47" t="b">
        <x:v>0</x:v>
      </x:c>
      <x:c r="AG1185" s="47" t="b">
        <x:v>0</x:v>
      </x:c>
      <x:c r="AH1185" s="48" t="n">
        <x:v>0</x:v>
      </x:c>
      <x:c r="AI1185" s="48" t="n">
        <x:v>1.1920928955078125e-7</x:v>
      </x:c>
      <x:c r="AJ1185" s="37" t="str">
        <x:v>passed</x:v>
      </x:c>
    </x:row>
    <x:row r="1186" ht="21" customHeight="1">
      <x:c r="A1186" s="2"/>
      <x:c r="B1186" s="2"/>
      <x:c r="C1186" s="2" t="str">
        <x:v>2023</x:v>
      </x:c>
      <x:c r="D1186" s="5" t="n">
        <x:v>44994</x:v>
      </x:c>
      <x:c r="E1186" s="2" t="str">
        <x:v>constrained</x:v>
      </x:c>
      <x:c r="F1186" s="37" t="n">
        <x:v>11777943.476282297</x:v>
      </x:c>
      <x:c r="G1186" s="37" t="n">
        <x:v>-108860.56421854257</x:v>
      </x:c>
      <x:c r="H1186" s="37" t="n">
        <x:v>-18438.80283776159</x:v>
      </x:c>
      <x:c r="I1186" s="37" t="n">
        <x:v>-90421.76138078098</x:v>
      </x:c>
      <x:c r="J1186" s="37" t="n">
        <x:v>10390679.663225416</x:v>
      </x:c>
      <x:c r="K1186" s="37" t="n">
        <x:v>10499540.227443958</x:v>
      </x:c>
      <x:c r="L1186" s="37" t="n">
        <x:v>11669082.912063753</x:v>
      </x:c>
      <x:c r="M1186" s="37" t="n">
        <x:v>0</x:v>
      </x:c>
      <x:c r="N1186" s="37" t="n">
        <x:v>0</x:v>
      </x:c>
      <x:c r="O1186" s="37" t="n">
        <x:v>645.3314051982015</x:v>
      </x:c>
      <x:c r="P1186" s="37" t="n">
        <x:v>0</x:v>
      </x:c>
      <x:c r="Q1186" s="37" t="n">
        <x:v>0</x:v>
      </x:c>
      <x:c r="R1186" s="37" t="n">
        <x:v>0</x:v>
      </x:c>
      <x:c r="S1186" s="37" t="n">
        <x:v>0</x:v>
      </x:c>
      <x:c r="T1186" s="37" t="n">
        <x:v>0</x:v>
      </x:c>
      <x:c r="U1186" s="37" t="n">
        <x:v>37500</x:v>
      </x:c>
      <x:c r="V1186" s="37" t="n">
        <x:v>0</x:v>
      </x:c>
      <x:c r="W1186" s="37" t="n">
        <x:v>41570.61240954697</x:v>
      </x:c>
      <x:c r="X1186" s="37" t="n">
        <x:v>0</x:v>
      </x:c>
      <x:c r="Y1186" s="37" t="n">
        <x:v>2112.850059992143</x:v>
      </x:c>
      <x:c r="Z1186" s="37" t="n">
        <x:v>10709531.031992838</x:v>
      </x:c>
      <x:c r="AA1186" s="37" t="n">
        <x:v>0</x:v>
      </x:c>
      <x:c r="AB1186" s="37" t="n">
        <x:v>10709531.031992838</x:v>
      </x:c>
      <x:c r="AC1186" s="37" t="n">
        <x:v>1068412.444289459</x:v>
      </x:c>
      <x:c r="AD1186" s="37" t="n">
        <x:v>0</x:v>
      </x:c>
      <x:c r="AE1186" s="37" t="n">
        <x:v>0</x:v>
      </x:c>
      <x:c r="AF1186" s="47" t="b">
        <x:v>0</x:v>
      </x:c>
      <x:c r="AG1186" s="47" t="b">
        <x:v>0</x:v>
      </x:c>
      <x:c r="AH1186" s="48" t="n">
        <x:v>0</x:v>
      </x:c>
      <x:c r="AI1186" s="48" t="n">
        <x:v>1.1920928955078125e-7</x:v>
      </x:c>
      <x:c r="AJ1186" s="37" t="str">
        <x:v>passed</x:v>
      </x:c>
    </x:row>
    <x:row r="1187" ht="21" customHeight="1">
      <x:c r="A1187" s="2"/>
      <x:c r="B1187" s="2"/>
      <x:c r="C1187" s="2" t="str">
        <x:v>2023</x:v>
      </x:c>
      <x:c r="D1187" s="5" t="n">
        <x:v>44995</x:v>
      </x:c>
      <x:c r="E1187" s="2" t="str">
        <x:v>unhedged</x:v>
      </x:c>
      <x:c r="F1187" s="37" t="n">
        <x:v>1240848.1045799574</x:v>
      </x:c>
      <x:c r="G1187" s="37" t="n">
        <x:v>10465385.044726525</x:v>
      </x:c>
      <x:c r="H1187" s="37" t="n">
        <x:v>23618.784530386743</x:v>
      </x:c>
      <x:c r="I1187" s="37" t="n">
        <x:v>10441766.260196138</x:v>
      </x:c>
      <x:c r="J1187" s="37" t="n">
        <x:v>10465385.044726525</x:v>
      </x:c>
      <x:c r="K1187" s="37" t="n">
        <x:v>0</x:v>
      </x:c>
      <x:c r="L1187" s="37" t="n">
        <x:v>11706233.149306482</x:v>
      </x:c>
      <x:c r="M1187" s="37" t="n">
        <x:v>0</x:v>
      </x:c>
      <x:c r="N1187" s="37" t="n">
        <x:v>0</x:v>
      </x:c>
      <x:c r="O1187" s="37" t="n">
        <x:v>67.98795159626752</x:v>
      </x:c>
      <x:c r="P1187" s="37" t="n">
        <x:v>0</x:v>
      </x:c>
      <x:c r="Q1187" s="37" t="n">
        <x:v>0</x:v>
      </x:c>
      <x:c r="R1187" s="37" t="n">
        <x:v>0</x:v>
      </x:c>
      <x:c r="S1187" s="37" t="n">
        <x:v>0</x:v>
      </x:c>
      <x:c r="T1187" s="37" t="n">
        <x:v>0</x:v>
      </x:c>
      <x:c r="U1187" s="37" t="n">
        <x:v>37500</x:v>
      </x:c>
      <x:c r="V1187" s="37" t="n">
        <x:v>0</x:v>
      </x:c>
      <x:c r="W1187" s="37" t="n">
        <x:v>4390.973922079662</x:v>
      </x:c>
      <x:c r="X1187" s="37" t="n">
        <x:v>0</x:v>
      </x:c>
      <x:c r="Y1187" s="37" t="n">
        <x:v>1042.869342122179</x:v>
      </x:c>
      <x:c r="Z1187" s="37" t="n">
        <x:v>0</x:v>
      </x:c>
      <x:c r="AA1187" s="37" t="n">
        <x:v>0</x:v>
      </x:c>
      <x:c r="AB1187" s="37" t="n">
        <x:v>0</x:v>
      </x:c>
      <x:c r="AC1187" s="37" t="n">
        <x:v>1240848.1045799574</x:v>
      </x:c>
      <x:c r="AD1187" s="37" t="n">
        <x:v>0</x:v>
      </x:c>
      <x:c r="AE1187" s="37" t="n">
        <x:v>0</x:v>
      </x:c>
      <x:c r="AF1187" s="47" t="b">
        <x:v>0</x:v>
      </x:c>
      <x:c r="AG1187" s="47" t="b">
        <x:v>0</x:v>
      </x:c>
      <x:c r="AH1187" s="48" t="n">
        <x:v>0</x:v>
      </x:c>
      <x:c r="AI1187" s="48" t="n">
        <x:v>1.1920928955078125e-7</x:v>
      </x:c>
      <x:c r="AJ1187" s="37" t="str">
        <x:v>passed</x:v>
      </x:c>
    </x:row>
    <x:row r="1188" ht="21" customHeight="1">
      <x:c r="A1188" s="2"/>
      <x:c r="B1188" s="2"/>
      <x:c r="C1188" s="2" t="str">
        <x:v>2023</x:v>
      </x:c>
      <x:c r="D1188" s="5" t="n">
        <x:v>44995</x:v>
      </x:c>
      <x:c r="E1188" s="2" t="str">
        <x:v>duration</x:v>
      </x:c>
      <x:c r="F1188" s="37" t="n">
        <x:v>7801164.26310924</x:v>
      </x:c>
      <x:c r="G1188" s="37" t="n">
        <x:v>3859483.398135379</x:v>
      </x:c>
      <x:c r="H1188" s="37" t="n">
        <x:v>-11242.178336079598</x:v>
      </x:c>
      <x:c r="I1188" s="37" t="n">
        <x:v>3870725.5764714587</x:v>
      </x:c>
      <x:c r="J1188" s="37" t="n">
        <x:v>10465385.044726525</x:v>
      </x:c>
      <x:c r="K1188" s="37" t="n">
        <x:v>6605901.6465911465</x:v>
      </x:c>
      <x:c r="L1188" s="37" t="n">
        <x:v>11660647.66124462</x:v>
      </x:c>
      <x:c r="M1188" s="37" t="n">
        <x:v>0</x:v>
      </x:c>
      <x:c r="N1188" s="37" t="n">
        <x:v>0</x:v>
      </x:c>
      <x:c r="O1188" s="37" t="n">
        <x:v>427.43763427156955</x:v>
      </x:c>
      <x:c r="P1188" s="37" t="n">
        <x:v>0</x:v>
      </x:c>
      <x:c r="Q1188" s="37" t="n">
        <x:v>0</x:v>
      </x:c>
      <x:c r="R1188" s="37" t="n">
        <x:v>0</x:v>
      </x:c>
      <x:c r="S1188" s="37" t="n">
        <x:v>0</x:v>
      </x:c>
      <x:c r="T1188" s="37" t="n">
        <x:v>0</x:v>
      </x:c>
      <x:c r="U1188" s="37" t="n">
        <x:v>37500</x:v>
      </x:c>
      <x:c r="V1188" s="37" t="n">
        <x:v>0</x:v>
      </x:c>
      <x:c r="W1188" s="37" t="n">
        <x:v>28169.22724547889</x:v>
      </x:c>
      <x:c r="X1188" s="37" t="n">
        <x:v>0</x:v>
      </x:c>
      <x:c r="Y1188" s="37" t="n">
        <x:v>1712.5063178468959</x:v>
      </x:c>
      <x:c r="Z1188" s="37" t="n">
        <x:v>6738019.67952297</x:v>
      </x:c>
      <x:c r="AA1188" s="37" t="n">
        <x:v>0</x:v>
      </x:c>
      <x:c r="AB1188" s="37" t="n">
        <x:v>6738019.67952297</x:v>
      </x:c>
      <x:c r="AC1188" s="37" t="n">
        <x:v>1063144.58358627</x:v>
      </x:c>
      <x:c r="AD1188" s="37" t="n">
        <x:v>0</x:v>
      </x:c>
      <x:c r="AE1188" s="37" t="n">
        <x:v>0</x:v>
      </x:c>
      <x:c r="AF1188" s="47" t="b">
        <x:v>0</x:v>
      </x:c>
      <x:c r="AG1188" s="47" t="b">
        <x:v>0</x:v>
      </x:c>
      <x:c r="AH1188" s="48" t="n">
        <x:v>0</x:v>
      </x:c>
      <x:c r="AI1188" s="48" t="n">
        <x:v>5.960464477539063e-8</x:v>
      </x:c>
      <x:c r="AJ1188" s="37" t="str">
        <x:v>passed</x:v>
      </x:c>
    </x:row>
    <x:row r="1189" ht="21" customHeight="1">
      <x:c r="A1189" s="2"/>
      <x:c r="B1189" s="2"/>
      <x:c r="C1189" s="2" t="str">
        <x:v>2023</x:v>
      </x:c>
      <x:c r="D1189" s="5" t="n">
        <x:v>44995</x:v>
      </x:c>
      <x:c r="E1189" s="2" t="str">
        <x:v>unweighted</x:v>
      </x:c>
      <x:c r="F1189" s="37" t="n">
        <x:v>11229184.397995535</x:v>
      </x:c>
      <x:c r="G1189" s="37" t="n">
        <x:v>442021.33498747833</x:v>
      </x:c>
      <x:c r="H1189" s="37" t="n">
        <x:v>-17199.87018564059</x:v>
      </x:c>
      <x:c r="I1189" s="37" t="n">
        <x:v>459221.2051731189</x:v>
      </x:c>
      <x:c r="J1189" s="37" t="n">
        <x:v>10515696.451561127</x:v>
      </x:c>
      <x:c r="K1189" s="37" t="n">
        <x:v>10073675.116573649</x:v>
      </x:c>
      <x:c r="L1189" s="37" t="n">
        <x:v>11671205.732983014</x:v>
      </x:c>
      <x:c r="M1189" s="37" t="n">
        <x:v>0</x:v>
      </x:c>
      <x:c r="N1189" s="37" t="n">
        <x:v>0</x:v>
      </x:c>
      <x:c r="O1189" s="37" t="n">
        <x:v>615.2640621326864</x:v>
      </x:c>
      <x:c r="P1189" s="37" t="n">
        <x:v>0</x:v>
      </x:c>
      <x:c r="Q1189" s="37" t="n">
        <x:v>0</x:v>
      </x:c>
      <x:c r="R1189" s="37" t="n">
        <x:v>0</x:v>
      </x:c>
      <x:c r="S1189" s="37" t="n">
        <x:v>0</x:v>
      </x:c>
      <x:c r="T1189" s="37" t="n">
        <x:v>0</x:v>
      </x:c>
      <x:c r="U1189" s="37" t="n">
        <x:v>37500</x:v>
      </x:c>
      <x:c r="V1189" s="37" t="n">
        <x:v>0</x:v>
      </x:c>
      <x:c r="W1189" s="37" t="n">
        <x:v>39664.98990177363</x:v>
      </x:c>
      <x:c r="X1189" s="37" t="n">
        <x:v>0</x:v>
      </x:c>
      <x:c r="Y1189" s="37" t="n">
        <x:v>2048.100493389845</x:v>
      </x:c>
      <x:c r="Z1189" s="37" t="n">
        <x:v>10275148.618905121</x:v>
      </x:c>
      <x:c r="AA1189" s="37" t="n">
        <x:v>0</x:v>
      </x:c>
      <x:c r="AB1189" s="37" t="n">
        <x:v>10275148.618905121</x:v>
      </x:c>
      <x:c r="AC1189" s="37" t="n">
        <x:v>954035.7790904138</x:v>
      </x:c>
      <x:c r="AD1189" s="37" t="n">
        <x:v>0</x:v>
      </x:c>
      <x:c r="AE1189" s="37" t="n">
        <x:v>0</x:v>
      </x:c>
      <x:c r="AF1189" s="47" t="b">
        <x:v>0</x:v>
      </x:c>
      <x:c r="AG1189" s="47" t="b">
        <x:v>0</x:v>
      </x:c>
      <x:c r="AH1189" s="48" t="n">
        <x:v>0</x:v>
      </x:c>
      <x:c r="AI1189" s="48" t="n">
        <x:v>1.1920928955078125e-7</x:v>
      </x:c>
      <x:c r="AJ1189" s="37" t="str">
        <x:v>passed</x:v>
      </x:c>
    </x:row>
    <x:row r="1190" ht="21" customHeight="1">
      <x:c r="A1190" s="2"/>
      <x:c r="B1190" s="2"/>
      <x:c r="C1190" s="2" t="str">
        <x:v>2023</x:v>
      </x:c>
      <x:c r="D1190" s="5" t="n">
        <x:v>44995</x:v>
      </x:c>
      <x:c r="E1190" s="2" t="str">
        <x:v>constrained</x:v>
      </x:c>
      <x:c r="F1190" s="37" t="n">
        <x:v>11778588.84304812</x:v>
      </x:c>
      <x:c r="G1190" s="37" t="n">
        <x:v>-109087.62692340199</x:v>
      </x:c>
      <x:c r="H1190" s="37" t="n">
        <x:v>-18475.191989479063</x:v>
      </x:c>
      <x:c r="I1190" s="37" t="n">
        <x:v>-90612.43493392292</x:v>
      </x:c>
      <x:c r="J1190" s="37" t="n">
        <x:v>10520079.895371454</x:v>
      </x:c>
      <x:c r="K1190" s="37" t="n">
        <x:v>10629167.522294857</x:v>
      </x:c>
      <x:c r="L1190" s="37" t="n">
        <x:v>11669501.216124717</x:v>
      </x:c>
      <x:c r="M1190" s="37" t="n">
        <x:v>0</x:v>
      </x:c>
      <x:c r="N1190" s="37" t="n">
        <x:v>0</x:v>
      </x:c>
      <x:c r="O1190" s="37" t="n">
        <x:v>645.3667658232152</x:v>
      </x:c>
      <x:c r="P1190" s="37" t="n">
        <x:v>0</x:v>
      </x:c>
      <x:c r="Q1190" s="37" t="n">
        <x:v>0</x:v>
      </x:c>
      <x:c r="R1190" s="37" t="n">
        <x:v>0</x:v>
      </x:c>
      <x:c r="S1190" s="37" t="n">
        <x:v>0</x:v>
      </x:c>
      <x:c r="T1190" s="37" t="n">
        <x:v>0</x:v>
      </x:c>
      <x:c r="U1190" s="37" t="n">
        <x:v>37500</x:v>
      </x:c>
      <x:c r="V1190" s="37" t="n">
        <x:v>0</x:v>
      </x:c>
      <x:c r="W1190" s="37" t="n">
        <x:v>42215.97917537019</x:v>
      </x:c>
      <x:c r="X1190" s="37" t="n">
        <x:v>0</x:v>
      </x:c>
      <x:c r="Y1190" s="37" t="n">
        <x:v>2112.850059992143</x:v>
      </x:c>
      <x:c r="Z1190" s="37" t="n">
        <x:v>10841750.872740755</x:v>
      </x:c>
      <x:c r="AA1190" s="37" t="n">
        <x:v>0</x:v>
      </x:c>
      <x:c r="AB1190" s="37" t="n">
        <x:v>10841750.872740755</x:v>
      </x:c>
      <x:c r="AC1190" s="37" t="n">
        <x:v>936837.9703073651</x:v>
      </x:c>
      <x:c r="AD1190" s="37" t="n">
        <x:v>0</x:v>
      </x:c>
      <x:c r="AE1190" s="37" t="n">
        <x:v>0</x:v>
      </x:c>
      <x:c r="AF1190" s="47" t="b">
        <x:v>0</x:v>
      </x:c>
      <x:c r="AG1190" s="47" t="b">
        <x:v>0</x:v>
      </x:c>
      <x:c r="AH1190" s="48" t="n">
        <x:v>0</x:v>
      </x:c>
      <x:c r="AI1190" s="48" t="n">
        <x:v>1.1920928955078125e-7</x:v>
      </x:c>
      <x:c r="AJ1190" s="37" t="str">
        <x:v>passed</x:v>
      </x:c>
    </x:row>
    <x:row r="1191" ht="21" customHeight="1">
      <x:c r="A1191" s="2"/>
      <x:c r="B1191" s="2"/>
      <x:c r="C1191" s="2" t="str">
        <x:v>2023</x:v>
      </x:c>
      <x:c r="D1191" s="5" t="n">
        <x:v>44998</x:v>
      </x:c>
      <x:c r="E1191" s="2" t="str">
        <x:v>unhedged</x:v>
      </x:c>
      <x:c r="F1191" s="37" t="n">
        <x:v>1241052.0907877658</x:v>
      </x:c>
      <x:c r="G1191" s="37" t="n">
        <x:v>10585095.910671629</x:v>
      </x:c>
      <x:c r="H1191" s="37" t="n">
        <x:v>24675.414364640885</x:v>
      </x:c>
      <x:c r="I1191" s="37" t="n">
        <x:v>10560420.496306987</x:v>
      </x:c>
      <x:c r="J1191" s="37" t="n">
        <x:v>10585095.910671629</x:v>
      </x:c>
      <x:c r="K1191" s="37" t="n">
        <x:v>0</x:v>
      </x:c>
      <x:c r="L1191" s="37" t="n">
        <x:v>11826148.001459396</x:v>
      </x:c>
      <x:c r="M1191" s="37" t="n">
        <x:v>0</x:v>
      </x:c>
      <x:c r="N1191" s="37" t="n">
        <x:v>0</x:v>
      </x:c>
      <x:c r="O1191" s="37" t="n">
        <x:v>203.9862078083679</x:v>
      </x:c>
      <x:c r="P1191" s="37" t="n">
        <x:v>0</x:v>
      </x:c>
      <x:c r="Q1191" s="37" t="n">
        <x:v>0</x:v>
      </x:c>
      <x:c r="R1191" s="37" t="n">
        <x:v>0</x:v>
      </x:c>
      <x:c r="S1191" s="37" t="n">
        <x:v>0</x:v>
      </x:c>
      <x:c r="T1191" s="37" t="n">
        <x:v>0</x:v>
      </x:c>
      <x:c r="U1191" s="37" t="n">
        <x:v>37500</x:v>
      </x:c>
      <x:c r="V1191" s="37" t="n">
        <x:v>0</x:v>
      </x:c>
      <x:c r="W1191" s="37" t="n">
        <x:v>4594.96012988803</x:v>
      </x:c>
      <x:c r="X1191" s="37" t="n">
        <x:v>0</x:v>
      </x:c>
      <x:c r="Y1191" s="37" t="n">
        <x:v>1042.869342122179</x:v>
      </x:c>
      <x:c r="Z1191" s="37" t="n">
        <x:v>0</x:v>
      </x:c>
      <x:c r="AA1191" s="37" t="n">
        <x:v>0</x:v>
      </x:c>
      <x:c r="AB1191" s="37" t="n">
        <x:v>0</x:v>
      </x:c>
      <x:c r="AC1191" s="37" t="n">
        <x:v>1241052.0907877658</x:v>
      </x:c>
      <x:c r="AD1191" s="37" t="n">
        <x:v>0</x:v>
      </x:c>
      <x:c r="AE1191" s="37" t="n">
        <x:v>0</x:v>
      </x:c>
      <x:c r="AF1191" s="47" t="b">
        <x:v>0</x:v>
      </x:c>
      <x:c r="AG1191" s="47" t="b">
        <x:v>0</x:v>
      </x:c>
      <x:c r="AH1191" s="48" t="n">
        <x:v>0</x:v>
      </x:c>
      <x:c r="AI1191" s="48" t="n">
        <x:v>1.1920928955078125e-7</x:v>
      </x:c>
      <x:c r="AJ1191" s="37" t="str">
        <x:v>passed</x:v>
      </x:c>
    </x:row>
    <x:row r="1192" ht="21" customHeight="1">
      <x:c r="A1192" s="2"/>
      <x:c r="B1192" s="2"/>
      <x:c r="C1192" s="2" t="str">
        <x:v>2023</x:v>
      </x:c>
      <x:c r="D1192" s="5" t="n">
        <x:v>44998</x:v>
      </x:c>
      <x:c r="E1192" s="2" t="str">
        <x:v>duration</x:v>
      </x:c>
      <x:c r="F1192" s="37" t="n">
        <x:v>7802446.716544635</x:v>
      </x:c>
      <x:c r="G1192" s="37" t="n">
        <x:v>3890836.475416485</x:v>
      </x:c>
      <x:c r="H1192" s="37" t="n">
        <x:v>-11094.96492442892</x:v>
      </x:c>
      <x:c r="I1192" s="37" t="n">
        <x:v>3901931.4403409143</x:v>
      </x:c>
      <x:c r="J1192" s="37" t="n">
        <x:v>10585095.910671629</x:v>
      </x:c>
      <x:c r="K1192" s="37" t="n">
        <x:v>6694259.435255144</x:v>
      </x:c>
      <x:c r="L1192" s="37" t="n">
        <x:v>11693283.19196112</x:v>
      </x:c>
      <x:c r="M1192" s="37" t="n">
        <x:v>0</x:v>
      </x:c>
      <x:c r="N1192" s="37" t="n">
        <x:v>0</x:v>
      </x:c>
      <x:c r="O1192" s="37" t="n">
        <x:v>1282.453435394913</x:v>
      </x:c>
      <x:c r="P1192" s="37" t="n">
        <x:v>0</x:v>
      </x:c>
      <x:c r="Q1192" s="37" t="n">
        <x:v>0</x:v>
      </x:c>
      <x:c r="R1192" s="37" t="n">
        <x:v>0</x:v>
      </x:c>
      <x:c r="S1192" s="37" t="n">
        <x:v>0</x:v>
      </x:c>
      <x:c r="T1192" s="37" t="n">
        <x:v>0</x:v>
      </x:c>
      <x:c r="U1192" s="37" t="n">
        <x:v>37500</x:v>
      </x:c>
      <x:c r="V1192" s="37" t="n">
        <x:v>0</x:v>
      </x:c>
      <x:c r="W1192" s="37" t="n">
        <x:v>29451.680680873804</x:v>
      </x:c>
      <x:c r="X1192" s="37" t="n">
        <x:v>0</x:v>
      </x:c>
      <x:c r="Y1192" s="37" t="n">
        <x:v>1712.5063178468959</x:v>
      </x:c>
      <x:c r="Z1192" s="37" t="n">
        <x:v>6828144.623960246</x:v>
      </x:c>
      <x:c r="AA1192" s="37" t="n">
        <x:v>0</x:v>
      </x:c>
      <x:c r="AB1192" s="37" t="n">
        <x:v>6828144.623960246</x:v>
      </x:c>
      <x:c r="AC1192" s="37" t="n">
        <x:v>974302.0925843883</x:v>
      </x:c>
      <x:c r="AD1192" s="37" t="n">
        <x:v>0</x:v>
      </x:c>
      <x:c r="AE1192" s="37" t="n">
        <x:v>0</x:v>
      </x:c>
      <x:c r="AF1192" s="47" t="b">
        <x:v>0</x:v>
      </x:c>
      <x:c r="AG1192" s="47" t="b">
        <x:v>0</x:v>
      </x:c>
      <x:c r="AH1192" s="48" t="n">
        <x:v>0</x:v>
      </x:c>
      <x:c r="AI1192" s="48" t="n">
        <x:v>5.960464477539063e-8</x:v>
      </x:c>
      <x:c r="AJ1192" s="37" t="str">
        <x:v>passed</x:v>
      </x:c>
    </x:row>
    <x:row r="1193" ht="21" customHeight="1">
      <x:c r="A1193" s="2"/>
      <x:c r="B1193" s="2"/>
      <x:c r="C1193" s="2" t="str">
        <x:v>2023</x:v>
      </x:c>
      <x:c r="D1193" s="5" t="n">
        <x:v>44998</x:v>
      </x:c>
      <x:c r="E1193" s="2" t="str">
        <x:v>unweighted</x:v>
      </x:c>
      <x:c r="F1193" s="37" t="n">
        <x:v>11231030.392467922</x:v>
      </x:c>
      <x:c r="G1193" s="37" t="n">
        <x:v>444723.53479852626</x:v>
      </x:c>
      <x:c r="H1193" s="37" t="n">
        <x:v>-17271.07463820012</x:v>
      </x:c>
      <x:c r="I1193" s="37" t="n">
        <x:v>461994.6094367264</x:v>
      </x:c>
      <x:c r="J1193" s="37" t="n">
        <x:v>10635750.997533847</x:v>
      </x:c>
      <x:c r="K1193" s="37" t="n">
        <x:v>10191027.46273532</x:v>
      </x:c>
      <x:c r="L1193" s="37" t="n">
        <x:v>11675753.927266449</x:v>
      </x:c>
      <x:c r="M1193" s="37" t="n">
        <x:v>0</x:v>
      </x:c>
      <x:c r="N1193" s="37" t="n">
        <x:v>0</x:v>
      </x:c>
      <x:c r="O1193" s="37" t="n">
        <x:v>1845.9944723863155</x:v>
      </x:c>
      <x:c r="P1193" s="37" t="n">
        <x:v>0</x:v>
      </x:c>
      <x:c r="Q1193" s="37" t="n">
        <x:v>0</x:v>
      </x:c>
      <x:c r="R1193" s="37" t="n">
        <x:v>0</x:v>
      </x:c>
      <x:c r="S1193" s="37" t="n">
        <x:v>0</x:v>
      </x:c>
      <x:c r="T1193" s="37" t="n">
        <x:v>0</x:v>
      </x:c>
      <x:c r="U1193" s="37" t="n">
        <x:v>37500</x:v>
      </x:c>
      <x:c r="V1193" s="37" t="n">
        <x:v>0</x:v>
      </x:c>
      <x:c r="W1193" s="37" t="n">
        <x:v>41510.98437415995</x:v>
      </x:c>
      <x:c r="X1193" s="37" t="n">
        <x:v>0</x:v>
      </x:c>
      <x:c r="Y1193" s="37" t="n">
        <x:v>2048.100493389845</x:v>
      </x:c>
      <x:c r="Z1193" s="37" t="n">
        <x:v>10394848.011990026</x:v>
      </x:c>
      <x:c r="AA1193" s="37" t="n">
        <x:v>0</x:v>
      </x:c>
      <x:c r="AB1193" s="37" t="n">
        <x:v>10394848.011990026</x:v>
      </x:c>
      <x:c r="AC1193" s="37" t="n">
        <x:v>836182.380477896</x:v>
      </x:c>
      <x:c r="AD1193" s="37" t="n">
        <x:v>0</x:v>
      </x:c>
      <x:c r="AE1193" s="37" t="n">
        <x:v>0</x:v>
      </x:c>
      <x:c r="AF1193" s="47" t="b">
        <x:v>0</x:v>
      </x:c>
      <x:c r="AG1193" s="47" t="b">
        <x:v>0</x:v>
      </x:c>
      <x:c r="AH1193" s="48" t="n">
        <x:v>0</x:v>
      </x:c>
      <x:c r="AI1193" s="48" t="n">
        <x:v>1.1920928955078125e-7</x:v>
      </x:c>
      <x:c r="AJ1193" s="37" t="str">
        <x:v>passed</x:v>
      </x:c>
    </x:row>
    <x:row r="1194" ht="21" customHeight="1">
      <x:c r="A1194" s="2"/>
      <x:c r="B1194" s="2"/>
      <x:c r="C1194" s="2" t="str">
        <x:v>2023</x:v>
      </x:c>
      <x:c r="D1194" s="5" t="n">
        <x:v>44998</x:v>
      </x:c>
      <x:c r="E1194" s="2" t="str">
        <x:v>constrained</x:v>
      </x:c>
      <x:c r="F1194" s="37" t="n">
        <x:v>11780525.15552872</x:v>
      </x:c>
      <x:c r="G1194" s="37" t="n">
        <x:v>-110356.98608725627</x:v>
      </x:c>
      <x:c r="H1194" s="37" t="n">
        <x:v>-18584.359444631482</x:v>
      </x:c>
      <x:c r="I1194" s="37" t="n">
        <x:v>-91772.62664262479</x:v>
      </x:c>
      <x:c r="J1194" s="37" t="n">
        <x:v>10640165.421750022</x:v>
      </x:c>
      <x:c r="K1194" s="37" t="n">
        <x:v>10750522.40783728</x:v>
      </x:c>
      <x:c r="L1194" s="37" t="n">
        <x:v>11670168.169441463</x:v>
      </x:c>
      <x:c r="M1194" s="37" t="n">
        <x:v>0</x:v>
      </x:c>
      <x:c r="N1194" s="37" t="n">
        <x:v>0</x:v>
      </x:c>
      <x:c r="O1194" s="37" t="n">
        <x:v>1936.3124806005508</x:v>
      </x:c>
      <x:c r="P1194" s="37" t="n">
        <x:v>0</x:v>
      </x:c>
      <x:c r="Q1194" s="37" t="n">
        <x:v>0</x:v>
      </x:c>
      <x:c r="R1194" s="37" t="n">
        <x:v>0</x:v>
      </x:c>
      <x:c r="S1194" s="37" t="n">
        <x:v>0</x:v>
      </x:c>
      <x:c r="T1194" s="37" t="n">
        <x:v>0</x:v>
      </x:c>
      <x:c r="U1194" s="37" t="n">
        <x:v>37500</x:v>
      </x:c>
      <x:c r="V1194" s="37" t="n">
        <x:v>0</x:v>
      </x:c>
      <x:c r="W1194" s="37" t="n">
        <x:v>44152.29165597074</x:v>
      </x:c>
      <x:c r="X1194" s="37" t="n">
        <x:v>0</x:v>
      </x:c>
      <x:c r="Y1194" s="37" t="n">
        <x:v>2112.850059992143</x:v>
      </x:c>
      <x:c r="Z1194" s="37" t="n">
        <x:v>10965532.855994025</x:v>
      </x:c>
      <x:c r="AA1194" s="37" t="n">
        <x:v>0</x:v>
      </x:c>
      <x:c r="AB1194" s="37" t="n">
        <x:v>10965532.855994025</x:v>
      </x:c>
      <x:c r="AC1194" s="37" t="n">
        <x:v>814992.2995346952</x:v>
      </x:c>
      <x:c r="AD1194" s="37" t="n">
        <x:v>0</x:v>
      </x:c>
      <x:c r="AE1194" s="37" t="n">
        <x:v>0</x:v>
      </x:c>
      <x:c r="AF1194" s="47" t="b">
        <x:v>0</x:v>
      </x:c>
      <x:c r="AG1194" s="47" t="b">
        <x:v>0</x:v>
      </x:c>
      <x:c r="AH1194" s="48" t="n">
        <x:v>0</x:v>
      </x:c>
      <x:c r="AI1194" s="48" t="n">
        <x:v>1.1920928955078125e-7</x:v>
      </x:c>
      <x:c r="AJ1194" s="37" t="str">
        <x:v>passed</x:v>
      </x:c>
    </x:row>
    <x:row r="1195" ht="21" customHeight="1">
      <x:c r="A1195" s="2"/>
      <x:c r="B1195" s="2"/>
      <x:c r="C1195" s="2" t="str">
        <x:v>2023</x:v>
      </x:c>
      <x:c r="D1195" s="5" t="n">
        <x:v>44999</x:v>
      </x:c>
      <x:c r="E1195" s="2" t="str">
        <x:v>unhedged</x:v>
      </x:c>
      <x:c r="F1195" s="37" t="n">
        <x:v>1241120.0936420555</x:v>
      </x:c>
      <x:c r="G1195" s="37" t="n">
        <x:v>10538059.157232711</x:v>
      </x:c>
      <x:c r="H1195" s="37" t="n">
        <x:v>25027.624309392264</x:v>
      </x:c>
      <x:c r="I1195" s="37" t="n">
        <x:v>10513031.532923318</x:v>
      </x:c>
      <x:c r="J1195" s="37" t="n">
        <x:v>10538059.157232711</x:v>
      </x:c>
      <x:c r="K1195" s="37" t="n">
        <x:v>0</x:v>
      </x:c>
      <x:c r="L1195" s="37" t="n">
        <x:v>11779179.250874767</x:v>
      </x:c>
      <x:c r="M1195" s="37" t="n">
        <x:v>0</x:v>
      </x:c>
      <x:c r="N1195" s="37" t="n">
        <x:v>0</x:v>
      </x:c>
      <x:c r="O1195" s="37" t="n">
        <x:v>68.00285428971983</x:v>
      </x:c>
      <x:c r="P1195" s="37" t="n">
        <x:v>0</x:v>
      </x:c>
      <x:c r="Q1195" s="37" t="n">
        <x:v>0</x:v>
      </x:c>
      <x:c r="R1195" s="37" t="n">
        <x:v>0</x:v>
      </x:c>
      <x:c r="S1195" s="37" t="n">
        <x:v>0</x:v>
      </x:c>
      <x:c r="T1195" s="37" t="n">
        <x:v>0</x:v>
      </x:c>
      <x:c r="U1195" s="37" t="n">
        <x:v>37500</x:v>
      </x:c>
      <x:c r="V1195" s="37" t="n">
        <x:v>0</x:v>
      </x:c>
      <x:c r="W1195" s="37" t="n">
        <x:v>4662.96298417775</x:v>
      </x:c>
      <x:c r="X1195" s="37" t="n">
        <x:v>0</x:v>
      </x:c>
      <x:c r="Y1195" s="37" t="n">
        <x:v>1042.869342122179</x:v>
      </x:c>
      <x:c r="Z1195" s="37" t="n">
        <x:v>0</x:v>
      </x:c>
      <x:c r="AA1195" s="37" t="n">
        <x:v>0</x:v>
      </x:c>
      <x:c r="AB1195" s="37" t="n">
        <x:v>0</x:v>
      </x:c>
      <x:c r="AC1195" s="37" t="n">
        <x:v>1241120.0936420555</x:v>
      </x:c>
      <x:c r="AD1195" s="37" t="n">
        <x:v>0</x:v>
      </x:c>
      <x:c r="AE1195" s="37" t="n">
        <x:v>0</x:v>
      </x:c>
      <x:c r="AF1195" s="47" t="b">
        <x:v>0</x:v>
      </x:c>
      <x:c r="AG1195" s="47" t="b">
        <x:v>0</x:v>
      </x:c>
      <x:c r="AH1195" s="48" t="n">
        <x:v>0</x:v>
      </x:c>
      <x:c r="AI1195" s="48" t="n">
        <x:v>1.1920928955078125e-7</x:v>
      </x:c>
      <x:c r="AJ1195" s="37" t="str">
        <x:v>passed</x:v>
      </x:c>
    </x:row>
    <x:row r="1196" ht="21" customHeight="1">
      <x:c r="A1196" s="2"/>
      <x:c r="B1196" s="2"/>
      <x:c r="C1196" s="2" t="str">
        <x:v>2023</x:v>
      </x:c>
      <x:c r="D1196" s="5" t="n">
        <x:v>44999</x:v>
      </x:c>
      <x:c r="E1196" s="2" t="str">
        <x:v>duration</x:v>
      </x:c>
      <x:c r="F1196" s="37" t="n">
        <x:v>7802874.247871569</x:v>
      </x:c>
      <x:c r="G1196" s="37" t="n">
        <x:v>3882224.3798913993</x:v>
      </x:c>
      <x:c r="H1196" s="37" t="n">
        <x:v>-11045.893787212033</x:v>
      </x:c>
      <x:c r="I1196" s="37" t="n">
        <x:v>3893270.2736786115</x:v>
      </x:c>
      <x:c r="J1196" s="37" t="n">
        <x:v>10538059.157232711</x:v>
      </x:c>
      <x:c r="K1196" s="37" t="n">
        <x:v>6655834.777341313</x:v>
      </x:c>
      <x:c r="L1196" s="37" t="n">
        <x:v>11685098.62776297</x:v>
      </x:c>
      <x:c r="M1196" s="37" t="n">
        <x:v>0</x:v>
      </x:c>
      <x:c r="N1196" s="37" t="n">
        <x:v>0</x:v>
      </x:c>
      <x:c r="O1196" s="37" t="n">
        <x:v>427.53132693469524</x:v>
      </x:c>
      <x:c r="P1196" s="37" t="n">
        <x:v>0</x:v>
      </x:c>
      <x:c r="Q1196" s="37" t="n">
        <x:v>0</x:v>
      </x:c>
      <x:c r="R1196" s="37" t="n">
        <x:v>0</x:v>
      </x:c>
      <x:c r="S1196" s="37" t="n">
        <x:v>0</x:v>
      </x:c>
      <x:c r="T1196" s="37" t="n">
        <x:v>0</x:v>
      </x:c>
      <x:c r="U1196" s="37" t="n">
        <x:v>37500</x:v>
      </x:c>
      <x:c r="V1196" s="37" t="n">
        <x:v>0</x:v>
      </x:c>
      <x:c r="W1196" s="37" t="n">
        <x:v>29879.2120078085</x:v>
      </x:c>
      <x:c r="X1196" s="37" t="n">
        <x:v>0</x:v>
      </x:c>
      <x:c r="Y1196" s="37" t="n">
        <x:v>1712.5063178468959</x:v>
      </x:c>
      <x:c r="Z1196" s="37" t="n">
        <x:v>6788951.472888139</x:v>
      </x:c>
      <x:c r="AA1196" s="37" t="n">
        <x:v>0</x:v>
      </x:c>
      <x:c r="AB1196" s="37" t="n">
        <x:v>6788951.472888139</x:v>
      </x:c>
      <x:c r="AC1196" s="37" t="n">
        <x:v>1013922.7749834303</x:v>
      </x:c>
      <x:c r="AD1196" s="37" t="n">
        <x:v>0</x:v>
      </x:c>
      <x:c r="AE1196" s="37" t="n">
        <x:v>0</x:v>
      </x:c>
      <x:c r="AF1196" s="47" t="b">
        <x:v>0</x:v>
      </x:c>
      <x:c r="AG1196" s="47" t="b">
        <x:v>0</x:v>
      </x:c>
      <x:c r="AH1196" s="48" t="n">
        <x:v>0</x:v>
      </x:c>
      <x:c r="AI1196" s="48" t="n">
        <x:v>5.960464477539063e-8</x:v>
      </x:c>
      <x:c r="AJ1196" s="37" t="str">
        <x:v>passed</x:v>
      </x:c>
    </x:row>
    <x:row r="1197" ht="21" customHeight="1">
      <x:c r="A1197" s="2"/>
      <x:c r="B1197" s="2"/>
      <x:c r="C1197" s="2" t="str">
        <x:v>2023</x:v>
      </x:c>
      <x:c r="D1197" s="5" t="n">
        <x:v>44999</x:v>
      </x:c>
      <x:c r="E1197" s="2" t="str">
        <x:v>unweighted</x:v>
      </x:c>
      <x:c r="F1197" s="37" t="n">
        <x:v>11231645.791393539</x:v>
      </x:c>
      <x:c r="G1197" s="37" t="n">
        <x:v>443610.8997348579</x:v>
      </x:c>
      <x:c r="H1197" s="37" t="n">
        <x:v>-17294.809455719966</x:v>
      </x:c>
      <x:c r="I1197" s="37" t="n">
        <x:v>460905.70919057785</x:v>
      </x:c>
      <x:c r="J1197" s="37" t="n">
        <x:v>10588217.887155224</x:v>
      </x:c>
      <x:c r="K1197" s="37" t="n">
        <x:v>10144606.987420365</x:v>
      </x:c>
      <x:c r="L1197" s="37" t="n">
        <x:v>11675256.691128397</x:v>
      </x:c>
      <x:c r="M1197" s="37" t="n">
        <x:v>0</x:v>
      </x:c>
      <x:c r="N1197" s="37" t="n">
        <x:v>0</x:v>
      </x:c>
      <x:c r="O1197" s="37" t="n">
        <x:v>615.3989256173372</x:v>
      </x:c>
      <x:c r="P1197" s="37" t="n">
        <x:v>0</x:v>
      </x:c>
      <x:c r="Q1197" s="37" t="n">
        <x:v>0</x:v>
      </x:c>
      <x:c r="R1197" s="37" t="n">
        <x:v>0</x:v>
      </x:c>
      <x:c r="S1197" s="37" t="n">
        <x:v>0</x:v>
      </x:c>
      <x:c r="T1197" s="37" t="n">
        <x:v>0</x:v>
      </x:c>
      <x:c r="U1197" s="37" t="n">
        <x:v>37500</x:v>
      </x:c>
      <x:c r="V1197" s="37" t="n">
        <x:v>0</x:v>
      </x:c>
      <x:c r="W1197" s="37" t="n">
        <x:v>42126.383299777284</x:v>
      </x:c>
      <x:c r="X1197" s="37" t="n">
        <x:v>0</x:v>
      </x:c>
      <x:c r="Y1197" s="37" t="n">
        <x:v>2048.100493389845</x:v>
      </x:c>
      <x:c r="Z1197" s="37" t="n">
        <x:v>10347499.127168773</x:v>
      </x:c>
      <x:c r="AA1197" s="37" t="n">
        <x:v>0</x:v>
      </x:c>
      <x:c r="AB1197" s="37" t="n">
        <x:v>10347499.127168773</x:v>
      </x:c>
      <x:c r="AC1197" s="37" t="n">
        <x:v>884146.6642247662</x:v>
      </x:c>
      <x:c r="AD1197" s="37" t="n">
        <x:v>0</x:v>
      </x:c>
      <x:c r="AE1197" s="37" t="n">
        <x:v>0</x:v>
      </x:c>
      <x:c r="AF1197" s="47" t="b">
        <x:v>0</x:v>
      </x:c>
      <x:c r="AG1197" s="47" t="b">
        <x:v>0</x:v>
      </x:c>
      <x:c r="AH1197" s="48" t="n">
        <x:v>0</x:v>
      </x:c>
      <x:c r="AI1197" s="48" t="n">
        <x:v>1.1920928955078125e-7</x:v>
      </x:c>
      <x:c r="AJ1197" s="37" t="str">
        <x:v>passed</x:v>
      </x:c>
    </x:row>
    <x:row r="1198" ht="21" customHeight="1">
      <x:c r="A1198" s="2"/>
      <x:c r="B1198" s="2"/>
      <x:c r="C1198" s="2" t="str">
        <x:v>2023</x:v>
      </x:c>
      <x:c r="D1198" s="5" t="n">
        <x:v>44999</x:v>
      </x:c>
      <x:c r="E1198" s="2" t="str">
        <x:v>constrained</x:v>
      </x:c>
      <x:c r="F1198" s="37" t="n">
        <x:v>11781170.66375642</x:v>
      </x:c>
      <x:c r="G1198" s="37" t="n">
        <x:v>-110191.21865244789</x:v>
      </x:c>
      <x:c r="H1198" s="37" t="n">
        <x:v>-18620.748596348956</x:v>
      </x:c>
      <x:c r="I1198" s="37" t="n">
        <x:v>-91570.47005609893</x:v>
      </x:c>
      <x:c r="J1198" s="37" t="n">
        <x:v>10592590.745457051</x:v>
      </x:c>
      <x:c r="K1198" s="37" t="n">
        <x:v>10702781.964109499</x:v>
      </x:c>
      <x:c r="L1198" s="37" t="n">
        <x:v>11670979.445103973</x:v>
      </x:c>
      <x:c r="M1198" s="37" t="n">
        <x:v>0</x:v>
      </x:c>
      <x:c r="N1198" s="37" t="n">
        <x:v>0</x:v>
      </x:c>
      <x:c r="O1198" s="37" t="n">
        <x:v>645.5082277003676</x:v>
      </x:c>
      <x:c r="P1198" s="37" t="n">
        <x:v>0</x:v>
      </x:c>
      <x:c r="Q1198" s="37" t="n">
        <x:v>0</x:v>
      </x:c>
      <x:c r="R1198" s="37" t="n">
        <x:v>0</x:v>
      </x:c>
      <x:c r="S1198" s="37" t="n">
        <x:v>0</x:v>
      </x:c>
      <x:c r="T1198" s="37" t="n">
        <x:v>0</x:v>
      </x:c>
      <x:c r="U1198" s="37" t="n">
        <x:v>37500</x:v>
      </x:c>
      <x:c r="V1198" s="37" t="n">
        <x:v>0</x:v>
      </x:c>
      <x:c r="W1198" s="37" t="n">
        <x:v>44797.799883671105</x:v>
      </x:c>
      <x:c r="X1198" s="37" t="n">
        <x:v>0</x:v>
      </x:c>
      <x:c r="Y1198" s="37" t="n">
        <x:v>2112.850059992143</x:v>
      </x:c>
      <x:c r="Z1198" s="37" t="n">
        <x:v>10916837.603391688</x:v>
      </x:c>
      <x:c r="AA1198" s="37" t="n">
        <x:v>0</x:v>
      </x:c>
      <x:c r="AB1198" s="37" t="n">
        <x:v>10916837.603391688</x:v>
      </x:c>
      <x:c r="AC1198" s="37" t="n">
        <x:v>864333.0603647325</x:v>
      </x:c>
      <x:c r="AD1198" s="37" t="n">
        <x:v>0</x:v>
      </x:c>
      <x:c r="AE1198" s="37" t="n">
        <x:v>0</x:v>
      </x:c>
      <x:c r="AF1198" s="47" t="b">
        <x:v>0</x:v>
      </x:c>
      <x:c r="AG1198" s="47" t="b">
        <x:v>0</x:v>
      </x:c>
      <x:c r="AH1198" s="48" t="n">
        <x:v>0</x:v>
      </x:c>
      <x:c r="AI1198" s="48" t="n">
        <x:v>1.1920928955078125e-7</x:v>
      </x:c>
      <x:c r="AJ1198" s="37" t="str">
        <x:v>passed</x:v>
      </x:c>
    </x:row>
    <x:row r="1199" ht="21" customHeight="1">
      <x:c r="A1199" s="2"/>
      <x:c r="B1199" s="2"/>
      <x:c r="C1199" s="2" t="str">
        <x:v>2023</x:v>
      </x:c>
      <x:c r="D1199" s="5" t="n">
        <x:v>45000</x:v>
      </x:c>
      <x:c r="E1199" s="2" t="str">
        <x:v>unhedged</x:v>
      </x:c>
      <x:c r="F1199" s="37" t="n">
        <x:v>1241188.1002225291</x:v>
      </x:c>
      <x:c r="G1199" s="37" t="n">
        <x:v>10624016.551432136</x:v>
      </x:c>
      <x:c r="H1199" s="37" t="n">
        <x:v>25379.834254143647</x:v>
      </x:c>
      <x:c r="I1199" s="37" t="n">
        <x:v>10598636.717177993</x:v>
      </x:c>
      <x:c r="J1199" s="37" t="n">
        <x:v>10624016.551432136</x:v>
      </x:c>
      <x:c r="K1199" s="37" t="n">
        <x:v>0</x:v>
      </x:c>
      <x:c r="L1199" s="37" t="n">
        <x:v>11865204.651654666</x:v>
      </x:c>
      <x:c r="M1199" s="37" t="n">
        <x:v>0</x:v>
      </x:c>
      <x:c r="N1199" s="37" t="n">
        <x:v>0</x:v>
      </x:c>
      <x:c r="O1199" s="37" t="n">
        <x:v>68.00658047362231</x:v>
      </x:c>
      <x:c r="P1199" s="37" t="n">
        <x:v>0</x:v>
      </x:c>
      <x:c r="Q1199" s="37" t="n">
        <x:v>0</x:v>
      </x:c>
      <x:c r="R1199" s="37" t="n">
        <x:v>0</x:v>
      </x:c>
      <x:c r="S1199" s="37" t="n">
        <x:v>0</x:v>
      </x:c>
      <x:c r="T1199" s="37" t="n">
        <x:v>0</x:v>
      </x:c>
      <x:c r="U1199" s="37" t="n">
        <x:v>37500</x:v>
      </x:c>
      <x:c r="V1199" s="37" t="n">
        <x:v>0</x:v>
      </x:c>
      <x:c r="W1199" s="37" t="n">
        <x:v>4730.969564651372</x:v>
      </x:c>
      <x:c r="X1199" s="37" t="n">
        <x:v>0</x:v>
      </x:c>
      <x:c r="Y1199" s="37" t="n">
        <x:v>1042.869342122179</x:v>
      </x:c>
      <x:c r="Z1199" s="37" t="n">
        <x:v>0</x:v>
      </x:c>
      <x:c r="AA1199" s="37" t="n">
        <x:v>0</x:v>
      </x:c>
      <x:c r="AB1199" s="37" t="n">
        <x:v>0</x:v>
      </x:c>
      <x:c r="AC1199" s="37" t="n">
        <x:v>1241188.1002225291</x:v>
      </x:c>
      <x:c r="AD1199" s="37" t="n">
        <x:v>0</x:v>
      </x:c>
      <x:c r="AE1199" s="37" t="n">
        <x:v>0</x:v>
      </x:c>
      <x:c r="AF1199" s="47" t="b">
        <x:v>0</x:v>
      </x:c>
      <x:c r="AG1199" s="47" t="b">
        <x:v>0</x:v>
      </x:c>
      <x:c r="AH1199" s="48" t="n">
        <x:v>0</x:v>
      </x:c>
      <x:c r="AI1199" s="48" t="n">
        <x:v>1.1920928955078125e-7</x:v>
      </x:c>
      <x:c r="AJ1199" s="37" t="str">
        <x:v>passed</x:v>
      </x:c>
    </x:row>
    <x:row r="1200" ht="21" customHeight="1">
      <x:c r="A1200" s="2"/>
      <x:c r="B1200" s="2"/>
      <x:c r="C1200" s="2" t="str">
        <x:v>2023</x:v>
      </x:c>
      <x:c r="D1200" s="5" t="n">
        <x:v>45000</x:v>
      </x:c>
      <x:c r="E1200" s="2" t="str">
        <x:v>duration</x:v>
      </x:c>
      <x:c r="F1200" s="37" t="n">
        <x:v>7803301.8026248785</x:v>
      </x:c>
      <x:c r="G1200" s="37" t="n">
        <x:v>3893920.8908402873</x:v>
      </x:c>
      <x:c r="H1200" s="37" t="n">
        <x:v>-10996.82264999514</x:v>
      </x:c>
      <x:c r="I1200" s="37" t="n">
        <x:v>3904917.7134902827</x:v>
      </x:c>
      <x:c r="J1200" s="37" t="n">
        <x:v>10624016.551432136</x:v>
      </x:c>
      <x:c r="K1200" s="37" t="n">
        <x:v>6730095.660591848</x:v>
      </x:c>
      <x:c r="L1200" s="37" t="n">
        <x:v>11697222.693465166</x:v>
      </x:c>
      <x:c r="M1200" s="37" t="n">
        <x:v>0</x:v>
      </x:c>
      <x:c r="N1200" s="37" t="n">
        <x:v>0</x:v>
      </x:c>
      <x:c r="O1200" s="37" t="n">
        <x:v>427.55475330911577</x:v>
      </x:c>
      <x:c r="P1200" s="37" t="n">
        <x:v>0</x:v>
      </x:c>
      <x:c r="Q1200" s="37" t="n">
        <x:v>0</x:v>
      </x:c>
      <x:c r="R1200" s="37" t="n">
        <x:v>0</x:v>
      </x:c>
      <x:c r="S1200" s="37" t="n">
        <x:v>0</x:v>
      </x:c>
      <x:c r="T1200" s="37" t="n">
        <x:v>0</x:v>
      </x:c>
      <x:c r="U1200" s="37" t="n">
        <x:v>37500</x:v>
      </x:c>
      <x:c r="V1200" s="37" t="n">
        <x:v>0</x:v>
      </x:c>
      <x:c r="W1200" s="37" t="n">
        <x:v>30306.766761117615</x:v>
      </x:c>
      <x:c r="X1200" s="37" t="n">
        <x:v>0</x:v>
      </x:c>
      <x:c r="Y1200" s="37" t="n">
        <x:v>1712.5063178468959</x:v>
      </x:c>
      <x:c r="Z1200" s="37" t="n">
        <x:v>6864697.573803686</x:v>
      </x:c>
      <x:c r="AA1200" s="37" t="n">
        <x:v>0</x:v>
      </x:c>
      <x:c r="AB1200" s="37" t="n">
        <x:v>6864697.573803686</x:v>
      </x:c>
      <x:c r="AC1200" s="37" t="n">
        <x:v>938604.2288211929</x:v>
      </x:c>
      <x:c r="AD1200" s="37" t="n">
        <x:v>0</x:v>
      </x:c>
      <x:c r="AE1200" s="37" t="n">
        <x:v>0</x:v>
      </x:c>
      <x:c r="AF1200" s="47" t="b">
        <x:v>0</x:v>
      </x:c>
      <x:c r="AG1200" s="47" t="b">
        <x:v>0</x:v>
      </x:c>
      <x:c r="AH1200" s="48" t="n">
        <x:v>0</x:v>
      </x:c>
      <x:c r="AI1200" s="48" t="n">
        <x:v>5.960464477539063e-8</x:v>
      </x:c>
      <x:c r="AJ1200" s="37" t="str">
        <x:v>passed</x:v>
      </x:c>
    </x:row>
    <x:row r="1201" ht="21" customHeight="1">
      <x:c r="A1201" s="2"/>
      <x:c r="B1201" s="2"/>
      <x:c r="C1201" s="2" t="str">
        <x:v>2023</x:v>
      </x:c>
      <x:c r="D1201" s="5" t="n">
        <x:v>45000</x:v>
      </x:c>
      <x:c r="E1201" s="2" t="str">
        <x:v>unweighted</x:v>
      </x:c>
      <x:c r="F1201" s="37" t="n">
        <x:v>11232261.224039644</x:v>
      </x:c>
      <x:c r="G1201" s="37" t="n">
        <x:v>445473.2111351994</x:v>
      </x:c>
      <x:c r="H1201" s="37" t="n">
        <x:v>-17318.544273239808</x:v>
      </x:c>
      <x:c r="I1201" s="37" t="n">
        <x:v>462791.7554084392</x:v>
      </x:c>
      <x:c r="J1201" s="37" t="n">
        <x:v>10674892.420741525</x:v>
      </x:c>
      <x:c r="K1201" s="37" t="n">
        <x:v>10229419.209606325</x:v>
      </x:c>
      <x:c r="L1201" s="37" t="n">
        <x:v>11677734.435174843</x:v>
      </x:c>
      <x:c r="M1201" s="37" t="n">
        <x:v>0</x:v>
      </x:c>
      <x:c r="N1201" s="37" t="n">
        <x:v>0</x:v>
      </x:c>
      <x:c r="O1201" s="37" t="n">
        <x:v>615.4326461050659</x:v>
      </x:c>
      <x:c r="P1201" s="37" t="n">
        <x:v>0</x:v>
      </x:c>
      <x:c r="Q1201" s="37" t="n">
        <x:v>0</x:v>
      </x:c>
      <x:c r="R1201" s="37" t="n">
        <x:v>0</x:v>
      </x:c>
      <x:c r="S1201" s="37" t="n">
        <x:v>0</x:v>
      </x:c>
      <x:c r="T1201" s="37" t="n">
        <x:v>0</x:v>
      </x:c>
      <x:c r="U1201" s="37" t="n">
        <x:v>37500</x:v>
      </x:c>
      <x:c r="V1201" s="37" t="n">
        <x:v>0</x:v>
      </x:c>
      <x:c r="W1201" s="37" t="n">
        <x:v>42741.81594588235</x:v>
      </x:c>
      <x:c r="X1201" s="37" t="n">
        <x:v>0</x:v>
      </x:c>
      <x:c r="Y1201" s="37" t="n">
        <x:v>2048.100493389845</x:v>
      </x:c>
      <x:c r="Z1201" s="37" t="n">
        <x:v>10434007.593798451</x:v>
      </x:c>
      <x:c r="AA1201" s="37" t="n">
        <x:v>0</x:v>
      </x:c>
      <x:c r="AB1201" s="37" t="n">
        <x:v>10434007.593798451</x:v>
      </x:c>
      <x:c r="AC1201" s="37" t="n">
        <x:v>798253.6302411929</x:v>
      </x:c>
      <x:c r="AD1201" s="37" t="n">
        <x:v>0</x:v>
      </x:c>
      <x:c r="AE1201" s="37" t="n">
        <x:v>0</x:v>
      </x:c>
      <x:c r="AF1201" s="47" t="b">
        <x:v>0</x:v>
      </x:c>
      <x:c r="AG1201" s="47" t="b">
        <x:v>0</x:v>
      </x:c>
      <x:c r="AH1201" s="48" t="n">
        <x:v>0</x:v>
      </x:c>
      <x:c r="AI1201" s="48" t="n">
        <x:v>1.1920928955078125e-7</x:v>
      </x:c>
      <x:c r="AJ1201" s="37" t="str">
        <x:v>passed</x:v>
      </x:c>
    </x:row>
    <x:row r="1202" ht="21" customHeight="1">
      <x:c r="A1202" s="2"/>
      <x:c r="B1202" s="2"/>
      <x:c r="C1202" s="2" t="str">
        <x:v>2023</x:v>
      </x:c>
      <x:c r="D1202" s="5" t="n">
        <x:v>45000</x:v>
      </x:c>
      <x:c r="E1202" s="2" t="str">
        <x:v>constrained</x:v>
      </x:c>
      <x:c r="F1202" s="37" t="n">
        <x:v>11781816.207354438</x:v>
      </x:c>
      <x:c r="G1202" s="37" t="n">
        <x:v>-110623.54257281046</x:v>
      </x:c>
      <x:c r="H1202" s="37" t="n">
        <x:v>-18657.137748066427</x:v>
      </x:c>
      <x:c r="I1202" s="37" t="n">
        <x:v>-91966.40482474404</x:v>
      </x:c>
      <x:c r="J1202" s="37" t="n">
        <x:v>10679327.783009851</x:v>
      </x:c>
      <x:c r="K1202" s="37" t="n">
        <x:v>10789951.325582663</x:v>
      </x:c>
      <x:c r="L1202" s="37" t="n">
        <x:v>11671192.664781626</x:v>
      </x:c>
      <x:c r="M1202" s="37" t="n">
        <x:v>0</x:v>
      </x:c>
      <x:c r="N1202" s="37" t="n">
        <x:v>0</x:v>
      </x:c>
      <x:c r="O1202" s="37" t="n">
        <x:v>645.543598016724</x:v>
      </x:c>
      <x:c r="P1202" s="37" t="n">
        <x:v>0</x:v>
      </x:c>
      <x:c r="Q1202" s="37" t="n">
        <x:v>0</x:v>
      </x:c>
      <x:c r="R1202" s="37" t="n">
        <x:v>0</x:v>
      </x:c>
      <x:c r="S1202" s="37" t="n">
        <x:v>0</x:v>
      </x:c>
      <x:c r="T1202" s="37" t="n">
        <x:v>0</x:v>
      </x:c>
      <x:c r="U1202" s="37" t="n">
        <x:v>37500</x:v>
      </x:c>
      <x:c r="V1202" s="37" t="n">
        <x:v>0</x:v>
      </x:c>
      <x:c r="W1202" s="37" t="n">
        <x:v>45443.34348168783</x:v>
      </x:c>
      <x:c r="X1202" s="37" t="n">
        <x:v>0</x:v>
      </x:c>
      <x:c r="Y1202" s="37" t="n">
        <x:v>2112.850059992143</x:v>
      </x:c>
      <x:c r="Z1202" s="37" t="n">
        <x:v>11005750.352094317</x:v>
      </x:c>
      <x:c r="AA1202" s="37" t="n">
        <x:v>0</x:v>
      </x:c>
      <x:c r="AB1202" s="37" t="n">
        <x:v>11005750.352094317</x:v>
      </x:c>
      <x:c r="AC1202" s="37" t="n">
        <x:v>776065.8552601207</x:v>
      </x:c>
      <x:c r="AD1202" s="37" t="n">
        <x:v>0</x:v>
      </x:c>
      <x:c r="AE1202" s="37" t="n">
        <x:v>0</x:v>
      </x:c>
      <x:c r="AF1202" s="47" t="b">
        <x:v>0</x:v>
      </x:c>
      <x:c r="AG1202" s="47" t="b">
        <x:v>0</x:v>
      </x:c>
      <x:c r="AH1202" s="48" t="n">
        <x:v>0</x:v>
      </x:c>
      <x:c r="AI1202" s="48" t="n">
        <x:v>1.1920928955078125e-7</x:v>
      </x:c>
      <x:c r="AJ1202" s="37" t="str">
        <x:v>passed</x:v>
      </x:c>
    </x:row>
    <x:row r="1203" ht="21" customHeight="1">
      <x:c r="A1203" s="2"/>
      <x:c r="B1203" s="2"/>
      <x:c r="C1203" s="2" t="str">
        <x:v>2023</x:v>
      </x:c>
      <x:c r="D1203" s="5" t="n">
        <x:v>45001</x:v>
      </x:c>
      <x:c r="E1203" s="2" t="str">
        <x:v>unhedged</x:v>
      </x:c>
      <x:c r="F1203" s="37" t="n">
        <x:v>1241256.1105293906</x:v>
      </x:c>
      <x:c r="G1203" s="37" t="n">
        <x:v>10575506.018832522</x:v>
      </x:c>
      <x:c r="H1203" s="37" t="n">
        <x:v>25732.044198895026</x:v>
      </x:c>
      <x:c r="I1203" s="37" t="n">
        <x:v>10549773.974633627</x:v>
      </x:c>
      <x:c r="J1203" s="37" t="n">
        <x:v>10575506.018832522</x:v>
      </x:c>
      <x:c r="K1203" s="37" t="n">
        <x:v>0</x:v>
      </x:c>
      <x:c r="L1203" s="37" t="n">
        <x:v>11816762.129361913</x:v>
      </x:c>
      <x:c r="M1203" s="37" t="n">
        <x:v>0</x:v>
      </x:c>
      <x:c r="N1203" s="37" t="n">
        <x:v>0</x:v>
      </x:c>
      <x:c r="O1203" s="37" t="n">
        <x:v>68.01030686148442</x:v>
      </x:c>
      <x:c r="P1203" s="37" t="n">
        <x:v>0</x:v>
      </x:c>
      <x:c r="Q1203" s="37" t="n">
        <x:v>0</x:v>
      </x:c>
      <x:c r="R1203" s="37" t="n">
        <x:v>0</x:v>
      </x:c>
      <x:c r="S1203" s="37" t="n">
        <x:v>0</x:v>
      </x:c>
      <x:c r="T1203" s="37" t="n">
        <x:v>0</x:v>
      </x:c>
      <x:c r="U1203" s="37" t="n">
        <x:v>37500</x:v>
      </x:c>
      <x:c r="V1203" s="37" t="n">
        <x:v>0</x:v>
      </x:c>
      <x:c r="W1203" s="37" t="n">
        <x:v>4798.979871512856</x:v>
      </x:c>
      <x:c r="X1203" s="37" t="n">
        <x:v>0</x:v>
      </x:c>
      <x:c r="Y1203" s="37" t="n">
        <x:v>1042.869342122179</x:v>
      </x:c>
      <x:c r="Z1203" s="37" t="n">
        <x:v>0</x:v>
      </x:c>
      <x:c r="AA1203" s="37" t="n">
        <x:v>0</x:v>
      </x:c>
      <x:c r="AB1203" s="37" t="n">
        <x:v>0</x:v>
      </x:c>
      <x:c r="AC1203" s="37" t="n">
        <x:v>1241256.1105293906</x:v>
      </x:c>
      <x:c r="AD1203" s="37" t="n">
        <x:v>0</x:v>
      </x:c>
      <x:c r="AE1203" s="37" t="n">
        <x:v>0</x:v>
      </x:c>
      <x:c r="AF1203" s="47" t="b">
        <x:v>0</x:v>
      </x:c>
      <x:c r="AG1203" s="47" t="b">
        <x:v>0</x:v>
      </x:c>
      <x:c r="AH1203" s="48" t="n">
        <x:v>0</x:v>
      </x:c>
      <x:c r="AI1203" s="48" t="n">
        <x:v>1.1920928955078125e-7</x:v>
      </x:c>
      <x:c r="AJ1203" s="37" t="str">
        <x:v>passed</x:v>
      </x:c>
    </x:row>
    <x:row r="1204" ht="21" customHeight="1">
      <x:c r="A1204" s="2"/>
      <x:c r="B1204" s="2"/>
      <x:c r="C1204" s="2" t="str">
        <x:v>2023</x:v>
      </x:c>
      <x:c r="D1204" s="5" t="n">
        <x:v>45001</x:v>
      </x:c>
      <x:c r="E1204" s="2" t="str">
        <x:v>duration</x:v>
      </x:c>
      <x:c r="F1204" s="37" t="n">
        <x:v>7803729.380805845</x:v>
      </x:c>
      <x:c r="G1204" s="37" t="n">
        <x:v>3881232.5061664367</x:v>
      </x:c>
      <x:c r="H1204" s="37" t="n">
        <x:v>-10947.751512778246</x:v>
      </x:c>
      <x:c r="I1204" s="37" t="n">
        <x:v>3892180.257679215</x:v>
      </x:c>
      <x:c r="J1204" s="37" t="n">
        <x:v>10575506.018832522</x:v>
      </x:c>
      <x:c r="K1204" s="37" t="n">
        <x:v>6694273.512666085</x:v>
      </x:c>
      <x:c r="L1204" s="37" t="n">
        <x:v>11684961.886972282</x:v>
      </x:c>
      <x:c r="M1204" s="37" t="n">
        <x:v>0</x:v>
      </x:c>
      <x:c r="N1204" s="37" t="n">
        <x:v>0</x:v>
      </x:c>
      <x:c r="O1204" s="37" t="n">
        <x:v>427.5781809668988</x:v>
      </x:c>
      <x:c r="P1204" s="37" t="n">
        <x:v>0</x:v>
      </x:c>
      <x:c r="Q1204" s="37" t="n">
        <x:v>0</x:v>
      </x:c>
      <x:c r="R1204" s="37" t="n">
        <x:v>0</x:v>
      </x:c>
      <x:c r="S1204" s="37" t="n">
        <x:v>0</x:v>
      </x:c>
      <x:c r="T1204" s="37" t="n">
        <x:v>0</x:v>
      </x:c>
      <x:c r="U1204" s="37" t="n">
        <x:v>37500</x:v>
      </x:c>
      <x:c r="V1204" s="37" t="n">
        <x:v>0</x:v>
      </x:c>
      <x:c r="W1204" s="37" t="n">
        <x:v>30734.344942084514</x:v>
      </x:c>
      <x:c r="X1204" s="37" t="n">
        <x:v>0</x:v>
      </x:c>
      <x:c r="Y1204" s="37" t="n">
        <x:v>1712.5063178468959</x:v>
      </x:c>
      <x:c r="Z1204" s="37" t="n">
        <x:v>6828158.982919407</x:v>
      </x:c>
      <x:c r="AA1204" s="37" t="n">
        <x:v>0</x:v>
      </x:c>
      <x:c r="AB1204" s="37" t="n">
        <x:v>6828158.982919407</x:v>
      </x:c>
      <x:c r="AC1204" s="37" t="n">
        <x:v>975570.3978864383</x:v>
      </x:c>
      <x:c r="AD1204" s="37" t="n">
        <x:v>0</x:v>
      </x:c>
      <x:c r="AE1204" s="37" t="n">
        <x:v>0</x:v>
      </x:c>
      <x:c r="AF1204" s="47" t="b">
        <x:v>0</x:v>
      </x:c>
      <x:c r="AG1204" s="47" t="b">
        <x:v>0</x:v>
      </x:c>
      <x:c r="AH1204" s="48" t="n">
        <x:v>0</x:v>
      </x:c>
      <x:c r="AI1204" s="48" t="n">
        <x:v>5.960464477539063e-8</x:v>
      </x:c>
      <x:c r="AJ1204" s="37" t="str">
        <x:v>passed</x:v>
      </x:c>
    </x:row>
    <x:row r="1205" ht="21" customHeight="1">
      <x:c r="A1205" s="2"/>
      <x:c r="B1205" s="2"/>
      <x:c r="C1205" s="2" t="str">
        <x:v>2023</x:v>
      </x:c>
      <x:c r="D1205" s="5" t="n">
        <x:v>45001</x:v>
      </x:c>
      <x:c r="E1205" s="2" t="str">
        <x:v>unweighted</x:v>
      </x:c>
      <x:c r="F1205" s="37" t="n">
        <x:v>11232876.690408085</x:v>
      </x:c>
      <x:c r="G1205" s="37" t="n">
        <x:v>444547.35619371646</x:v>
      </x:c>
      <x:c r="H1205" s="37" t="n">
        <x:v>-17342.27909075965</x:v>
      </x:c>
      <x:c r="I1205" s="37" t="n">
        <x:v>461889.6352844761</x:v>
      </x:c>
      <x:c r="J1205" s="37" t="n">
        <x:v>10625865.443752918</x:v>
      </x:c>
      <x:c r="K1205" s="37" t="n">
        <x:v>10181318.0875592</x:v>
      </x:c>
      <x:c r="L1205" s="37" t="n">
        <x:v>11677424.0466018</x:v>
      </x:c>
      <x:c r="M1205" s="37" t="n">
        <x:v>0</x:v>
      </x:c>
      <x:c r="N1205" s="37" t="n">
        <x:v>0</x:v>
      </x:c>
      <x:c r="O1205" s="37" t="n">
        <x:v>615.4663684405386</x:v>
      </x:c>
      <x:c r="P1205" s="37" t="n">
        <x:v>0</x:v>
      </x:c>
      <x:c r="Q1205" s="37" t="n">
        <x:v>0</x:v>
      </x:c>
      <x:c r="R1205" s="37" t="n">
        <x:v>0</x:v>
      </x:c>
      <x:c r="S1205" s="37" t="n">
        <x:v>0</x:v>
      </x:c>
      <x:c r="T1205" s="37" t="n">
        <x:v>0</x:v>
      </x:c>
      <x:c r="U1205" s="37" t="n">
        <x:v>37500</x:v>
      </x:c>
      <x:c r="V1205" s="37" t="n">
        <x:v>0</x:v>
      </x:c>
      <x:c r="W1205" s="37" t="n">
        <x:v>43357.28231432289</x:v>
      </x:c>
      <x:c r="X1205" s="37" t="n">
        <x:v>0</x:v>
      </x:c>
      <x:c r="Y1205" s="37" t="n">
        <x:v>2048.100493389845</x:v>
      </x:c>
      <x:c r="Z1205" s="37" t="n">
        <x:v>10384944.449310385</x:v>
      </x:c>
      <x:c r="AA1205" s="37" t="n">
        <x:v>0</x:v>
      </x:c>
      <x:c r="AB1205" s="37" t="n">
        <x:v>10384944.449310385</x:v>
      </x:c>
      <x:c r="AC1205" s="37" t="n">
        <x:v>847932.2410976999</x:v>
      </x:c>
      <x:c r="AD1205" s="37" t="n">
        <x:v>0</x:v>
      </x:c>
      <x:c r="AE1205" s="37" t="n">
        <x:v>0</x:v>
      </x:c>
      <x:c r="AF1205" s="47" t="b">
        <x:v>0</x:v>
      </x:c>
      <x:c r="AG1205" s="47" t="b">
        <x:v>0</x:v>
      </x:c>
      <x:c r="AH1205" s="48" t="n">
        <x:v>0</x:v>
      </x:c>
      <x:c r="AI1205" s="48" t="n">
        <x:v>1.1920928955078125e-7</x:v>
      </x:c>
      <x:c r="AJ1205" s="37" t="str">
        <x:v>passed</x:v>
      </x:c>
    </x:row>
    <x:row r="1206" ht="21" customHeight="1">
      <x:c r="A1206" s="2"/>
      <x:c r="B1206" s="2"/>
      <x:c r="C1206" s="2" t="str">
        <x:v>2023</x:v>
      </x:c>
      <x:c r="D1206" s="5" t="n">
        <x:v>45001</x:v>
      </x:c>
      <x:c r="E1206" s="2" t="str">
        <x:v>constrained</x:v>
      </x:c>
      <x:c r="F1206" s="37" t="n">
        <x:v>11782461.786324704</x:v>
      </x:c>
      <x:c r="G1206" s="37" t="n">
        <x:v>-110105.59227431117</x:v>
      </x:c>
      <x:c r="H1206" s="37" t="n">
        <x:v>-18693.526899783905</x:v>
      </x:c>
      <x:c r="I1206" s="37" t="n">
        <x:v>-91412.06537452727</x:v>
      </x:c>
      <x:c r="J1206" s="37" t="n">
        <x:v>10630248.236369155</x:v>
      </x:c>
      <x:c r="K1206" s="37" t="n">
        <x:v>10740353.828643467</x:v>
      </x:c>
      <x:c r="L1206" s="37" t="n">
        <x:v>11672356.194050392</x:v>
      </x:c>
      <x:c r="M1206" s="37" t="n">
        <x:v>0</x:v>
      </x:c>
      <x:c r="N1206" s="37" t="n">
        <x:v>0</x:v>
      </x:c>
      <x:c r="O1206" s="37" t="n">
        <x:v>645.5789702665061</x:v>
      </x:c>
      <x:c r="P1206" s="37" t="n">
        <x:v>0</x:v>
      </x:c>
      <x:c r="Q1206" s="37" t="n">
        <x:v>0</x:v>
      </x:c>
      <x:c r="R1206" s="37" t="n">
        <x:v>0</x:v>
      </x:c>
      <x:c r="S1206" s="37" t="n">
        <x:v>0</x:v>
      </x:c>
      <x:c r="T1206" s="37" t="n">
        <x:v>0</x:v>
      </x:c>
      <x:c r="U1206" s="37" t="n">
        <x:v>37500</x:v>
      </x:c>
      <x:c r="V1206" s="37" t="n">
        <x:v>0</x:v>
      </x:c>
      <x:c r="W1206" s="37" t="n">
        <x:v>46088.922451954335</x:v>
      </x:c>
      <x:c r="X1206" s="37" t="n">
        <x:v>0</x:v>
      </x:c>
      <x:c r="Y1206" s="37" t="n">
        <x:v>2112.850059992143</x:v>
      </x:c>
      <x:c r="Z1206" s="37" t="n">
        <x:v>10955160.905216336</x:v>
      </x:c>
      <x:c r="AA1206" s="37" t="n">
        <x:v>0</x:v>
      </x:c>
      <x:c r="AB1206" s="37" t="n">
        <x:v>10955160.905216336</x:v>
      </x:c>
      <x:c r="AC1206" s="37" t="n">
        <x:v>827300.8811083678</x:v>
      </x:c>
      <x:c r="AD1206" s="37" t="n">
        <x:v>0</x:v>
      </x:c>
      <x:c r="AE1206" s="37" t="n">
        <x:v>0</x:v>
      </x:c>
      <x:c r="AF1206" s="47" t="b">
        <x:v>0</x:v>
      </x:c>
      <x:c r="AG1206" s="47" t="b">
        <x:v>0</x:v>
      </x:c>
      <x:c r="AH1206" s="48" t="n">
        <x:v>0</x:v>
      </x:c>
      <x:c r="AI1206" s="48" t="n">
        <x:v>1.1920928955078125e-7</x:v>
      </x:c>
      <x:c r="AJ1206" s="37" t="str">
        <x:v>passed</x:v>
      </x:c>
    </x:row>
    <x:row r="1207" ht="21" customHeight="1">
      <x:c r="A1207" s="2"/>
      <x:c r="B1207" s="2"/>
      <x:c r="C1207" s="2" t="str">
        <x:v>2023</x:v>
      </x:c>
      <x:c r="D1207" s="5" t="n">
        <x:v>45002</x:v>
      </x:c>
      <x:c r="E1207" s="2" t="str">
        <x:v>unhedged</x:v>
      </x:c>
      <x:c r="F1207" s="37" t="n">
        <x:v>1241324.1245628446</x:v>
      </x:c>
      <x:c r="G1207" s="37" t="n">
        <x:v>10679325.632096043</x:v>
      </x:c>
      <x:c r="H1207" s="37" t="n">
        <x:v>26084.25414364641</x:v>
      </x:c>
      <x:c r="I1207" s="37" t="n">
        <x:v>10653241.377952397</x:v>
      </x:c>
      <x:c r="J1207" s="37" t="n">
        <x:v>10679325.632096043</x:v>
      </x:c>
      <x:c r="K1207" s="37" t="n">
        <x:v>0</x:v>
      </x:c>
      <x:c r="L1207" s="37" t="n">
        <x:v>11920649.756658887</x:v>
      </x:c>
      <x:c r="M1207" s="37" t="n">
        <x:v>0</x:v>
      </x:c>
      <x:c r="N1207" s="37" t="n">
        <x:v>0</x:v>
      </x:c>
      <x:c r="O1207" s="37" t="n">
        <x:v>68.01403345400468</x:v>
      </x:c>
      <x:c r="P1207" s="37" t="n">
        <x:v>0</x:v>
      </x:c>
      <x:c r="Q1207" s="37" t="n">
        <x:v>0</x:v>
      </x:c>
      <x:c r="R1207" s="37" t="n">
        <x:v>0</x:v>
      </x:c>
      <x:c r="S1207" s="37" t="n">
        <x:v>0</x:v>
      </x:c>
      <x:c r="T1207" s="37" t="n">
        <x:v>0</x:v>
      </x:c>
      <x:c r="U1207" s="37" t="n">
        <x:v>37500</x:v>
      </x:c>
      <x:c r="V1207" s="37" t="n">
        <x:v>0</x:v>
      </x:c>
      <x:c r="W1207" s="37" t="n">
        <x:v>4866.993904966861</x:v>
      </x:c>
      <x:c r="X1207" s="37" t="n">
        <x:v>0</x:v>
      </x:c>
      <x:c r="Y1207" s="37" t="n">
        <x:v>1042.869342122179</x:v>
      </x:c>
      <x:c r="Z1207" s="37" t="n">
        <x:v>0</x:v>
      </x:c>
      <x:c r="AA1207" s="37" t="n">
        <x:v>0</x:v>
      </x:c>
      <x:c r="AB1207" s="37" t="n">
        <x:v>0</x:v>
      </x:c>
      <x:c r="AC1207" s="37" t="n">
        <x:v>1241324.1245628446</x:v>
      </x:c>
      <x:c r="AD1207" s="37" t="n">
        <x:v>0</x:v>
      </x:c>
      <x:c r="AE1207" s="37" t="n">
        <x:v>0</x:v>
      </x:c>
      <x:c r="AF1207" s="47" t="b">
        <x:v>0</x:v>
      </x:c>
      <x:c r="AG1207" s="47" t="b">
        <x:v>0</x:v>
      </x:c>
      <x:c r="AH1207" s="48" t="n">
        <x:v>0</x:v>
      </x:c>
      <x:c r="AI1207" s="48" t="n">
        <x:v>1.1920928955078125e-7</x:v>
      </x:c>
      <x:c r="AJ1207" s="37" t="str">
        <x:v>passed</x:v>
      </x:c>
    </x:row>
    <x:row r="1208" ht="21" customHeight="1">
      <x:c r="A1208" s="2"/>
      <x:c r="B1208" s="2"/>
      <x:c r="C1208" s="2" t="str">
        <x:v>2023</x:v>
      </x:c>
      <x:c r="D1208" s="5" t="n">
        <x:v>45002</x:v>
      </x:c>
      <x:c r="E1208" s="2" t="str">
        <x:v>duration</x:v>
      </x:c>
      <x:c r="F1208" s="37" t="n">
        <x:v>7804156.9824157525</x:v>
      </x:c>
      <x:c r="G1208" s="37" t="n">
        <x:v>3900020.963600752</x:v>
      </x:c>
      <x:c r="H1208" s="37" t="n">
        <x:v>-10898.68037556136</x:v>
      </x:c>
      <x:c r="I1208" s="37" t="n">
        <x:v>3910919.6439763135</x:v>
      </x:c>
      <x:c r="J1208" s="37" t="n">
        <x:v>10679325.632096043</x:v>
      </x:c>
      <x:c r="K1208" s="37" t="n">
        <x:v>6779304.668495291</x:v>
      </x:c>
      <x:c r="L1208" s="37" t="n">
        <x:v>11704177.946016505</x:v>
      </x:c>
      <x:c r="M1208" s="37" t="n">
        <x:v>0</x:v>
      </x:c>
      <x:c r="N1208" s="37" t="n">
        <x:v>0</x:v>
      </x:c>
      <x:c r="O1208" s="37" t="n">
        <x:v>427.601609907113</x:v>
      </x:c>
      <x:c r="P1208" s="37" t="n">
        <x:v>0</x:v>
      </x:c>
      <x:c r="Q1208" s="37" t="n">
        <x:v>0</x:v>
      </x:c>
      <x:c r="R1208" s="37" t="n">
        <x:v>0</x:v>
      </x:c>
      <x:c r="S1208" s="37" t="n">
        <x:v>0</x:v>
      </x:c>
      <x:c r="T1208" s="37" t="n">
        <x:v>0</x:v>
      </x:c>
      <x:c r="U1208" s="37" t="n">
        <x:v>37500</x:v>
      </x:c>
      <x:c r="V1208" s="37" t="n">
        <x:v>0</x:v>
      </x:c>
      <x:c r="W1208" s="37" t="n">
        <x:v>31161.946551991627</x:v>
      </x:c>
      <x:c r="X1208" s="37" t="n">
        <x:v>0</x:v>
      </x:c>
      <x:c r="Y1208" s="37" t="n">
        <x:v>1712.5063178468959</x:v>
      </x:c>
      <x:c r="Z1208" s="37" t="n">
        <x:v>6914890.761865197</x:v>
      </x:c>
      <x:c r="AA1208" s="37" t="n">
        <x:v>0</x:v>
      </x:c>
      <x:c r="AB1208" s="37" t="n">
        <x:v>6914890.761865197</x:v>
      </x:c>
      <x:c r="AC1208" s="37" t="n">
        <x:v>889266.2205505557</x:v>
      </x:c>
      <x:c r="AD1208" s="37" t="n">
        <x:v>0</x:v>
      </x:c>
      <x:c r="AE1208" s="37" t="n">
        <x:v>0</x:v>
      </x:c>
      <x:c r="AF1208" s="47" t="b">
        <x:v>0</x:v>
      </x:c>
      <x:c r="AG1208" s="47" t="b">
        <x:v>0</x:v>
      </x:c>
      <x:c r="AH1208" s="48" t="n">
        <x:v>0</x:v>
      </x:c>
      <x:c r="AI1208" s="48" t="n">
        <x:v>5.960464477539063e-8</x:v>
      </x:c>
      <x:c r="AJ1208" s="37" t="str">
        <x:v>passed</x:v>
      </x:c>
    </x:row>
    <x:row r="1209" ht="21" customHeight="1">
      <x:c r="A1209" s="2"/>
      <x:c r="B1209" s="2"/>
      <x:c r="C1209" s="2" t="str">
        <x:v>2023</x:v>
      </x:c>
      <x:c r="D1209" s="5" t="n">
        <x:v>45002</x:v>
      </x:c>
      <x:c r="E1209" s="2" t="str">
        <x:v>unweighted</x:v>
      </x:c>
      <x:c r="F1209" s="37" t="n">
        <x:v>11233492.19050071</x:v>
      </x:c>
      <x:c r="G1209" s="37" t="n">
        <x:v>446848.53305712214</x:v>
      </x:c>
      <x:c r="H1209" s="37" t="n">
        <x:v>-17366.013908279496</x:v>
      </x:c>
      <x:c r="I1209" s="37" t="n">
        <x:v>464214.5469654016</x:v>
      </x:c>
      <x:c r="J1209" s="37" t="n">
        <x:v>10730705.885360736</x:v>
      </x:c>
      <x:c r="K1209" s="37" t="n">
        <x:v>10283857.352303613</x:v>
      </x:c>
      <x:c r="L1209" s="37" t="n">
        <x:v>11680340.723557832</x:v>
      </x:c>
      <x:c r="M1209" s="37" t="n">
        <x:v>0</x:v>
      </x:c>
      <x:c r="N1209" s="37" t="n">
        <x:v>0</x:v>
      </x:c>
      <x:c r="O1209" s="37" t="n">
        <x:v>615.500092625618</x:v>
      </x:c>
      <x:c r="P1209" s="37" t="n">
        <x:v>0</x:v>
      </x:c>
      <x:c r="Q1209" s="37" t="n">
        <x:v>0</x:v>
      </x:c>
      <x:c r="R1209" s="37" t="n">
        <x:v>0</x:v>
      </x:c>
      <x:c r="S1209" s="37" t="n">
        <x:v>0</x:v>
      </x:c>
      <x:c r="T1209" s="37" t="n">
        <x:v>0</x:v>
      </x:c>
      <x:c r="U1209" s="37" t="n">
        <x:v>37500</x:v>
      </x:c>
      <x:c r="V1209" s="37" t="n">
        <x:v>0</x:v>
      </x:c>
      <x:c r="W1209" s="37" t="n">
        <x:v>43972.78240694851</x:v>
      </x:c>
      <x:c r="X1209" s="37" t="n">
        <x:v>0</x:v>
      </x:c>
      <x:c r="Y1209" s="37" t="n">
        <x:v>2048.100493389845</x:v>
      </x:c>
      <x:c r="Z1209" s="37" t="n">
        <x:v>10489534.499349685</x:v>
      </x:c>
      <x:c r="AA1209" s="37" t="n">
        <x:v>0</x:v>
      </x:c>
      <x:c r="AB1209" s="37" t="n">
        <x:v>10489534.499349685</x:v>
      </x:c>
      <x:c r="AC1209" s="37" t="n">
        <x:v>743957.6911510248</x:v>
      </x:c>
      <x:c r="AD1209" s="37" t="n">
        <x:v>0</x:v>
      </x:c>
      <x:c r="AE1209" s="37" t="n">
        <x:v>0</x:v>
      </x:c>
      <x:c r="AF1209" s="47" t="b">
        <x:v>0</x:v>
      </x:c>
      <x:c r="AG1209" s="47" t="b">
        <x:v>0</x:v>
      </x:c>
      <x:c r="AH1209" s="48" t="n">
        <x:v>0</x:v>
      </x:c>
      <x:c r="AI1209" s="48" t="n">
        <x:v>1.1920928955078125e-7</x:v>
      </x:c>
      <x:c r="AJ1209" s="37" t="str">
        <x:v>passed</x:v>
      </x:c>
    </x:row>
    <x:row r="1210" ht="21" customHeight="1">
      <x:c r="A1210" s="2"/>
      <x:c r="B1210" s="2"/>
      <x:c r="C1210" s="2" t="str">
        <x:v>2023</x:v>
      </x:c>
      <x:c r="D1210" s="5" t="n">
        <x:v>45002</x:v>
      </x:c>
      <x:c r="E1210" s="2" t="str">
        <x:v>constrained</x:v>
      </x:c>
      <x:c r="F1210" s="37" t="n">
        <x:v>11783107.400669161</x:v>
      </x:c>
      <x:c r="G1210" s="37" t="n">
        <x:v>-110395.64572401997</x:v>
      </x:c>
      <x:c r="H1210" s="37" t="n">
        <x:v>-18729.916051501375</x:v>
      </x:c>
      <x:c r="I1210" s="37" t="n">
        <x:v>-91665.72967251859</x:v>
      </x:c>
      <x:c r="J1210" s="37" t="n">
        <x:v>10735183.211499846</x:v>
      </x:c>
      <x:c r="K1210" s="37" t="n">
        <x:v>10845578.857223865</x:v>
      </x:c>
      <x:c r="L1210" s="37" t="n">
        <x:v>11672711.75494514</x:v>
      </x:c>
      <x:c r="M1210" s="37" t="n">
        <x:v>0</x:v>
      </x:c>
      <x:c r="N1210" s="37" t="n">
        <x:v>0</x:v>
      </x:c>
      <x:c r="O1210" s="37" t="n">
        <x:v>645.6143444571644</x:v>
      </x:c>
      <x:c r="P1210" s="37" t="n">
        <x:v>0</x:v>
      </x:c>
      <x:c r="Q1210" s="37" t="n">
        <x:v>0</x:v>
      </x:c>
      <x:c r="R1210" s="37" t="n">
        <x:v>0</x:v>
      </x:c>
      <x:c r="S1210" s="37" t="n">
        <x:v>0</x:v>
      </x:c>
      <x:c r="T1210" s="37" t="n">
        <x:v>0</x:v>
      </x:c>
      <x:c r="U1210" s="37" t="n">
        <x:v>37500</x:v>
      </x:c>
      <x:c r="V1210" s="37" t="n">
        <x:v>0</x:v>
      </x:c>
      <x:c r="W1210" s="37" t="n">
        <x:v>46734.5367964115</x:v>
      </x:c>
      <x:c r="X1210" s="37" t="n">
        <x:v>0</x:v>
      </x:c>
      <x:c r="Y1210" s="37" t="n">
        <x:v>2112.850059992143</x:v>
      </x:c>
      <x:c r="Z1210" s="37" t="n">
        <x:v>11062490.434368342</x:v>
      </x:c>
      <x:c r="AA1210" s="37" t="n">
        <x:v>0</x:v>
      </x:c>
      <x:c r="AB1210" s="37" t="n">
        <x:v>11062490.434368342</x:v>
      </x:c>
      <x:c r="AC1210" s="37" t="n">
        <x:v>720616.9663008191</x:v>
      </x:c>
      <x:c r="AD1210" s="37" t="n">
        <x:v>0</x:v>
      </x:c>
      <x:c r="AE1210" s="37" t="n">
        <x:v>0</x:v>
      </x:c>
      <x:c r="AF1210" s="47" t="b">
        <x:v>0</x:v>
      </x:c>
      <x:c r="AG1210" s="47" t="b">
        <x:v>0</x:v>
      </x:c>
      <x:c r="AH1210" s="48" t="n">
        <x:v>0</x:v>
      </x:c>
      <x:c r="AI1210" s="48" t="n">
        <x:v>1.1920928955078125e-7</x:v>
      </x:c>
      <x:c r="AJ1210" s="37" t="str">
        <x:v>passed</x:v>
      </x:c>
    </x:row>
    <x:row r="1211" ht="21" customHeight="1">
      <x:c r="A1211" s="2"/>
      <x:c r="B1211" s="2"/>
      <x:c r="C1211" s="2" t="str">
        <x:v>2023</x:v>
      </x:c>
      <x:c r="D1211" s="5" t="n">
        <x:v>45005</x:v>
      </x:c>
      <x:c r="E1211" s="2" t="str">
        <x:v>unhedged</x:v>
      </x:c>
      <x:c r="F1211" s="37" t="n">
        <x:v>1241528.189024801</x:v>
      </x:c>
      <x:c r="G1211" s="37" t="n">
        <x:v>10628149.68823952</x:v>
      </x:c>
      <x:c r="H1211" s="37" t="n">
        <x:v>27140.883977900554</x:v>
      </x:c>
      <x:c r="I1211" s="37" t="n">
        <x:v>10601008.80426162</x:v>
      </x:c>
      <x:c r="J1211" s="37" t="n">
        <x:v>10628149.68823952</x:v>
      </x:c>
      <x:c r="K1211" s="37" t="n">
        <x:v>0</x:v>
      </x:c>
      <x:c r="L1211" s="37" t="n">
        <x:v>11869677.87726432</x:v>
      </x:c>
      <x:c r="M1211" s="37" t="n">
        <x:v>0</x:v>
      </x:c>
      <x:c r="N1211" s="37" t="n">
        <x:v>0</x:v>
      </x:c>
      <x:c r="O1211" s="37" t="n">
        <x:v>204.0644619562663</x:v>
      </x:c>
      <x:c r="P1211" s="37" t="n">
        <x:v>0</x:v>
      </x:c>
      <x:c r="Q1211" s="37" t="n">
        <x:v>0</x:v>
      </x:c>
      <x:c r="R1211" s="37" t="n">
        <x:v>0</x:v>
      </x:c>
      <x:c r="S1211" s="37" t="n">
        <x:v>0</x:v>
      </x:c>
      <x:c r="T1211" s="37" t="n">
        <x:v>0</x:v>
      </x:c>
      <x:c r="U1211" s="37" t="n">
        <x:v>37500</x:v>
      </x:c>
      <x:c r="V1211" s="37" t="n">
        <x:v>0</x:v>
      </x:c>
      <x:c r="W1211" s="37" t="n">
        <x:v>5071.058366923127</x:v>
      </x:c>
      <x:c r="X1211" s="37" t="n">
        <x:v>0</x:v>
      </x:c>
      <x:c r="Y1211" s="37" t="n">
        <x:v>1042.869342122179</x:v>
      </x:c>
      <x:c r="Z1211" s="37" t="n">
        <x:v>0</x:v>
      </x:c>
      <x:c r="AA1211" s="37" t="n">
        <x:v>0</x:v>
      </x:c>
      <x:c r="AB1211" s="37" t="n">
        <x:v>0</x:v>
      </x:c>
      <x:c r="AC1211" s="37" t="n">
        <x:v>1241528.189024801</x:v>
      </x:c>
      <x:c r="AD1211" s="37" t="n">
        <x:v>0</x:v>
      </x:c>
      <x:c r="AE1211" s="37" t="n">
        <x:v>0</x:v>
      </x:c>
      <x:c r="AF1211" s="47" t="b">
        <x:v>0</x:v>
      </x:c>
      <x:c r="AG1211" s="47" t="b">
        <x:v>0</x:v>
      </x:c>
      <x:c r="AH1211" s="48" t="n">
        <x:v>0</x:v>
      </x:c>
      <x:c r="AI1211" s="48" t="n">
        <x:v>1.1920928955078125e-7</x:v>
      </x:c>
      <x:c r="AJ1211" s="37" t="str">
        <x:v>passed</x:v>
      </x:c>
    </x:row>
    <x:row r="1212" ht="21" customHeight="1">
      <x:c r="A1212" s="2"/>
      <x:c r="B1212" s="2"/>
      <x:c r="C1212" s="2" t="str">
        <x:v>2023</x:v>
      </x:c>
      <x:c r="D1212" s="5" t="n">
        <x:v>45005</x:v>
      </x:c>
      <x:c r="E1212" s="2" t="str">
        <x:v>duration</x:v>
      </x:c>
      <x:c r="F1212" s="37" t="n">
        <x:v>7805439.927831963</x:v>
      </x:c>
      <x:c r="G1212" s="37" t="n">
        <x:v>3898797.5914670667</x:v>
      </x:c>
      <x:c r="H1212" s="37" t="n">
        <x:v>-10751.466963910674</x:v>
      </x:c>
      <x:c r="I1212" s="37" t="n">
        <x:v>3909549.058430977</x:v>
      </x:c>
      <x:c r="J1212" s="37" t="n">
        <x:v>10628149.68823952</x:v>
      </x:c>
      <x:c r="K1212" s="37" t="n">
        <x:v>6729352.096772454</x:v>
      </x:c>
      <x:c r="L1212" s="37" t="n">
        <x:v>11704237.51929903</x:v>
      </x:c>
      <x:c r="M1212" s="37" t="n">
        <x:v>0</x:v>
      </x:c>
      <x:c r="N1212" s="37" t="n">
        <x:v>0</x:v>
      </x:c>
      <x:c r="O1212" s="37" t="n">
        <x:v>1282.9454162102193</x:v>
      </x:c>
      <x:c r="P1212" s="37" t="n">
        <x:v>0</x:v>
      </x:c>
      <x:c r="Q1212" s="37" t="n">
        <x:v>0</x:v>
      </x:c>
      <x:c r="R1212" s="37" t="n">
        <x:v>0</x:v>
      </x:c>
      <x:c r="S1212" s="37" t="n">
        <x:v>0</x:v>
      </x:c>
      <x:c r="T1212" s="37" t="n">
        <x:v>0</x:v>
      </x:c>
      <x:c r="U1212" s="37" t="n">
        <x:v>37500</x:v>
      </x:c>
      <x:c r="V1212" s="37" t="n">
        <x:v>0</x:v>
      </x:c>
      <x:c r="W1212" s="37" t="n">
        <x:v>32444.891968201846</x:v>
      </x:c>
      <x:c r="X1212" s="37" t="n">
        <x:v>0</x:v>
      </x:c>
      <x:c r="Y1212" s="37" t="n">
        <x:v>1712.5063178468959</x:v>
      </x:c>
      <x:c r="Z1212" s="37" t="n">
        <x:v>6863939.138707903</x:v>
      </x:c>
      <x:c r="AA1212" s="37" t="n">
        <x:v>0</x:v>
      </x:c>
      <x:c r="AB1212" s="37" t="n">
        <x:v>6863939.138707903</x:v>
      </x:c>
      <x:c r="AC1212" s="37" t="n">
        <x:v>941500.7891240595</x:v>
      </x:c>
      <x:c r="AD1212" s="37" t="n">
        <x:v>0</x:v>
      </x:c>
      <x:c r="AE1212" s="37" t="n">
        <x:v>0</x:v>
      </x:c>
      <x:c r="AF1212" s="47" t="b">
        <x:v>0</x:v>
      </x:c>
      <x:c r="AG1212" s="47" t="b">
        <x:v>0</x:v>
      </x:c>
      <x:c r="AH1212" s="48" t="n">
        <x:v>0</x:v>
      </x:c>
      <x:c r="AI1212" s="48" t="n">
        <x:v>5.960464477539063e-8</x:v>
      </x:c>
      <x:c r="AJ1212" s="37" t="str">
        <x:v>passed</x:v>
      </x:c>
    </x:row>
    <x:row r="1213" ht="21" customHeight="1">
      <x:c r="A1213" s="2"/>
      <x:c r="B1213" s="2"/>
      <x:c r="C1213" s="2" t="str">
        <x:v>2023</x:v>
      </x:c>
      <x:c r="D1213" s="5" t="n">
        <x:v>45005</x:v>
      </x:c>
      <x:c r="E1213" s="2" t="str">
        <x:v>unweighted</x:v>
      </x:c>
      <x:c r="F1213" s="37" t="n">
        <x:v>11235338.893142177</x:v>
      </x:c>
      <x:c r="G1213" s="37" t="n">
        <x:v>445825.2611795472</x:v>
      </x:c>
      <x:c r="H1213" s="37" t="n">
        <x:v>-17437.21836083902</x:v>
      </x:c>
      <x:c r="I1213" s="37" t="n">
        <x:v>463262.4795403862</x:v>
      </x:c>
      <x:c r="J1213" s="37" t="n">
        <x:v>10679045.51242959</x:v>
      </x:c>
      <x:c r="K1213" s="37" t="n">
        <x:v>10233220.251250042</x:v>
      </x:c>
      <x:c r="L1213" s="37" t="n">
        <x:v>11681164.154321725</x:v>
      </x:c>
      <x:c r="M1213" s="37" t="n">
        <x:v>0</x:v>
      </x:c>
      <x:c r="N1213" s="37" t="n">
        <x:v>0</x:v>
      </x:c>
      <x:c r="O1213" s="37" t="n">
        <x:v>1846.7026414666325</x:v>
      </x:c>
      <x:c r="P1213" s="37" t="n">
        <x:v>0</x:v>
      </x:c>
      <x:c r="Q1213" s="37" t="n">
        <x:v>0</x:v>
      </x:c>
      <x:c r="R1213" s="37" t="n">
        <x:v>0</x:v>
      </x:c>
      <x:c r="S1213" s="37" t="n">
        <x:v>0</x:v>
      </x:c>
      <x:c r="T1213" s="37" t="n">
        <x:v>0</x:v>
      </x:c>
      <x:c r="U1213" s="37" t="n">
        <x:v>37500</x:v>
      </x:c>
      <x:c r="V1213" s="37" t="n">
        <x:v>0</x:v>
      </x:c>
      <x:c r="W1213" s="37" t="n">
        <x:v>45819.48504841514</x:v>
      </x:c>
      <x:c r="X1213" s="37" t="n">
        <x:v>0</x:v>
      </x:c>
      <x:c r="Y1213" s="37" t="n">
        <x:v>2048.100493389845</x:v>
      </x:c>
      <x:c r="Z1213" s="37" t="n">
        <x:v>10437884.656275043</x:v>
      </x:c>
      <x:c r="AA1213" s="37" t="n">
        <x:v>0</x:v>
      </x:c>
      <x:c r="AB1213" s="37" t="n">
        <x:v>10437884.656275043</x:v>
      </x:c>
      <x:c r="AC1213" s="37" t="n">
        <x:v>797454.2368671335</x:v>
      </x:c>
      <x:c r="AD1213" s="37" t="n">
        <x:v>0</x:v>
      </x:c>
      <x:c r="AE1213" s="37" t="n">
        <x:v>0</x:v>
      </x:c>
      <x:c r="AF1213" s="47" t="b">
        <x:v>0</x:v>
      </x:c>
      <x:c r="AG1213" s="47" t="b">
        <x:v>0</x:v>
      </x:c>
      <x:c r="AH1213" s="48" t="n">
        <x:v>0</x:v>
      </x:c>
      <x:c r="AI1213" s="48" t="n">
        <x:v>1.1920928955078125e-7</x:v>
      </x:c>
      <x:c r="AJ1213" s="37" t="str">
        <x:v>passed</x:v>
      </x:c>
    </x:row>
    <x:row r="1214" ht="21" customHeight="1">
      <x:c r="A1214" s="2"/>
      <x:c r="B1214" s="2"/>
      <x:c r="C1214" s="2" t="str">
        <x:v>2023</x:v>
      </x:c>
      <x:c r="D1214" s="5" t="n">
        <x:v>45005</x:v>
      </x:c>
      <x:c r="E1214" s="2" t="str">
        <x:v>constrained</x:v>
      </x:c>
      <x:c r="F1214" s="37" t="n">
        <x:v>11785044.455967057</x:v>
      </x:c>
      <x:c r="G1214" s="37" t="n">
        <x:v>-110545.63733246768</x:v>
      </x:c>
      <x:c r="H1214" s="37" t="n">
        <x:v>-18839.083506653795</x:v>
      </x:c>
      <x:c r="I1214" s="37" t="n">
        <x:v>-91706.55382581388</x:v>
      </x:c>
      <x:c r="J1214" s="37" t="n">
        <x:v>10683481.48669433</x:v>
      </x:c>
      <x:c r="K1214" s="37" t="n">
        <x:v>10794027.124026798</x:v>
      </x:c>
      <x:c r="L1214" s="37" t="n">
        <x:v>11674498.81863459</x:v>
      </x:c>
      <x:c r="M1214" s="37" t="n">
        <x:v>0</x:v>
      </x:c>
      <x:c r="N1214" s="37" t="n">
        <x:v>0</x:v>
      </x:c>
      <x:c r="O1214" s="37" t="n">
        <x:v>1937.055297896266</x:v>
      </x:c>
      <x:c r="P1214" s="37" t="n">
        <x:v>0</x:v>
      </x:c>
      <x:c r="Q1214" s="37" t="n">
        <x:v>0</x:v>
      </x:c>
      <x:c r="R1214" s="37" t="n">
        <x:v>0</x:v>
      </x:c>
      <x:c r="S1214" s="37" t="n">
        <x:v>0</x:v>
      </x:c>
      <x:c r="T1214" s="37" t="n">
        <x:v>0</x:v>
      </x:c>
      <x:c r="U1214" s="37" t="n">
        <x:v>37500</x:v>
      </x:c>
      <x:c r="V1214" s="37" t="n">
        <x:v>0</x:v>
      </x:c>
      <x:c r="W1214" s="37" t="n">
        <x:v>48671.592094307765</x:v>
      </x:c>
      <x:c r="X1214" s="37" t="n">
        <x:v>0</x:v>
      </x:c>
      <x:c r="Y1214" s="37" t="n">
        <x:v>2112.850059992143</x:v>
      </x:c>
      <x:c r="Z1214" s="37" t="n">
        <x:v>11009907.666507334</x:v>
      </x:c>
      <x:c r="AA1214" s="37" t="n">
        <x:v>0</x:v>
      </x:c>
      <x:c r="AB1214" s="37" t="n">
        <x:v>11009907.666507334</x:v>
      </x:c>
      <x:c r="AC1214" s="37" t="n">
        <x:v>775136.789459724</x:v>
      </x:c>
      <x:c r="AD1214" s="37" t="n">
        <x:v>0</x:v>
      </x:c>
      <x:c r="AE1214" s="37" t="n">
        <x:v>0</x:v>
      </x:c>
      <x:c r="AF1214" s="47" t="b">
        <x:v>0</x:v>
      </x:c>
      <x:c r="AG1214" s="47" t="b">
        <x:v>0</x:v>
      </x:c>
      <x:c r="AH1214" s="48" t="n">
        <x:v>0</x:v>
      </x:c>
      <x:c r="AI1214" s="48" t="n">
        <x:v>1.1920928955078125e-7</x:v>
      </x:c>
      <x:c r="AJ1214" s="37" t="str">
        <x:v>passed</x:v>
      </x:c>
    </x:row>
    <x:row r="1215" ht="21" customHeight="1">
      <x:c r="A1215" s="2"/>
      <x:c r="B1215" s="2"/>
      <x:c r="C1215" s="2" t="str">
        <x:v>2023</x:v>
      </x:c>
      <x:c r="D1215" s="5" t="n">
        <x:v>45006</x:v>
      </x:c>
      <x:c r="E1215" s="2" t="str">
        <x:v>unhedged</x:v>
      </x:c>
      <x:c r="F1215" s="37" t="n">
        <x:v>1241596.2179666653</x:v>
      </x:c>
      <x:c r="G1215" s="37" t="n">
        <x:v>10559169.168923443</x:v>
      </x:c>
      <x:c r="H1215" s="37" t="n">
        <x:v>27493.093922651933</x:v>
      </x:c>
      <x:c r="I1215" s="37" t="n">
        <x:v>10531676.07500079</x:v>
      </x:c>
      <x:c r="J1215" s="37" t="n">
        <x:v>10559169.168923443</x:v>
      </x:c>
      <x:c r="K1215" s="37" t="n">
        <x:v>0</x:v>
      </x:c>
      <x:c r="L1215" s="37" t="n">
        <x:v>11800765.386890108</x:v>
      </x:c>
      <x:c r="M1215" s="37" t="n">
        <x:v>0</x:v>
      </x:c>
      <x:c r="N1215" s="37" t="n">
        <x:v>0</x:v>
      </x:c>
      <x:c r="O1215" s="37" t="n">
        <x:v>68.02894186438061</x:v>
      </x:c>
      <x:c r="P1215" s="37" t="n">
        <x:v>0</x:v>
      </x:c>
      <x:c r="Q1215" s="37" t="n">
        <x:v>0</x:v>
      </x:c>
      <x:c r="R1215" s="37" t="n">
        <x:v>0</x:v>
      </x:c>
      <x:c r="S1215" s="37" t="n">
        <x:v>0</x:v>
      </x:c>
      <x:c r="T1215" s="37" t="n">
        <x:v>0</x:v>
      </x:c>
      <x:c r="U1215" s="37" t="n">
        <x:v>37500</x:v>
      </x:c>
      <x:c r="V1215" s="37" t="n">
        <x:v>0</x:v>
      </x:c>
      <x:c r="W1215" s="37" t="n">
        <x:v>5139.087308787508</x:v>
      </x:c>
      <x:c r="X1215" s="37" t="n">
        <x:v>0</x:v>
      </x:c>
      <x:c r="Y1215" s="37" t="n">
        <x:v>1042.869342122179</x:v>
      </x:c>
      <x:c r="Z1215" s="37" t="n">
        <x:v>0</x:v>
      </x:c>
      <x:c r="AA1215" s="37" t="n">
        <x:v>0</x:v>
      </x:c>
      <x:c r="AB1215" s="37" t="n">
        <x:v>0</x:v>
      </x:c>
      <x:c r="AC1215" s="37" t="n">
        <x:v>1241596.2179666653</x:v>
      </x:c>
      <x:c r="AD1215" s="37" t="n">
        <x:v>0</x:v>
      </x:c>
      <x:c r="AE1215" s="37" t="n">
        <x:v>0</x:v>
      </x:c>
      <x:c r="AF1215" s="47" t="b">
        <x:v>0</x:v>
      </x:c>
      <x:c r="AG1215" s="47" t="b">
        <x:v>0</x:v>
      </x:c>
      <x:c r="AH1215" s="48" t="n">
        <x:v>0</x:v>
      </x:c>
      <x:c r="AI1215" s="48" t="n">
        <x:v>1.1920928955078125e-7</x:v>
      </x:c>
      <x:c r="AJ1215" s="37" t="str">
        <x:v>passed</x:v>
      </x:c>
    </x:row>
    <x:row r="1216" ht="21" customHeight="1">
      <x:c r="A1216" s="2"/>
      <x:c r="B1216" s="2"/>
      <x:c r="C1216" s="2" t="str">
        <x:v>2023</x:v>
      </x:c>
      <x:c r="D1216" s="5" t="n">
        <x:v>45006</x:v>
      </x:c>
      <x:c r="E1216" s="2" t="str">
        <x:v>duration</x:v>
      </x:c>
      <x:c r="F1216" s="37" t="n">
        <x:v>7805867.623170474</x:v>
      </x:c>
      <x:c r="G1216" s="37" t="n">
        <x:v>3888564.9722313075</x:v>
      </x:c>
      <x:c r="H1216" s="37" t="n">
        <x:v>-10702.395826693792</x:v>
      </x:c>
      <x:c r="I1216" s="37" t="n">
        <x:v>3899267.368058001</x:v>
      </x:c>
      <x:c r="J1216" s="37" t="n">
        <x:v>10559169.168923443</x:v>
      </x:c>
      <x:c r="K1216" s="37" t="n">
        <x:v>6670604.196692135</x:v>
      </x:c>
      <x:c r="L1216" s="37" t="n">
        <x:v>11694432.59540178</x:v>
      </x:c>
      <x:c r="M1216" s="37" t="n">
        <x:v>0</x:v>
      </x:c>
      <x:c r="N1216" s="37" t="n">
        <x:v>0</x:v>
      </x:c>
      <x:c r="O1216" s="37" t="n">
        <x:v>427.6953385109082</x:v>
      </x:c>
      <x:c r="P1216" s="37" t="n">
        <x:v>0</x:v>
      </x:c>
      <x:c r="Q1216" s="37" t="n">
        <x:v>0</x:v>
      </x:c>
      <x:c r="R1216" s="37" t="n">
        <x:v>0</x:v>
      </x:c>
      <x:c r="S1216" s="37" t="n">
        <x:v>0</x:v>
      </x:c>
      <x:c r="T1216" s="37" t="n">
        <x:v>0</x:v>
      </x:c>
      <x:c r="U1216" s="37" t="n">
        <x:v>37500</x:v>
      </x:c>
      <x:c r="V1216" s="37" t="n">
        <x:v>0</x:v>
      </x:c>
      <x:c r="W1216" s="37" t="n">
        <x:v>32872.587306712754</x:v>
      </x:c>
      <x:c r="X1216" s="37" t="n">
        <x:v>0</x:v>
      </x:c>
      <x:c r="Y1216" s="37" t="n">
        <x:v>1712.5063178468959</x:v>
      </x:c>
      <x:c r="Z1216" s="37" t="n">
        <x:v>6804016.280625978</x:v>
      </x:c>
      <x:c r="AA1216" s="37" t="n">
        <x:v>0</x:v>
      </x:c>
      <x:c r="AB1216" s="37" t="n">
        <x:v>6804016.280625978</x:v>
      </x:c>
      <x:c r="AC1216" s="37" t="n">
        <x:v>1001851.3425444961</x:v>
      </x:c>
      <x:c r="AD1216" s="37" t="n">
        <x:v>0</x:v>
      </x:c>
      <x:c r="AE1216" s="37" t="n">
        <x:v>0</x:v>
      </x:c>
      <x:c r="AF1216" s="47" t="b">
        <x:v>0</x:v>
      </x:c>
      <x:c r="AG1216" s="47" t="b">
        <x:v>0</x:v>
      </x:c>
      <x:c r="AH1216" s="48" t="n">
        <x:v>0</x:v>
      </x:c>
      <x:c r="AI1216" s="48" t="n">
        <x:v>5.960464477539063e-8</x:v>
      </x:c>
      <x:c r="AJ1216" s="37" t="str">
        <x:v>passed</x:v>
      </x:c>
    </x:row>
    <x:row r="1217" ht="21" customHeight="1">
      <x:c r="A1217" s="2"/>
      <x:c r="B1217" s="2"/>
      <x:c r="C1217" s="2" t="str">
        <x:v>2023</x:v>
      </x:c>
      <x:c r="D1217" s="5" t="n">
        <x:v>45006</x:v>
      </x:c>
      <x:c r="E1217" s="2" t="str">
        <x:v>unweighted</x:v>
      </x:c>
      <x:c r="F1217" s="37" t="n">
        <x:v>11235954.528150018</x:v>
      </x:c>
      <x:c r="G1217" s="37" t="n">
        <x:v>444427.99562546186</x:v>
      </x:c>
      <x:c r="H1217" s="37" t="n">
        <x:v>-17460.953178358865</x:v>
      </x:c>
      <x:c r="I1217" s="37" t="n">
        <x:v>461888.9488038207</x:v>
      </x:c>
      <x:c r="J1217" s="37" t="n">
        <x:v>10609452.09844689</x:v>
      </x:c>
      <x:c r="K1217" s="37" t="n">
        <x:v>10165024.102821428</x:v>
      </x:c>
      <x:c r="L1217" s="37" t="n">
        <x:v>11680382.52377548</x:v>
      </x:c>
      <x:c r="M1217" s="37" t="n">
        <x:v>0</x:v>
      </x:c>
      <x:c r="N1217" s="37" t="n">
        <x:v>0</x:v>
      </x:c>
      <x:c r="O1217" s="37" t="n">
        <x:v>615.6350078415126</x:v>
      </x:c>
      <x:c r="P1217" s="37" t="n">
        <x:v>0</x:v>
      </x:c>
      <x:c r="Q1217" s="37" t="n">
        <x:v>0</x:v>
      </x:c>
      <x:c r="R1217" s="37" t="n">
        <x:v>0</x:v>
      </x:c>
      <x:c r="S1217" s="37" t="n">
        <x:v>0</x:v>
      </x:c>
      <x:c r="T1217" s="37" t="n">
        <x:v>0</x:v>
      </x:c>
      <x:c r="U1217" s="37" t="n">
        <x:v>37500</x:v>
      </x:c>
      <x:c r="V1217" s="37" t="n">
        <x:v>0</x:v>
      </x:c>
      <x:c r="W1217" s="37" t="n">
        <x:v>46435.12005625665</x:v>
      </x:c>
      <x:c r="X1217" s="37" t="n">
        <x:v>0</x:v>
      </x:c>
      <x:c r="Y1217" s="37" t="n">
        <x:v>2048.100493389845</x:v>
      </x:c>
      <x:c r="Z1217" s="37" t="n">
        <x:v>10368324.584877858</x:v>
      </x:c>
      <x:c r="AA1217" s="37" t="n">
        <x:v>0</x:v>
      </x:c>
      <x:c r="AB1217" s="37" t="n">
        <x:v>10368324.584877858</x:v>
      </x:c>
      <x:c r="AC1217" s="37" t="n">
        <x:v>867629.9432721604</x:v>
      </x:c>
      <x:c r="AD1217" s="37" t="n">
        <x:v>0</x:v>
      </x:c>
      <x:c r="AE1217" s="37" t="n">
        <x:v>0</x:v>
      </x:c>
      <x:c r="AF1217" s="47" t="b">
        <x:v>0</x:v>
      </x:c>
      <x:c r="AG1217" s="47" t="b">
        <x:v>0</x:v>
      </x:c>
      <x:c r="AH1217" s="48" t="n">
        <x:v>0</x:v>
      </x:c>
      <x:c r="AI1217" s="48" t="n">
        <x:v>1.1920928955078125e-7</x:v>
      </x:c>
      <x:c r="AJ1217" s="37" t="str">
        <x:v>passed</x:v>
      </x:c>
    </x:row>
    <x:row r="1218" ht="21" customHeight="1">
      <x:c r="A1218" s="2"/>
      <x:c r="B1218" s="2"/>
      <x:c r="C1218" s="2" t="str">
        <x:v>2023</x:v>
      </x:c>
      <x:c r="D1218" s="5" t="n">
        <x:v>45006</x:v>
      </x:c>
      <x:c r="E1218" s="2" t="str">
        <x:v>constrained</x:v>
      </x:c>
      <x:c r="F1218" s="37" t="n">
        <x:v>11785690.211827656</x:v>
      </x:c>
      <x:c r="G1218" s="37" t="n">
        <x:v>-110203.67176434281</x:v>
      </x:c>
      <x:c r="H1218" s="37" t="n">
        <x:v>-18875.47265837127</x:v>
      </x:c>
      <x:c r="I1218" s="37" t="n">
        <x:v>-91328.19910597155</x:v>
      </x:c>
      <x:c r="J1218" s="37" t="n">
        <x:v>10613834.767023992</x:v>
      </x:c>
      <x:c r="K1218" s="37" t="n">
        <x:v>10724038.438788336</x:v>
      </x:c>
      <x:c r="L1218" s="37" t="n">
        <x:v>11675486.540063314</x:v>
      </x:c>
      <x:c r="M1218" s="37" t="n">
        <x:v>0</x:v>
      </x:c>
      <x:c r="N1218" s="37" t="n">
        <x:v>0</x:v>
      </x:c>
      <x:c r="O1218" s="37" t="n">
        <x:v>645.7558605987579</x:v>
      </x:c>
      <x:c r="P1218" s="37" t="n">
        <x:v>0</x:v>
      </x:c>
      <x:c r="Q1218" s="37" t="n">
        <x:v>0</x:v>
      </x:c>
      <x:c r="R1218" s="37" t="n">
        <x:v>0</x:v>
      </x:c>
      <x:c r="S1218" s="37" t="n">
        <x:v>0</x:v>
      </x:c>
      <x:c r="T1218" s="37" t="n">
        <x:v>0</x:v>
      </x:c>
      <x:c r="U1218" s="37" t="n">
        <x:v>37500</x:v>
      </x:c>
      <x:c r="V1218" s="37" t="n">
        <x:v>0</x:v>
      </x:c>
      <x:c r="W1218" s="37" t="n">
        <x:v>49317.34795490652</x:v>
      </x:c>
      <x:c r="X1218" s="37" t="n">
        <x:v>0</x:v>
      </x:c>
      <x:c r="Y1218" s="37" t="n">
        <x:v>2112.850059992143</x:v>
      </x:c>
      <x:c r="Z1218" s="37" t="n">
        <x:v>10938519.207564102</x:v>
      </x:c>
      <x:c r="AA1218" s="37" t="n">
        <x:v>0</x:v>
      </x:c>
      <x:c r="AB1218" s="37" t="n">
        <x:v>10938519.207564102</x:v>
      </x:c>
      <x:c r="AC1218" s="37" t="n">
        <x:v>847171.0042635538</x:v>
      </x:c>
      <x:c r="AD1218" s="37" t="n">
        <x:v>0</x:v>
      </x:c>
      <x:c r="AE1218" s="37" t="n">
        <x:v>0</x:v>
      </x:c>
      <x:c r="AF1218" s="47" t="b">
        <x:v>0</x:v>
      </x:c>
      <x:c r="AG1218" s="47" t="b">
        <x:v>0</x:v>
      </x:c>
      <x:c r="AH1218" s="48" t="n">
        <x:v>0</x:v>
      </x:c>
      <x:c r="AI1218" s="48" t="n">
        <x:v>1.1920928955078125e-7</x:v>
      </x:c>
      <x:c r="AJ1218" s="37" t="str">
        <x:v>passed</x:v>
      </x:c>
    </x:row>
    <x:row r="1219" ht="21" customHeight="1">
      <x:c r="A1219" s="2"/>
      <x:c r="B1219" s="2"/>
      <x:c r="C1219" s="2" t="str">
        <x:v>2023</x:v>
      </x:c>
      <x:c r="D1219" s="5" t="n">
        <x:v>45007</x:v>
      </x:c>
      <x:c r="E1219" s="2" t="str">
        <x:v>unhedged</x:v>
      </x:c>
      <x:c r="F1219" s="37" t="n">
        <x:v>1241664.250636143</x:v>
      </x:c>
      <x:c r="G1219" s="37" t="n">
        <x:v>10637037.595442642</x:v>
      </x:c>
      <x:c r="H1219" s="37" t="n">
        <x:v>27845.303867403312</x:v>
      </x:c>
      <x:c r="I1219" s="37" t="n">
        <x:v>10609192.291575238</x:v>
      </x:c>
      <x:c r="J1219" s="37" t="n">
        <x:v>10637037.595442642</x:v>
      </x:c>
      <x:c r="K1219" s="37" t="n">
        <x:v>0</x:v>
      </x:c>
      <x:c r="L1219" s="37" t="n">
        <x:v>11878701.846078785</x:v>
      </x:c>
      <x:c r="M1219" s="37" t="n">
        <x:v>0</x:v>
      </x:c>
      <x:c r="N1219" s="37" t="n">
        <x:v>0</x:v>
      </x:c>
      <x:c r="O1219" s="37" t="n">
        <x:v>68.0326694776304</x:v>
      </x:c>
      <x:c r="P1219" s="37" t="n">
        <x:v>0</x:v>
      </x:c>
      <x:c r="Q1219" s="37" t="n">
        <x:v>0</x:v>
      </x:c>
      <x:c r="R1219" s="37" t="n">
        <x:v>0</x:v>
      </x:c>
      <x:c r="S1219" s="37" t="n">
        <x:v>0</x:v>
      </x:c>
      <x:c r="T1219" s="37" t="n">
        <x:v>0</x:v>
      </x:c>
      <x:c r="U1219" s="37" t="n">
        <x:v>37500</x:v>
      </x:c>
      <x:c r="V1219" s="37" t="n">
        <x:v>0</x:v>
      </x:c>
      <x:c r="W1219" s="37" t="n">
        <x:v>5207.119978265138</x:v>
      </x:c>
      <x:c r="X1219" s="37" t="n">
        <x:v>0</x:v>
      </x:c>
      <x:c r="Y1219" s="37" t="n">
        <x:v>1042.869342122179</x:v>
      </x:c>
      <x:c r="Z1219" s="37" t="n">
        <x:v>0</x:v>
      </x:c>
      <x:c r="AA1219" s="37" t="n">
        <x:v>0</x:v>
      </x:c>
      <x:c r="AB1219" s="37" t="n">
        <x:v>0</x:v>
      </x:c>
      <x:c r="AC1219" s="37" t="n">
        <x:v>1241664.250636143</x:v>
      </x:c>
      <x:c r="AD1219" s="37" t="n">
        <x:v>0</x:v>
      </x:c>
      <x:c r="AE1219" s="37" t="n">
        <x:v>0</x:v>
      </x:c>
      <x:c r="AF1219" s="47" t="b">
        <x:v>0</x:v>
      </x:c>
      <x:c r="AG1219" s="47" t="b">
        <x:v>0</x:v>
      </x:c>
      <x:c r="AH1219" s="48" t="n">
        <x:v>0</x:v>
      </x:c>
      <x:c r="AI1219" s="48" t="n">
        <x:v>1.1920928955078125e-7</x:v>
      </x:c>
      <x:c r="AJ1219" s="37" t="str">
        <x:v>passed</x:v>
      </x:c>
    </x:row>
    <x:row r="1220" ht="21" customHeight="1">
      <x:c r="A1220" s="2"/>
      <x:c r="B1220" s="2"/>
      <x:c r="C1220" s="2" t="str">
        <x:v>2023</x:v>
      </x:c>
      <x:c r="D1220" s="5" t="n">
        <x:v>45007</x:v>
      </x:c>
      <x:c r="E1220" s="2" t="str">
        <x:v>duration</x:v>
      </x:c>
      <x:c r="F1220" s="37" t="n">
        <x:v>7806295.341944347</x:v>
      </x:c>
      <x:c r="G1220" s="37" t="n">
        <x:v>3900205.44760649</x:v>
      </x:c>
      <x:c r="H1220" s="37" t="n">
        <x:v>-10653.324689476898</x:v>
      </x:c>
      <x:c r="I1220" s="37" t="n">
        <x:v>3910858.7722959667</x:v>
      </x:c>
      <x:c r="J1220" s="37" t="n">
        <x:v>10637037.595442642</x:v>
      </x:c>
      <x:c r="K1220" s="37" t="n">
        <x:v>6736832.1478361515</x:v>
      </x:c>
      <x:c r="L1220" s="37" t="n">
        <x:v>11706500.789550837</x:v>
      </x:c>
      <x:c r="M1220" s="37" t="n">
        <x:v>0</x:v>
      </x:c>
      <x:c r="N1220" s="37" t="n">
        <x:v>0</x:v>
      </x:c>
      <x:c r="O1220" s="37" t="n">
        <x:v>427.7187738735229</x:v>
      </x:c>
      <x:c r="P1220" s="37" t="n">
        <x:v>0</x:v>
      </x:c>
      <x:c r="Q1220" s="37" t="n">
        <x:v>0</x:v>
      </x:c>
      <x:c r="R1220" s="37" t="n">
        <x:v>0</x:v>
      </x:c>
      <x:c r="S1220" s="37" t="n">
        <x:v>0</x:v>
      </x:c>
      <x:c r="T1220" s="37" t="n">
        <x:v>0</x:v>
      </x:c>
      <x:c r="U1220" s="37" t="n">
        <x:v>37500</x:v>
      </x:c>
      <x:c r="V1220" s="37" t="n">
        <x:v>0</x:v>
      </x:c>
      <x:c r="W1220" s="37" t="n">
        <x:v>33300.30608058628</x:v>
      </x:c>
      <x:c r="X1220" s="37" t="n">
        <x:v>0</x:v>
      </x:c>
      <x:c r="Y1220" s="37" t="n">
        <x:v>1712.5063178468959</x:v>
      </x:c>
      <x:c r="Z1220" s="37" t="n">
        <x:v>6871568.790792875</x:v>
      </x:c>
      <x:c r="AA1220" s="37" t="n">
        <x:v>0</x:v>
      </x:c>
      <x:c r="AB1220" s="37" t="n">
        <x:v>6871568.790792875</x:v>
      </x:c>
      <x:c r="AC1220" s="37" t="n">
        <x:v>934726.5511514721</x:v>
      </x:c>
      <x:c r="AD1220" s="37" t="n">
        <x:v>0</x:v>
      </x:c>
      <x:c r="AE1220" s="37" t="n">
        <x:v>0</x:v>
      </x:c>
      <x:c r="AF1220" s="47" t="b">
        <x:v>0</x:v>
      </x:c>
      <x:c r="AG1220" s="47" t="b">
        <x:v>0</x:v>
      </x:c>
      <x:c r="AH1220" s="48" t="n">
        <x:v>0</x:v>
      </x:c>
      <x:c r="AI1220" s="48" t="n">
        <x:v>5.960464477539063e-8</x:v>
      </x:c>
      <x:c r="AJ1220" s="37" t="str">
        <x:v>passed</x:v>
      </x:c>
    </x:row>
    <x:row r="1221" ht="21" customHeight="1">
      <x:c r="A1221" s="2"/>
      <x:c r="B1221" s="2"/>
      <x:c r="C1221" s="2" t="str">
        <x:v>2023</x:v>
      </x:c>
      <x:c r="D1221" s="5" t="n">
        <x:v>45007</x:v>
      </x:c>
      <x:c r="E1221" s="2" t="str">
        <x:v>unweighted</x:v>
      </x:c>
      <x:c r="F1221" s="37" t="n">
        <x:v>11236570.196891287</x:v>
      </x:c>
      <x:c r="G1221" s="37" t="n">
        <x:v>446290.590055176</x:v>
      </x:c>
      <x:c r="H1221" s="37" t="n">
        <x:v>-17484.68799587871</x:v>
      </x:c>
      <x:c r="I1221" s="37" t="n">
        <x:v>463775.2780510547</x:v>
      </x:c>
      <x:c r="J1221" s="37" t="n">
        <x:v>10687800.05916936</x:v>
      </x:c>
      <x:c r="K1221" s="37" t="n">
        <x:v>10241509.469114184</x:v>
      </x:c>
      <x:c r="L1221" s="37" t="n">
        <x:v>11682860.786946462</x:v>
      </x:c>
      <x:c r="M1221" s="37" t="n">
        <x:v>0</x:v>
      </x:c>
      <x:c r="N1221" s="37" t="n">
        <x:v>0</x:v>
      </x:c>
      <x:c r="O1221" s="37" t="n">
        <x:v>615.6687412690371</x:v>
      </x:c>
      <x:c r="P1221" s="37" t="n">
        <x:v>0</x:v>
      </x:c>
      <x:c r="Q1221" s="37" t="n">
        <x:v>0</x:v>
      </x:c>
      <x:c r="R1221" s="37" t="n">
        <x:v>0</x:v>
      </x:c>
      <x:c r="S1221" s="37" t="n">
        <x:v>0</x:v>
      </x:c>
      <x:c r="T1221" s="37" t="n">
        <x:v>0</x:v>
      </x:c>
      <x:c r="U1221" s="37" t="n">
        <x:v>37500</x:v>
      </x:c>
      <x:c r="V1221" s="37" t="n">
        <x:v>0</x:v>
      </x:c>
      <x:c r="W1221" s="37" t="n">
        <x:v>47050.78879752569</x:v>
      </x:c>
      <x:c r="X1221" s="37" t="n">
        <x:v>0</x:v>
      </x:c>
      <x:c r="Y1221" s="37" t="n">
        <x:v>2048.100493389845</x:v>
      </x:c>
      <x:c r="Z1221" s="37" t="n">
        <x:v>10446339.658496467</x:v>
      </x:c>
      <x:c r="AA1221" s="37" t="n">
        <x:v>0</x:v>
      </x:c>
      <x:c r="AB1221" s="37" t="n">
        <x:v>10446339.658496467</x:v>
      </x:c>
      <x:c r="AC1221" s="37" t="n">
        <x:v>790230.53839482</x:v>
      </x:c>
      <x:c r="AD1221" s="37" t="n">
        <x:v>0</x:v>
      </x:c>
      <x:c r="AE1221" s="37" t="n">
        <x:v>0</x:v>
      </x:c>
      <x:c r="AF1221" s="47" t="b">
        <x:v>0</x:v>
      </x:c>
      <x:c r="AG1221" s="47" t="b">
        <x:v>0</x:v>
      </x:c>
      <x:c r="AH1221" s="48" t="n">
        <x:v>0</x:v>
      </x:c>
      <x:c r="AI1221" s="48" t="n">
        <x:v>1.1920928955078125e-7</x:v>
      </x:c>
      <x:c r="AJ1221" s="37" t="str">
        <x:v>passed</x:v>
      </x:c>
    </x:row>
    <x:row r="1222" ht="21" customHeight="1">
      <x:c r="A1222" s="2"/>
      <x:c r="B1222" s="2"/>
      <x:c r="C1222" s="2" t="str">
        <x:v>2023</x:v>
      </x:c>
      <x:c r="D1222" s="5" t="n">
        <x:v>45007</x:v>
      </x:c>
      <x:c r="E1222" s="2" t="str">
        <x:v>constrained</x:v>
      </x:c>
      <x:c r="F1222" s="37" t="n">
        <x:v>11786336.003072143</x:v>
      </x:c>
      <x:c r="G1222" s="37" t="n">
        <x:v>-110099.04462977407</x:v>
      </x:c>
      <x:c r="H1222" s="37" t="n">
        <x:v>-18911.861810088747</x:v>
      </x:c>
      <x:c r="I1222" s="37" t="n">
        <x:v>-91187.18281968532</x:v>
      </x:c>
      <x:c r="J1222" s="37" t="n">
        <x:v>10692224.471619567</x:v>
      </x:c>
      <x:c r="K1222" s="37" t="n">
        <x:v>10802323.516249342</x:v>
      </x:c>
      <x:c r="L1222" s="37" t="n">
        <x:v>11676236.958442368</x:v>
      </x:c>
      <x:c r="M1222" s="37" t="n">
        <x:v>0</x:v>
      </x:c>
      <x:c r="N1222" s="37" t="n">
        <x:v>0</x:v>
      </x:c>
      <x:c r="O1222" s="37" t="n">
        <x:v>645.7912444863468</x:v>
      </x:c>
      <x:c r="P1222" s="37" t="n">
        <x:v>0</x:v>
      </x:c>
      <x:c r="Q1222" s="37" t="n">
        <x:v>0</x:v>
      </x:c>
      <x:c r="R1222" s="37" t="n">
        <x:v>0</x:v>
      </x:c>
      <x:c r="S1222" s="37" t="n">
        <x:v>0</x:v>
      </x:c>
      <x:c r="T1222" s="37" t="n">
        <x:v>0</x:v>
      </x:c>
      <x:c r="U1222" s="37" t="n">
        <x:v>37500</x:v>
      </x:c>
      <x:c r="V1222" s="37" t="n">
        <x:v>0</x:v>
      </x:c>
      <x:c r="W1222" s="37" t="n">
        <x:v>49963.13919939287</x:v>
      </x:c>
      <x:c r="X1222" s="37" t="n">
        <x:v>0</x:v>
      </x:c>
      <x:c r="Y1222" s="37" t="n">
        <x:v>2112.850059992143</x:v>
      </x:c>
      <x:c r="Z1222" s="37" t="n">
        <x:v>11018369.98657433</x:v>
      </x:c>
      <x:c r="AA1222" s="37" t="n">
        <x:v>0</x:v>
      </x:c>
      <x:c r="AB1222" s="37" t="n">
        <x:v>11018369.98657433</x:v>
      </x:c>
      <x:c r="AC1222" s="37" t="n">
        <x:v>767966.0164978132</x:v>
      </x:c>
      <x:c r="AD1222" s="37" t="n">
        <x:v>0</x:v>
      </x:c>
      <x:c r="AE1222" s="37" t="n">
        <x:v>0</x:v>
      </x:c>
      <x:c r="AF1222" s="47" t="b">
        <x:v>0</x:v>
      </x:c>
      <x:c r="AG1222" s="47" t="b">
        <x:v>0</x:v>
      </x:c>
      <x:c r="AH1222" s="48" t="n">
        <x:v>0</x:v>
      </x:c>
      <x:c r="AI1222" s="48" t="n">
        <x:v>1.1920928955078125e-7</x:v>
      </x:c>
      <x:c r="AJ1222" s="37" t="str">
        <x:v>passed</x:v>
      </x:c>
    </x:row>
    <x:row r="1223" ht="21" customHeight="1">
      <x:c r="A1223" s="2"/>
      <x:c r="B1223" s="2"/>
      <x:c r="C1223" s="2" t="str">
        <x:v>2023</x:v>
      </x:c>
      <x:c r="D1223" s="5" t="n">
        <x:v>45008</x:v>
      </x:c>
      <x:c r="E1223" s="2" t="str">
        <x:v>unhedged</x:v>
      </x:c>
      <x:c r="F1223" s="37" t="n">
        <x:v>1241732.2870334382</x:v>
      </x:c>
      <x:c r="G1223" s="37" t="n">
        <x:v>10705493.470377734</x:v>
      </x:c>
      <x:c r="H1223" s="37" t="n">
        <x:v>28197.513812154695</x:v>
      </x:c>
      <x:c r="I1223" s="37" t="n">
        <x:v>10677295.95656558</x:v>
      </x:c>
      <x:c r="J1223" s="37" t="n">
        <x:v>10705493.470377734</x:v>
      </x:c>
      <x:c r="K1223" s="37" t="n">
        <x:v>0</x:v>
      </x:c>
      <x:c r="L1223" s="37" t="n">
        <x:v>11947225.757411173</x:v>
      </x:c>
      <x:c r="M1223" s="37" t="n">
        <x:v>0</x:v>
      </x:c>
      <x:c r="N1223" s="37" t="n">
        <x:v>0</x:v>
      </x:c>
      <x:c r="O1223" s="37" t="n">
        <x:v>68.0363972953055</x:v>
      </x:c>
      <x:c r="P1223" s="37" t="n">
        <x:v>0</x:v>
      </x:c>
      <x:c r="Q1223" s="37" t="n">
        <x:v>0</x:v>
      </x:c>
      <x:c r="R1223" s="37" t="n">
        <x:v>0</x:v>
      </x:c>
      <x:c r="S1223" s="37" t="n">
        <x:v>0</x:v>
      </x:c>
      <x:c r="T1223" s="37" t="n">
        <x:v>0</x:v>
      </x:c>
      <x:c r="U1223" s="37" t="n">
        <x:v>37500</x:v>
      </x:c>
      <x:c r="V1223" s="37" t="n">
        <x:v>0</x:v>
      </x:c>
      <x:c r="W1223" s="37" t="n">
        <x:v>5275.156375560444</x:v>
      </x:c>
      <x:c r="X1223" s="37" t="n">
        <x:v>0</x:v>
      </x:c>
      <x:c r="Y1223" s="37" t="n">
        <x:v>1042.869342122179</x:v>
      </x:c>
      <x:c r="Z1223" s="37" t="n">
        <x:v>0</x:v>
      </x:c>
      <x:c r="AA1223" s="37" t="n">
        <x:v>0</x:v>
      </x:c>
      <x:c r="AB1223" s="37" t="n">
        <x:v>0</x:v>
      </x:c>
      <x:c r="AC1223" s="37" t="n">
        <x:v>1241732.2870334382</x:v>
      </x:c>
      <x:c r="AD1223" s="37" t="n">
        <x:v>0</x:v>
      </x:c>
      <x:c r="AE1223" s="37" t="n">
        <x:v>0</x:v>
      </x:c>
      <x:c r="AF1223" s="47" t="b">
        <x:v>0</x:v>
      </x:c>
      <x:c r="AG1223" s="47" t="b">
        <x:v>0</x:v>
      </x:c>
      <x:c r="AH1223" s="48" t="n">
        <x:v>0</x:v>
      </x:c>
      <x:c r="AI1223" s="48" t="n">
        <x:v>1.1920928955078125e-7</x:v>
      </x:c>
      <x:c r="AJ1223" s="37" t="str">
        <x:v>passed</x:v>
      </x:c>
    </x:row>
    <x:row r="1224" ht="21" customHeight="1">
      <x:c r="A1224" s="2"/>
      <x:c r="B1224" s="2"/>
      <x:c r="C1224" s="2" t="str">
        <x:v>2023</x:v>
      </x:c>
      <x:c r="D1224" s="5" t="n">
        <x:v>45008</x:v>
      </x:c>
      <x:c r="E1224" s="2" t="str">
        <x:v>duration</x:v>
      </x:c>
      <x:c r="F1224" s="37" t="n">
        <x:v>7806723.084154865</x:v>
      </x:c>
      <x:c r="G1224" s="37" t="n">
        <x:v>3909346.2083052</x:v>
      </x:c>
      <x:c r="H1224" s="37" t="n">
        <x:v>-10604.253552260005</x:v>
      </x:c>
      <x:c r="I1224" s="37" t="n">
        <x:v>3919950.46185746</x:v>
      </x:c>
      <x:c r="J1224" s="37" t="n">
        <x:v>10705493.470377734</x:v>
      </x:c>
      <x:c r="K1224" s="37" t="n">
        <x:v>6796147.262072534</x:v>
      </x:c>
      <x:c r="L1224" s="37" t="n">
        <x:v>11716069.292460065</x:v>
      </x:c>
      <x:c r="M1224" s="37" t="n">
        <x:v>0</x:v>
      </x:c>
      <x:c r="N1224" s="37" t="n">
        <x:v>0</x:v>
      </x:c>
      <x:c r="O1224" s="37" t="n">
        <x:v>427.74221051763743</x:v>
      </x:c>
      <x:c r="P1224" s="37" t="n">
        <x:v>0</x:v>
      </x:c>
      <x:c r="Q1224" s="37" t="n">
        <x:v>0</x:v>
      </x:c>
      <x:c r="R1224" s="37" t="n">
        <x:v>0</x:v>
      </x:c>
      <x:c r="S1224" s="37" t="n">
        <x:v>0</x:v>
      </x:c>
      <x:c r="T1224" s="37" t="n">
        <x:v>0</x:v>
      </x:c>
      <x:c r="U1224" s="37" t="n">
        <x:v>37500</x:v>
      </x:c>
      <x:c r="V1224" s="37" t="n">
        <x:v>0</x:v>
      </x:c>
      <x:c r="W1224" s="37" t="n">
        <x:v>33728.048291103914</x:v>
      </x:c>
      <x:c r="X1224" s="37" t="n">
        <x:v>0</x:v>
      </x:c>
      <x:c r="Y1224" s="37" t="n">
        <x:v>1712.5063178468959</x:v>
      </x:c>
      <x:c r="Z1224" s="37" t="n">
        <x:v>6932070.207313986</x:v>
      </x:c>
      <x:c r="AA1224" s="37" t="n">
        <x:v>0</x:v>
      </x:c>
      <x:c r="AB1224" s="37" t="n">
        <x:v>6932070.207313986</x:v>
      </x:c>
      <x:c r="AC1224" s="37" t="n">
        <x:v>874652.8768408792</x:v>
      </x:c>
      <x:c r="AD1224" s="37" t="n">
        <x:v>0</x:v>
      </x:c>
      <x:c r="AE1224" s="37" t="n">
        <x:v>0</x:v>
      </x:c>
      <x:c r="AF1224" s="47" t="b">
        <x:v>0</x:v>
      </x:c>
      <x:c r="AG1224" s="47" t="b">
        <x:v>0</x:v>
      </x:c>
      <x:c r="AH1224" s="48" t="n">
        <x:v>0</x:v>
      </x:c>
      <x:c r="AI1224" s="48" t="n">
        <x:v>5.960464477539063e-8</x:v>
      </x:c>
      <x:c r="AJ1224" s="37" t="str">
        <x:v>passed</x:v>
      </x:c>
    </x:row>
    <x:row r="1225" ht="21" customHeight="1">
      <x:c r="A1225" s="2"/>
      <x:c r="B1225" s="2"/>
      <x:c r="C1225" s="2" t="str">
        <x:v>2023</x:v>
      </x:c>
      <x:c r="D1225" s="5" t="n">
        <x:v>45008</x:v>
      </x:c>
      <x:c r="E1225" s="2" t="str">
        <x:v>unweighted</x:v>
      </x:c>
      <x:c r="F1225" s="37" t="n">
        <x:v>11237185.89936783</x:v>
      </x:c>
      <x:c r="G1225" s="37" t="n">
        <x:v>447660.2597678073</x:v>
      </x:c>
      <x:c r="H1225" s="37" t="n">
        <x:v>-17508.422813398553</x:v>
      </x:c>
      <x:c r="I1225" s="37" t="n">
        <x:v>465168.68258120585</x:v>
      </x:c>
      <x:c r="J1225" s="37" t="n">
        <x:v>10756644.638670629</x:v>
      </x:c>
      <x:c r="K1225" s="37" t="n">
        <x:v>10308984.37890282</x:v>
      </x:c>
      <x:c r="L1225" s="37" t="n">
        <x:v>11684846.159135638</x:v>
      </x:c>
      <x:c r="M1225" s="37" t="n">
        <x:v>0</x:v>
      </x:c>
      <x:c r="N1225" s="37" t="n">
        <x:v>0</x:v>
      </x:c>
      <x:c r="O1225" s="37" t="n">
        <x:v>615.702476542443</x:v>
      </x:c>
      <x:c r="P1225" s="37" t="n">
        <x:v>0</x:v>
      </x:c>
      <x:c r="Q1225" s="37" t="n">
        <x:v>0</x:v>
      </x:c>
      <x:c r="R1225" s="37" t="n">
        <x:v>0</x:v>
      </x:c>
      <x:c r="S1225" s="37" t="n">
        <x:v>0</x:v>
      </x:c>
      <x:c r="T1225" s="37" t="n">
        <x:v>0</x:v>
      </x:c>
      <x:c r="U1225" s="37" t="n">
        <x:v>37500</x:v>
      </x:c>
      <x:c r="V1225" s="37" t="n">
        <x:v>0</x:v>
      </x:c>
      <x:c r="W1225" s="37" t="n">
        <x:v>47666.49127406813</x:v>
      </x:c>
      <x:c r="X1225" s="37" t="n">
        <x:v>0</x:v>
      </x:c>
      <x:c r="Y1225" s="37" t="n">
        <x:v>2048.100493389845</x:v>
      </x:c>
      <x:c r="Z1225" s="37" t="n">
        <x:v>10515164.066480877</x:v>
      </x:c>
      <x:c r="AA1225" s="37" t="n">
        <x:v>0</x:v>
      </x:c>
      <x:c r="AB1225" s="37" t="n">
        <x:v>10515164.066480877</x:v>
      </x:c>
      <x:c r="AC1225" s="37" t="n">
        <x:v>722021.8328869529</x:v>
      </x:c>
      <x:c r="AD1225" s="37" t="n">
        <x:v>0</x:v>
      </x:c>
      <x:c r="AE1225" s="37" t="n">
        <x:v>0</x:v>
      </x:c>
      <x:c r="AF1225" s="47" t="b">
        <x:v>0</x:v>
      </x:c>
      <x:c r="AG1225" s="47" t="b">
        <x:v>0</x:v>
      </x:c>
      <x:c r="AH1225" s="48" t="n">
        <x:v>0</x:v>
      </x:c>
      <x:c r="AI1225" s="48" t="n">
        <x:v>1.1920928955078125e-7</x:v>
      </x:c>
      <x:c r="AJ1225" s="37" t="str">
        <x:v>passed</x:v>
      </x:c>
    </x:row>
    <x:row r="1226" ht="21" customHeight="1">
      <x:c r="A1226" s="2"/>
      <x:c r="B1226" s="2"/>
      <x:c r="C1226" s="2" t="str">
        <x:v>2023</x:v>
      </x:c>
      <x:c r="D1226" s="5" t="n">
        <x:v>45008</x:v>
      </x:c>
      <x:c r="E1226" s="2" t="str">
        <x:v>constrained</x:v>
      </x:c>
      <x:c r="F1226" s="37" t="n">
        <x:v>11786981.829702448</x:v>
      </x:c>
      <x:c r="G1226" s="37" t="n">
        <x:v>-110340.18613434359</x:v>
      </x:c>
      <x:c r="H1226" s="37" t="n">
        <x:v>-18948.250961806218</x:v>
      </x:c>
      <x:c r="I1226" s="37" t="n">
        <x:v>-91391.93517253737</x:v>
      </x:c>
      <x:c r="J1226" s="37" t="n">
        <x:v>10761104.707875445</x:v>
      </x:c>
      <x:c r="K1226" s="37" t="n">
        <x:v>10871444.89400979</x:v>
      </x:c>
      <x:c r="L1226" s="37" t="n">
        <x:v>11676641.643568104</x:v>
      </x:c>
      <x:c r="M1226" s="37" t="n">
        <x:v>0</x:v>
      </x:c>
      <x:c r="N1226" s="37" t="n">
        <x:v>0</x:v>
      </x:c>
      <x:c r="O1226" s="37" t="n">
        <x:v>645.8266303054988</x:v>
      </x:c>
      <x:c r="P1226" s="37" t="n">
        <x:v>0</x:v>
      </x:c>
      <x:c r="Q1226" s="37" t="n">
        <x:v>0</x:v>
      </x:c>
      <x:c r="R1226" s="37" t="n">
        <x:v>0</x:v>
      </x:c>
      <x:c r="S1226" s="37" t="n">
        <x:v>0</x:v>
      </x:c>
      <x:c r="T1226" s="37" t="n">
        <x:v>0</x:v>
      </x:c>
      <x:c r="U1226" s="37" t="n">
        <x:v>37500</x:v>
      </x:c>
      <x:c r="V1226" s="37" t="n">
        <x:v>0</x:v>
      </x:c>
      <x:c r="W1226" s="37" t="n">
        <x:v>50608.96582969837</x:v>
      </x:c>
      <x:c r="X1226" s="37" t="n">
        <x:v>0</x:v>
      </x:c>
      <x:c r="Y1226" s="37" t="n">
        <x:v>2112.850059992143</x:v>
      </x:c>
      <x:c r="Z1226" s="37" t="n">
        <x:v>11088873.791889986</x:v>
      </x:c>
      <x:c r="AA1226" s="37" t="n">
        <x:v>0</x:v>
      </x:c>
      <x:c r="AB1226" s="37" t="n">
        <x:v>11088873.791889986</x:v>
      </x:c>
      <x:c r="AC1226" s="37" t="n">
        <x:v>698108.0378124621</x:v>
      </x:c>
      <x:c r="AD1226" s="37" t="n">
        <x:v>0</x:v>
      </x:c>
      <x:c r="AE1226" s="37" t="n">
        <x:v>0</x:v>
      </x:c>
      <x:c r="AF1226" s="47" t="b">
        <x:v>0</x:v>
      </x:c>
      <x:c r="AG1226" s="47" t="b">
        <x:v>0</x:v>
      </x:c>
      <x:c r="AH1226" s="48" t="n">
        <x:v>0</x:v>
      </x:c>
      <x:c r="AI1226" s="48" t="n">
        <x:v>1.1920928955078125e-7</x:v>
      </x:c>
      <x:c r="AJ1226" s="37" t="str">
        <x:v>passed</x:v>
      </x:c>
    </x:row>
    <x:row r="1227" ht="21" customHeight="1">
      <x:c r="A1227" s="2"/>
      <x:c r="B1227" s="2"/>
      <x:c r="C1227" s="2" t="str">
        <x:v>2023</x:v>
      </x:c>
      <x:c r="D1227" s="5" t="n">
        <x:v>45009</x:v>
      </x:c>
      <x:c r="E1227" s="2" t="str">
        <x:v>unhedged</x:v>
      </x:c>
      <x:c r="F1227" s="37" t="n">
        <x:v>1241800.327158755</x:v>
      </x:c>
      <x:c r="G1227" s="37" t="n">
        <x:v>10704512.259516602</x:v>
      </x:c>
      <x:c r="H1227" s="37" t="n">
        <x:v>28549.72375690608</x:v>
      </x:c>
      <x:c r="I1227" s="37" t="n">
        <x:v>10675962.535759697</x:v>
      </x:c>
      <x:c r="J1227" s="37" t="n">
        <x:v>10704512.259516602</x:v>
      </x:c>
      <x:c r="K1227" s="37" t="n">
        <x:v>0</x:v>
      </x:c>
      <x:c r="L1227" s="37" t="n">
        <x:v>11946312.586675357</x:v>
      </x:c>
      <x:c r="M1227" s="37" t="n">
        <x:v>0</x:v>
      </x:c>
      <x:c r="N1227" s="37" t="n">
        <x:v>0</x:v>
      </x:c>
      <x:c r="O1227" s="37" t="n">
        <x:v>68.04012531670742</x:v>
      </x:c>
      <x:c r="P1227" s="37" t="n">
        <x:v>0</x:v>
      </x:c>
      <x:c r="Q1227" s="37" t="n">
        <x:v>0</x:v>
      </x:c>
      <x:c r="R1227" s="37" t="n">
        <x:v>0</x:v>
      </x:c>
      <x:c r="S1227" s="37" t="n">
        <x:v>0</x:v>
      </x:c>
      <x:c r="T1227" s="37" t="n">
        <x:v>0</x:v>
      </x:c>
      <x:c r="U1227" s="37" t="n">
        <x:v>37500</x:v>
      </x:c>
      <x:c r="V1227" s="37" t="n">
        <x:v>0</x:v>
      </x:c>
      <x:c r="W1227" s="37" t="n">
        <x:v>5343.196500877151</x:v>
      </x:c>
      <x:c r="X1227" s="37" t="n">
        <x:v>0</x:v>
      </x:c>
      <x:c r="Y1227" s="37" t="n">
        <x:v>1042.869342122179</x:v>
      </x:c>
      <x:c r="Z1227" s="37" t="n">
        <x:v>0</x:v>
      </x:c>
      <x:c r="AA1227" s="37" t="n">
        <x:v>0</x:v>
      </x:c>
      <x:c r="AB1227" s="37" t="n">
        <x:v>0</x:v>
      </x:c>
      <x:c r="AC1227" s="37" t="n">
        <x:v>1241800.327158755</x:v>
      </x:c>
      <x:c r="AD1227" s="37" t="n">
        <x:v>0</x:v>
      </x:c>
      <x:c r="AE1227" s="37" t="n">
        <x:v>0</x:v>
      </x:c>
      <x:c r="AF1227" s="47" t="b">
        <x:v>0</x:v>
      </x:c>
      <x:c r="AG1227" s="47" t="b">
        <x:v>0</x:v>
      </x:c>
      <x:c r="AH1227" s="48" t="n">
        <x:v>0</x:v>
      </x:c>
      <x:c r="AI1227" s="48" t="n">
        <x:v>1.1920928955078125e-7</x:v>
      </x:c>
      <x:c r="AJ1227" s="37" t="str">
        <x:v>passed</x:v>
      </x:c>
    </x:row>
    <x:row r="1228" ht="21" customHeight="1">
      <x:c r="A1228" s="2"/>
      <x:c r="B1228" s="2"/>
      <x:c r="C1228" s="2" t="str">
        <x:v>2023</x:v>
      </x:c>
      <x:c r="D1228" s="5" t="n">
        <x:v>45009</x:v>
      </x:c>
      <x:c r="E1228" s="2" t="str">
        <x:v>duration</x:v>
      </x:c>
      <x:c r="F1228" s="37" t="n">
        <x:v>7807150.849803314</x:v>
      </x:c>
      <x:c r="G1228" s="37" t="n">
        <x:v>3908623.377945101</x:v>
      </x:c>
      <x:c r="H1228" s="37" t="n">
        <x:v>-10555.182415043115</x:v>
      </x:c>
      <x:c r="I1228" s="37" t="n">
        <x:v>3919178.560360144</x:v>
      </x:c>
      <x:c r="J1228" s="37" t="n">
        <x:v>10704512.259516602</x:v>
      </x:c>
      <x:c r="K1228" s="37" t="n">
        <x:v>6795888.8815715015</x:v>
      </x:c>
      <x:c r="L1228" s="37" t="n">
        <x:v>11715774.227748415</x:v>
      </x:c>
      <x:c r="M1228" s="37" t="n">
        <x:v>0</x:v>
      </x:c>
      <x:c r="N1228" s="37" t="n">
        <x:v>0</x:v>
      </x:c>
      <x:c r="O1228" s="37" t="n">
        <x:v>427.7656484488398</x:v>
      </x:c>
      <x:c r="P1228" s="37" t="n">
        <x:v>0</x:v>
      </x:c>
      <x:c r="Q1228" s="37" t="n">
        <x:v>0</x:v>
      </x:c>
      <x:c r="R1228" s="37" t="n">
        <x:v>0</x:v>
      </x:c>
      <x:c r="S1228" s="37" t="n">
        <x:v>0</x:v>
      </x:c>
      <x:c r="T1228" s="37" t="n">
        <x:v>0</x:v>
      </x:c>
      <x:c r="U1228" s="37" t="n">
        <x:v>37500</x:v>
      </x:c>
      <x:c r="V1228" s="37" t="n">
        <x:v>0</x:v>
      </x:c>
      <x:c r="W1228" s="37" t="n">
        <x:v>34155.813939552754</x:v>
      </x:c>
      <x:c r="X1228" s="37" t="n">
        <x:v>0</x:v>
      </x:c>
      <x:c r="Y1228" s="37" t="n">
        <x:v>1712.5063178468959</x:v>
      </x:c>
      <x:c r="Z1228" s="37" t="n">
        <x:v>6931806.659202931</x:v>
      </x:c>
      <x:c r="AA1228" s="37" t="n">
        <x:v>0</x:v>
      </x:c>
      <x:c r="AB1228" s="37" t="n">
        <x:v>6931806.659202931</x:v>
      </x:c>
      <x:c r="AC1228" s="37" t="n">
        <x:v>875344.1906003822</x:v>
      </x:c>
      <x:c r="AD1228" s="37" t="n">
        <x:v>0</x:v>
      </x:c>
      <x:c r="AE1228" s="37" t="n">
        <x:v>0</x:v>
      </x:c>
      <x:c r="AF1228" s="47" t="b">
        <x:v>0</x:v>
      </x:c>
      <x:c r="AG1228" s="47" t="b">
        <x:v>0</x:v>
      </x:c>
      <x:c r="AH1228" s="48" t="n">
        <x:v>0</x:v>
      </x:c>
      <x:c r="AI1228" s="48" t="n">
        <x:v>5.960464477539063e-8</x:v>
      </x:c>
      <x:c r="AJ1228" s="37" t="str">
        <x:v>passed</x:v>
      </x:c>
    </x:row>
    <x:row r="1229" ht="21" customHeight="1">
      <x:c r="A1229" s="2"/>
      <x:c r="B1229" s="2"/>
      <x:c r="C1229" s="2" t="str">
        <x:v>2023</x:v>
      </x:c>
      <x:c r="D1229" s="5" t="n">
        <x:v>45009</x:v>
      </x:c>
      <x:c r="E1229" s="2" t="str">
        <x:v>unweighted</x:v>
      </x:c>
      <x:c r="F1229" s="37" t="n">
        <x:v>11237801.635581497</x:v>
      </x:c>
      <x:c r="G1229" s="37" t="n">
        <x:v>447600.46206169046</x:v>
      </x:c>
      <x:c r="H1229" s="37" t="n">
        <x:v>-17532.157630918395</x:v>
      </x:c>
      <x:c r="I1229" s="37" t="n">
        <x:v>465132.61969260883</x:v>
      </x:c>
      <x:c r="J1229" s="37" t="n">
        <x:v>10755762.936868338</x:v>
      </x:c>
      <x:c r="K1229" s="37" t="n">
        <x:v>10308162.474806648</x:v>
      </x:c>
      <x:c r="L1229" s="37" t="n">
        <x:v>11685402.097643187</x:v>
      </x:c>
      <x:c r="M1229" s="37" t="n">
        <x:v>0</x:v>
      </x:c>
      <x:c r="N1229" s="37" t="n">
        <x:v>0</x:v>
      </x:c>
      <x:c r="O1229" s="37" t="n">
        <x:v>615.7362136673182</x:v>
      </x:c>
      <x:c r="P1229" s="37" t="n">
        <x:v>0</x:v>
      </x:c>
      <x:c r="Q1229" s="37" t="n">
        <x:v>0</x:v>
      </x:c>
      <x:c r="R1229" s="37" t="n">
        <x:v>0</x:v>
      </x:c>
      <x:c r="S1229" s="37" t="n">
        <x:v>0</x:v>
      </x:c>
      <x:c r="T1229" s="37" t="n">
        <x:v>0</x:v>
      </x:c>
      <x:c r="U1229" s="37" t="n">
        <x:v>37500</x:v>
      </x:c>
      <x:c r="V1229" s="37" t="n">
        <x:v>0</x:v>
      </x:c>
      <x:c r="W1229" s="37" t="n">
        <x:v>48282.22748773545</x:v>
      </x:c>
      <x:c r="X1229" s="37" t="n">
        <x:v>0</x:v>
      </x:c>
      <x:c r="Y1229" s="37" t="n">
        <x:v>2048.100493389845</x:v>
      </x:c>
      <x:c r="Z1229" s="37" t="n">
        <x:v>10514325.724302782</x:v>
      </x:c>
      <x:c r="AA1229" s="37" t="n">
        <x:v>0</x:v>
      </x:c>
      <x:c r="AB1229" s="37" t="n">
        <x:v>10514325.724302782</x:v>
      </x:c>
      <x:c r="AC1229" s="37" t="n">
        <x:v>723475.9112787154</x:v>
      </x:c>
      <x:c r="AD1229" s="37" t="n">
        <x:v>0</x:v>
      </x:c>
      <x:c r="AE1229" s="37" t="n">
        <x:v>0</x:v>
      </x:c>
      <x:c r="AF1229" s="47" t="b">
        <x:v>0</x:v>
      </x:c>
      <x:c r="AG1229" s="47" t="b">
        <x:v>0</x:v>
      </x:c>
      <x:c r="AH1229" s="48" t="n">
        <x:v>0</x:v>
      </x:c>
      <x:c r="AI1229" s="48" t="n">
        <x:v>1.1920928955078125e-7</x:v>
      </x:c>
      <x:c r="AJ1229" s="37" t="str">
        <x:v>passed</x:v>
      </x:c>
    </x:row>
    <x:row r="1230" ht="21" customHeight="1">
      <x:c r="A1230" s="2"/>
      <x:c r="B1230" s="2"/>
      <x:c r="C1230" s="2" t="str">
        <x:v>2023</x:v>
      </x:c>
      <x:c r="D1230" s="5" t="n">
        <x:v>45009</x:v>
      </x:c>
      <x:c r="E1230" s="2" t="str">
        <x:v>constrained</x:v>
      </x:c>
      <x:c r="F1230" s="37" t="n">
        <x:v>11787627.691720515</x:v>
      </x:c>
      <x:c r="G1230" s="37" t="n">
        <x:v>-110485.00328927943</x:v>
      </x:c>
      <x:c r="H1230" s="37" t="n">
        <x:v>-18984.64011352369</x:v>
      </x:c>
      <x:c r="I1230" s="37" t="n">
        <x:v>-91500.36317575575</x:v>
      </x:c>
      <x:c r="J1230" s="37" t="n">
        <x:v>10760231.241676293</x:v>
      </x:c>
      <x:c r="K1230" s="37" t="n">
        <x:v>10870716.244965574</x:v>
      </x:c>
      <x:c r="L1230" s="37" t="n">
        <x:v>11677142.688431237</x:v>
      </x:c>
      <x:c r="M1230" s="37" t="n">
        <x:v>0</x:v>
      </x:c>
      <x:c r="N1230" s="37" t="n">
        <x:v>0</x:v>
      </x:c>
      <x:c r="O1230" s="37" t="n">
        <x:v>645.8620180673897</x:v>
      </x:c>
      <x:c r="P1230" s="37" t="n">
        <x:v>0</x:v>
      </x:c>
      <x:c r="Q1230" s="37" t="n">
        <x:v>0</x:v>
      </x:c>
      <x:c r="R1230" s="37" t="n">
        <x:v>0</x:v>
      </x:c>
      <x:c r="S1230" s="37" t="n">
        <x:v>0</x:v>
      </x:c>
      <x:c r="T1230" s="37" t="n">
        <x:v>0</x:v>
      </x:c>
      <x:c r="U1230" s="37" t="n">
        <x:v>37500</x:v>
      </x:c>
      <x:c r="V1230" s="37" t="n">
        <x:v>0</x:v>
      </x:c>
      <x:c r="W1230" s="37" t="n">
        <x:v>51254.82784776576</x:v>
      </x:c>
      <x:c r="X1230" s="37" t="n">
        <x:v>0</x:v>
      </x:c>
      <x:c r="Y1230" s="37" t="n">
        <x:v>2112.850059992143</x:v>
      </x:c>
      <x:c r="Z1230" s="37" t="n">
        <x:v>11088130.569864886</x:v>
      </x:c>
      <x:c r="AA1230" s="37" t="n">
        <x:v>0</x:v>
      </x:c>
      <x:c r="AB1230" s="37" t="n">
        <x:v>11088130.569864886</x:v>
      </x:c>
      <x:c r="AC1230" s="37" t="n">
        <x:v>699497.1218556296</x:v>
      </x:c>
      <x:c r="AD1230" s="37" t="n">
        <x:v>0</x:v>
      </x:c>
      <x:c r="AE1230" s="37" t="n">
        <x:v>0</x:v>
      </x:c>
      <x:c r="AF1230" s="47" t="b">
        <x:v>0</x:v>
      </x:c>
      <x:c r="AG1230" s="47" t="b">
        <x:v>0</x:v>
      </x:c>
      <x:c r="AH1230" s="48" t="n">
        <x:v>0</x:v>
      </x:c>
      <x:c r="AI1230" s="48" t="n">
        <x:v>1.1920928955078125e-7</x:v>
      </x:c>
      <x:c r="AJ1230" s="37" t="str">
        <x:v>passed</x:v>
      </x:c>
    </x:row>
    <x:row r="1231" ht="21" customHeight="1">
      <x:c r="A1231" s="2"/>
      <x:c r="B1231" s="2"/>
      <x:c r="C1231" s="2" t="str">
        <x:v>2023</x:v>
      </x:c>
      <x:c r="D1231" s="5" t="n">
        <x:v>45012</x:v>
      </x:c>
      <x:c r="E1231" s="2" t="str">
        <x:v>unhedged</x:v>
      </x:c>
      <x:c r="F1231" s="37" t="n">
        <x:v>1242004.4699048793</x:v>
      </x:c>
      <x:c r="G1231" s="37" t="n">
        <x:v>10619303.62882954</x:v>
      </x:c>
      <x:c r="H1231" s="37" t="n">
        <x:v>29606.353591160223</x:v>
      </x:c>
      <x:c r="I1231" s="37" t="n">
        <x:v>10589697.27523838</x:v>
      </x:c>
      <x:c r="J1231" s="37" t="n">
        <x:v>10619303.62882954</x:v>
      </x:c>
      <x:c r="K1231" s="37" t="n">
        <x:v>0</x:v>
      </x:c>
      <x:c r="L1231" s="37" t="n">
        <x:v>11861308.09873442</x:v>
      </x:c>
      <x:c r="M1231" s="37" t="n">
        <x:v>0</x:v>
      </x:c>
      <x:c r="N1231" s="37" t="n">
        <x:v>0</x:v>
      </x:c>
      <x:c r="O1231" s="37" t="n">
        <x:v>204.1427461244166</x:v>
      </x:c>
      <x:c r="P1231" s="37" t="n">
        <x:v>0</x:v>
      </x:c>
      <x:c r="Q1231" s="37" t="n">
        <x:v>0</x:v>
      </x:c>
      <x:c r="R1231" s="37" t="n">
        <x:v>0</x:v>
      </x:c>
      <x:c r="S1231" s="37" t="n">
        <x:v>0</x:v>
      </x:c>
      <x:c r="T1231" s="37" t="n">
        <x:v>0</x:v>
      </x:c>
      <x:c r="U1231" s="37" t="n">
        <x:v>37500</x:v>
      </x:c>
      <x:c r="V1231" s="37" t="n">
        <x:v>0</x:v>
      </x:c>
      <x:c r="W1231" s="37" t="n">
        <x:v>5547.339247001568</x:v>
      </x:c>
      <x:c r="X1231" s="37" t="n">
        <x:v>0</x:v>
      </x:c>
      <x:c r="Y1231" s="37" t="n">
        <x:v>1042.869342122179</x:v>
      </x:c>
      <x:c r="Z1231" s="37" t="n">
        <x:v>0</x:v>
      </x:c>
      <x:c r="AA1231" s="37" t="n">
        <x:v>0</x:v>
      </x:c>
      <x:c r="AB1231" s="37" t="n">
        <x:v>0</x:v>
      </x:c>
      <x:c r="AC1231" s="37" t="n">
        <x:v>1242004.4699048793</x:v>
      </x:c>
      <x:c r="AD1231" s="37" t="n">
        <x:v>0</x:v>
      </x:c>
      <x:c r="AE1231" s="37" t="n">
        <x:v>0</x:v>
      </x:c>
      <x:c r="AF1231" s="47" t="b">
        <x:v>0</x:v>
      </x:c>
      <x:c r="AG1231" s="47" t="b">
        <x:v>0</x:v>
      </x:c>
      <x:c r="AH1231" s="48" t="n">
        <x:v>0</x:v>
      </x:c>
      <x:c r="AI1231" s="48" t="n">
        <x:v>1.1920928955078125e-7</x:v>
      </x:c>
      <x:c r="AJ1231" s="37" t="str">
        <x:v>passed</x:v>
      </x:c>
    </x:row>
    <x:row r="1232" ht="21" customHeight="1">
      <x:c r="A1232" s="2"/>
      <x:c r="B1232" s="2"/>
      <x:c r="C1232" s="2" t="str">
        <x:v>2023</x:v>
      </x:c>
      <x:c r="D1232" s="5" t="n">
        <x:v>45012</x:v>
      </x:c>
      <x:c r="E1232" s="2" t="str">
        <x:v>duration</x:v>
      </x:c>
      <x:c r="F1232" s="37" t="n">
        <x:v>7808434.287389074</x:v>
      </x:c>
      <x:c r="G1232" s="37" t="n">
        <x:v>3904135.919461989</x:v>
      </x:c>
      <x:c r="H1232" s="37" t="n">
        <x:v>-10407.969003392434</x:v>
      </x:c>
      <x:c r="I1232" s="37" t="n">
        <x:v>3914543.888465381</x:v>
      </x:c>
      <x:c r="J1232" s="37" t="n">
        <x:v>10619303.62882954</x:v>
      </x:c>
      <x:c r="K1232" s="37" t="n">
        <x:v>6715167.709367552</x:v>
      </x:c>
      <x:c r="L1232" s="37" t="n">
        <x:v>11712570.206851063</x:v>
      </x:c>
      <x:c r="M1232" s="37" t="n">
        <x:v>0</x:v>
      </x:c>
      <x:c r="N1232" s="37" t="n">
        <x:v>0</x:v>
      </x:c>
      <x:c r="O1232" s="37" t="n">
        <x:v>1283.4375857608393</x:v>
      </x:c>
      <x:c r="P1232" s="37" t="n">
        <x:v>0</x:v>
      </x:c>
      <x:c r="Q1232" s="37" t="n">
        <x:v>0</x:v>
      </x:c>
      <x:c r="R1232" s="37" t="n">
        <x:v>0</x:v>
      </x:c>
      <x:c r="S1232" s="37" t="n">
        <x:v>0</x:v>
      </x:c>
      <x:c r="T1232" s="37" t="n">
        <x:v>0</x:v>
      </x:c>
      <x:c r="U1232" s="37" t="n">
        <x:v>37500</x:v>
      </x:c>
      <x:c r="V1232" s="37" t="n">
        <x:v>0</x:v>
      </x:c>
      <x:c r="W1232" s="37" t="n">
        <x:v>35439.25152531359</x:v>
      </x:c>
      <x:c r="X1232" s="37" t="n">
        <x:v>0</x:v>
      </x:c>
      <x:c r="Y1232" s="37" t="n">
        <x:v>1712.5063178468959</x:v>
      </x:c>
      <x:c r="Z1232" s="37" t="n">
        <x:v>6849471.063554903</x:v>
      </x:c>
      <x:c r="AA1232" s="37" t="n">
        <x:v>0</x:v>
      </x:c>
      <x:c r="AB1232" s="37" t="n">
        <x:v>6849471.063554903</x:v>
      </x:c>
      <x:c r="AC1232" s="37" t="n">
        <x:v>958963.2238341719</x:v>
      </x:c>
      <x:c r="AD1232" s="37" t="n">
        <x:v>0</x:v>
      </x:c>
      <x:c r="AE1232" s="37" t="n">
        <x:v>0</x:v>
      </x:c>
      <x:c r="AF1232" s="47" t="b">
        <x:v>0</x:v>
      </x:c>
      <x:c r="AG1232" s="47" t="b">
        <x:v>0</x:v>
      </x:c>
      <x:c r="AH1232" s="48" t="n">
        <x:v>0</x:v>
      </x:c>
      <x:c r="AI1232" s="48" t="n">
        <x:v>5.960464477539063e-8</x:v>
      </x:c>
      <x:c r="AJ1232" s="37" t="str">
        <x:v>passed</x:v>
      </x:c>
    </x:row>
    <x:row r="1233" ht="21" customHeight="1">
      <x:c r="A1233" s="2"/>
      <x:c r="B1233" s="2"/>
      <x:c r="C1233" s="2" t="str">
        <x:v>2023</x:v>
      </x:c>
      <x:c r="D1233" s="5" t="n">
        <x:v>45012</x:v>
      </x:c>
      <x:c r="E1233" s="2" t="str">
        <x:v>unweighted</x:v>
      </x:c>
      <x:c r="F1233" s="37" t="n">
        <x:v>11239649.04666371</x:v>
      </x:c>
      <x:c r="G1233" s="37" t="n">
        <x:v>446016.0142272858</x:v>
      </x:c>
      <x:c r="H1233" s="37" t="n">
        <x:v>-17603.36208347792</x:v>
      </x:c>
      <x:c r="I1233" s="37" t="n">
        <x:v>463619.3763107637</x:v>
      </x:c>
      <x:c r="J1233" s="37" t="n">
        <x:v>10669587.400939615</x:v>
      </x:c>
      <x:c r="K1233" s="37" t="n">
        <x:v>10223571.38671233</x:v>
      </x:c>
      <x:c r="L1233" s="37" t="n">
        <x:v>11685665.060890997</x:v>
      </x:c>
      <x:c r="M1233" s="37" t="n">
        <x:v>0</x:v>
      </x:c>
      <x:c r="N1233" s="37" t="n">
        <x:v>0</x:v>
      </x:c>
      <x:c r="O1233" s="37" t="n">
        <x:v>1847.4110822137445</x:v>
      </x:c>
      <x:c r="P1233" s="37" t="n">
        <x:v>0</x:v>
      </x:c>
      <x:c r="Q1233" s="37" t="n">
        <x:v>0</x:v>
      </x:c>
      <x:c r="R1233" s="37" t="n">
        <x:v>0</x:v>
      </x:c>
      <x:c r="S1233" s="37" t="n">
        <x:v>0</x:v>
      </x:c>
      <x:c r="T1233" s="37" t="n">
        <x:v>0</x:v>
      </x:c>
      <x:c r="U1233" s="37" t="n">
        <x:v>37500</x:v>
      </x:c>
      <x:c r="V1233" s="37" t="n">
        <x:v>0</x:v>
      </x:c>
      <x:c r="W1233" s="37" t="n">
        <x:v>50129.638569949195</x:v>
      </x:c>
      <x:c r="X1233" s="37" t="n">
        <x:v>0</x:v>
      </x:c>
      <x:c r="Y1233" s="37" t="n">
        <x:v>2048.100493389845</x:v>
      </x:c>
      <x:c r="Z1233" s="37" t="n">
        <x:v>10428042.814446576</x:v>
      </x:c>
      <x:c r="AA1233" s="37" t="n">
        <x:v>0</x:v>
      </x:c>
      <x:c r="AB1233" s="37" t="n">
        <x:v>10428042.814446576</x:v>
      </x:c>
      <x:c r="AC1233" s="37" t="n">
        <x:v>811606.2322171349</x:v>
      </x:c>
      <x:c r="AD1233" s="37" t="n">
        <x:v>0</x:v>
      </x:c>
      <x:c r="AE1233" s="37" t="n">
        <x:v>0</x:v>
      </x:c>
      <x:c r="AF1233" s="47" t="b">
        <x:v>0</x:v>
      </x:c>
      <x:c r="AG1233" s="47" t="b">
        <x:v>0</x:v>
      </x:c>
      <x:c r="AH1233" s="48" t="n">
        <x:v>0</x:v>
      </x:c>
      <x:c r="AI1233" s="48" t="n">
        <x:v>1.1920928955078125e-7</x:v>
      </x:c>
      <x:c r="AJ1233" s="37" t="str">
        <x:v>passed</x:v>
      </x:c>
    </x:row>
    <x:row r="1234" ht="21" customHeight="1">
      <x:c r="A1234" s="2"/>
      <x:c r="B1234" s="2"/>
      <x:c r="C1234" s="2" t="str">
        <x:v>2023</x:v>
      </x:c>
      <x:c r="D1234" s="5" t="n">
        <x:v>45012</x:v>
      </x:c>
      <x:c r="E1234" s="2" t="str">
        <x:v>constrained</x:v>
      </x:c>
      <x:c r="F1234" s="37" t="n">
        <x:v>11789565.490120672</x:v>
      </x:c>
      <x:c r="G1234" s="37" t="n">
        <x:v>-110372.92590952637</x:v>
      </x:c>
      <x:c r="H1234" s="37" t="n">
        <x:v>-19093.80756867611</x:v>
      </x:c>
      <x:c r="I1234" s="37" t="n">
        <x:v>-91279.11834085025</x:v>
      </x:c>
      <x:c r="J1234" s="37" t="n">
        <x:v>10673973.235927543</x:v>
      </x:c>
      <x:c r="K1234" s="37" t="n">
        <x:v>10784346.16183707</x:v>
      </x:c>
      <x:c r="L1234" s="37" t="n">
        <x:v>11679192.564211145</x:v>
      </x:c>
      <x:c r="M1234" s="37" t="n">
        <x:v>0</x:v>
      </x:c>
      <x:c r="N1234" s="37" t="n">
        <x:v>0</x:v>
      </x:c>
      <x:c r="O1234" s="37" t="n">
        <x:v>1937.7984001562</x:v>
      </x:c>
      <x:c r="P1234" s="37" t="n">
        <x:v>0</x:v>
      </x:c>
      <x:c r="Q1234" s="37" t="n">
        <x:v>0</x:v>
      </x:c>
      <x:c r="R1234" s="37" t="n">
        <x:v>0</x:v>
      </x:c>
      <x:c r="S1234" s="37" t="n">
        <x:v>0</x:v>
      </x:c>
      <x:c r="T1234" s="37" t="n">
        <x:v>0</x:v>
      </x:c>
      <x:c r="U1234" s="37" t="n">
        <x:v>37500</x:v>
      </x:c>
      <x:c r="V1234" s="37" t="n">
        <x:v>0</x:v>
      </x:c>
      <x:c r="W1234" s="37" t="n">
        <x:v>53192.62624792196</x:v>
      </x:c>
      <x:c r="X1234" s="37" t="n">
        <x:v>0</x:v>
      </x:c>
      <x:c r="Y1234" s="37" t="n">
        <x:v>2112.850059992143</x:v>
      </x:c>
      <x:c r="Z1234" s="37" t="n">
        <x:v>11000033.08507381</x:v>
      </x:c>
      <x:c r="AA1234" s="37" t="n">
        <x:v>0</x:v>
      </x:c>
      <x:c r="AB1234" s="37" t="n">
        <x:v>11000033.08507381</x:v>
      </x:c>
      <x:c r="AC1234" s="37" t="n">
        <x:v>789532.4050468616</x:v>
      </x:c>
      <x:c r="AD1234" s="37" t="n">
        <x:v>0</x:v>
      </x:c>
      <x:c r="AE1234" s="37" t="n">
        <x:v>0</x:v>
      </x:c>
      <x:c r="AF1234" s="47" t="b">
        <x:v>0</x:v>
      </x:c>
      <x:c r="AG1234" s="47" t="b">
        <x:v>0</x:v>
      </x:c>
      <x:c r="AH1234" s="48" t="n">
        <x:v>0</x:v>
      </x:c>
      <x:c r="AI1234" s="48" t="n">
        <x:v>1.1920928955078125e-7</x:v>
      </x:c>
      <x:c r="AJ1234" s="37" t="str">
        <x:v>passed</x:v>
      </x:c>
    </x:row>
    <x:row r="1235" ht="21" customHeight="1">
      <x:c r="A1235" s="2"/>
      <x:c r="B1235" s="2"/>
      <x:c r="C1235" s="2" t="str">
        <x:v>2023</x:v>
      </x:c>
      <x:c r="D1235" s="5" t="n">
        <x:v>45013</x:v>
      </x:c>
      <x:c r="E1235" s="2" t="str">
        <x:v>unhedged</x:v>
      </x:c>
      <x:c r="F1235" s="37" t="n">
        <x:v>1242072.5249443264</x:v>
      </x:c>
      <x:c r="G1235" s="37" t="n">
        <x:v>10606593.843040373</x:v>
      </x:c>
      <x:c r="H1235" s="37" t="n">
        <x:v>29958.563535911606</x:v>
      </x:c>
      <x:c r="I1235" s="37" t="n">
        <x:v>10576635.279504461</x:v>
      </x:c>
      <x:c r="J1235" s="37" t="n">
        <x:v>10606593.843040373</x:v>
      </x:c>
      <x:c r="K1235" s="37" t="n">
        <x:v>0</x:v>
      </x:c>
      <x:c r="L1235" s="37" t="n">
        <x:v>11848666.3679847</x:v>
      </x:c>
      <x:c r="M1235" s="37" t="n">
        <x:v>0</x:v>
      </x:c>
      <x:c r="N1235" s="37" t="n">
        <x:v>0</x:v>
      </x:c>
      <x:c r="O1235" s="37" t="n">
        <x:v>68.05503944703378</x:v>
      </x:c>
      <x:c r="P1235" s="37" t="n">
        <x:v>0</x:v>
      </x:c>
      <x:c r="Q1235" s="37" t="n">
        <x:v>0</x:v>
      </x:c>
      <x:c r="R1235" s="37" t="n">
        <x:v>0</x:v>
      </x:c>
      <x:c r="S1235" s="37" t="n">
        <x:v>0</x:v>
      </x:c>
      <x:c r="T1235" s="37" t="n">
        <x:v>0</x:v>
      </x:c>
      <x:c r="U1235" s="37" t="n">
        <x:v>37500</x:v>
      </x:c>
      <x:c r="V1235" s="37" t="n">
        <x:v>0</x:v>
      </x:c>
      <x:c r="W1235" s="37" t="n">
        <x:v>5615.394286448602</x:v>
      </x:c>
      <x:c r="X1235" s="37" t="n">
        <x:v>0</x:v>
      </x:c>
      <x:c r="Y1235" s="37" t="n">
        <x:v>1042.869342122179</x:v>
      </x:c>
      <x:c r="Z1235" s="37" t="n">
        <x:v>0</x:v>
      </x:c>
      <x:c r="AA1235" s="37" t="n">
        <x:v>0</x:v>
      </x:c>
      <x:c r="AB1235" s="37" t="n">
        <x:v>0</x:v>
      </x:c>
      <x:c r="AC1235" s="37" t="n">
        <x:v>1242072.5249443264</x:v>
      </x:c>
      <x:c r="AD1235" s="37" t="n">
        <x:v>0</x:v>
      </x:c>
      <x:c r="AE1235" s="37" t="n">
        <x:v>0</x:v>
      </x:c>
      <x:c r="AF1235" s="47" t="b">
        <x:v>0</x:v>
      </x:c>
      <x:c r="AG1235" s="47" t="b">
        <x:v>0</x:v>
      </x:c>
      <x:c r="AH1235" s="48" t="n">
        <x:v>0</x:v>
      </x:c>
      <x:c r="AI1235" s="48" t="n">
        <x:v>1.1920928955078125e-7</x:v>
      </x:c>
      <x:c r="AJ1235" s="37" t="str">
        <x:v>passed</x:v>
      </x:c>
    </x:row>
    <x:row r="1236" ht="21" customHeight="1">
      <x:c r="A1236" s="2"/>
      <x:c r="B1236" s="2"/>
      <x:c r="C1236" s="2" t="str">
        <x:v>2023</x:v>
      </x:c>
      <x:c r="D1236" s="5" t="n">
        <x:v>45013</x:v>
      </x:c>
      <x:c r="E1236" s="2" t="str">
        <x:v>duration</x:v>
      </x:c>
      <x:c r="F1236" s="37" t="n">
        <x:v>7808862.146802083</x:v>
      </x:c>
      <x:c r="G1236" s="37" t="n">
        <x:v>3899706.569222205</x:v>
      </x:c>
      <x:c r="H1236" s="37" t="n">
        <x:v>-10358.897866175546</x:v>
      </x:c>
      <x:c r="I1236" s="37" t="n">
        <x:v>3910065.4670883804</x:v>
      </x:c>
      <x:c r="J1236" s="37" t="n">
        <x:v>10606593.843040373</x:v>
      </x:c>
      <x:c r="K1236" s="37" t="n">
        <x:v>6706887.273818169</x:v>
      </x:c>
      <x:c r="L1236" s="37" t="n">
        <x:v>11708568.716024287</x:v>
      </x:c>
      <x:c r="M1236" s="37" t="n">
        <x:v>0</x:v>
      </x:c>
      <x:c r="N1236" s="37" t="n">
        <x:v>0</x:v>
      </x:c>
      <x:c r="O1236" s="37" t="n">
        <x:v>427.8594130082056</x:v>
      </x:c>
      <x:c r="P1236" s="37" t="n">
        <x:v>0</x:v>
      </x:c>
      <x:c r="Q1236" s="37" t="n">
        <x:v>0</x:v>
      </x:c>
      <x:c r="R1236" s="37" t="n">
        <x:v>0</x:v>
      </x:c>
      <x:c r="S1236" s="37" t="n">
        <x:v>0</x:v>
      </x:c>
      <x:c r="T1236" s="37" t="n">
        <x:v>0</x:v>
      </x:c>
      <x:c r="U1236" s="37" t="n">
        <x:v>37500</x:v>
      </x:c>
      <x:c r="V1236" s="37" t="n">
        <x:v>0</x:v>
      </x:c>
      <x:c r="W1236" s="37" t="n">
        <x:v>35867.1109383218</x:v>
      </x:c>
      <x:c r="X1236" s="37" t="n">
        <x:v>0</x:v>
      </x:c>
      <x:c r="Y1236" s="37" t="n">
        <x:v>1712.5063178468959</x:v>
      </x:c>
      <x:c r="Z1236" s="37" t="n">
        <x:v>6841025.019294532</x:v>
      </x:c>
      <x:c r="AA1236" s="37" t="n">
        <x:v>0</x:v>
      </x:c>
      <x:c r="AB1236" s="37" t="n">
        <x:v>6841025.019294532</x:v>
      </x:c>
      <x:c r="AC1236" s="37" t="n">
        <x:v>967837.1275075506</x:v>
      </x:c>
      <x:c r="AD1236" s="37" t="n">
        <x:v>0</x:v>
      </x:c>
      <x:c r="AE1236" s="37" t="n">
        <x:v>0</x:v>
      </x:c>
      <x:c r="AF1236" s="47" t="b">
        <x:v>0</x:v>
      </x:c>
      <x:c r="AG1236" s="47" t="b">
        <x:v>0</x:v>
      </x:c>
      <x:c r="AH1236" s="48" t="n">
        <x:v>0</x:v>
      </x:c>
      <x:c r="AI1236" s="48" t="n">
        <x:v>5.960464477539063e-8</x:v>
      </x:c>
      <x:c r="AJ1236" s="37" t="str">
        <x:v>passed</x:v>
      </x:c>
    </x:row>
    <x:row r="1237" ht="21" customHeight="1">
      <x:c r="A1237" s="2"/>
      <x:c r="B1237" s="2"/>
      <x:c r="C1237" s="2" t="str">
        <x:v>2023</x:v>
      </x:c>
      <x:c r="D1237" s="5" t="n">
        <x:v>45013</x:v>
      </x:c>
      <x:c r="E1237" s="2" t="str">
        <x:v>unweighted</x:v>
      </x:c>
      <x:c r="F1237" s="37" t="n">
        <x:v>11240264.91784435</x:v>
      </x:c>
      <x:c r="G1237" s="37" t="n">
        <x:v>445763.66386566864</x:v>
      </x:c>
      <x:c r="H1237" s="37" t="n">
        <x:v>-17627.096900997767</x:v>
      </x:c>
      <x:c r="I1237" s="37" t="n">
        <x:v>463390.7607666664</x:v>
      </x:c>
      <x:c r="J1237" s="37" t="n">
        <x:v>10656848.202051908</x:v>
      </x:c>
      <x:c r="K1237" s="37" t="n">
        <x:v>10211084.53818624</x:v>
      </x:c>
      <x:c r="L1237" s="37" t="n">
        <x:v>11686028.581710018</x:v>
      </x:c>
      <x:c r="M1237" s="37" t="n">
        <x:v>0</x:v>
      </x:c>
      <x:c r="N1237" s="37" t="n">
        <x:v>0</x:v>
      </x:c>
      <x:c r="O1237" s="37" t="n">
        <x:v>615.8711806386709</x:v>
      </x:c>
      <x:c r="P1237" s="37" t="n">
        <x:v>0</x:v>
      </x:c>
      <x:c r="Q1237" s="37" t="n">
        <x:v>0</x:v>
      </x:c>
      <x:c r="R1237" s="37" t="n">
        <x:v>0</x:v>
      </x:c>
      <x:c r="S1237" s="37" t="n">
        <x:v>0</x:v>
      </x:c>
      <x:c r="T1237" s="37" t="n">
        <x:v>0</x:v>
      </x:c>
      <x:c r="U1237" s="37" t="n">
        <x:v>37500</x:v>
      </x:c>
      <x:c r="V1237" s="37" t="n">
        <x:v>0</x:v>
      </x:c>
      <x:c r="W1237" s="37" t="n">
        <x:v>50745.509750587866</x:v>
      </x:c>
      <x:c r="X1237" s="37" t="n">
        <x:v>0</x:v>
      </x:c>
      <x:c r="Y1237" s="37" t="n">
        <x:v>2048.100493389845</x:v>
      </x:c>
      <x:c r="Z1237" s="37" t="n">
        <x:v>10415306.228949964</x:v>
      </x:c>
      <x:c r="AA1237" s="37" t="n">
        <x:v>0</x:v>
      </x:c>
      <x:c r="AB1237" s="37" t="n">
        <x:v>10415306.228949964</x:v>
      </x:c>
      <x:c r="AC1237" s="37" t="n">
        <x:v>824958.6888943855</x:v>
      </x:c>
      <x:c r="AD1237" s="37" t="n">
        <x:v>0</x:v>
      </x:c>
      <x:c r="AE1237" s="37" t="n">
        <x:v>0</x:v>
      </x:c>
      <x:c r="AF1237" s="47" t="b">
        <x:v>0</x:v>
      </x:c>
      <x:c r="AG1237" s="47" t="b">
        <x:v>0</x:v>
      </x:c>
      <x:c r="AH1237" s="48" t="n">
        <x:v>0</x:v>
      </x:c>
      <x:c r="AI1237" s="48" t="n">
        <x:v>1.1920928955078125e-7</x:v>
      </x:c>
      <x:c r="AJ1237" s="37" t="str">
        <x:v>passed</x:v>
      </x:c>
    </x:row>
    <x:row r="1238" ht="21" customHeight="1">
      <x:c r="A1238" s="2"/>
      <x:c r="B1238" s="2"/>
      <x:c r="C1238" s="2" t="str">
        <x:v>2023</x:v>
      </x:c>
      <x:c r="D1238" s="5" t="n">
        <x:v>45013</x:v>
      </x:c>
      <x:c r="E1238" s="2" t="str">
        <x:v>constrained</x:v>
      </x:c>
      <x:c r="F1238" s="37" t="n">
        <x:v>11790211.493709171</x:v>
      </x:c>
      <x:c r="G1238" s="37" t="n">
        <x:v>-110269.60555306381</x:v>
      </x:c>
      <x:c r="H1238" s="37" t="n">
        <x:v>-19130.196720393586</x:v>
      </x:c>
      <x:c r="I1238" s="37" t="n">
        <x:v>-91139.40883267022</x:v>
      </x:c>
      <x:c r="J1238" s="37" t="n">
        <x:v>10661231.01749148</x:v>
      </x:c>
      <x:c r="K1238" s="37" t="n">
        <x:v>10771500.623044545</x:v>
      </x:c>
      <x:c r="L1238" s="37" t="n">
        <x:v>11679941.888156107</x:v>
      </x:c>
      <x:c r="M1238" s="37" t="n">
        <x:v>0</x:v>
      </x:c>
      <x:c r="N1238" s="37" t="n">
        <x:v>0</x:v>
      </x:c>
      <x:c r="O1238" s="37" t="n">
        <x:v>646.0035884995013</x:v>
      </x:c>
      <x:c r="P1238" s="37" t="n">
        <x:v>0</x:v>
      </x:c>
      <x:c r="Q1238" s="37" t="n">
        <x:v>0</x:v>
      </x:c>
      <x:c r="R1238" s="37" t="n">
        <x:v>0</x:v>
      </x:c>
      <x:c r="S1238" s="37" t="n">
        <x:v>0</x:v>
      </x:c>
      <x:c r="T1238" s="37" t="n">
        <x:v>0</x:v>
      </x:c>
      <x:c r="U1238" s="37" t="n">
        <x:v>37500</x:v>
      </x:c>
      <x:c r="V1238" s="37" t="n">
        <x:v>0</x:v>
      </x:c>
      <x:c r="W1238" s="37" t="n">
        <x:v>53838.62983642146</x:v>
      </x:c>
      <x:c r="X1238" s="37" t="n">
        <x:v>0</x:v>
      </x:c>
      <x:c r="Y1238" s="37" t="n">
        <x:v>2112.850059992143</x:v>
      </x:c>
      <x:c r="Z1238" s="37" t="n">
        <x:v>10986930.635505436</x:v>
      </x:c>
      <x:c r="AA1238" s="37" t="n">
        <x:v>0</x:v>
      </x:c>
      <x:c r="AB1238" s="37" t="n">
        <x:v>10986930.635505436</x:v>
      </x:c>
      <x:c r="AC1238" s="37" t="n">
        <x:v>803280.8582037352</x:v>
      </x:c>
      <x:c r="AD1238" s="37" t="n">
        <x:v>0</x:v>
      </x:c>
      <x:c r="AE1238" s="37" t="n">
        <x:v>0</x:v>
      </x:c>
      <x:c r="AF1238" s="47" t="b">
        <x:v>0</x:v>
      </x:c>
      <x:c r="AG1238" s="47" t="b">
        <x:v>0</x:v>
      </x:c>
      <x:c r="AH1238" s="48" t="n">
        <x:v>0</x:v>
      </x:c>
      <x:c r="AI1238" s="48" t="n">
        <x:v>1.1920928955078125e-7</x:v>
      </x:c>
      <x:c r="AJ1238" s="37" t="str">
        <x:v>passed</x:v>
      </x:c>
    </x:row>
    <x:row r="1239" ht="21" customHeight="1">
      <x:c r="A1239" s="2"/>
      <x:c r="B1239" s="2"/>
      <x:c r="C1239" s="2" t="str">
        <x:v>2023</x:v>
      </x:c>
      <x:c r="D1239" s="5" t="n">
        <x:v>45014</x:v>
      </x:c>
      <x:c r="E1239" s="2" t="str">
        <x:v>unhedged</x:v>
      </x:c>
      <x:c r="F1239" s="37" t="n">
        <x:v>1242140.5837128165</x:v>
      </x:c>
      <x:c r="G1239" s="37" t="n">
        <x:v>10594104.530581487</x:v>
      </x:c>
      <x:c r="H1239" s="37" t="n">
        <x:v>30310.77348066298</x:v>
      </x:c>
      <x:c r="I1239" s="37" t="n">
        <x:v>10563793.757100824</x:v>
      </x:c>
      <x:c r="J1239" s="37" t="n">
        <x:v>10594104.530581487</x:v>
      </x:c>
      <x:c r="K1239" s="37" t="n">
        <x:v>0</x:v>
      </x:c>
      <x:c r="L1239" s="37" t="n">
        <x:v>11836245.114294304</x:v>
      </x:c>
      <x:c r="M1239" s="37" t="n">
        <x:v>0</x:v>
      </x:c>
      <x:c r="N1239" s="37" t="n">
        <x:v>0</x:v>
      </x:c>
      <x:c r="O1239" s="37" t="n">
        <x:v>68.05876849009655</x:v>
      </x:c>
      <x:c r="P1239" s="37" t="n">
        <x:v>0</x:v>
      </x:c>
      <x:c r="Q1239" s="37" t="n">
        <x:v>0</x:v>
      </x:c>
      <x:c r="R1239" s="37" t="n">
        <x:v>0</x:v>
      </x:c>
      <x:c r="S1239" s="37" t="n">
        <x:v>0</x:v>
      </x:c>
      <x:c r="T1239" s="37" t="n">
        <x:v>0</x:v>
      </x:c>
      <x:c r="U1239" s="37" t="n">
        <x:v>37500</x:v>
      </x:c>
      <x:c r="V1239" s="37" t="n">
        <x:v>0</x:v>
      </x:c>
      <x:c r="W1239" s="37" t="n">
        <x:v>5683.453054938698</x:v>
      </x:c>
      <x:c r="X1239" s="37" t="n">
        <x:v>0</x:v>
      </x:c>
      <x:c r="Y1239" s="37" t="n">
        <x:v>1042.869342122179</x:v>
      </x:c>
      <x:c r="Z1239" s="37" t="n">
        <x:v>0</x:v>
      </x:c>
      <x:c r="AA1239" s="37" t="n">
        <x:v>0</x:v>
      </x:c>
      <x:c r="AB1239" s="37" t="n">
        <x:v>0</x:v>
      </x:c>
      <x:c r="AC1239" s="37" t="n">
        <x:v>1242140.5837128165</x:v>
      </x:c>
      <x:c r="AD1239" s="37" t="n">
        <x:v>0</x:v>
      </x:c>
      <x:c r="AE1239" s="37" t="n">
        <x:v>0</x:v>
      </x:c>
      <x:c r="AF1239" s="47" t="b">
        <x:v>0</x:v>
      </x:c>
      <x:c r="AG1239" s="47" t="b">
        <x:v>0</x:v>
      </x:c>
      <x:c r="AH1239" s="48" t="n">
        <x:v>0</x:v>
      </x:c>
      <x:c r="AI1239" s="48" t="n">
        <x:v>1.1920928955078125e-7</x:v>
      </x:c>
      <x:c r="AJ1239" s="37" t="str">
        <x:v>passed</x:v>
      </x:c>
    </x:row>
    <x:row r="1240" ht="21" customHeight="1">
      <x:c r="A1240" s="2"/>
      <x:c r="B1240" s="2"/>
      <x:c r="C1240" s="2" t="str">
        <x:v>2023</x:v>
      </x:c>
      <x:c r="D1240" s="5" t="n">
        <x:v>45014</x:v>
      </x:c>
      <x:c r="E1240" s="2" t="str">
        <x:v>duration</x:v>
      </x:c>
      <x:c r="F1240" s="37" t="n">
        <x:v>7809290.029659441</x:v>
      </x:c>
      <x:c r="G1240" s="37" t="n">
        <x:v>3899017.1194406655</x:v>
      </x:c>
      <x:c r="H1240" s="37" t="n">
        <x:v>-10309.826728958658</x:v>
      </x:c>
      <x:c r="I1240" s="37" t="n">
        <x:v>3909326.946169624</x:v>
      </x:c>
      <x:c r="J1240" s="37" t="n">
        <x:v>10594104.530581487</x:v>
      </x:c>
      <x:c r="K1240" s="37" t="n">
        <x:v>6695087.411140822</x:v>
      </x:c>
      <x:c r="L1240" s="37" t="n">
        <x:v>11708307.149100106</x:v>
      </x:c>
      <x:c r="M1240" s="37" t="n">
        <x:v>0</x:v>
      </x:c>
      <x:c r="N1240" s="37" t="n">
        <x:v>0</x:v>
      </x:c>
      <x:c r="O1240" s="37" t="n">
        <x:v>427.88285735808313</x:v>
      </x:c>
      <x:c r="P1240" s="37" t="n">
        <x:v>0</x:v>
      </x:c>
      <x:c r="Q1240" s="37" t="n">
        <x:v>0</x:v>
      </x:c>
      <x:c r="R1240" s="37" t="n">
        <x:v>0</x:v>
      </x:c>
      <x:c r="S1240" s="37" t="n">
        <x:v>0</x:v>
      </x:c>
      <x:c r="T1240" s="37" t="n">
        <x:v>0</x:v>
      </x:c>
      <x:c r="U1240" s="37" t="n">
        <x:v>37500</x:v>
      </x:c>
      <x:c r="V1240" s="37" t="n">
        <x:v>0</x:v>
      </x:c>
      <x:c r="W1240" s="37" t="n">
        <x:v>36294.99379567988</x:v>
      </x:c>
      <x:c r="X1240" s="37" t="n">
        <x:v>0</x:v>
      </x:c>
      <x:c r="Y1240" s="37" t="n">
        <x:v>1712.5063178468959</x:v>
      </x:c>
      <x:c r="Z1240" s="37" t="n">
        <x:v>6828989.159363639</x:v>
      </x:c>
      <x:c r="AA1240" s="37" t="n">
        <x:v>0</x:v>
      </x:c>
      <x:c r="AB1240" s="37" t="n">
        <x:v>6828989.159363639</x:v>
      </x:c>
      <x:c r="AC1240" s="37" t="n">
        <x:v>980300.8702958021</x:v>
      </x:c>
      <x:c r="AD1240" s="37" t="n">
        <x:v>0</x:v>
      </x:c>
      <x:c r="AE1240" s="37" t="n">
        <x:v>0</x:v>
      </x:c>
      <x:c r="AF1240" s="47" t="b">
        <x:v>0</x:v>
      </x:c>
      <x:c r="AG1240" s="47" t="b">
        <x:v>0</x:v>
      </x:c>
      <x:c r="AH1240" s="48" t="n">
        <x:v>0</x:v>
      </x:c>
      <x:c r="AI1240" s="48" t="n">
        <x:v>5.960464477539063e-8</x:v>
      </x:c>
      <x:c r="AJ1240" s="37" t="str">
        <x:v>passed</x:v>
      </x:c>
    </x:row>
    <x:row r="1241" ht="21" customHeight="1">
      <x:c r="A1241" s="2"/>
      <x:c r="B1241" s="2"/>
      <x:c r="C1241" s="2" t="str">
        <x:v>2023</x:v>
      </x:c>
      <x:c r="D1241" s="5" t="n">
        <x:v>45014</x:v>
      </x:c>
      <x:c r="E1241" s="2" t="str">
        <x:v>unweighted</x:v>
      </x:c>
      <x:c r="F1241" s="37" t="n">
        <x:v>11240880.822771354</x:v>
      </x:c>
      <x:c r="G1241" s="37" t="n">
        <x:v>445549.82700331014</x:v>
      </x:c>
      <x:c r="H1241" s="37" t="n">
        <x:v>-17650.831718517613</x:v>
      </x:c>
      <x:c r="I1241" s="37" t="n">
        <x:v>463200.6587218278</x:v>
      </x:c>
      <x:c r="J1241" s="37" t="n">
        <x:v>10644267.74407848</x:v>
      </x:c>
      <x:c r="K1241" s="37" t="n">
        <x:v>10198717.91707517</x:v>
      </x:c>
      <x:c r="L1241" s="37" t="n">
        <x:v>11686430.649774663</x:v>
      </x:c>
      <x:c r="M1241" s="37" t="n">
        <x:v>0</x:v>
      </x:c>
      <x:c r="N1241" s="37" t="n">
        <x:v>0</x:v>
      </x:c>
      <x:c r="O1241" s="37" t="n">
        <x:v>615.9049270041287</x:v>
      </x:c>
      <x:c r="P1241" s="37" t="n">
        <x:v>0</x:v>
      </x:c>
      <x:c r="Q1241" s="37" t="n">
        <x:v>0</x:v>
      </x:c>
      <x:c r="R1241" s="37" t="n">
        <x:v>0</x:v>
      </x:c>
      <x:c r="S1241" s="37" t="n">
        <x:v>0</x:v>
      </x:c>
      <x:c r="T1241" s="37" t="n">
        <x:v>0</x:v>
      </x:c>
      <x:c r="U1241" s="37" t="n">
        <x:v>37500</x:v>
      </x:c>
      <x:c r="V1241" s="37" t="n">
        <x:v>0</x:v>
      </x:c>
      <x:c r="W1241" s="37" t="n">
        <x:v>51361.414677591994</x:v>
      </x:c>
      <x:c r="X1241" s="37" t="n">
        <x:v>0</x:v>
      </x:c>
      <x:c r="Y1241" s="37" t="n">
        <x:v>2048.100493389845</x:v>
      </x:c>
      <x:c r="Z1241" s="37" t="n">
        <x:v>10402692.275416674</x:v>
      </x:c>
      <x:c r="AA1241" s="37" t="n">
        <x:v>0</x:v>
      </x:c>
      <x:c r="AB1241" s="37" t="n">
        <x:v>10402692.275416674</x:v>
      </x:c>
      <x:c r="AC1241" s="37" t="n">
        <x:v>838188.5473546796</x:v>
      </x:c>
      <x:c r="AD1241" s="37" t="n">
        <x:v>0</x:v>
      </x:c>
      <x:c r="AE1241" s="37" t="n">
        <x:v>0</x:v>
      </x:c>
      <x:c r="AF1241" s="47" t="b">
        <x:v>0</x:v>
      </x:c>
      <x:c r="AG1241" s="47" t="b">
        <x:v>0</x:v>
      </x:c>
      <x:c r="AH1241" s="48" t="n">
        <x:v>0</x:v>
      </x:c>
      <x:c r="AI1241" s="48" t="n">
        <x:v>1.1920928955078125e-7</x:v>
      </x:c>
      <x:c r="AJ1241" s="37" t="str">
        <x:v>passed</x:v>
      </x:c>
    </x:row>
    <x:row r="1242" ht="21" customHeight="1">
      <x:c r="A1242" s="2"/>
      <x:c r="B1242" s="2"/>
      <x:c r="C1242" s="2" t="str">
        <x:v>2023</x:v>
      </x:c>
      <x:c r="D1242" s="5" t="n">
        <x:v>45014</x:v>
      </x:c>
      <x:c r="E1242" s="2" t="str">
        <x:v>constrained</x:v>
      </x:c>
      <x:c r="F1242" s="37" t="n">
        <x:v>11790857.532695128</x:v>
      </x:c>
      <x:c r="G1242" s="37" t="n">
        <x:v>-110251.2814085631</x:v>
      </x:c>
      <x:c r="H1242" s="37" t="n">
        <x:v>-19166.585872111064</x:v>
      </x:c>
      <x:c r="I1242" s="37" t="n">
        <x:v>-91084.69553645203</x:v>
      </x:c>
      <x:c r="J1242" s="37" t="n">
        <x:v>10648642.358065708</x:v>
      </x:c>
      <x:c r="K1242" s="37" t="n">
        <x:v>10758893.63947427</x:v>
      </x:c>
      <x:c r="L1242" s="37" t="n">
        <x:v>11680606.251286564</x:v>
      </x:c>
      <x:c r="M1242" s="37" t="n">
        <x:v>0</x:v>
      </x:c>
      <x:c r="N1242" s="37" t="n">
        <x:v>0</x:v>
      </x:c>
      <x:c r="O1242" s="37" t="n">
        <x:v>646.0389859564602</x:v>
      </x:c>
      <x:c r="P1242" s="37" t="n">
        <x:v>0</x:v>
      </x:c>
      <x:c r="Q1242" s="37" t="n">
        <x:v>0</x:v>
      </x:c>
      <x:c r="R1242" s="37" t="n">
        <x:v>0</x:v>
      </x:c>
      <x:c r="S1242" s="37" t="n">
        <x:v>0</x:v>
      </x:c>
      <x:c r="T1242" s="37" t="n">
        <x:v>0</x:v>
      </x:c>
      <x:c r="U1242" s="37" t="n">
        <x:v>37500</x:v>
      </x:c>
      <x:c r="V1242" s="37" t="n">
        <x:v>0</x:v>
      </x:c>
      <x:c r="W1242" s="37" t="n">
        <x:v>54484.66882237792</x:v>
      </x:c>
      <x:c r="X1242" s="37" t="n">
        <x:v>0</x:v>
      </x:c>
      <x:c r="Y1242" s="37" t="n">
        <x:v>2112.850059992143</x:v>
      </x:c>
      <x:c r="Z1242" s="37" t="n">
        <x:v>10974071.512263756</x:v>
      </x:c>
      <x:c r="AA1242" s="37" t="n">
        <x:v>0</x:v>
      </x:c>
      <x:c r="AB1242" s="37" t="n">
        <x:v>10974071.512263756</x:v>
      </x:c>
      <x:c r="AC1242" s="37" t="n">
        <x:v>816786.0204313714</x:v>
      </x:c>
      <x:c r="AD1242" s="37" t="n">
        <x:v>0</x:v>
      </x:c>
      <x:c r="AE1242" s="37" t="n">
        <x:v>0</x:v>
      </x:c>
      <x:c r="AF1242" s="47" t="b">
        <x:v>0</x:v>
      </x:c>
      <x:c r="AG1242" s="47" t="b">
        <x:v>0</x:v>
      </x:c>
      <x:c r="AH1242" s="48" t="n">
        <x:v>0</x:v>
      </x:c>
      <x:c r="AI1242" s="48" t="n">
        <x:v>1.1920928955078125e-7</x:v>
      </x:c>
      <x:c r="AJ1242" s="37" t="str">
        <x:v>passed</x:v>
      </x:c>
    </x:row>
    <x:row r="1243" ht="21" customHeight="1">
      <x:c r="A1243" s="2"/>
      <x:c r="B1243" s="2"/>
      <x:c r="C1243" s="2" t="str">
        <x:v>2023</x:v>
      </x:c>
      <x:c r="D1243" s="5" t="n">
        <x:v>45015</x:v>
      </x:c>
      <x:c r="E1243" s="2" t="str">
        <x:v>unhedged</x:v>
      </x:c>
      <x:c r="F1243" s="37" t="n">
        <x:v>1242208.6462105543</x:v>
      </x:c>
      <x:c r="G1243" s="37" t="n">
        <x:v>10603162.673287688</x:v>
      </x:c>
      <x:c r="H1243" s="37" t="n">
        <x:v>30662.983425414364</x:v>
      </x:c>
      <x:c r="I1243" s="37" t="n">
        <x:v>10572499.689862274</x:v>
      </x:c>
      <x:c r="J1243" s="37" t="n">
        <x:v>10603162.673287688</x:v>
      </x:c>
      <x:c r="K1243" s="37" t="n">
        <x:v>0</x:v>
      </x:c>
      <x:c r="L1243" s="37" t="n">
        <x:v>11845371.319498243</x:v>
      </x:c>
      <x:c r="M1243" s="37" t="n">
        <x:v>0</x:v>
      </x:c>
      <x:c r="N1243" s="37" t="n">
        <x:v>0</x:v>
      </x:c>
      <x:c r="O1243" s="37" t="n">
        <x:v>68.06249773781747</x:v>
      </x:c>
      <x:c r="P1243" s="37" t="n">
        <x:v>0</x:v>
      </x:c>
      <x:c r="Q1243" s="37" t="n">
        <x:v>0</x:v>
      </x:c>
      <x:c r="R1243" s="37" t="n">
        <x:v>0</x:v>
      </x:c>
      <x:c r="S1243" s="37" t="n">
        <x:v>0</x:v>
      </x:c>
      <x:c r="T1243" s="37" t="n">
        <x:v>0</x:v>
      </x:c>
      <x:c r="U1243" s="37" t="n">
        <x:v>37500</x:v>
      </x:c>
      <x:c r="V1243" s="37" t="n">
        <x:v>0</x:v>
      </x:c>
      <x:c r="W1243" s="37" t="n">
        <x:v>5751.515552676516</x:v>
      </x:c>
      <x:c r="X1243" s="37" t="n">
        <x:v>0</x:v>
      </x:c>
      <x:c r="Y1243" s="37" t="n">
        <x:v>1042.869342122179</x:v>
      </x:c>
      <x:c r="Z1243" s="37" t="n">
        <x:v>0</x:v>
      </x:c>
      <x:c r="AA1243" s="37" t="n">
        <x:v>0</x:v>
      </x:c>
      <x:c r="AB1243" s="37" t="n">
        <x:v>0</x:v>
      </x:c>
      <x:c r="AC1243" s="37" t="n">
        <x:v>1242208.6462105543</x:v>
      </x:c>
      <x:c r="AD1243" s="37" t="n">
        <x:v>0</x:v>
      </x:c>
      <x:c r="AE1243" s="37" t="n">
        <x:v>0</x:v>
      </x:c>
      <x:c r="AF1243" s="47" t="b">
        <x:v>0</x:v>
      </x:c>
      <x:c r="AG1243" s="47" t="b">
        <x:v>0</x:v>
      </x:c>
      <x:c r="AH1243" s="48" t="n">
        <x:v>0</x:v>
      </x:c>
      <x:c r="AI1243" s="48" t="n">
        <x:v>1.1920928955078125e-7</x:v>
      </x:c>
      <x:c r="AJ1243" s="37" t="str">
        <x:v>passed</x:v>
      </x:c>
    </x:row>
    <x:row r="1244" ht="21" customHeight="1">
      <x:c r="A1244" s="2"/>
      <x:c r="B1244" s="2"/>
      <x:c r="C1244" s="2" t="str">
        <x:v>2023</x:v>
      </x:c>
      <x:c r="D1244" s="5" t="n">
        <x:v>45015</x:v>
      </x:c>
      <x:c r="E1244" s="2" t="str">
        <x:v>duration</x:v>
      </x:c>
      <x:c r="F1244" s="37" t="n">
        <x:v>7809717.935962437</x:v>
      </x:c>
      <x:c r="G1244" s="37" t="n">
        <x:v>3896472.649940167</x:v>
      </x:c>
      <x:c r="H1244" s="37" t="n">
        <x:v>-10260.755591741772</x:v>
      </x:c>
      <x:c r="I1244" s="37" t="n">
        <x:v>3906733.405531909</x:v>
      </x:c>
      <x:c r="J1244" s="37" t="n">
        <x:v>10603162.673287688</x:v>
      </x:c>
      <x:c r="K1244" s="37" t="n">
        <x:v>6706690.023347521</x:v>
      </x:c>
      <x:c r="L1244" s="37" t="n">
        <x:v>11706190.585902603</x:v>
      </x:c>
      <x:c r="M1244" s="37" t="n">
        <x:v>0</x:v>
      </x:c>
      <x:c r="N1244" s="37" t="n">
        <x:v>0</x:v>
      </x:c>
      <x:c r="O1244" s="37" t="n">
        <x:v>427.9063029959798</x:v>
      </x:c>
      <x:c r="P1244" s="37" t="n">
        <x:v>0</x:v>
      </x:c>
      <x:c r="Q1244" s="37" t="n">
        <x:v>0</x:v>
      </x:c>
      <x:c r="R1244" s="37" t="n">
        <x:v>0</x:v>
      </x:c>
      <x:c r="S1244" s="37" t="n">
        <x:v>0</x:v>
      </x:c>
      <x:c r="T1244" s="37" t="n">
        <x:v>0</x:v>
      </x:c>
      <x:c r="U1244" s="37" t="n">
        <x:v>37500</x:v>
      </x:c>
      <x:c r="V1244" s="37" t="n">
        <x:v>0</x:v>
      </x:c>
      <x:c r="W1244" s="37" t="n">
        <x:v>36722.90009867586</x:v>
      </x:c>
      <x:c r="X1244" s="37" t="n">
        <x:v>0</x:v>
      </x:c>
      <x:c r="Y1244" s="37" t="n">
        <x:v>1712.5063178468959</x:v>
      </x:c>
      <x:c r="Z1244" s="37" t="n">
        <x:v>6840823.823814472</x:v>
      </x:c>
      <x:c r="AA1244" s="37" t="n">
        <x:v>0</x:v>
      </x:c>
      <x:c r="AB1244" s="37" t="n">
        <x:v>6840823.823814472</x:v>
      </x:c>
      <x:c r="AC1244" s="37" t="n">
        <x:v>968894.1121479645</x:v>
      </x:c>
      <x:c r="AD1244" s="37" t="n">
        <x:v>0</x:v>
      </x:c>
      <x:c r="AE1244" s="37" t="n">
        <x:v>0</x:v>
      </x:c>
      <x:c r="AF1244" s="47" t="b">
        <x:v>0</x:v>
      </x:c>
      <x:c r="AG1244" s="47" t="b">
        <x:v>0</x:v>
      </x:c>
      <x:c r="AH1244" s="48" t="n">
        <x:v>0</x:v>
      </x:c>
      <x:c r="AI1244" s="48" t="n">
        <x:v>5.960464477539063e-8</x:v>
      </x:c>
      <x:c r="AJ1244" s="37" t="str">
        <x:v>passed</x:v>
      </x:c>
    </x:row>
    <x:row r="1245" ht="21" customHeight="1">
      <x:c r="A1245" s="2"/>
      <x:c r="B1245" s="2"/>
      <x:c r="C1245" s="2" t="str">
        <x:v>2023</x:v>
      </x:c>
      <x:c r="D1245" s="5" t="n">
        <x:v>45015</x:v>
      </x:c>
      <x:c r="E1245" s="2" t="str">
        <x:v>unweighted</x:v>
      </x:c>
      <x:c r="F1245" s="37" t="n">
        <x:v>11241496.761446575</x:v>
      </x:c>
      <x:c r="G1245" s="37" t="n">
        <x:v>445723.15330852143</x:v>
      </x:c>
      <x:c r="H1245" s="37" t="n">
        <x:v>-17674.56653603746</x:v>
      </x:c>
      <x:c r="I1245" s="37" t="n">
        <x:v>463397.7198445589</x:v>
      </x:c>
      <x:c r="J1245" s="37" t="n">
        <x:v>10653560.402905844</x:v>
      </x:c>
      <x:c r="K1245" s="37" t="n">
        <x:v>10207837.249597322</x:v>
      </x:c>
      <x:c r="L1245" s="37" t="n">
        <x:v>11687219.914755097</x:v>
      </x:c>
      <x:c r="M1245" s="37" t="n">
        <x:v>0</x:v>
      </x:c>
      <x:c r="N1245" s="37" t="n">
        <x:v>0</x:v>
      </x:c>
      <x:c r="O1245" s="37" t="n">
        <x:v>615.9386752210557</x:v>
      </x:c>
      <x:c r="P1245" s="37" t="n">
        <x:v>0</x:v>
      </x:c>
      <x:c r="Q1245" s="37" t="n">
        <x:v>0</x:v>
      </x:c>
      <x:c r="R1245" s="37" t="n">
        <x:v>0</x:v>
      </x:c>
      <x:c r="S1245" s="37" t="n">
        <x:v>0</x:v>
      </x:c>
      <x:c r="T1245" s="37" t="n">
        <x:v>0</x:v>
      </x:c>
      <x:c r="U1245" s="37" t="n">
        <x:v>37500</x:v>
      </x:c>
      <x:c r="V1245" s="37" t="n">
        <x:v>0</x:v>
      </x:c>
      <x:c r="W1245" s="37" t="n">
        <x:v>51977.35335281305</x:v>
      </x:c>
      <x:c r="X1245" s="37" t="n">
        <x:v>0</x:v>
      </x:c>
      <x:c r="Y1245" s="37" t="n">
        <x:v>2048.100493389845</x:v>
      </x:c>
      <x:c r="Z1245" s="37" t="n">
        <x:v>10411993.99458927</x:v>
      </x:c>
      <x:c r="AA1245" s="37" t="n">
        <x:v>0</x:v>
      </x:c>
      <x:c r="AB1245" s="37" t="n">
        <x:v>10411993.99458927</x:v>
      </x:c>
      <x:c r="AC1245" s="37" t="n">
        <x:v>829502.7668573055</x:v>
      </x:c>
      <x:c r="AD1245" s="37" t="n">
        <x:v>0</x:v>
      </x:c>
      <x:c r="AE1245" s="37" t="n">
        <x:v>0</x:v>
      </x:c>
      <x:c r="AF1245" s="47" t="b">
        <x:v>0</x:v>
      </x:c>
      <x:c r="AG1245" s="47" t="b">
        <x:v>0</x:v>
      </x:c>
      <x:c r="AH1245" s="48" t="n">
        <x:v>0</x:v>
      </x:c>
      <x:c r="AI1245" s="48" t="n">
        <x:v>1.1920928955078125e-7</x:v>
      </x:c>
      <x:c r="AJ1245" s="37" t="str">
        <x:v>passed</x:v>
      </x:c>
    </x:row>
    <x:row r="1246" ht="21" customHeight="1">
      <x:c r="A1246" s="2"/>
      <x:c r="B1246" s="2"/>
      <x:c r="C1246" s="2" t="str">
        <x:v>2023</x:v>
      </x:c>
      <x:c r="D1246" s="5" t="n">
        <x:v>45015</x:v>
      </x:c>
      <x:c r="E1246" s="2" t="str">
        <x:v>constrained</x:v>
      </x:c>
      <x:c r="F1246" s="37" t="n">
        <x:v>11791503.607080482</x:v>
      </x:c>
      <x:c r="G1246" s="37" t="n">
        <x:v>-110079.91466061192</x:v>
      </x:c>
      <x:c r="H1246" s="37" t="n">
        <x:v>-19202.975023828534</x:v>
      </x:c>
      <x:c r="I1246" s="37" t="n">
        <x:v>-90876.93963678338</x:v>
      </x:c>
      <x:c r="J1246" s="37" t="n">
        <x:v>10657954.226456933</x:v>
      </x:c>
      <x:c r="K1246" s="37" t="n">
        <x:v>10768034.141117543</x:v>
      </x:c>
      <x:c r="L1246" s="37" t="n">
        <x:v>11681423.69241987</x:v>
      </x:c>
      <x:c r="M1246" s="37" t="n">
        <x:v>0</x:v>
      </x:c>
      <x:c r="N1246" s="37" t="n">
        <x:v>0</x:v>
      </x:c>
      <x:c r="O1246" s="37" t="n">
        <x:v>646.0743853542954</x:v>
      </x:c>
      <x:c r="P1246" s="37" t="n">
        <x:v>0</x:v>
      </x:c>
      <x:c r="Q1246" s="37" t="n">
        <x:v>0</x:v>
      </x:c>
      <x:c r="R1246" s="37" t="n">
        <x:v>0</x:v>
      </x:c>
      <x:c r="S1246" s="37" t="n">
        <x:v>0</x:v>
      </x:c>
      <x:c r="T1246" s="37" t="n">
        <x:v>0</x:v>
      </x:c>
      <x:c r="U1246" s="37" t="n">
        <x:v>37500</x:v>
      </x:c>
      <x:c r="V1246" s="37" t="n">
        <x:v>0</x:v>
      </x:c>
      <x:c r="W1246" s="37" t="n">
        <x:v>55130.743207732216</x:v>
      </x:c>
      <x:c r="X1246" s="37" t="n">
        <x:v>0</x:v>
      </x:c>
      <x:c r="Y1246" s="37" t="n">
        <x:v>2112.850059992143</x:v>
      </x:c>
      <x:c r="Z1246" s="37" t="n">
        <x:v>10983394.823939893</x:v>
      </x:c>
      <x:c r="AA1246" s="37" t="n">
        <x:v>0</x:v>
      </x:c>
      <x:c r="AB1246" s="37" t="n">
        <x:v>10983394.823939893</x:v>
      </x:c>
      <x:c r="AC1246" s="37" t="n">
        <x:v>808108.7831405886</x:v>
      </x:c>
      <x:c r="AD1246" s="37" t="n">
        <x:v>0</x:v>
      </x:c>
      <x:c r="AE1246" s="37" t="n">
        <x:v>0</x:v>
      </x:c>
      <x:c r="AF1246" s="47" t="b">
        <x:v>0</x:v>
      </x:c>
      <x:c r="AG1246" s="47" t="b">
        <x:v>0</x:v>
      </x:c>
      <x:c r="AH1246" s="48" t="n">
        <x:v>0</x:v>
      </x:c>
      <x:c r="AI1246" s="48" t="n">
        <x:v>1.1920928955078125e-7</x:v>
      </x:c>
      <x:c r="AJ1246" s="37" t="str">
        <x:v>passed</x:v>
      </x:c>
    </x:row>
    <x:row r="1247" ht="21" customHeight="1">
      <x:c r="A1247" s="2"/>
      <x:c r="B1247" s="2"/>
      <x:c r="C1247" s="2" t="str">
        <x:v>2023</x:v>
      </x:c>
      <x:c r="D1247" s="5" t="n">
        <x:v>45016</x:v>
      </x:c>
      <x:c r="E1247" s="2" t="str">
        <x:v>unhedged</x:v>
      </x:c>
      <x:c r="F1247" s="37" t="n">
        <x:v>1242276.7124377443</x:v>
      </x:c>
      <x:c r="G1247" s="37" t="n">
        <x:v>10637044.699786384</x:v>
      </x:c>
      <x:c r="H1247" s="37" t="n">
        <x:v>31015.193370165747</x:v>
      </x:c>
      <x:c r="I1247" s="37" t="n">
        <x:v>10606029.506416218</x:v>
      </x:c>
      <x:c r="J1247" s="37" t="n">
        <x:v>10637044.699786384</x:v>
      </x:c>
      <x:c r="K1247" s="37" t="n">
        <x:v>0</x:v>
      </x:c>
      <x:c r="L1247" s="37" t="n">
        <x:v>11879321.412224129</x:v>
      </x:c>
      <x:c r="M1247" s="37" t="n">
        <x:v>0</x:v>
      </x:c>
      <x:c r="N1247" s="37" t="n">
        <x:v>0</x:v>
      </x:c>
      <x:c r="O1247" s="37" t="n">
        <x:v>68.06622718996368</x:v>
      </x:c>
      <x:c r="P1247" s="37" t="n">
        <x:v>0</x:v>
      </x:c>
      <x:c r="Q1247" s="37" t="n">
        <x:v>0</x:v>
      </x:c>
      <x:c r="R1247" s="37" t="n">
        <x:v>0</x:v>
      </x:c>
      <x:c r="S1247" s="37" t="n">
        <x:v>0</x:v>
      </x:c>
      <x:c r="T1247" s="37" t="n">
        <x:v>0</x:v>
      </x:c>
      <x:c r="U1247" s="37" t="n">
        <x:v>37500</x:v>
      </x:c>
      <x:c r="V1247" s="37" t="n">
        <x:v>0</x:v>
      </x:c>
      <x:c r="W1247" s="37" t="n">
        <x:v>5819.581779866479</x:v>
      </x:c>
      <x:c r="X1247" s="37" t="n">
        <x:v>0</x:v>
      </x:c>
      <x:c r="Y1247" s="37" t="n">
        <x:v>1042.869342122179</x:v>
      </x:c>
      <x:c r="Z1247" s="37" t="n">
        <x:v>0</x:v>
      </x:c>
      <x:c r="AA1247" s="37" t="n">
        <x:v>0</x:v>
      </x:c>
      <x:c r="AB1247" s="37" t="n">
        <x:v>0</x:v>
      </x:c>
      <x:c r="AC1247" s="37" t="n">
        <x:v>1242276.7124377443</x:v>
      </x:c>
      <x:c r="AD1247" s="37" t="n">
        <x:v>0</x:v>
      </x:c>
      <x:c r="AE1247" s="37" t="n">
        <x:v>0</x:v>
      </x:c>
      <x:c r="AF1247" s="47" t="b">
        <x:v>0</x:v>
      </x:c>
      <x:c r="AG1247" s="47" t="b">
        <x:v>0</x:v>
      </x:c>
      <x:c r="AH1247" s="48" t="n">
        <x:v>0</x:v>
      </x:c>
      <x:c r="AI1247" s="48" t="n">
        <x:v>1.1920928955078125e-7</x:v>
      </x:c>
      <x:c r="AJ1247" s="37" t="str">
        <x:v>passed</x:v>
      </x:c>
    </x:row>
    <x:row r="1248" ht="21" customHeight="1">
      <x:c r="A1248" s="2"/>
      <x:c r="B1248" s="2"/>
      <x:c r="C1248" s="2" t="str">
        <x:v>2023</x:v>
      </x:c>
      <x:c r="D1248" s="5" t="n">
        <x:v>45016</x:v>
      </x:c>
      <x:c r="E1248" s="2" t="str">
        <x:v>duration</x:v>
      </x:c>
      <x:c r="F1248" s="37" t="n">
        <x:v>7810145.865712354</x:v>
      </x:c>
      <x:c r="G1248" s="37" t="n">
        <x:v>3895949.0041298345</x:v>
      </x:c>
      <x:c r="H1248" s="37" t="n">
        <x:v>-10211.684454524875</x:v>
      </x:c>
      <x:c r="I1248" s="37" t="n">
        <x:v>3906160.6885843594</x:v>
      </x:c>
      <x:c r="J1248" s="37" t="n">
        <x:v>10637044.699786384</x:v>
      </x:c>
      <x:c r="K1248" s="37" t="n">
        <x:v>6741095.695656549</x:v>
      </x:c>
      <x:c r="L1248" s="37" t="n">
        <x:v>11706094.869842188</x:v>
      </x:c>
      <x:c r="M1248" s="37" t="n">
        <x:v>0</x:v>
      </x:c>
      <x:c r="N1248" s="37" t="n">
        <x:v>0</x:v>
      </x:c>
      <x:c r="O1248" s="37" t="n">
        <x:v>427.92974991723895</x:v>
      </x:c>
      <x:c r="P1248" s="37" t="n">
        <x:v>0</x:v>
      </x:c>
      <x:c r="Q1248" s="37" t="n">
        <x:v>0</x:v>
      </x:c>
      <x:c r="R1248" s="37" t="n">
        <x:v>0</x:v>
      </x:c>
      <x:c r="S1248" s="37" t="n">
        <x:v>0</x:v>
      </x:c>
      <x:c r="T1248" s="37" t="n">
        <x:v>0</x:v>
      </x:c>
      <x:c r="U1248" s="37" t="n">
        <x:v>37500</x:v>
      </x:c>
      <x:c r="V1248" s="37" t="n">
        <x:v>0</x:v>
      </x:c>
      <x:c r="W1248" s="37" t="n">
        <x:v>37150.8298485931</x:v>
      </x:c>
      <x:c r="X1248" s="37" t="n">
        <x:v>0</x:v>
      </x:c>
      <x:c r="Y1248" s="37" t="n">
        <x:v>1712.5063178468959</x:v>
      </x:c>
      <x:c r="Z1248" s="37" t="n">
        <x:v>6875917.60956968</x:v>
      </x:c>
      <x:c r="AA1248" s="37" t="n">
        <x:v>0</x:v>
      </x:c>
      <x:c r="AB1248" s="37" t="n">
        <x:v>6875917.60956968</x:v>
      </x:c>
      <x:c r="AC1248" s="37" t="n">
        <x:v>934228.256142674</x:v>
      </x:c>
      <x:c r="AD1248" s="37" t="n">
        <x:v>0</x:v>
      </x:c>
      <x:c r="AE1248" s="37" t="n">
        <x:v>0</x:v>
      </x:c>
      <x:c r="AF1248" s="47" t="b">
        <x:v>0</x:v>
      </x:c>
      <x:c r="AG1248" s="47" t="b">
        <x:v>0</x:v>
      </x:c>
      <x:c r="AH1248" s="48" t="n">
        <x:v>0</x:v>
      </x:c>
      <x:c r="AI1248" s="48" t="n">
        <x:v>5.960464477539063e-8</x:v>
      </x:c>
      <x:c r="AJ1248" s="37" t="str">
        <x:v>passed</x:v>
      </x:c>
    </x:row>
    <x:row r="1249" ht="21" customHeight="1">
      <x:c r="A1249" s="2"/>
      <x:c r="B1249" s="2"/>
      <x:c r="C1249" s="2" t="str">
        <x:v>2023</x:v>
      </x:c>
      <x:c r="D1249" s="5" t="n">
        <x:v>45016</x:v>
      </x:c>
      <x:c r="E1249" s="2" t="str">
        <x:v>unweighted</x:v>
      </x:c>
      <x:c r="F1249" s="37" t="n">
        <x:v>11242112.733871862</x:v>
      </x:c>
      <x:c r="G1249" s="37" t="n">
        <x:v>446312.16207082773</x:v>
      </x:c>
      <x:c r="H1249" s="37" t="n">
        <x:v>-17698.301353557297</x:v>
      </x:c>
      <x:c r="I1249" s="37" t="n">
        <x:v>464010.46342438506</x:v>
      </x:c>
      <x:c r="J1249" s="37" t="n">
        <x:v>10687982.989123207</x:v>
      </x:c>
      <x:c r="K1249" s="37" t="n">
        <x:v>10241670.827052379</x:v>
      </x:c>
      <x:c r="L1249" s="37" t="n">
        <x:v>11688424.89594269</x:v>
      </x:c>
      <x:c r="M1249" s="37" t="n">
        <x:v>0</x:v>
      </x:c>
      <x:c r="N1249" s="37" t="n">
        <x:v>0</x:v>
      </x:c>
      <x:c r="O1249" s="37" t="n">
        <x:v>615.9724252875894</x:v>
      </x:c>
      <x:c r="P1249" s="37" t="n">
        <x:v>0</x:v>
      </x:c>
      <x:c r="Q1249" s="37" t="n">
        <x:v>0</x:v>
      </x:c>
      <x:c r="R1249" s="37" t="n">
        <x:v>0</x:v>
      </x:c>
      <x:c r="S1249" s="37" t="n">
        <x:v>0</x:v>
      </x:c>
      <x:c r="T1249" s="37" t="n">
        <x:v>0</x:v>
      </x:c>
      <x:c r="U1249" s="37" t="n">
        <x:v>37500</x:v>
      </x:c>
      <x:c r="V1249" s="37" t="n">
        <x:v>0</x:v>
      </x:c>
      <x:c r="W1249" s="37" t="n">
        <x:v>52593.32577810064</x:v>
      </x:c>
      <x:c r="X1249" s="37" t="n">
        <x:v>0</x:v>
      </x:c>
      <x:c r="Y1249" s="37" t="n">
        <x:v>2048.100493389845</x:v>
      </x:c>
      <x:c r="Z1249" s="37" t="n">
        <x:v>10446504.243593426</x:v>
      </x:c>
      <x:c r="AA1249" s="37" t="n">
        <x:v>0</x:v>
      </x:c>
      <x:c r="AB1249" s="37" t="n">
        <x:v>10446504.243593426</x:v>
      </x:c>
      <x:c r="AC1249" s="37" t="n">
        <x:v>795608.4902784359</x:v>
      </x:c>
      <x:c r="AD1249" s="37" t="n">
        <x:v>0</x:v>
      </x:c>
      <x:c r="AE1249" s="37" t="n">
        <x:v>0</x:v>
      </x:c>
      <x:c r="AF1249" s="47" t="b">
        <x:v>0</x:v>
      </x:c>
      <x:c r="AG1249" s="47" t="b">
        <x:v>0</x:v>
      </x:c>
      <x:c r="AH1249" s="48" t="n">
        <x:v>0</x:v>
      </x:c>
      <x:c r="AI1249" s="48" t="n">
        <x:v>1.1920928955078125e-7</x:v>
      </x:c>
      <x:c r="AJ1249" s="37" t="str">
        <x:v>passed</x:v>
      </x:c>
    </x:row>
    <x:row r="1250" ht="21" customHeight="1">
      <x:c r="A1250" s="2"/>
      <x:c r="B1250" s="2"/>
      <x:c r="C1250" s="2" t="str">
        <x:v>2023</x:v>
      </x:c>
      <x:c r="D1250" s="5" t="n">
        <x:v>45016</x:v>
      </x:c>
      <x:c r="E1250" s="2" t="str">
        <x:v>constrained</x:v>
      </x:c>
      <x:c r="F1250" s="37" t="n">
        <x:v>11792149.716867173</x:v>
      </x:c>
      <x:c r="G1250" s="37" t="n">
        <x:v>-110022.14817027612</x:v>
      </x:c>
      <x:c r="H1250" s="37" t="n">
        <x:v>-19239.364175546005</x:v>
      </x:c>
      <x:c r="I1250" s="37" t="n">
        <x:v>-90782.78399473013</x:v>
      </x:c>
      <x:c r="J1250" s="37" t="n">
        <x:v>10692422.566180801</x:v>
      </x:c>
      <x:c r="K1250" s="37" t="n">
        <x:v>10802444.714351077</x:v>
      </x:c>
      <x:c r="L1250" s="37" t="n">
        <x:v>11682127.568696897</x:v>
      </x:c>
      <x:c r="M1250" s="37" t="n">
        <x:v>0</x:v>
      </x:c>
      <x:c r="N1250" s="37" t="n">
        <x:v>0</x:v>
      </x:c>
      <x:c r="O1250" s="37" t="n">
        <x:v>646.1097866911441</x:v>
      </x:c>
      <x:c r="P1250" s="37" t="n">
        <x:v>0</x:v>
      </x:c>
      <x:c r="Q1250" s="37" t="n">
        <x:v>0</x:v>
      </x:c>
      <x:c r="R1250" s="37" t="n">
        <x:v>0</x:v>
      </x:c>
      <x:c r="S1250" s="37" t="n">
        <x:v>0</x:v>
      </x:c>
      <x:c r="T1250" s="37" t="n">
        <x:v>0</x:v>
      </x:c>
      <x:c r="U1250" s="37" t="n">
        <x:v>37500</x:v>
      </x:c>
      <x:c r="V1250" s="37" t="n">
        <x:v>0</x:v>
      </x:c>
      <x:c r="W1250" s="37" t="n">
        <x:v>55776.85299442336</x:v>
      </x:c>
      <x:c r="X1250" s="37" t="n">
        <x:v>0</x:v>
      </x:c>
      <x:c r="Y1250" s="37" t="n">
        <x:v>2112.850059992143</x:v>
      </x:c>
      <x:c r="Z1250" s="37" t="n">
        <x:v>11018493.608638098</x:v>
      </x:c>
      <x:c r="AA1250" s="37" t="n">
        <x:v>0</x:v>
      </x:c>
      <x:c r="AB1250" s="37" t="n">
        <x:v>11018493.608638098</x:v>
      </x:c>
      <x:c r="AC1250" s="37" t="n">
        <x:v>773656.1082290746</x:v>
      </x:c>
      <x:c r="AD1250" s="37" t="n">
        <x:v>0</x:v>
      </x:c>
      <x:c r="AE1250" s="37" t="n">
        <x:v>0</x:v>
      </x:c>
      <x:c r="AF1250" s="47" t="b">
        <x:v>0</x:v>
      </x:c>
      <x:c r="AG1250" s="47" t="b">
        <x:v>0</x:v>
      </x:c>
      <x:c r="AH1250" s="48" t="n">
        <x:v>0</x:v>
      </x:c>
      <x:c r="AI1250" s="48" t="n">
        <x:v>1.1920928955078125e-7</x:v>
      </x:c>
      <x:c r="AJ1250" s="37" t="str">
        <x:v>passed</x:v>
      </x:c>
    </x:row>
    <x:row r="1251" ht="21" customHeight="1">
      <x:c r="A1251" s="2"/>
      <x:c r="B1251" s="2"/>
      <x:c r="C1251" s="2" t="str">
        <x:v>2023</x:v>
      </x:c>
      <x:c r="D1251" s="5" t="n">
        <x:v>45019</x:v>
      </x:c>
      <x:c r="E1251" s="2" t="str">
        <x:v>unhedged</x:v>
      </x:c>
      <x:c r="F1251" s="37" t="n">
        <x:v>1242480.9334980685</x:v>
      </x:c>
      <x:c r="G1251" s="37" t="n">
        <x:v>10676062.028949173</x:v>
      </x:c>
      <x:c r="H1251" s="37" t="n">
        <x:v>32071.823204419885</x:v>
      </x:c>
      <x:c r="I1251" s="37" t="n">
        <x:v>10643990.205744753</x:v>
      </x:c>
      <x:c r="J1251" s="37" t="n">
        <x:v>10676062.028949173</x:v>
      </x:c>
      <x:c r="K1251" s="37" t="n">
        <x:v>0</x:v>
      </x:c>
      <x:c r="L1251" s="37" t="n">
        <x:v>11918542.962447241</x:v>
      </x:c>
      <x:c r="M1251" s="37" t="n">
        <x:v>0</x:v>
      </x:c>
      <x:c r="N1251" s="37" t="n">
        <x:v>0</x:v>
      </x:c>
      <x:c r="O1251" s="37" t="n">
        <x:v>204.22106032422744</x:v>
      </x:c>
      <x:c r="P1251" s="37" t="n">
        <x:v>0</x:v>
      </x:c>
      <x:c r="Q1251" s="37" t="n">
        <x:v>0</x:v>
      </x:c>
      <x:c r="R1251" s="37" t="n">
        <x:v>0</x:v>
      </x:c>
      <x:c r="S1251" s="37" t="n">
        <x:v>0</x:v>
      </x:c>
      <x:c r="T1251" s="37" t="n">
        <x:v>0</x:v>
      </x:c>
      <x:c r="U1251" s="37" t="n">
        <x:v>37500</x:v>
      </x:c>
      <x:c r="V1251" s="37" t="n">
        <x:v>0</x:v>
      </x:c>
      <x:c r="W1251" s="37" t="n">
        <x:v>6023.802840190707</x:v>
      </x:c>
      <x:c r="X1251" s="37" t="n">
        <x:v>0</x:v>
      </x:c>
      <x:c r="Y1251" s="37" t="n">
        <x:v>1042.869342122179</x:v>
      </x:c>
      <x:c r="Z1251" s="37" t="n">
        <x:v>0</x:v>
      </x:c>
      <x:c r="AA1251" s="37" t="n">
        <x:v>0</x:v>
      </x:c>
      <x:c r="AB1251" s="37" t="n">
        <x:v>0</x:v>
      </x:c>
      <x:c r="AC1251" s="37" t="n">
        <x:v>1242480.9334980685</x:v>
      </x:c>
      <x:c r="AD1251" s="37" t="n">
        <x:v>0</x:v>
      </x:c>
      <x:c r="AE1251" s="37" t="n">
        <x:v>0</x:v>
      </x:c>
      <x:c r="AF1251" s="47" t="b">
        <x:v>0</x:v>
      </x:c>
      <x:c r="AG1251" s="47" t="b">
        <x:v>0</x:v>
      </x:c>
      <x:c r="AH1251" s="48" t="n">
        <x:v>0</x:v>
      </x:c>
      <x:c r="AI1251" s="48" t="n">
        <x:v>1.1920928955078125e-7</x:v>
      </x:c>
      <x:c r="AJ1251" s="37" t="str">
        <x:v>passed</x:v>
      </x:c>
    </x:row>
    <x:row r="1252" ht="21" customHeight="1">
      <x:c r="A1252" s="2"/>
      <x:c r="B1252" s="2"/>
      <x:c r="C1252" s="2" t="str">
        <x:v>2023</x:v>
      </x:c>
      <x:c r="D1252" s="5" t="n">
        <x:v>45019</x:v>
      </x:c>
      <x:c r="E1252" s="2" t="str">
        <x:v>duration</x:v>
      </x:c>
      <x:c r="F1252" s="37" t="n">
        <x:v>7726475.607874449</x:v>
      </x:c>
      <x:c r="G1252" s="37" t="n">
        <x:v>3984851.782389373</x:v>
      </x:c>
      <x:c r="H1252" s="37" t="n">
        <x:v>-9536.251687230057</x:v>
      </x:c>
      <x:c r="I1252" s="37" t="n">
        <x:v>3994388.034076603</x:v>
      </x:c>
      <x:c r="J1252" s="37" t="n">
        <x:v>10676062.028949173</x:v>
      </x:c>
      <x:c r="K1252" s="37" t="n">
        <x:v>6691210.246559801</x:v>
      </x:c>
      <x:c r="L1252" s="37" t="n">
        <x:v>11711327.390263822</x:v>
      </x:c>
      <x:c r="M1252" s="37" t="n">
        <x:v>0</x:v>
      </x:c>
      <x:c r="N1252" s="37" t="n">
        <x:v>0</x:v>
      </x:c>
      <x:c r="O1252" s="37" t="n">
        <x:v>1283.9299441212788</x:v>
      </x:c>
      <x:c r="P1252" s="37" t="n">
        <x:v>0</x:v>
      </x:c>
      <x:c r="Q1252" s="37" t="n">
        <x:v>8.494569321270475</x:v>
      </x:c>
      <x:c r="R1252" s="37" t="n">
        <x:v>-84945.69321270475</x:v>
      </x:c>
      <x:c r="S1252" s="37" t="n">
        <x:v>84945.69321270475</x:v>
      </x:c>
      <x:c r="T1252" s="37" t="n">
        <x:v>0</x:v>
      </x:c>
      <x:c r="U1252" s="37" t="n">
        <x:v>37500</x:v>
      </x:c>
      <x:c r="V1252" s="37" t="n">
        <x:v>0</x:v>
      </x:c>
      <x:c r="W1252" s="37" t="n">
        <x:v>38434.75979271438</x:v>
      </x:c>
      <x:c r="X1252" s="37" t="n">
        <x:v>0</x:v>
      </x:c>
      <x:c r="Y1252" s="37" t="n">
        <x:v>1721.0008871681664</x:v>
      </x:c>
      <x:c r="Z1252" s="37" t="n">
        <x:v>6825034.451490996</x:v>
      </x:c>
      <x:c r="AA1252" s="37" t="n">
        <x:v>0</x:v>
      </x:c>
      <x:c r="AB1252" s="37" t="n">
        <x:v>6825034.451490996</x:v>
      </x:c>
      <x:c r="AC1252" s="37" t="n">
        <x:v>901441.1563834529</x:v>
      </x:c>
      <x:c r="AD1252" s="37" t="n">
        <x:v>0</x:v>
      </x:c>
      <x:c r="AE1252" s="37" t="n">
        <x:v>0</x:v>
      </x:c>
      <x:c r="AF1252" s="47" t="b">
        <x:v>0</x:v>
      </x:c>
      <x:c r="AG1252" s="47" t="b">
        <x:v>0</x:v>
      </x:c>
      <x:c r="AH1252" s="48" t="n">
        <x:v>1.220286094394396e-10</x:v>
      </x:c>
      <x:c r="AI1252" s="48" t="n">
        <x:v>5.960464477539063e-8</x:v>
      </x:c>
      <x:c r="AJ1252" s="37" t="str">
        <x:v>passed</x:v>
      </x:c>
    </x:row>
    <x:row r="1253" ht="21" customHeight="1">
      <x:c r="A1253" s="2"/>
      <x:c r="B1253" s="2"/>
      <x:c r="C1253" s="2" t="str">
        <x:v>2023</x:v>
      </x:c>
      <x:c r="D1253" s="5" t="n">
        <x:v>45019</x:v>
      </x:c>
      <x:c r="E1253" s="2" t="str">
        <x:v>unweighted</x:v>
      </x:c>
      <x:c r="F1253" s="37" t="n">
        <x:v>11450226.69091858</x:v>
      </x:c>
      <x:c r="G1253" s="37" t="n">
        <x:v>240955.35843072576</x:v>
      </x:c>
      <x:c r="H1253" s="37" t="n">
        <x:v>-18318.43704409246</x:v>
      </x:c>
      <x:c r="I1253" s="37" t="n">
        <x:v>259273.7954748182</x:v>
      </x:c>
      <x:c r="J1253" s="37" t="n">
        <x:v>10734700.213753596</x:v>
      </x:c>
      <x:c r="K1253" s="37" t="n">
        <x:v>10493744.855322871</x:v>
      </x:c>
      <x:c r="L1253" s="37" t="n">
        <x:v>11691182.049349306</x:v>
      </x:c>
      <x:c r="M1253" s="37" t="n">
        <x:v>0</x:v>
      </x:c>
      <x:c r="N1253" s="37" t="n">
        <x:v>0</x:v>
      </x:c>
      <x:c r="O1253" s="37" t="n">
        <x:v>1848.1197947375476</x:v>
      </x:c>
      <x:c r="P1253" s="37" t="n">
        <x:v>0</x:v>
      </x:c>
      <x:c r="Q1253" s="37" t="n">
        <x:v>22.182078047487828</x:v>
      </x:c>
      <x:c r="R1253" s="37" t="n">
        <x:v>206288.0193300269</x:v>
      </x:c>
      <x:c r="S1253" s="37" t="n">
        <x:v>221820.78047487827</x:v>
      </x:c>
      <x:c r="T1253" s="37" t="n">
        <x:v>0</x:v>
      </x:c>
      <x:c r="U1253" s="37" t="n">
        <x:v>37500</x:v>
      </x:c>
      <x:c r="V1253" s="37" t="n">
        <x:v>0</x:v>
      </x:c>
      <x:c r="W1253" s="37" t="n">
        <x:v>54441.44557283819</x:v>
      </x:c>
      <x:c r="X1253" s="37" t="n">
        <x:v>0</x:v>
      </x:c>
      <x:c r="Y1253" s="37" t="n">
        <x:v>2070.2825714373325</x:v>
      </x:c>
      <x:c r="Z1253" s="37" t="n">
        <x:v>10703619.752429329</x:v>
      </x:c>
      <x:c r="AA1253" s="37" t="n">
        <x:v>0</x:v>
      </x:c>
      <x:c r="AB1253" s="37" t="n">
        <x:v>10703619.752429329</x:v>
      </x:c>
      <x:c r="AC1253" s="37" t="n">
        <x:v>746606.9384892508</x:v>
      </x:c>
      <x:c r="AD1253" s="37" t="n">
        <x:v>0</x:v>
      </x:c>
      <x:c r="AE1253" s="37" t="n">
        <x:v>0</x:v>
      </x:c>
      <x:c r="AF1253" s="47" t="b">
        <x:v>0</x:v>
      </x:c>
      <x:c r="AG1253" s="47" t="b">
        <x:v>0</x:v>
      </x:c>
      <x:c r="AH1253" s="48" t="n">
        <x:v>4.4348524852466653e-10</x:v>
      </x:c>
      <x:c r="AI1253" s="48" t="n">
        <x:v>1.1920928955078125e-7</x:v>
      </x:c>
      <x:c r="AJ1253" s="37" t="str">
        <x:v>passed</x:v>
      </x:c>
    </x:row>
    <x:row r="1254" ht="21" customHeight="1">
      <x:c r="A1254" s="2"/>
      <x:c r="B1254" s="2"/>
      <x:c r="C1254" s="2" t="str">
        <x:v>2023</x:v>
      </x:c>
      <x:c r="D1254" s="5" t="n">
        <x:v>45019</x:v>
      </x:c>
      <x:c r="E1254" s="2" t="str">
        <x:v>constrained</x:v>
      </x:c>
      <x:c r="F1254" s="37" t="n">
        <x:v>11835233.562294055</x:v>
      </x:c>
      <x:c r="G1254" s="37" t="n">
        <x:v>-151092.65355378282</x:v>
      </x:c>
      <x:c r="H1254" s="37" t="n">
        <x:v>-19372.904299010996</x:v>
      </x:c>
      <x:c r="I1254" s="37" t="n">
        <x:v>-131719.74925477183</x:v>
      </x:c>
      <x:c r="J1254" s="37" t="n">
        <x:v>10735800.696856009</x:v>
      </x:c>
      <x:c r="K1254" s="37" t="n">
        <x:v>10886893.35040979</x:v>
      </x:c>
      <x:c r="L1254" s="37" t="n">
        <x:v>11684140.908740273</x:v>
      </x:c>
      <x:c r="M1254" s="37" t="n">
        <x:v>0</x:v>
      </x:c>
      <x:c r="N1254" s="37" t="n">
        <x:v>0</x:v>
      </x:c>
      <x:c r="O1254" s="37" t="n">
        <x:v>1938.5417874865234</x:v>
      </x:c>
      <x:c r="P1254" s="37" t="n">
        <x:v>0</x:v>
      </x:c>
      <x:c r="Q1254" s="37" t="n">
        <x:v>13.67342197996148</x:v>
      </x:c>
      <x:c r="R1254" s="37" t="n">
        <x:v>41158.977061375794</x:v>
      </x:c>
      <x:c r="S1254" s="37" t="n">
        <x:v>136734.2197996148</x:v>
      </x:c>
      <x:c r="T1254" s="37" t="n">
        <x:v>0</x:v>
      </x:c>
      <x:c r="U1254" s="37" t="n">
        <x:v>37500</x:v>
      </x:c>
      <x:c r="V1254" s="37" t="n">
        <x:v>0</x:v>
      </x:c>
      <x:c r="W1254" s="37" t="n">
        <x:v>57715.39478190988</x:v>
      </x:c>
      <x:c r="X1254" s="37" t="n">
        <x:v>0</x:v>
      </x:c>
      <x:c r="Y1254" s="37" t="n">
        <x:v>2126.5234819721045</x:v>
      </x:c>
      <x:c r="Z1254" s="37" t="n">
        <x:v>11104631.217417987</x:v>
      </x:c>
      <x:c r="AA1254" s="37" t="n">
        <x:v>0</x:v>
      </x:c>
      <x:c r="AB1254" s="37" t="n">
        <x:v>11104631.217417987</x:v>
      </x:c>
      <x:c r="AC1254" s="37" t="n">
        <x:v>730602.3448760677</x:v>
      </x:c>
      <x:c r="AD1254" s="37" t="n">
        <x:v>0</x:v>
      </x:c>
      <x:c r="AE1254" s="37" t="n">
        <x:v>0</x:v>
      </x:c>
      <x:c r="AF1254" s="47" t="b">
        <x:v>0</x:v>
      </x:c>
      <x:c r="AG1254" s="47" t="b">
        <x:v>0</x:v>
      </x:c>
      <x:c r="AH1254" s="48" t="n">
        <x:v>-6.697664645116674e-10</x:v>
      </x:c>
      <x:c r="AI1254" s="48" t="n">
        <x:v>1.1920928955078125e-7</x:v>
      </x:c>
      <x:c r="AJ1254" s="37" t="str">
        <x:v>passed</x:v>
      </x:c>
    </x:row>
    <x:row r="1255" ht="21" customHeight="1">
      <x:c r="A1255" s="2"/>
      <x:c r="B1255" s="2"/>
      <x:c r="C1255" s="2" t="str">
        <x:v>2023</x:v>
      </x:c>
      <x:c r="D1255" s="5" t="n">
        <x:v>45020</x:v>
      </x:c>
      <x:c r="E1255" s="2" t="str">
        <x:v>unhedged</x:v>
      </x:c>
      <x:c r="F1255" s="37" t="n">
        <x:v>1242549.0146451097</x:v>
      </x:c>
      <x:c r="G1255" s="37" t="n">
        <x:v>10730857.177574862</x:v>
      </x:c>
      <x:c r="H1255" s="37" t="n">
        <x:v>32424.03314917127</x:v>
      </x:c>
      <x:c r="I1255" s="37" t="n">
        <x:v>10698433.14442569</x:v>
      </x:c>
      <x:c r="J1255" s="37" t="n">
        <x:v>10730857.177574862</x:v>
      </x:c>
      <x:c r="K1255" s="37" t="n">
        <x:v>0</x:v>
      </x:c>
      <x:c r="L1255" s="37" t="n">
        <x:v>11973406.19221997</x:v>
      </x:c>
      <x:c r="M1255" s="37" t="n">
        <x:v>0</x:v>
      </x:c>
      <x:c r="N1255" s="37" t="n">
        <x:v>0</x:v>
      </x:c>
      <x:c r="O1255" s="37" t="n">
        <x:v>68.08114704117179</x:v>
      </x:c>
      <x:c r="P1255" s="37" t="n">
        <x:v>0</x:v>
      </x:c>
      <x:c r="Q1255" s="37" t="n">
        <x:v>0</x:v>
      </x:c>
      <x:c r="R1255" s="37" t="n">
        <x:v>0</x:v>
      </x:c>
      <x:c r="S1255" s="37" t="n">
        <x:v>0</x:v>
      </x:c>
      <x:c r="T1255" s="37" t="n">
        <x:v>0</x:v>
      </x:c>
      <x:c r="U1255" s="37" t="n">
        <x:v>37500</x:v>
      </x:c>
      <x:c r="V1255" s="37" t="n">
        <x:v>0</x:v>
      </x:c>
      <x:c r="W1255" s="37" t="n">
        <x:v>6091.883987231879</x:v>
      </x:c>
      <x:c r="X1255" s="37" t="n">
        <x:v>0</x:v>
      </x:c>
      <x:c r="Y1255" s="37" t="n">
        <x:v>1042.869342122179</x:v>
      </x:c>
      <x:c r="Z1255" s="37" t="n">
        <x:v>0</x:v>
      </x:c>
      <x:c r="AA1255" s="37" t="n">
        <x:v>0</x:v>
      </x:c>
      <x:c r="AB1255" s="37" t="n">
        <x:v>0</x:v>
      </x:c>
      <x:c r="AC1255" s="37" t="n">
        <x:v>1242549.0146451097</x:v>
      </x:c>
      <x:c r="AD1255" s="37" t="n">
        <x:v>0</x:v>
      </x:c>
      <x:c r="AE1255" s="37" t="n">
        <x:v>0</x:v>
      </x:c>
      <x:c r="AF1255" s="47" t="b">
        <x:v>0</x:v>
      </x:c>
      <x:c r="AG1255" s="47" t="b">
        <x:v>0</x:v>
      </x:c>
      <x:c r="AH1255" s="48" t="n">
        <x:v>0</x:v>
      </x:c>
      <x:c r="AI1255" s="48" t="n">
        <x:v>1.1920928955078125e-7</x:v>
      </x:c>
      <x:c r="AJ1255" s="37" t="str">
        <x:v>passed</x:v>
      </x:c>
    </x:row>
    <x:row r="1256" ht="21" customHeight="1">
      <x:c r="A1256" s="2"/>
      <x:c r="B1256" s="2"/>
      <x:c r="C1256" s="2" t="str">
        <x:v>2023</x:v>
      </x:c>
      <x:c r="D1256" s="5" t="n">
        <x:v>45020</x:v>
      </x:c>
      <x:c r="E1256" s="2" t="str">
        <x:v>duration</x:v>
      </x:c>
      <x:c r="F1256" s="37" t="n">
        <x:v>7726898.976400909</x:v>
      </x:c>
      <x:c r="G1256" s="37" t="n">
        <x:v>3991682.1690535527</x:v>
      </x:c>
      <x:c r="H1256" s="37" t="n">
        <x:v>-9483.380410763923</x:v>
      </x:c>
      <x:c r="I1256" s="37" t="n">
        <x:v>4001165.5494643166</x:v>
      </x:c>
      <x:c r="J1256" s="37" t="n">
        <x:v>10730857.177574862</x:v>
      </x:c>
      <x:c r="K1256" s="37" t="n">
        <x:v>6739175.008521309</x:v>
      </x:c>
      <x:c r="L1256" s="37" t="n">
        <x:v>11718581.145454463</x:v>
      </x:c>
      <x:c r="M1256" s="37" t="n">
        <x:v>0</x:v>
      </x:c>
      <x:c r="N1256" s="37" t="n">
        <x:v>0</x:v>
      </x:c>
      <x:c r="O1256" s="37" t="n">
        <x:v>423.36852645967156</x:v>
      </x:c>
      <x:c r="P1256" s="37" t="n">
        <x:v>0</x:v>
      </x:c>
      <x:c r="Q1256" s="37" t="n">
        <x:v>0</x:v>
      </x:c>
      <x:c r="R1256" s="37" t="n">
        <x:v>0</x:v>
      </x:c>
      <x:c r="S1256" s="37" t="n">
        <x:v>0</x:v>
      </x:c>
      <x:c r="T1256" s="37" t="n">
        <x:v>0</x:v>
      </x:c>
      <x:c r="U1256" s="37" t="n">
        <x:v>37500</x:v>
      </x:c>
      <x:c r="V1256" s="37" t="n">
        <x:v>0</x:v>
      </x:c>
      <x:c r="W1256" s="37" t="n">
        <x:v>38858.12831917405</x:v>
      </x:c>
      <x:c r="X1256" s="37" t="n">
        <x:v>0</x:v>
      </x:c>
      <x:c r="Y1256" s="37" t="n">
        <x:v>1721.0008871681664</x:v>
      </x:c>
      <x:c r="Z1256" s="37" t="n">
        <x:v>6873958.508691736</x:v>
      </x:c>
      <x:c r="AA1256" s="37" t="n">
        <x:v>0</x:v>
      </x:c>
      <x:c r="AB1256" s="37" t="n">
        <x:v>6873958.508691736</x:v>
      </x:c>
      <x:c r="AC1256" s="37" t="n">
        <x:v>852940.4677091734</x:v>
      </x:c>
      <x:c r="AD1256" s="37" t="n">
        <x:v>0</x:v>
      </x:c>
      <x:c r="AE1256" s="37" t="n">
        <x:v>0</x:v>
      </x:c>
      <x:c r="AF1256" s="47" t="b">
        <x:v>0</x:v>
      </x:c>
      <x:c r="AG1256" s="47" t="b">
        <x:v>0</x:v>
      </x:c>
      <x:c r="AH1256" s="48" t="n">
        <x:v>0</x:v>
      </x:c>
      <x:c r="AI1256" s="48" t="n">
        <x:v>5.960464477539063e-8</x:v>
      </x:c>
      <x:c r="AJ1256" s="37" t="str">
        <x:v>passed</x:v>
      </x:c>
    </x:row>
    <x:row r="1257" ht="21" customHeight="1">
      <x:c r="A1257" s="2"/>
      <x:c r="B1257" s="2"/>
      <x:c r="C1257" s="2" t="str">
        <x:v>2023</x:v>
      </x:c>
      <x:c r="D1257" s="5" t="n">
        <x:v>45020</x:v>
      </x:c>
      <x:c r="E1257" s="2" t="str">
        <x:v>unweighted</x:v>
      </x:c>
      <x:c r="F1257" s="37" t="n">
        <x:v>11450854.100600274</x:v>
      </x:c>
      <x:c r="G1257" s="37" t="n">
        <x:v>241769.0479183747</x:v>
      </x:c>
      <x:c r="H1257" s="37" t="n">
        <x:v>-18346.41425230146</x:v>
      </x:c>
      <x:c r="I1257" s="37" t="n">
        <x:v>260115.46217067615</x:v>
      </x:c>
      <x:c r="J1257" s="37" t="n">
        <x:v>10789971.087337282</x:v>
      </x:c>
      <x:c r="K1257" s="37" t="n">
        <x:v>10548202.039418906</x:v>
      </x:c>
      <x:c r="L1257" s="37" t="n">
        <x:v>11692623.14851865</x:v>
      </x:c>
      <x:c r="M1257" s="37" t="n">
        <x:v>0</x:v>
      </x:c>
      <x:c r="N1257" s="37" t="n">
        <x:v>0</x:v>
      </x:c>
      <x:c r="O1257" s="37" t="n">
        <x:v>627.4096816945821</x:v>
      </x:c>
      <x:c r="P1257" s="37" t="n">
        <x:v>0</x:v>
      </x:c>
      <x:c r="Q1257" s="37" t="n">
        <x:v>0</x:v>
      </x:c>
      <x:c r="R1257" s="37" t="n">
        <x:v>0</x:v>
      </x:c>
      <x:c r="S1257" s="37" t="n">
        <x:v>0</x:v>
      </x:c>
      <x:c r="T1257" s="37" t="n">
        <x:v>0</x:v>
      </x:c>
      <x:c r="U1257" s="37" t="n">
        <x:v>37500</x:v>
      </x:c>
      <x:c r="V1257" s="37" t="n">
        <x:v>0</x:v>
      </x:c>
      <x:c r="W1257" s="37" t="n">
        <x:v>55068.85525453277</x:v>
      </x:c>
      <x:c r="X1257" s="37" t="n">
        <x:v>0</x:v>
      </x:c>
      <x:c r="Y1257" s="37" t="n">
        <x:v>2070.2825714373325</x:v>
      </x:c>
      <x:c r="Z1257" s="37" t="n">
        <x:v>10759166.080207285</x:v>
      </x:c>
      <x:c r="AA1257" s="37" t="n">
        <x:v>0</x:v>
      </x:c>
      <x:c r="AB1257" s="37" t="n">
        <x:v>10759166.080207285</x:v>
      </x:c>
      <x:c r="AC1257" s="37" t="n">
        <x:v>691688.0203929897</x:v>
      </x:c>
      <x:c r="AD1257" s="37" t="n">
        <x:v>0</x:v>
      </x:c>
      <x:c r="AE1257" s="37" t="n">
        <x:v>0</x:v>
      </x:c>
      <x:c r="AF1257" s="47" t="b">
        <x:v>0</x:v>
      </x:c>
      <x:c r="AG1257" s="47" t="b">
        <x:v>0</x:v>
      </x:c>
      <x:c r="AH1257" s="48" t="n">
        <x:v>0</x:v>
      </x:c>
      <x:c r="AI1257" s="48" t="n">
        <x:v>1.1920928955078125e-7</x:v>
      </x:c>
      <x:c r="AJ1257" s="37" t="str">
        <x:v>passed</x:v>
      </x:c>
    </x:row>
    <x:row r="1258" ht="21" customHeight="1">
      <x:c r="A1258" s="2"/>
      <x:c r="B1258" s="2"/>
      <x:c r="C1258" s="2" t="str">
        <x:v>2023</x:v>
      </x:c>
      <x:c r="D1258" s="5" t="n">
        <x:v>45020</x:v>
      </x:c>
      <x:c r="E1258" s="2" t="str">
        <x:v>constrained</x:v>
      </x:c>
      <x:c r="F1258" s="37" t="n">
        <x:v>11835882.068242675</x:v>
      </x:c>
      <x:c r="G1258" s="37" t="n">
        <x:v>-151061.13503293926</x:v>
      </x:c>
      <x:c r="H1258" s="37" t="n">
        <x:v>-19409.394452384306</x:v>
      </x:c>
      <x:c r="I1258" s="37" t="n">
        <x:v>-131651.74058055496</x:v>
      </x:c>
      <x:c r="J1258" s="37" t="n">
        <x:v>10791080.498534575</x:v>
      </x:c>
      <x:c r="K1258" s="37" t="n">
        <x:v>10942141.633567514</x:v>
      </x:c>
      <x:c r="L1258" s="37" t="n">
        <x:v>11684820.933209736</x:v>
      </x:c>
      <x:c r="M1258" s="37" t="n">
        <x:v>0</x:v>
      </x:c>
      <x:c r="N1258" s="37" t="n">
        <x:v>0</x:v>
      </x:c>
      <x:c r="O1258" s="37" t="n">
        <x:v>648.505948619917</x:v>
      </x:c>
      <x:c r="P1258" s="37" t="n">
        <x:v>0</x:v>
      </x:c>
      <x:c r="Q1258" s="37" t="n">
        <x:v>0</x:v>
      </x:c>
      <x:c r="R1258" s="37" t="n">
        <x:v>0</x:v>
      </x:c>
      <x:c r="S1258" s="37" t="n">
        <x:v>0</x:v>
      </x:c>
      <x:c r="T1258" s="37" t="n">
        <x:v>0</x:v>
      </x:c>
      <x:c r="U1258" s="37" t="n">
        <x:v>37500</x:v>
      </x:c>
      <x:c r="V1258" s="37" t="n">
        <x:v>0</x:v>
      </x:c>
      <x:c r="W1258" s="37" t="n">
        <x:v>58363.9007305298</x:v>
      </x:c>
      <x:c r="X1258" s="37" t="n">
        <x:v>0</x:v>
      </x:c>
      <x:c r="Y1258" s="37" t="n">
        <x:v>2126.5234819721045</x:v>
      </x:c>
      <x:c r="Z1258" s="37" t="n">
        <x:v>11160984.466238864</x:v>
      </x:c>
      <x:c r="AA1258" s="37" t="n">
        <x:v>0</x:v>
      </x:c>
      <x:c r="AB1258" s="37" t="n">
        <x:v>11160984.466238864</x:v>
      </x:c>
      <x:c r="AC1258" s="37" t="n">
        <x:v>674897.6020038109</x:v>
      </x:c>
      <x:c r="AD1258" s="37" t="n">
        <x:v>0</x:v>
      </x:c>
      <x:c r="AE1258" s="37" t="n">
        <x:v>0</x:v>
      </x:c>
      <x:c r="AF1258" s="47" t="b">
        <x:v>0</x:v>
      </x:c>
      <x:c r="AG1258" s="47" t="b">
        <x:v>0</x:v>
      </x:c>
      <x:c r="AH1258" s="48" t="n">
        <x:v>0</x:v>
      </x:c>
      <x:c r="AI1258" s="48" t="n">
        <x:v>1.1920928955078125e-7</x:v>
      </x:c>
      <x:c r="AJ1258" s="37" t="str">
        <x:v>passed</x:v>
      </x:c>
    </x:row>
    <x:row r="1259" ht="21" customHeight="1">
      <x:c r="A1259" s="2"/>
      <x:c r="B1259" s="2"/>
      <x:c r="C1259" s="2" t="str">
        <x:v>2023</x:v>
      </x:c>
      <x:c r="D1259" s="5" t="n">
        <x:v>45021</x:v>
      </x:c>
      <x:c r="E1259" s="2" t="str">
        <x:v>unhedged</x:v>
      </x:c>
      <x:c r="F1259" s="37" t="n">
        <x:v>1242617.0995226244</x:v>
      </x:c>
      <x:c r="G1259" s="37" t="n">
        <x:v>10754342.34078997</x:v>
      </x:c>
      <x:c r="H1259" s="37" t="n">
        <x:v>32776.243093922654</x:v>
      </x:c>
      <x:c r="I1259" s="37" t="n">
        <x:v>10721566.097696047</x:v>
      </x:c>
      <x:c r="J1259" s="37" t="n">
        <x:v>10754342.34078997</x:v>
      </x:c>
      <x:c r="K1259" s="37" t="n">
        <x:v>0</x:v>
      </x:c>
      <x:c r="L1259" s="37" t="n">
        <x:v>11996959.440312594</x:v>
      </x:c>
      <x:c r="M1259" s="37" t="n">
        <x:v>0</x:v>
      </x:c>
      <x:c r="N1259" s="37" t="n">
        <x:v>0</x:v>
      </x:c>
      <x:c r="O1259" s="37" t="n">
        <x:v>68.08487751474604</x:v>
      </x:c>
      <x:c r="P1259" s="37" t="n">
        <x:v>0</x:v>
      </x:c>
      <x:c r="Q1259" s="37" t="n">
        <x:v>0</x:v>
      </x:c>
      <x:c r="R1259" s="37" t="n">
        <x:v>0</x:v>
      </x:c>
      <x:c r="S1259" s="37" t="n">
        <x:v>0</x:v>
      </x:c>
      <x:c r="T1259" s="37" t="n">
        <x:v>0</x:v>
      </x:c>
      <x:c r="U1259" s="37" t="n">
        <x:v>37500</x:v>
      </x:c>
      <x:c r="V1259" s="37" t="n">
        <x:v>0</x:v>
      </x:c>
      <x:c r="W1259" s="37" t="n">
        <x:v>6159.968864746625</x:v>
      </x:c>
      <x:c r="X1259" s="37" t="n">
        <x:v>0</x:v>
      </x:c>
      <x:c r="Y1259" s="37" t="n">
        <x:v>1042.869342122179</x:v>
      </x:c>
      <x:c r="Z1259" s="37" t="n">
        <x:v>0</x:v>
      </x:c>
      <x:c r="AA1259" s="37" t="n">
        <x:v>0</x:v>
      </x:c>
      <x:c r="AB1259" s="37" t="n">
        <x:v>0</x:v>
      </x:c>
      <x:c r="AC1259" s="37" t="n">
        <x:v>1242617.0995226244</x:v>
      </x:c>
      <x:c r="AD1259" s="37" t="n">
        <x:v>0</x:v>
      </x:c>
      <x:c r="AE1259" s="37" t="n">
        <x:v>0</x:v>
      </x:c>
      <x:c r="AF1259" s="47" t="b">
        <x:v>0</x:v>
      </x:c>
      <x:c r="AG1259" s="47" t="b">
        <x:v>0</x:v>
      </x:c>
      <x:c r="AH1259" s="48" t="n">
        <x:v>0</x:v>
      </x:c>
      <x:c r="AI1259" s="48" t="n">
        <x:v>1.1920928955078125e-7</x:v>
      </x:c>
      <x:c r="AJ1259" s="37" t="str">
        <x:v>passed</x:v>
      </x:c>
    </x:row>
    <x:row r="1260" ht="21" customHeight="1">
      <x:c r="A1260" s="2"/>
      <x:c r="B1260" s="2"/>
      <x:c r="C1260" s="2" t="str">
        <x:v>2023</x:v>
      </x:c>
      <x:c r="D1260" s="5" t="n">
        <x:v>45021</x:v>
      </x:c>
      <x:c r="E1260" s="2" t="str">
        <x:v>duration</x:v>
      </x:c>
      <x:c r="F1260" s="37" t="n">
        <x:v>7727322.368125643</x:v>
      </x:c>
      <x:c r="G1260" s="37" t="n">
        <x:v>3990530.5434538852</x:v>
      </x:c>
      <x:c r="H1260" s="37" t="n">
        <x:v>-9430.50913429779</x:v>
      </x:c>
      <x:c r="I1260" s="37" t="n">
        <x:v>3999961.052588183</x:v>
      </x:c>
      <x:c r="J1260" s="37" t="n">
        <x:v>10754342.34078997</x:v>
      </x:c>
      <x:c r="K1260" s="37" t="n">
        <x:v>6763811.797336085</x:v>
      </x:c>
      <x:c r="L1260" s="37" t="n">
        <x:v>11717852.911579527</x:v>
      </x:c>
      <x:c r="M1260" s="37" t="n">
        <x:v>0</x:v>
      </x:c>
      <x:c r="N1260" s="37" t="n">
        <x:v>0</x:v>
      </x:c>
      <x:c r="O1260" s="37" t="n">
        <x:v>423.3917247336358</x:v>
      </x:c>
      <x:c r="P1260" s="37" t="n">
        <x:v>0</x:v>
      </x:c>
      <x:c r="Q1260" s="37" t="n">
        <x:v>0</x:v>
      </x:c>
      <x:c r="R1260" s="37" t="n">
        <x:v>0</x:v>
      </x:c>
      <x:c r="S1260" s="37" t="n">
        <x:v>0</x:v>
      </x:c>
      <x:c r="T1260" s="37" t="n">
        <x:v>0</x:v>
      </x:c>
      <x:c r="U1260" s="37" t="n">
        <x:v>37500</x:v>
      </x:c>
      <x:c r="V1260" s="37" t="n">
        <x:v>0</x:v>
      </x:c>
      <x:c r="W1260" s="37" t="n">
        <x:v>39281.52004390769</x:v>
      </x:c>
      <x:c r="X1260" s="37" t="n">
        <x:v>0</x:v>
      </x:c>
      <x:c r="Y1260" s="37" t="n">
        <x:v>1721.0008871681664</x:v>
      </x:c>
      <x:c r="Z1260" s="37" t="n">
        <x:v>6899088.033282806</x:v>
      </x:c>
      <x:c r="AA1260" s="37" t="n">
        <x:v>0</x:v>
      </x:c>
      <x:c r="AB1260" s="37" t="n">
        <x:v>6899088.033282806</x:v>
      </x:c>
      <x:c r="AC1260" s="37" t="n">
        <x:v>828234.3348428365</x:v>
      </x:c>
      <x:c r="AD1260" s="37" t="n">
        <x:v>0</x:v>
      </x:c>
      <x:c r="AE1260" s="37" t="n">
        <x:v>0</x:v>
      </x:c>
      <x:c r="AF1260" s="47" t="b">
        <x:v>0</x:v>
      </x:c>
      <x:c r="AG1260" s="47" t="b">
        <x:v>0</x:v>
      </x:c>
      <x:c r="AH1260" s="48" t="n">
        <x:v>0</x:v>
      </x:c>
      <x:c r="AI1260" s="48" t="n">
        <x:v>5.960464477539063e-8</x:v>
      </x:c>
      <x:c r="AJ1260" s="37" t="str">
        <x:v>passed</x:v>
      </x:c>
    </x:row>
    <x:row r="1261" ht="21" customHeight="1">
      <x:c r="A1261" s="2"/>
      <x:c r="B1261" s="2"/>
      <x:c r="C1261" s="2" t="str">
        <x:v>2023</x:v>
      </x:c>
      <x:c r="D1261" s="5" t="n">
        <x:v>45021</x:v>
      </x:c>
      <x:c r="E1261" s="2" t="str">
        <x:v>unweighted</x:v>
      </x:c>
      <x:c r="F1261" s="37" t="n">
        <x:v>11451481.544660581</x:v>
      </x:c>
      <x:c r="G1261" s="37" t="n">
        <x:v>241841.90848008383</x:v>
      </x:c>
      <x:c r="H1261" s="37" t="n">
        <x:v>-18374.39146051047</x:v>
      </x:c>
      <x:c r="I1261" s="37" t="n">
        <x:v>260216.2999405943</x:v>
      </x:c>
      <x:c r="J1261" s="37" t="n">
        <x:v>10813907.183085337</x:v>
      </x:c>
      <x:c r="K1261" s="37" t="n">
        <x:v>10572065.274605254</x:v>
      </x:c>
      <x:c r="L1261" s="37" t="n">
        <x:v>11693323.453140665</x:v>
      </x:c>
      <x:c r="M1261" s="37" t="n">
        <x:v>0</x:v>
      </x:c>
      <x:c r="N1261" s="37" t="n">
        <x:v>0</x:v>
      </x:c>
      <x:c r="O1261" s="37" t="n">
        <x:v>627.4440603069961</x:v>
      </x:c>
      <x:c r="P1261" s="37" t="n">
        <x:v>0</x:v>
      </x:c>
      <x:c r="Q1261" s="37" t="n">
        <x:v>0</x:v>
      </x:c>
      <x:c r="R1261" s="37" t="n">
        <x:v>0</x:v>
      </x:c>
      <x:c r="S1261" s="37" t="n">
        <x:v>0</x:v>
      </x:c>
      <x:c r="T1261" s="37" t="n">
        <x:v>0</x:v>
      </x:c>
      <x:c r="U1261" s="37" t="n">
        <x:v>37500</x:v>
      </x:c>
      <x:c r="V1261" s="37" t="n">
        <x:v>0</x:v>
      </x:c>
      <x:c r="W1261" s="37" t="n">
        <x:v>55696.299314839765</x:v>
      </x:c>
      <x:c r="X1261" s="37" t="n">
        <x:v>0</x:v>
      </x:c>
      <x:c r="Y1261" s="37" t="n">
        <x:v>2070.2825714373325</x:v>
      </x:c>
      <x:c r="Z1261" s="37" t="n">
        <x:v>10783506.580097359</x:v>
      </x:c>
      <x:c r="AA1261" s="37" t="n">
        <x:v>0</x:v>
      </x:c>
      <x:c r="AB1261" s="37" t="n">
        <x:v>10783506.580097359</x:v>
      </x:c>
      <x:c r="AC1261" s="37" t="n">
        <x:v>667974.9645632226</x:v>
      </x:c>
      <x:c r="AD1261" s="37" t="n">
        <x:v>0</x:v>
      </x:c>
      <x:c r="AE1261" s="37" t="n">
        <x:v>0</x:v>
      </x:c>
      <x:c r="AF1261" s="47" t="b">
        <x:v>0</x:v>
      </x:c>
      <x:c r="AG1261" s="47" t="b">
        <x:v>0</x:v>
      </x:c>
      <x:c r="AH1261" s="48" t="n">
        <x:v>0</x:v>
      </x:c>
      <x:c r="AI1261" s="48" t="n">
        <x:v>1.1920928955078125e-7</x:v>
      </x:c>
      <x:c r="AJ1261" s="37" t="str">
        <x:v>passed</x:v>
      </x:c>
    </x:row>
    <x:row r="1262" ht="21" customHeight="1">
      <x:c r="A1262" s="2"/>
      <x:c r="B1262" s="2"/>
      <x:c r="C1262" s="2" t="str">
        <x:v>2023</x:v>
      </x:c>
      <x:c r="D1262" s="5" t="n">
        <x:v>45021</x:v>
      </x:c>
      <x:c r="E1262" s="2" t="str">
        <x:v>constrained</x:v>
      </x:c>
      <x:c r="F1262" s="37" t="n">
        <x:v>11836530.609725866</x:v>
      </x:c>
      <x:c r="G1262" s="37" t="n">
        <x:v>-151266.8535598363</x:v>
      </x:c>
      <x:c r="H1262" s="37" t="n">
        <x:v>-19445.884605757627</x:v>
      </x:c>
      <x:c r="I1262" s="37" t="n">
        <x:v>-131820.96895407868</x:v>
      </x:c>
      <x:c r="J1262" s="37" t="n">
        <x:v>10815025.057089495</x:v>
      </x:c>
      <x:c r="K1262" s="37" t="n">
        <x:v>10966291.910649331</x:v>
      </x:c>
      <x:c r="L1262" s="37" t="n">
        <x:v>11685263.75616603</x:v>
      </x:c>
      <x:c r="M1262" s="37" t="n">
        <x:v>0</x:v>
      </x:c>
      <x:c r="N1262" s="37" t="n">
        <x:v>0</x:v>
      </x:c>
      <x:c r="O1262" s="37" t="n">
        <x:v>648.5414831917733</x:v>
      </x:c>
      <x:c r="P1262" s="37" t="n">
        <x:v>0</x:v>
      </x:c>
      <x:c r="Q1262" s="37" t="n">
        <x:v>0</x:v>
      </x:c>
      <x:c r="R1262" s="37" t="n">
        <x:v>0</x:v>
      </x:c>
      <x:c r="S1262" s="37" t="n">
        <x:v>0</x:v>
      </x:c>
      <x:c r="T1262" s="37" t="n">
        <x:v>0</x:v>
      </x:c>
      <x:c r="U1262" s="37" t="n">
        <x:v>37500</x:v>
      </x:c>
      <x:c r="V1262" s="37" t="n">
        <x:v>0</x:v>
      </x:c>
      <x:c r="W1262" s="37" t="n">
        <x:v>59012.44221372157</x:v>
      </x:c>
      <x:c r="X1262" s="37" t="n">
        <x:v>0</x:v>
      </x:c>
      <x:c r="Y1262" s="37" t="n">
        <x:v>2126.5234819721045</x:v>
      </x:c>
      <x:c r="Z1262" s="37" t="n">
        <x:v>11185617.748862319</x:v>
      </x:c>
      <x:c r="AA1262" s="37" t="n">
        <x:v>0</x:v>
      </x:c>
      <x:c r="AB1262" s="37" t="n">
        <x:v>11185617.748862319</x:v>
      </x:c>
      <x:c r="AC1262" s="37" t="n">
        <x:v>650912.8608635478</x:v>
      </x:c>
      <x:c r="AD1262" s="37" t="n">
        <x:v>0</x:v>
      </x:c>
      <x:c r="AE1262" s="37" t="n">
        <x:v>0</x:v>
      </x:c>
      <x:c r="AF1262" s="47" t="b">
        <x:v>0</x:v>
      </x:c>
      <x:c r="AG1262" s="47" t="b">
        <x:v>0</x:v>
      </x:c>
      <x:c r="AH1262" s="48" t="n">
        <x:v>0</x:v>
      </x:c>
      <x:c r="AI1262" s="48" t="n">
        <x:v>1.1920928955078125e-7</x:v>
      </x:c>
      <x:c r="AJ1262" s="37" t="str">
        <x:v>passed</x:v>
      </x:c>
    </x:row>
    <x:row r="1263" ht="21" customHeight="1">
      <x:c r="A1263" s="2"/>
      <x:c r="B1263" s="2"/>
      <x:c r="C1263" s="2" t="str">
        <x:v>2023</x:v>
      </x:c>
      <x:c r="D1263" s="5" t="n">
        <x:v>45022</x:v>
      </x:c>
      <x:c r="E1263" s="2" t="str">
        <x:v>unhedged</x:v>
      </x:c>
      <x:c r="F1263" s="37" t="n">
        <x:v>1242685.1881308176</x:v>
      </x:c>
      <x:c r="G1263" s="37" t="n">
        <x:v>10755333.526343158</x:v>
      </x:c>
      <x:c r="H1263" s="37" t="n">
        <x:v>33128.45303867404</x:v>
      </x:c>
      <x:c r="I1263" s="37" t="n">
        <x:v>10722205.073304484</x:v>
      </x:c>
      <x:c r="J1263" s="37" t="n">
        <x:v>10755333.526343158</x:v>
      </x:c>
      <x:c r="K1263" s="37" t="n">
        <x:v>0</x:v>
      </x:c>
      <x:c r="L1263" s="37" t="n">
        <x:v>11998018.714473976</x:v>
      </x:c>
      <x:c r="M1263" s="37" t="n">
        <x:v>0</x:v>
      </x:c>
      <x:c r="N1263" s="37" t="n">
        <x:v>0</x:v>
      </x:c>
      <x:c r="O1263" s="37" t="n">
        <x:v>68.08860819321126</x:v>
      </x:c>
      <x:c r="P1263" s="37" t="n">
        <x:v>0</x:v>
      </x:c>
      <x:c r="Q1263" s="37" t="n">
        <x:v>0</x:v>
      </x:c>
      <x:c r="R1263" s="37" t="n">
        <x:v>0</x:v>
      </x:c>
      <x:c r="S1263" s="37" t="n">
        <x:v>0</x:v>
      </x:c>
      <x:c r="T1263" s="37" t="n">
        <x:v>0</x:v>
      </x:c>
      <x:c r="U1263" s="37" t="n">
        <x:v>37500</x:v>
      </x:c>
      <x:c r="V1263" s="37" t="n">
        <x:v>0</x:v>
      </x:c>
      <x:c r="W1263" s="37" t="n">
        <x:v>6228.057472939836</x:v>
      </x:c>
      <x:c r="X1263" s="37" t="n">
        <x:v>0</x:v>
      </x:c>
      <x:c r="Y1263" s="37" t="n">
        <x:v>1042.869342122179</x:v>
      </x:c>
      <x:c r="Z1263" s="37" t="n">
        <x:v>0</x:v>
      </x:c>
      <x:c r="AA1263" s="37" t="n">
        <x:v>0</x:v>
      </x:c>
      <x:c r="AB1263" s="37" t="n">
        <x:v>0</x:v>
      </x:c>
      <x:c r="AC1263" s="37" t="n">
        <x:v>1242685.1881308176</x:v>
      </x:c>
      <x:c r="AD1263" s="37" t="n">
        <x:v>0</x:v>
      </x:c>
      <x:c r="AE1263" s="37" t="n">
        <x:v>0</x:v>
      </x:c>
      <x:c r="AF1263" s="47" t="b">
        <x:v>0</x:v>
      </x:c>
      <x:c r="AG1263" s="47" t="b">
        <x:v>0</x:v>
      </x:c>
      <x:c r="AH1263" s="48" t="n">
        <x:v>0</x:v>
      </x:c>
      <x:c r="AI1263" s="48" t="n">
        <x:v>1.1920928955078125e-7</x:v>
      </x:c>
      <x:c r="AJ1263" s="37" t="str">
        <x:v>passed</x:v>
      </x:c>
    </x:row>
    <x:row r="1264" ht="21" customHeight="1">
      <x:c r="A1264" s="2"/>
      <x:c r="B1264" s="2"/>
      <x:c r="C1264" s="2" t="str">
        <x:v>2023</x:v>
      </x:c>
      <x:c r="D1264" s="5" t="n">
        <x:v>45022</x:v>
      </x:c>
      <x:c r="E1264" s="2" t="str">
        <x:v>duration</x:v>
      </x:c>
      <x:c r="F1264" s="37" t="n">
        <x:v>7727745.783049925</x:v>
      </x:c>
      <x:c r="G1264" s="37" t="n">
        <x:v>3987175.597982236</x:v>
      </x:c>
      <x:c r="H1264" s="37" t="n">
        <x:v>-9377.637857831667</x:v>
      </x:c>
      <x:c r="I1264" s="37" t="n">
        <x:v>3996553.2358400677</x:v>
      </x:c>
      <x:c r="J1264" s="37" t="n">
        <x:v>10755333.526343158</x:v>
      </x:c>
      <x:c r="K1264" s="37" t="n">
        <x:v>6768157.928360921</x:v>
      </x:c>
      <x:c r="L1264" s="37" t="n">
        <x:v>11714921.381032161</x:v>
      </x:c>
      <x:c r="M1264" s="37" t="n">
        <x:v>0</x:v>
      </x:c>
      <x:c r="N1264" s="37" t="n">
        <x:v>0</x:v>
      </x:c>
      <x:c r="O1264" s="37" t="n">
        <x:v>423.4149242825806</x:v>
      </x:c>
      <x:c r="P1264" s="37" t="n">
        <x:v>0</x:v>
      </x:c>
      <x:c r="Q1264" s="37" t="n">
        <x:v>0</x:v>
      </x:c>
      <x:c r="R1264" s="37" t="n">
        <x:v>0</x:v>
      </x:c>
      <x:c r="S1264" s="37" t="n">
        <x:v>0</x:v>
      </x:c>
      <x:c r="T1264" s="37" t="n">
        <x:v>0</x:v>
      </x:c>
      <x:c r="U1264" s="37" t="n">
        <x:v>37500</x:v>
      </x:c>
      <x:c r="V1264" s="37" t="n">
        <x:v>0</x:v>
      </x:c>
      <x:c r="W1264" s="37" t="n">
        <x:v>39704.93496819027</x:v>
      </x:c>
      <x:c r="X1264" s="37" t="n">
        <x:v>0</x:v>
      </x:c>
      <x:c r="Y1264" s="37" t="n">
        <x:v>1721.0008871681664</x:v>
      </x:c>
      <x:c r="Z1264" s="37" t="n">
        <x:v>6903521.086928139</x:v>
      </x:c>
      <x:c r="AA1264" s="37" t="n">
        <x:v>0</x:v>
      </x:c>
      <x:c r="AB1264" s="37" t="n">
        <x:v>6903521.086928139</x:v>
      </x:c>
      <x:c r="AC1264" s="37" t="n">
        <x:v>824224.6961217858</x:v>
      </x:c>
      <x:c r="AD1264" s="37" t="n">
        <x:v>0</x:v>
      </x:c>
      <x:c r="AE1264" s="37" t="n">
        <x:v>0</x:v>
      </x:c>
      <x:c r="AF1264" s="47" t="b">
        <x:v>0</x:v>
      </x:c>
      <x:c r="AG1264" s="47" t="b">
        <x:v>0</x:v>
      </x:c>
      <x:c r="AH1264" s="48" t="n">
        <x:v>0</x:v>
      </x:c>
      <x:c r="AI1264" s="48" t="n">
        <x:v>5.960464477539063e-8</x:v>
      </x:c>
      <x:c r="AJ1264" s="37" t="str">
        <x:v>passed</x:v>
      </x:c>
    </x:row>
    <x:row r="1265" ht="21" customHeight="1">
      <x:c r="A1265" s="2"/>
      <x:c r="B1265" s="2"/>
      <x:c r="C1265" s="2" t="str">
        <x:v>2023</x:v>
      </x:c>
      <x:c r="D1265" s="5" t="n">
        <x:v>45022</x:v>
      </x:c>
      <x:c r="E1265" s="2" t="str">
        <x:v>unweighted</x:v>
      </x:c>
      <x:c r="F1265" s="37" t="n">
        <x:v>11452109.023101388</x:v>
      </x:c>
      <x:c r="G1265" s="37" t="n">
        <x:v>241849.6672180334</x:v>
      </x:c>
      <x:c r="H1265" s="37" t="n">
        <x:v>-18402.368668719475</x:v>
      </x:c>
      <x:c r="I1265" s="37" t="n">
        <x:v>260252.03588675288</x:v>
      </x:c>
      <x:c r="J1265" s="37" t="n">
        <x:v>10815013.326189335</x:v>
      </x:c>
      <x:c r="K1265" s="37" t="n">
        <x:v>10573163.6589713</x:v>
      </x:c>
      <x:c r="L1265" s="37" t="n">
        <x:v>11693958.69031942</x:v>
      </x:c>
      <x:c r="M1265" s="37" t="n">
        <x:v>0</x:v>
      </x:c>
      <x:c r="N1265" s="37" t="n">
        <x:v>0</x:v>
      </x:c>
      <x:c r="O1265" s="37" t="n">
        <x:v>627.4784408062696</x:v>
      </x:c>
      <x:c r="P1265" s="37" t="n">
        <x:v>0</x:v>
      </x:c>
      <x:c r="Q1265" s="37" t="n">
        <x:v>0</x:v>
      </x:c>
      <x:c r="R1265" s="37" t="n">
        <x:v>0</x:v>
      </x:c>
      <x:c r="S1265" s="37" t="n">
        <x:v>0</x:v>
      </x:c>
      <x:c r="T1265" s="37" t="n">
        <x:v>0</x:v>
      </x:c>
      <x:c r="U1265" s="37" t="n">
        <x:v>37500</x:v>
      </x:c>
      <x:c r="V1265" s="37" t="n">
        <x:v>0</x:v>
      </x:c>
      <x:c r="W1265" s="37" t="n">
        <x:v>56323.777755646035</x:v>
      </x:c>
      <x:c r="X1265" s="37" t="n">
        <x:v>0</x:v>
      </x:c>
      <x:c r="Y1265" s="37" t="n">
        <x:v>2070.2825714373325</x:v>
      </x:c>
      <x:c r="Z1265" s="37" t="n">
        <x:v>10784626.932150727</x:v>
      </x:c>
      <x:c r="AA1265" s="37" t="n">
        <x:v>0</x:v>
      </x:c>
      <x:c r="AB1265" s="37" t="n">
        <x:v>10784626.932150727</x:v>
      </x:c>
      <x:c r="AC1265" s="37" t="n">
        <x:v>667482.0909506604</x:v>
      </x:c>
      <x:c r="AD1265" s="37" t="n">
        <x:v>0</x:v>
      </x:c>
      <x:c r="AE1265" s="37" t="n">
        <x:v>0</x:v>
      </x:c>
      <x:c r="AF1265" s="47" t="b">
        <x:v>0</x:v>
      </x:c>
      <x:c r="AG1265" s="47" t="b">
        <x:v>0</x:v>
      </x:c>
      <x:c r="AH1265" s="48" t="n">
        <x:v>0</x:v>
      </x:c>
      <x:c r="AI1265" s="48" t="n">
        <x:v>1.1920928955078125e-7</x:v>
      </x:c>
      <x:c r="AJ1265" s="37" t="str">
        <x:v>passed</x:v>
      </x:c>
    </x:row>
    <x:row r="1266" ht="21" customHeight="1">
      <x:c r="A1266" s="2"/>
      <x:c r="B1266" s="2"/>
      <x:c r="C1266" s="2" t="str">
        <x:v>2023</x:v>
      </x:c>
      <x:c r="D1266" s="5" t="n">
        <x:v>45022</x:v>
      </x:c>
      <x:c r="E1266" s="2" t="str">
        <x:v>constrained</x:v>
      </x:c>
      <x:c r="F1266" s="37" t="n">
        <x:v>11837179.186745578</x:v>
      </x:c>
      <x:c r="G1266" s="37" t="n">
        <x:v>-151171.42316518782</x:v>
      </x:c>
      <x:c r="H1266" s="37" t="n">
        <x:v>-19482.374759130944</x:v>
      </x:c>
      <x:c r="I1266" s="37" t="n">
        <x:v>-131689.04840605689</x:v>
      </x:c>
      <x:c r="J1266" s="37" t="n">
        <x:v>10816133.357641622</x:v>
      </x:c>
      <x:c r="K1266" s="37" t="n">
        <x:v>10967304.78080681</x:v>
      </x:c>
      <x:c r="L1266" s="37" t="n">
        <x:v>11686007.763580391</x:v>
      </x:c>
      <x:c r="M1266" s="37" t="n">
        <x:v>0</x:v>
      </x:c>
      <x:c r="N1266" s="37" t="n">
        <x:v>0</x:v>
      </x:c>
      <x:c r="O1266" s="37" t="n">
        <x:v>648.5770197119564</x:v>
      </x:c>
      <x:c r="P1266" s="37" t="n">
        <x:v>0</x:v>
      </x:c>
      <x:c r="Q1266" s="37" t="n">
        <x:v>0</x:v>
      </x:c>
      <x:c r="R1266" s="37" t="n">
        <x:v>0</x:v>
      </x:c>
      <x:c r="S1266" s="37" t="n">
        <x:v>0</x:v>
      </x:c>
      <x:c r="T1266" s="37" t="n">
        <x:v>0</x:v>
      </x:c>
      <x:c r="U1266" s="37" t="n">
        <x:v>37500</x:v>
      </x:c>
      <x:c r="V1266" s="37" t="n">
        <x:v>0</x:v>
      </x:c>
      <x:c r="W1266" s="37" t="n">
        <x:v>59661.01923343353</x:v>
      </x:c>
      <x:c r="X1266" s="37" t="n">
        <x:v>0</x:v>
      </x:c>
      <x:c r="Y1266" s="37" t="n">
        <x:v>2126.5234819721045</x:v>
      </x:c>
      <x:c r="Z1266" s="37" t="n">
        <x:v>11186650.876422945</x:v>
      </x:c>
      <x:c r="AA1266" s="37" t="n">
        <x:v>0</x:v>
      </x:c>
      <x:c r="AB1266" s="37" t="n">
        <x:v>11186650.876422945</x:v>
      </x:c>
      <x:c r="AC1266" s="37" t="n">
        <x:v>650528.310322633</x:v>
      </x:c>
      <x:c r="AD1266" s="37" t="n">
        <x:v>0</x:v>
      </x:c>
      <x:c r="AE1266" s="37" t="n">
        <x:v>0</x:v>
      </x:c>
      <x:c r="AF1266" s="47" t="b">
        <x:v>0</x:v>
      </x:c>
      <x:c r="AG1266" s="47" t="b">
        <x:v>0</x:v>
      </x:c>
      <x:c r="AH1266" s="48" t="n">
        <x:v>0</x:v>
      </x:c>
      <x:c r="AI1266" s="48" t="n">
        <x:v>1.1920928955078125e-7</x:v>
      </x:c>
      <x:c r="AJ1266" s="37" t="str">
        <x:v>passed</x:v>
      </x:c>
    </x:row>
    <x:row r="1267" ht="21" customHeight="1">
      <x:c r="A1267" s="2"/>
      <x:c r="B1267" s="2"/>
      <x:c r="C1267" s="2" t="str">
        <x:v>2023</x:v>
      </x:c>
      <x:c r="D1267" s="5" t="n">
        <x:v>45023</x:v>
      </x:c>
      <x:c r="E1267" s="2" t="str">
        <x:v>unhedged</x:v>
      </x:c>
      <x:c r="F1267" s="37" t="n">
        <x:v>1242753.2804698935</x:v>
      </x:c>
      <x:c r="G1267" s="37" t="n">
        <x:v>10701532.20021003</x:v>
      </x:c>
      <x:c r="H1267" s="37" t="n">
        <x:v>33480.66298342541</x:v>
      </x:c>
      <x:c r="I1267" s="37" t="n">
        <x:v>10668051.537226604</x:v>
      </x:c>
      <x:c r="J1267" s="37" t="n">
        <x:v>10701532.20021003</x:v>
      </x:c>
      <x:c r="K1267" s="37" t="n">
        <x:v>0</x:v>
      </x:c>
      <x:c r="L1267" s="37" t="n">
        <x:v>11944285.480679922</x:v>
      </x:c>
      <x:c r="M1267" s="37" t="n">
        <x:v>0</x:v>
      </x:c>
      <x:c r="N1267" s="37" t="n">
        <x:v>0</x:v>
      </x:c>
      <x:c r="O1267" s="37" t="n">
        <x:v>68.09233907586895</x:v>
      </x:c>
      <x:c r="P1267" s="37" t="n">
        <x:v>0</x:v>
      </x:c>
      <x:c r="Q1267" s="37" t="n">
        <x:v>0</x:v>
      </x:c>
      <x:c r="R1267" s="37" t="n">
        <x:v>0</x:v>
      </x:c>
      <x:c r="S1267" s="37" t="n">
        <x:v>0</x:v>
      </x:c>
      <x:c r="T1267" s="37" t="n">
        <x:v>0</x:v>
      </x:c>
      <x:c r="U1267" s="37" t="n">
        <x:v>37500</x:v>
      </x:c>
      <x:c r="V1267" s="37" t="n">
        <x:v>0</x:v>
      </x:c>
      <x:c r="W1267" s="37" t="n">
        <x:v>6296.149812015705</x:v>
      </x:c>
      <x:c r="X1267" s="37" t="n">
        <x:v>0</x:v>
      </x:c>
      <x:c r="Y1267" s="37" t="n">
        <x:v>1042.869342122179</x:v>
      </x:c>
      <x:c r="Z1267" s="37" t="n">
        <x:v>0</x:v>
      </x:c>
      <x:c r="AA1267" s="37" t="n">
        <x:v>0</x:v>
      </x:c>
      <x:c r="AB1267" s="37" t="n">
        <x:v>0</x:v>
      </x:c>
      <x:c r="AC1267" s="37" t="n">
        <x:v>1242753.2804698935</x:v>
      </x:c>
      <x:c r="AD1267" s="37" t="n">
        <x:v>0</x:v>
      </x:c>
      <x:c r="AE1267" s="37" t="n">
        <x:v>0</x:v>
      </x:c>
      <x:c r="AF1267" s="47" t="b">
        <x:v>0</x:v>
      </x:c>
      <x:c r="AG1267" s="47" t="b">
        <x:v>0</x:v>
      </x:c>
      <x:c r="AH1267" s="48" t="n">
        <x:v>0</x:v>
      </x:c>
      <x:c r="AI1267" s="48" t="n">
        <x:v>1.1920928955078125e-7</x:v>
      </x:c>
      <x:c r="AJ1267" s="37" t="str">
        <x:v>passed</x:v>
      </x:c>
    </x:row>
    <x:row r="1268" ht="21" customHeight="1">
      <x:c r="A1268" s="2"/>
      <x:c r="B1268" s="2"/>
      <x:c r="C1268" s="2" t="str">
        <x:v>2023</x:v>
      </x:c>
      <x:c r="D1268" s="5" t="n">
        <x:v>45023</x:v>
      </x:c>
      <x:c r="E1268" s="2" t="str">
        <x:v>duration</x:v>
      </x:c>
      <x:c r="F1268" s="37" t="n">
        <x:v>7728169.221175024</x:v>
      </x:c>
      <x:c r="G1268" s="37" t="n">
        <x:v>3981662.045393068</x:v>
      </x:c>
      <x:c r="H1268" s="37" t="n">
        <x:v>-9324.766581365533</x:v>
      </x:c>
      <x:c r="I1268" s="37" t="n">
        <x:v>3990986.8119744333</x:v>
      </x:c>
      <x:c r="J1268" s="37" t="n">
        <x:v>10701532.20021003</x:v>
      </x:c>
      <x:c r="K1268" s="37" t="n">
        <x:v>6719870.154816961</x:v>
      </x:c>
      <x:c r="L1268" s="37" t="n">
        <x:v>11709831.266568093</x:v>
      </x:c>
      <x:c r="M1268" s="37" t="n">
        <x:v>0</x:v>
      </x:c>
      <x:c r="N1268" s="37" t="n">
        <x:v>0</x:v>
      </x:c>
      <x:c r="O1268" s="37" t="n">
        <x:v>423.43812509905547</x:v>
      </x:c>
      <x:c r="P1268" s="37" t="n">
        <x:v>0</x:v>
      </x:c>
      <x:c r="Q1268" s="37" t="n">
        <x:v>0</x:v>
      </x:c>
      <x:c r="R1268" s="37" t="n">
        <x:v>0</x:v>
      </x:c>
      <x:c r="S1268" s="37" t="n">
        <x:v>0</x:v>
      </x:c>
      <x:c r="T1268" s="37" t="n">
        <x:v>0</x:v>
      </x:c>
      <x:c r="U1268" s="37" t="n">
        <x:v>37500</x:v>
      </x:c>
      <x:c r="V1268" s="37" t="n">
        <x:v>0</x:v>
      </x:c>
      <x:c r="W1268" s="37" t="n">
        <x:v>40128.37309328932</x:v>
      </x:c>
      <x:c r="X1268" s="37" t="n">
        <x:v>0</x:v>
      </x:c>
      <x:c r="Y1268" s="37" t="n">
        <x:v>1721.0008871681664</x:v>
      </x:c>
      <x:c r="Z1268" s="37" t="n">
        <x:v>6854267.557913301</x:v>
      </x:c>
      <x:c r="AA1268" s="37" t="n">
        <x:v>0</x:v>
      </x:c>
      <x:c r="AB1268" s="37" t="n">
        <x:v>6854267.557913301</x:v>
      </x:c>
      <x:c r="AC1268" s="37" t="n">
        <x:v>873901.6632617237</x:v>
      </x:c>
      <x:c r="AD1268" s="37" t="n">
        <x:v>0</x:v>
      </x:c>
      <x:c r="AE1268" s="37" t="n">
        <x:v>0</x:v>
      </x:c>
      <x:c r="AF1268" s="47" t="b">
        <x:v>0</x:v>
      </x:c>
      <x:c r="AG1268" s="47" t="b">
        <x:v>0</x:v>
      </x:c>
      <x:c r="AH1268" s="48" t="n">
        <x:v>0</x:v>
      </x:c>
      <x:c r="AI1268" s="48" t="n">
        <x:v>5.960464477539063e-8</x:v>
      </x:c>
      <x:c r="AJ1268" s="37" t="str">
        <x:v>passed</x:v>
      </x:c>
    </x:row>
    <x:row r="1269" ht="21" customHeight="1">
      <x:c r="A1269" s="2"/>
      <x:c r="B1269" s="2"/>
      <x:c r="C1269" s="2" t="str">
        <x:v>2023</x:v>
      </x:c>
      <x:c r="D1269" s="5" t="n">
        <x:v>45023</x:v>
      </x:c>
      <x:c r="E1269" s="2" t="str">
        <x:v>unweighted</x:v>
      </x:c>
      <x:c r="F1269" s="37" t="n">
        <x:v>11452736.535924572</x:v>
      </x:c>
      <x:c r="G1269" s="37" t="n">
        <x:v>241232.3118541416</x:v>
      </x:c>
      <x:c r="H1269" s="37" t="n">
        <x:v>-18430.34587692848</x:v>
      </x:c>
      <x:c r="I1269" s="37" t="n">
        <x:v>259662.65773107007</x:v>
      </x:c>
      <x:c r="J1269" s="37" t="n">
        <x:v>10760606.863049071</x:v>
      </x:c>
      <x:c r="K1269" s="37" t="n">
        <x:v>10519374.551194929</x:v>
      </x:c>
      <x:c r="L1269" s="37" t="n">
        <x:v>11693968.847778713</x:v>
      </x:c>
      <x:c r="M1269" s="37" t="n">
        <x:v>0</x:v>
      </x:c>
      <x:c r="N1269" s="37" t="n">
        <x:v>0</x:v>
      </x:c>
      <x:c r="O1269" s="37" t="n">
        <x:v>627.5128231849521</x:v>
      </x:c>
      <x:c r="P1269" s="37" t="n">
        <x:v>0</x:v>
      </x:c>
      <x:c r="Q1269" s="37" t="n">
        <x:v>0</x:v>
      </x:c>
      <x:c r="R1269" s="37" t="n">
        <x:v>0</x:v>
      </x:c>
      <x:c r="S1269" s="37" t="n">
        <x:v>0</x:v>
      </x:c>
      <x:c r="T1269" s="37" t="n">
        <x:v>0</x:v>
      </x:c>
      <x:c r="U1269" s="37" t="n">
        <x:v>37500</x:v>
      </x:c>
      <x:c r="V1269" s="37" t="n">
        <x:v>0</x:v>
      </x:c>
      <x:c r="W1269" s="37" t="n">
        <x:v>56951.29057883099</x:v>
      </x:c>
      <x:c r="X1269" s="37" t="n">
        <x:v>0</x:v>
      </x:c>
      <x:c r="Y1269" s="37" t="n">
        <x:v>2070.2825714373325</x:v>
      </x:c>
      <x:c r="Z1269" s="37" t="n">
        <x:v>10729762.042218827</x:v>
      </x:c>
      <x:c r="AA1269" s="37" t="n">
        <x:v>0</x:v>
      </x:c>
      <x:c r="AB1269" s="37" t="n">
        <x:v>10729762.042218827</x:v>
      </x:c>
      <x:c r="AC1269" s="37" t="n">
        <x:v>722974.4937057458</x:v>
      </x:c>
      <x:c r="AD1269" s="37" t="n">
        <x:v>0</x:v>
      </x:c>
      <x:c r="AE1269" s="37" t="n">
        <x:v>0</x:v>
      </x:c>
      <x:c r="AF1269" s="47" t="b">
        <x:v>0</x:v>
      </x:c>
      <x:c r="AG1269" s="47" t="b">
        <x:v>0</x:v>
      </x:c>
      <x:c r="AH1269" s="48" t="n">
        <x:v>0</x:v>
      </x:c>
      <x:c r="AI1269" s="48" t="n">
        <x:v>1.1920928955078125e-7</x:v>
      </x:c>
      <x:c r="AJ1269" s="37" t="str">
        <x:v>passed</x:v>
      </x:c>
    </x:row>
    <x:row r="1270" ht="21" customHeight="1">
      <x:c r="A1270" s="2"/>
      <x:c r="B1270" s="2"/>
      <x:c r="C1270" s="2" t="str">
        <x:v>2023</x:v>
      </x:c>
      <x:c r="D1270" s="5" t="n">
        <x:v>45023</x:v>
      </x:c>
      <x:c r="E1270" s="2" t="str">
        <x:v>constrained</x:v>
      </x:c>
      <x:c r="F1270" s="37" t="n">
        <x:v>11837827.799303759</x:v>
      </x:c>
      <x:c r="G1270" s="37" t="n">
        <x:v>-151061.60216654942</x:v>
      </x:c>
      <x:c r="H1270" s="37" t="n">
        <x:v>-19518.86491250426</x:v>
      </x:c>
      <x:c r="I1270" s="37" t="n">
        <x:v>-131542.73725404515</x:v>
      </x:c>
      <x:c r="J1270" s="37" t="n">
        <x:v>10761715.537685774</x:v>
      </x:c>
      <x:c r="K1270" s="37" t="n">
        <x:v>10912777.139852325</x:v>
      </x:c>
      <x:c r="L1270" s="37" t="n">
        <x:v>11686766.197137209</x:v>
      </x:c>
      <x:c r="M1270" s="37" t="n">
        <x:v>0</x:v>
      </x:c>
      <x:c r="N1270" s="37" t="n">
        <x:v>0</x:v>
      </x:c>
      <x:c r="O1270" s="37" t="n">
        <x:v>648.6125581804663</x:v>
      </x:c>
      <x:c r="P1270" s="37" t="n">
        <x:v>0</x:v>
      </x:c>
      <x:c r="Q1270" s="37" t="n">
        <x:v>0</x:v>
      </x:c>
      <x:c r="R1270" s="37" t="n">
        <x:v>0</x:v>
      </x:c>
      <x:c r="S1270" s="37" t="n">
        <x:v>0</x:v>
      </x:c>
      <x:c r="T1270" s="37" t="n">
        <x:v>0</x:v>
      </x:c>
      <x:c r="U1270" s="37" t="n">
        <x:v>37500</x:v>
      </x:c>
      <x:c r="V1270" s="37" t="n">
        <x:v>0</x:v>
      </x:c>
      <x:c r="W1270" s="37" t="n">
        <x:v>60309.631791613996</x:v>
      </x:c>
      <x:c r="X1270" s="37" t="n">
        <x:v>0</x:v>
      </x:c>
      <x:c r="Y1270" s="37" t="n">
        <x:v>2126.5234819721045</x:v>
      </x:c>
      <x:c r="Z1270" s="37" t="n">
        <x:v>11131032.68264937</x:v>
      </x:c>
      <x:c r="AA1270" s="37" t="n">
        <x:v>0</x:v>
      </x:c>
      <x:c r="AB1270" s="37" t="n">
        <x:v>11131032.68264937</x:v>
      </x:c>
      <x:c r="AC1270" s="37" t="n">
        <x:v>706795.1166543886</x:v>
      </x:c>
      <x:c r="AD1270" s="37" t="n">
        <x:v>0</x:v>
      </x:c>
      <x:c r="AE1270" s="37" t="n">
        <x:v>0</x:v>
      </x:c>
      <x:c r="AF1270" s="47" t="b">
        <x:v>0</x:v>
      </x:c>
      <x:c r="AG1270" s="47" t="b">
        <x:v>0</x:v>
      </x:c>
      <x:c r="AH1270" s="48" t="n">
        <x:v>0</x:v>
      </x:c>
      <x:c r="AI1270" s="48" t="n">
        <x:v>1.1920928955078125e-7</x:v>
      </x:c>
      <x:c r="AJ1270" s="37" t="str">
        <x:v>passed</x:v>
      </x:c>
    </x:row>
    <x:row r="1271" ht="21" customHeight="1">
      <x:c r="A1271" s="2"/>
      <x:c r="B1271" s="2"/>
      <x:c r="C1271" s="2" t="str">
        <x:v>2023</x:v>
      </x:c>
      <x:c r="D1271" s="5" t="n">
        <x:v>45026</x:v>
      </x:c>
      <x:c r="E1271" s="2" t="str">
        <x:v>unhedged</x:v>
      </x:c>
      <x:c r="F1271" s="37" t="n">
        <x:v>1242957.5798744608</x:v>
      </x:c>
      <x:c r="G1271" s="37" t="n">
        <x:v>10692857.918374479</x:v>
      </x:c>
      <x:c r="H1271" s="37" t="n">
        <x:v>34537.292817679554</x:v>
      </x:c>
      <x:c r="I1271" s="37" t="n">
        <x:v>10658320.625556799</x:v>
      </x:c>
      <x:c r="J1271" s="37" t="n">
        <x:v>10692857.918374479</x:v>
      </x:c>
      <x:c r="K1271" s="37" t="n">
        <x:v>0</x:v>
      </x:c>
      <x:c r="L1271" s="37" t="n">
        <x:v>11935815.49824894</x:v>
      </x:c>
      <x:c r="M1271" s="37" t="n">
        <x:v>0</x:v>
      </x:c>
      <x:c r="N1271" s="37" t="n">
        <x:v>0</x:v>
      </x:c>
      <x:c r="O1271" s="37" t="n">
        <x:v>204.2994045673404</x:v>
      </x:c>
      <x:c r="P1271" s="37" t="n">
        <x:v>0</x:v>
      </x:c>
      <x:c r="Q1271" s="37" t="n">
        <x:v>0</x:v>
      </x:c>
      <x:c r="R1271" s="37" t="n">
        <x:v>0</x:v>
      </x:c>
      <x:c r="S1271" s="37" t="n">
        <x:v>0</x:v>
      </x:c>
      <x:c r="T1271" s="37" t="n">
        <x:v>0</x:v>
      </x:c>
      <x:c r="U1271" s="37" t="n">
        <x:v>37500</x:v>
      </x:c>
      <x:c r="V1271" s="37" t="n">
        <x:v>0</x:v>
      </x:c>
      <x:c r="W1271" s="37" t="n">
        <x:v>6500.449216583045</x:v>
      </x:c>
      <x:c r="X1271" s="37" t="n">
        <x:v>0</x:v>
      </x:c>
      <x:c r="Y1271" s="37" t="n">
        <x:v>1042.869342122179</x:v>
      </x:c>
      <x:c r="Z1271" s="37" t="n">
        <x:v>0</x:v>
      </x:c>
      <x:c r="AA1271" s="37" t="n">
        <x:v>0</x:v>
      </x:c>
      <x:c r="AB1271" s="37" t="n">
        <x:v>0</x:v>
      </x:c>
      <x:c r="AC1271" s="37" t="n">
        <x:v>1242957.5798744608</x:v>
      </x:c>
      <x:c r="AD1271" s="37" t="n">
        <x:v>0</x:v>
      </x:c>
      <x:c r="AE1271" s="37" t="n">
        <x:v>0</x:v>
      </x:c>
      <x:c r="AF1271" s="47" t="b">
        <x:v>0</x:v>
      </x:c>
      <x:c r="AG1271" s="47" t="b">
        <x:v>0</x:v>
      </x:c>
      <x:c r="AH1271" s="48" t="n">
        <x:v>0</x:v>
      </x:c>
      <x:c r="AI1271" s="48" t="n">
        <x:v>1.1920928955078125e-7</x:v>
      </x:c>
      <x:c r="AJ1271" s="37" t="str">
        <x:v>passed</x:v>
      </x:c>
    </x:row>
    <x:row r="1272" ht="21" customHeight="1">
      <x:c r="A1272" s="2"/>
      <x:c r="B1272" s="2"/>
      <x:c r="C1272" s="2" t="str">
        <x:v>2023</x:v>
      </x:c>
      <x:c r="D1272" s="5" t="n">
        <x:v>45026</x:v>
      </x:c>
      <x:c r="E1272" s="2" t="str">
        <x:v>duration</x:v>
      </x:c>
      <x:c r="F1272" s="37" t="n">
        <x:v>7729439.674767942</x:v>
      </x:c>
      <x:c r="G1272" s="37" t="n">
        <x:v>3982095.3614520524</x:v>
      </x:c>
      <x:c r="H1272" s="37" t="n">
        <x:v>-9166.152751967149</x:v>
      </x:c>
      <x:c r="I1272" s="37" t="n">
        <x:v>3991261.5142040197</x:v>
      </x:c>
      <x:c r="J1272" s="37" t="n">
        <x:v>10692857.918374479</x:v>
      </x:c>
      <x:c r="K1272" s="37" t="n">
        <x:v>6710762.556922427</x:v>
      </x:c>
      <x:c r="L1272" s="37" t="n">
        <x:v>11711535.036219995</x:v>
      </x:c>
      <x:c r="M1272" s="37" t="n">
        <x:v>0</x:v>
      </x:c>
      <x:c r="N1272" s="37" t="n">
        <x:v>0</x:v>
      </x:c>
      <x:c r="O1272" s="37" t="n">
        <x:v>1270.453592917882</x:v>
      </x:c>
      <x:c r="P1272" s="37" t="n">
        <x:v>0</x:v>
      </x:c>
      <x:c r="Q1272" s="37" t="n">
        <x:v>0</x:v>
      </x:c>
      <x:c r="R1272" s="37" t="n">
        <x:v>0</x:v>
      </x:c>
      <x:c r="S1272" s="37" t="n">
        <x:v>0</x:v>
      </x:c>
      <x:c r="T1272" s="37" t="n">
        <x:v>0</x:v>
      </x:c>
      <x:c r="U1272" s="37" t="n">
        <x:v>37500</x:v>
      </x:c>
      <x:c r="V1272" s="37" t="n">
        <x:v>0</x:v>
      </x:c>
      <x:c r="W1272" s="37" t="n">
        <x:v>41398.826686207205</x:v>
      </x:c>
      <x:c r="X1272" s="37" t="n">
        <x:v>0</x:v>
      </x:c>
      <x:c r="Y1272" s="37" t="n">
        <x:v>1721.0008871681664</x:v>
      </x:c>
      <x:c r="Z1272" s="37" t="n">
        <x:v>6844977.808060876</x:v>
      </x:c>
      <x:c r="AA1272" s="37" t="n">
        <x:v>0</x:v>
      </x:c>
      <x:c r="AB1272" s="37" t="n">
        <x:v>6844977.808060876</x:v>
      </x:c>
      <x:c r="AC1272" s="37" t="n">
        <x:v>884461.8667070661</x:v>
      </x:c>
      <x:c r="AD1272" s="37" t="n">
        <x:v>0</x:v>
      </x:c>
      <x:c r="AE1272" s="37" t="n">
        <x:v>0</x:v>
      </x:c>
      <x:c r="AF1272" s="47" t="b">
        <x:v>0</x:v>
      </x:c>
      <x:c r="AG1272" s="47" t="b">
        <x:v>0</x:v>
      </x:c>
      <x:c r="AH1272" s="48" t="n">
        <x:v>0</x:v>
      </x:c>
      <x:c r="AI1272" s="48" t="n">
        <x:v>5.960464477539063e-8</x:v>
      </x:c>
      <x:c r="AJ1272" s="37" t="str">
        <x:v>passed</x:v>
      </x:c>
    </x:row>
    <x:row r="1273" ht="21" customHeight="1">
      <x:c r="A1273" s="2"/>
      <x:c r="B1273" s="2"/>
      <x:c r="C1273" s="2" t="str">
        <x:v>2023</x:v>
      </x:c>
      <x:c r="D1273" s="5" t="n">
        <x:v>45026</x:v>
      </x:c>
      <x:c r="E1273" s="2" t="str">
        <x:v>unweighted</x:v>
      </x:c>
      <x:c r="F1273" s="37" t="n">
        <x:v>11454619.280707248</x:v>
      </x:c>
      <x:c r="G1273" s="37" t="n">
        <x:v>241030.46599452506</x:v>
      </x:c>
      <x:c r="H1273" s="37" t="n">
        <x:v>-18514.2775015555</x:v>
      </x:c>
      <x:c r="I1273" s="37" t="n">
        <x:v>259544.74349608057</x:v>
      </x:c>
      <x:c r="J1273" s="37" t="n">
        <x:v>10751824.927636024</x:v>
      </x:c>
      <x:c r="K1273" s="37" t="n">
        <x:v>10510794.461641498</x:v>
      </x:c>
      <x:c r="L1273" s="37" t="n">
        <x:v>11695649.746701773</x:v>
      </x:c>
      <x:c r="M1273" s="37" t="n">
        <x:v>0</x:v>
      </x:c>
      <x:c r="N1273" s="37" t="n">
        <x:v>0</x:v>
      </x:c>
      <x:c r="O1273" s="37" t="n">
        <x:v>1882.7447826750576</x:v>
      </x:c>
      <x:c r="P1273" s="37" t="n">
        <x:v>0</x:v>
      </x:c>
      <x:c r="Q1273" s="37" t="n">
        <x:v>0</x:v>
      </x:c>
      <x:c r="R1273" s="37" t="n">
        <x:v>0</x:v>
      </x:c>
      <x:c r="S1273" s="37" t="n">
        <x:v>0</x:v>
      </x:c>
      <x:c r="T1273" s="37" t="n">
        <x:v>0</x:v>
      </x:c>
      <x:c r="U1273" s="37" t="n">
        <x:v>37500</x:v>
      </x:c>
      <x:c r="V1273" s="37" t="n">
        <x:v>0</x:v>
      </x:c>
      <x:c r="W1273" s="37" t="n">
        <x:v>58834.035361506045</x:v>
      </x:c>
      <x:c r="X1273" s="37" t="n">
        <x:v>0</x:v>
      </x:c>
      <x:c r="Y1273" s="37" t="n">
        <x:v>2070.2825714373325</x:v>
      </x:c>
      <x:c r="Z1273" s="37" t="n">
        <x:v>10721010.350874329</x:v>
      </x:c>
      <x:c r="AA1273" s="37" t="n">
        <x:v>0</x:v>
      </x:c>
      <x:c r="AB1273" s="37" t="n">
        <x:v>10721010.350874329</x:v>
      </x:c>
      <x:c r="AC1273" s="37" t="n">
        <x:v>733608.9298329186</x:v>
      </x:c>
      <x:c r="AD1273" s="37" t="n">
        <x:v>0</x:v>
      </x:c>
      <x:c r="AE1273" s="37" t="n">
        <x:v>0</x:v>
      </x:c>
      <x:c r="AF1273" s="47" t="b">
        <x:v>0</x:v>
      </x:c>
      <x:c r="AG1273" s="47" t="b">
        <x:v>0</x:v>
      </x:c>
      <x:c r="AH1273" s="48" t="n">
        <x:v>0</x:v>
      </x:c>
      <x:c r="AI1273" s="48" t="n">
        <x:v>1.1920928955078125e-7</x:v>
      </x:c>
      <x:c r="AJ1273" s="37" t="str">
        <x:v>passed</x:v>
      </x:c>
    </x:row>
    <x:row r="1274" ht="21" customHeight="1">
      <x:c r="A1274" s="2"/>
      <x:c r="B1274" s="2"/>
      <x:c r="C1274" s="2" t="str">
        <x:v>2023</x:v>
      </x:c>
      <x:c r="D1274" s="5" t="n">
        <x:v>45026</x:v>
      </x:c>
      <x:c r="E1274" s="2" t="str">
        <x:v>constrained</x:v>
      </x:c>
      <x:c r="F1274" s="37" t="n">
        <x:v>11839773.850228569</x:v>
      </x:c>
      <x:c r="G1274" s="37" t="n">
        <x:v>-151234.0184274141</x:v>
      </x:c>
      <x:c r="H1274" s="37" t="n">
        <x:v>-19628.335372624213</x:v>
      </x:c>
      <x:c r="I1274" s="37" t="n">
        <x:v>-131605.68305478987</x:v>
      </x:c>
      <x:c r="J1274" s="37" t="n">
        <x:v>10752931.581900792</x:v>
      </x:c>
      <x:c r="K1274" s="37" t="n">
        <x:v>10904165.600328205</x:v>
      </x:c>
      <x:c r="L1274" s="37" t="n">
        <x:v>11688539.831801154</x:v>
      </x:c>
      <x:c r="M1274" s="37" t="n">
        <x:v>0</x:v>
      </x:c>
      <x:c r="N1274" s="37" t="n">
        <x:v>0</x:v>
      </x:c>
      <x:c r="O1274" s="37" t="n">
        <x:v>1946.0509248096496</x:v>
      </x:c>
      <x:c r="P1274" s="37" t="n">
        <x:v>0</x:v>
      </x:c>
      <x:c r="Q1274" s="37" t="n">
        <x:v>0</x:v>
      </x:c>
      <x:c r="R1274" s="37" t="n">
        <x:v>0</x:v>
      </x:c>
      <x:c r="S1274" s="37" t="n">
        <x:v>0</x:v>
      </x:c>
      <x:c r="T1274" s="37" t="n">
        <x:v>0</x:v>
      </x:c>
      <x:c r="U1274" s="37" t="n">
        <x:v>37500</x:v>
      </x:c>
      <x:c r="V1274" s="37" t="n">
        <x:v>0</x:v>
      </x:c>
      <x:c r="W1274" s="37" t="n">
        <x:v>62255.682716423646</x:v>
      </x:c>
      <x:c r="X1274" s="37" t="n">
        <x:v>0</x:v>
      </x:c>
      <x:c r="Y1274" s="37" t="n">
        <x:v>2126.5234819721045</x:v>
      </x:c>
      <x:c r="Z1274" s="37" t="n">
        <x:v>11122248.91233477</x:v>
      </x:c>
      <x:c r="AA1274" s="37" t="n">
        <x:v>0</x:v>
      </x:c>
      <x:c r="AB1274" s="37" t="n">
        <x:v>11122248.91233477</x:v>
      </x:c>
      <x:c r="AC1274" s="37" t="n">
        <x:v>717524.9378937986</x:v>
      </x:c>
      <x:c r="AD1274" s="37" t="n">
        <x:v>0</x:v>
      </x:c>
      <x:c r="AE1274" s="37" t="n">
        <x:v>0</x:v>
      </x:c>
      <x:c r="AF1274" s="47" t="b">
        <x:v>0</x:v>
      </x:c>
      <x:c r="AG1274" s="47" t="b">
        <x:v>0</x:v>
      </x:c>
      <x:c r="AH1274" s="48" t="n">
        <x:v>0</x:v>
      </x:c>
      <x:c r="AI1274" s="48" t="n">
        <x:v>1.1920928955078125e-7</x:v>
      </x:c>
      <x:c r="AJ1274" s="37" t="str">
        <x:v>passed</x:v>
      </x:c>
    </x:row>
    <x:row r="1275" ht="21" customHeight="1">
      <x:c r="A1275" s="2"/>
      <x:c r="B1275" s="2"/>
      <x:c r="C1275" s="2" t="str">
        <x:v>2023</x:v>
      </x:c>
      <x:c r="D1275" s="5" t="n">
        <x:v>45027</x:v>
      </x:c>
      <x:c r="E1275" s="2" t="str">
        <x:v>unhedged</x:v>
      </x:c>
      <x:c r="F1275" s="37" t="n">
        <x:v>1243025.6871391116</x:v>
      </x:c>
      <x:c r="G1275" s="37" t="n">
        <x:v>10685270.448976165</x:v>
      </x:c>
      <x:c r="H1275" s="37" t="n">
        <x:v>34889.50276243094</x:v>
      </x:c>
      <x:c r="I1275" s="37" t="n">
        <x:v>10650380.946213733</x:v>
      </x:c>
      <x:c r="J1275" s="37" t="n">
        <x:v>10685270.448976165</x:v>
      </x:c>
      <x:c r="K1275" s="37" t="n">
        <x:v>0</x:v>
      </x:c>
      <x:c r="L1275" s="37" t="n">
        <x:v>11928296.136115275</x:v>
      </x:c>
      <x:c r="M1275" s="37" t="n">
        <x:v>0</x:v>
      </x:c>
      <x:c r="N1275" s="37" t="n">
        <x:v>0</x:v>
      </x:c>
      <x:c r="O1275" s="37" t="n">
        <x:v>68.10726465075277</x:v>
      </x:c>
      <x:c r="P1275" s="37" t="n">
        <x:v>0</x:v>
      </x:c>
      <x:c r="Q1275" s="37" t="n">
        <x:v>0</x:v>
      </x:c>
      <x:c r="R1275" s="37" t="n">
        <x:v>0</x:v>
      </x:c>
      <x:c r="S1275" s="37" t="n">
        <x:v>0</x:v>
      </x:c>
      <x:c r="T1275" s="37" t="n">
        <x:v>0</x:v>
      </x:c>
      <x:c r="U1275" s="37" t="n">
        <x:v>37500</x:v>
      </x:c>
      <x:c r="V1275" s="37" t="n">
        <x:v>0</x:v>
      </x:c>
      <x:c r="W1275" s="37" t="n">
        <x:v>6568.556481233798</x:v>
      </x:c>
      <x:c r="X1275" s="37" t="n">
        <x:v>0</x:v>
      </x:c>
      <x:c r="Y1275" s="37" t="n">
        <x:v>1042.869342122179</x:v>
      </x:c>
      <x:c r="Z1275" s="37" t="n">
        <x:v>0</x:v>
      </x:c>
      <x:c r="AA1275" s="37" t="n">
        <x:v>0</x:v>
      </x:c>
      <x:c r="AB1275" s="37" t="n">
        <x:v>0</x:v>
      </x:c>
      <x:c r="AC1275" s="37" t="n">
        <x:v>1243025.6871391116</x:v>
      </x:c>
      <x:c r="AD1275" s="37" t="n">
        <x:v>0</x:v>
      </x:c>
      <x:c r="AE1275" s="37" t="n">
        <x:v>0</x:v>
      </x:c>
      <x:c r="AF1275" s="47" t="b">
        <x:v>0</x:v>
      </x:c>
      <x:c r="AG1275" s="47" t="b">
        <x:v>0</x:v>
      </x:c>
      <x:c r="AH1275" s="48" t="n">
        <x:v>0</x:v>
      </x:c>
      <x:c r="AI1275" s="48" t="n">
        <x:v>1.1920928955078125e-7</x:v>
      </x:c>
      <x:c r="AJ1275" s="37" t="str">
        <x:v>passed</x:v>
      </x:c>
    </x:row>
    <x:row r="1276" ht="21" customHeight="1">
      <x:c r="A1276" s="2"/>
      <x:c r="B1276" s="2"/>
      <x:c r="C1276" s="2" t="str">
        <x:v>2023</x:v>
      </x:c>
      <x:c r="D1276" s="5" t="n">
        <x:v>45027</x:v>
      </x:c>
      <x:c r="E1276" s="2" t="str">
        <x:v>duration</x:v>
      </x:c>
      <x:c r="F1276" s="37" t="n">
        <x:v>7729863.205709026</x:v>
      </x:c>
      <x:c r="G1276" s="37" t="n">
        <x:v>3981354.0964988344</x:v>
      </x:c>
      <x:c r="H1276" s="37" t="n">
        <x:v>-9113.281475501019</x:v>
      </x:c>
      <x:c r="I1276" s="37" t="n">
        <x:v>3990467.3779743356</x:v>
      </x:c>
      <x:c r="J1276" s="37" t="n">
        <x:v>10685270.448976165</x:v>
      </x:c>
      <x:c r="K1276" s="37" t="n">
        <x:v>6703916.352477331</x:v>
      </x:c>
      <x:c r="L1276" s="37" t="n">
        <x:v>11711217.302207861</x:v>
      </x:c>
      <x:c r="M1276" s="37" t="n">
        <x:v>0</x:v>
      </x:c>
      <x:c r="N1276" s="37" t="n">
        <x:v>0</x:v>
      </x:c>
      <x:c r="O1276" s="37" t="n">
        <x:v>423.5309410840273</x:v>
      </x:c>
      <x:c r="P1276" s="37" t="n">
        <x:v>0</x:v>
      </x:c>
      <x:c r="Q1276" s="37" t="n">
        <x:v>0</x:v>
      </x:c>
      <x:c r="R1276" s="37" t="n">
        <x:v>0</x:v>
      </x:c>
      <x:c r="S1276" s="37" t="n">
        <x:v>0</x:v>
      </x:c>
      <x:c r="T1276" s="37" t="n">
        <x:v>0</x:v>
      </x:c>
      <x:c r="U1276" s="37" t="n">
        <x:v>37500</x:v>
      </x:c>
      <x:c r="V1276" s="37" t="n">
        <x:v>0</x:v>
      </x:c>
      <x:c r="W1276" s="37" t="n">
        <x:v>41822.35762729123</x:v>
      </x:c>
      <x:c r="X1276" s="37" t="n">
        <x:v>0</x:v>
      </x:c>
      <x:c r="Y1276" s="37" t="n">
        <x:v>1721.0008871681664</x:v>
      </x:c>
      <x:c r="Z1276" s="37" t="n">
        <x:v>6837994.679526878</x:v>
      </x:c>
      <x:c r="AA1276" s="37" t="n">
        <x:v>0</x:v>
      </x:c>
      <x:c r="AB1276" s="37" t="n">
        <x:v>6837994.679526878</x:v>
      </x:c>
      <x:c r="AC1276" s="37" t="n">
        <x:v>891868.5261821486</x:v>
      </x:c>
      <x:c r="AD1276" s="37" t="n">
        <x:v>0</x:v>
      </x:c>
      <x:c r="AE1276" s="37" t="n">
        <x:v>0</x:v>
      </x:c>
      <x:c r="AF1276" s="47" t="b">
        <x:v>0</x:v>
      </x:c>
      <x:c r="AG1276" s="47" t="b">
        <x:v>0</x:v>
      </x:c>
      <x:c r="AH1276" s="48" t="n">
        <x:v>0</x:v>
      </x:c>
      <x:c r="AI1276" s="48" t="n">
        <x:v>5.960464477539063e-8</x:v>
      </x:c>
      <x:c r="AJ1276" s="37" t="str">
        <x:v>passed</x:v>
      </x:c>
    </x:row>
    <x:row r="1277" ht="21" customHeight="1">
      <x:c r="A1277" s="2"/>
      <x:c r="B1277" s="2"/>
      <x:c r="C1277" s="2" t="str">
        <x:v>2023</x:v>
      </x:c>
      <x:c r="D1277" s="5" t="n">
        <x:v>45027</x:v>
      </x:c>
      <x:c r="E1277" s="2" t="str">
        <x:v>unweighted</x:v>
      </x:c>
      <x:c r="F1277" s="37" t="n">
        <x:v>11455246.931078793</x:v>
      </x:c>
      <x:c r="G1277" s="37" t="n">
        <x:v>241055.16533647332</x:v>
      </x:c>
      <x:c r="H1277" s="37" t="n">
        <x:v>-18542.2547097645</x:v>
      </x:c>
      <x:c r="I1277" s="37" t="n">
        <x:v>259597.42004623782</x:v>
      </x:c>
      <x:c r="J1277" s="37" t="n">
        <x:v>10744169.902184349</x:v>
      </x:c>
      <x:c r="K1277" s="37" t="n">
        <x:v>10503114.736847876</x:v>
      </x:c>
      <x:c r="L1277" s="37" t="n">
        <x:v>11696302.096415266</x:v>
      </x:c>
      <x:c r="M1277" s="37" t="n">
        <x:v>0</x:v>
      </x:c>
      <x:c r="N1277" s="37" t="n">
        <x:v>0</x:v>
      </x:c>
      <x:c r="O1277" s="37" t="n">
        <x:v>627.6503715459257</x:v>
      </x:c>
      <x:c r="P1277" s="37" t="n">
        <x:v>0</x:v>
      </x:c>
      <x:c r="Q1277" s="37" t="n">
        <x:v>0</x:v>
      </x:c>
      <x:c r="R1277" s="37" t="n">
        <x:v>0</x:v>
      </x:c>
      <x:c r="S1277" s="37" t="n">
        <x:v>0</x:v>
      </x:c>
      <x:c r="T1277" s="37" t="n">
        <x:v>0</x:v>
      </x:c>
      <x:c r="U1277" s="37" t="n">
        <x:v>37500</x:v>
      </x:c>
      <x:c r="V1277" s="37" t="n">
        <x:v>0</x:v>
      </x:c>
      <x:c r="W1277" s="37" t="n">
        <x:v>59461.68573305197</x:v>
      </x:c>
      <x:c r="X1277" s="37" t="n">
        <x:v>0</x:v>
      </x:c>
      <x:c r="Y1277" s="37" t="n">
        <x:v>2070.2825714373325</x:v>
      </x:c>
      <x:c r="Z1277" s="37" t="n">
        <x:v>10713177.031584833</x:v>
      </x:c>
      <x:c r="AA1277" s="37" t="n">
        <x:v>0</x:v>
      </x:c>
      <x:c r="AB1277" s="37" t="n">
        <x:v>10713177.031584833</x:v>
      </x:c>
      <x:c r="AC1277" s="37" t="n">
        <x:v>742069.8994939607</x:v>
      </x:c>
      <x:c r="AD1277" s="37" t="n">
        <x:v>0</x:v>
      </x:c>
      <x:c r="AE1277" s="37" t="n">
        <x:v>0</x:v>
      </x:c>
      <x:c r="AF1277" s="47" t="b">
        <x:v>0</x:v>
      </x:c>
      <x:c r="AG1277" s="47" t="b">
        <x:v>0</x:v>
      </x:c>
      <x:c r="AH1277" s="48" t="n">
        <x:v>0</x:v>
      </x:c>
      <x:c r="AI1277" s="48" t="n">
        <x:v>1.1920928955078125e-7</x:v>
      </x:c>
      <x:c r="AJ1277" s="37" t="str">
        <x:v>passed</x:v>
      </x:c>
    </x:row>
    <x:row r="1278" ht="21" customHeight="1">
      <x:c r="A1278" s="2"/>
      <x:c r="B1278" s="2"/>
      <x:c r="C1278" s="2" t="str">
        <x:v>2023</x:v>
      </x:c>
      <x:c r="D1278" s="5" t="n">
        <x:v>45027</x:v>
      </x:c>
      <x:c r="E1278" s="2" t="str">
        <x:v>constrained</x:v>
      </x:c>
      <x:c r="F1278" s="37" t="n">
        <x:v>11840422.60496009</x:v>
      </x:c>
      <x:c r="G1278" s="37" t="n">
        <x:v>-151170.98461080928</x:v>
      </x:c>
      <x:c r="H1278" s="37" t="n">
        <x:v>-19664.825525997527</x:v>
      </x:c>
      <x:c r="I1278" s="37" t="n">
        <x:v>-131506.15908481175</x:v>
      </x:c>
      <x:c r="J1278" s="37" t="n">
        <x:v>10745275.28860129</x:v>
      </x:c>
      <x:c r="K1278" s="37" t="n">
        <x:v>10896446.2732121</x:v>
      </x:c>
      <x:c r="L1278" s="37" t="n">
        <x:v>11689251.62034928</x:v>
      </x:c>
      <x:c r="M1278" s="37" t="n">
        <x:v>0</x:v>
      </x:c>
      <x:c r="N1278" s="37" t="n">
        <x:v>0</x:v>
      </x:c>
      <x:c r="O1278" s="37" t="n">
        <x:v>648.7547315210104</x:v>
      </x:c>
      <x:c r="P1278" s="37" t="n">
        <x:v>0</x:v>
      </x:c>
      <x:c r="Q1278" s="37" t="n">
        <x:v>0</x:v>
      </x:c>
      <x:c r="R1278" s="37" t="n">
        <x:v>0</x:v>
      </x:c>
      <x:c r="S1278" s="37" t="n">
        <x:v>0</x:v>
      </x:c>
      <x:c r="T1278" s="37" t="n">
        <x:v>0</x:v>
      </x:c>
      <x:c r="U1278" s="37" t="n">
        <x:v>37500</x:v>
      </x:c>
      <x:c r="V1278" s="37" t="n">
        <x:v>0</x:v>
      </x:c>
      <x:c r="W1278" s="37" t="n">
        <x:v>62904.437447944656</x:v>
      </x:c>
      <x:c r="X1278" s="37" t="n">
        <x:v>0</x:v>
      </x:c>
      <x:c r="Y1278" s="37" t="n">
        <x:v>2126.5234819721045</x:v>
      </x:c>
      <x:c r="Z1278" s="37" t="n">
        <x:v>11114375.198676342</x:v>
      </x:c>
      <x:c r="AA1278" s="37" t="n">
        <x:v>0</x:v>
      </x:c>
      <x:c r="AB1278" s="37" t="n">
        <x:v>11114375.198676342</x:v>
      </x:c>
      <x:c r="AC1278" s="37" t="n">
        <x:v>726047.4062837474</x:v>
      </x:c>
      <x:c r="AD1278" s="37" t="n">
        <x:v>0</x:v>
      </x:c>
      <x:c r="AE1278" s="37" t="n">
        <x:v>0</x:v>
      </x:c>
      <x:c r="AF1278" s="47" t="b">
        <x:v>0</x:v>
      </x:c>
      <x:c r="AG1278" s="47" t="b">
        <x:v>0</x:v>
      </x:c>
      <x:c r="AH1278" s="48" t="n">
        <x:v>0</x:v>
      </x:c>
      <x:c r="AI1278" s="48" t="n">
        <x:v>1.1920928955078125e-7</x:v>
      </x:c>
      <x:c r="AJ1278" s="37" t="str">
        <x:v>passed</x:v>
      </x:c>
    </x:row>
    <x:row r="1279" ht="21" customHeight="1">
      <x:c r="A1279" s="2"/>
      <x:c r="B1279" s="2"/>
      <x:c r="C1279" s="2" t="str">
        <x:v>2023</x:v>
      </x:c>
      <x:c r="D1279" s="5" t="n">
        <x:v>45028</x:v>
      </x:c>
      <x:c r="E1279" s="2" t="str">
        <x:v>unhedged</x:v>
      </x:c>
      <x:c r="F1279" s="37" t="n">
        <x:v>1243093.7981356673</x:v>
      </x:c>
      <x:c r="G1279" s="37" t="n">
        <x:v>10711592.140136968</x:v>
      </x:c>
      <x:c r="H1279" s="37" t="n">
        <x:v>35241.71270718232</x:v>
      </x:c>
      <x:c r="I1279" s="37" t="n">
        <x:v>10676350.427429786</x:v>
      </x:c>
      <x:c r="J1279" s="37" t="n">
        <x:v>10711592.140136968</x:v>
      </x:c>
      <x:c r="K1279" s="37" t="n">
        <x:v>0</x:v>
      </x:c>
      <x:c r="L1279" s="37" t="n">
        <x:v>11954685.938272636</x:v>
      </x:c>
      <x:c r="M1279" s="37" t="n">
        <x:v>0</x:v>
      </x:c>
      <x:c r="N1279" s="37" t="n">
        <x:v>0</x:v>
      </x:c>
      <x:c r="O1279" s="37" t="n">
        <x:v>68.11099655576982</x:v>
      </x:c>
      <x:c r="P1279" s="37" t="n">
        <x:v>0</x:v>
      </x:c>
      <x:c r="Q1279" s="37" t="n">
        <x:v>0</x:v>
      </x:c>
      <x:c r="R1279" s="37" t="n">
        <x:v>0</x:v>
      </x:c>
      <x:c r="S1279" s="37" t="n">
        <x:v>0</x:v>
      </x:c>
      <x:c r="T1279" s="37" t="n">
        <x:v>0</x:v>
      </x:c>
      <x:c r="U1279" s="37" t="n">
        <x:v>37500</x:v>
      </x:c>
      <x:c r="V1279" s="37" t="n">
        <x:v>0</x:v>
      </x:c>
      <x:c r="W1279" s="37" t="n">
        <x:v>6636.667477789568</x:v>
      </x:c>
      <x:c r="X1279" s="37" t="n">
        <x:v>0</x:v>
      </x:c>
      <x:c r="Y1279" s="37" t="n">
        <x:v>1042.869342122179</x:v>
      </x:c>
      <x:c r="Z1279" s="37" t="n">
        <x:v>0</x:v>
      </x:c>
      <x:c r="AA1279" s="37" t="n">
        <x:v>0</x:v>
      </x:c>
      <x:c r="AB1279" s="37" t="n">
        <x:v>0</x:v>
      </x:c>
      <x:c r="AC1279" s="37" t="n">
        <x:v>1243093.7981356673</x:v>
      </x:c>
      <x:c r="AD1279" s="37" t="n">
        <x:v>0</x:v>
      </x:c>
      <x:c r="AE1279" s="37" t="n">
        <x:v>0</x:v>
      </x:c>
      <x:c r="AF1279" s="47" t="b">
        <x:v>0</x:v>
      </x:c>
      <x:c r="AG1279" s="47" t="b">
        <x:v>0</x:v>
      </x:c>
      <x:c r="AH1279" s="48" t="n">
        <x:v>0</x:v>
      </x:c>
      <x:c r="AI1279" s="48" t="n">
        <x:v>1.1920928955078125e-7</x:v>
      </x:c>
      <x:c r="AJ1279" s="37" t="str">
        <x:v>passed</x:v>
      </x:c>
    </x:row>
    <x:row r="1280" ht="21" customHeight="1">
      <x:c r="A1280" s="2"/>
      <x:c r="B1280" s="2"/>
      <x:c r="C1280" s="2" t="str">
        <x:v>2023</x:v>
      </x:c>
      <x:c r="D1280" s="5" t="n">
        <x:v>45028</x:v>
      </x:c>
      <x:c r="E1280" s="2" t="str">
        <x:v>duration</x:v>
      </x:c>
      <x:c r="F1280" s="37" t="n">
        <x:v>7730286.759857283</x:v>
      </x:c>
      <x:c r="G1280" s="37" t="n">
        <x:v>3988750.89151376</x:v>
      </x:c>
      <x:c r="H1280" s="37" t="n">
        <x:v>-9060.410199034884</x:v>
      </x:c>
      <x:c r="I1280" s="37" t="n">
        <x:v>3997811.301712795</x:v>
      </x:c>
      <x:c r="J1280" s="37" t="n">
        <x:v>10711592.140136968</x:v>
      </x:c>
      <x:c r="K1280" s="37" t="n">
        <x:v>6722841.248623207</x:v>
      </x:c>
      <x:c r="L1280" s="37" t="n">
        <x:v>11719037.651371043</x:v>
      </x:c>
      <x:c r="M1280" s="37" t="n">
        <x:v>0</x:v>
      </x:c>
      <x:c r="N1280" s="37" t="n">
        <x:v>0</x:v>
      </x:c>
      <x:c r="O1280" s="37" t="n">
        <x:v>423.5541482567787</x:v>
      </x:c>
      <x:c r="P1280" s="37" t="n">
        <x:v>0</x:v>
      </x:c>
      <x:c r="Q1280" s="37" t="n">
        <x:v>0</x:v>
      </x:c>
      <x:c r="R1280" s="37" t="n">
        <x:v>0</x:v>
      </x:c>
      <x:c r="S1280" s="37" t="n">
        <x:v>0</x:v>
      </x:c>
      <x:c r="T1280" s="37" t="n">
        <x:v>0</x:v>
      </x:c>
      <x:c r="U1280" s="37" t="n">
        <x:v>37500</x:v>
      </x:c>
      <x:c r="V1280" s="37" t="n">
        <x:v>0</x:v>
      </x:c>
      <x:c r="W1280" s="37" t="n">
        <x:v>42245.91177554801</x:v>
      </x:c>
      <x:c r="X1280" s="37" t="n">
        <x:v>0</x:v>
      </x:c>
      <x:c r="Y1280" s="37" t="n">
        <x:v>1721.0008871681664</x:v>
      </x:c>
      <x:c r="Z1280" s="37" t="n">
        <x:v>6857298.073595672</x:v>
      </x:c>
      <x:c r="AA1280" s="37" t="n">
        <x:v>0</x:v>
      </x:c>
      <x:c r="AB1280" s="37" t="n">
        <x:v>6857298.073595672</x:v>
      </x:c>
      <x:c r="AC1280" s="37" t="n">
        <x:v>872988.6862616111</x:v>
      </x:c>
      <x:c r="AD1280" s="37" t="n">
        <x:v>0</x:v>
      </x:c>
      <x:c r="AE1280" s="37" t="n">
        <x:v>0</x:v>
      </x:c>
      <x:c r="AF1280" s="47" t="b">
        <x:v>0</x:v>
      </x:c>
      <x:c r="AG1280" s="47" t="b">
        <x:v>0</x:v>
      </x:c>
      <x:c r="AH1280" s="48" t="n">
        <x:v>0</x:v>
      </x:c>
      <x:c r="AI1280" s="48" t="n">
        <x:v>5.960464477539063e-8</x:v>
      </x:c>
      <x:c r="AJ1280" s="37" t="str">
        <x:v>passed</x:v>
      </x:c>
    </x:row>
    <x:row r="1281" ht="21" customHeight="1">
      <x:c r="A1281" s="2"/>
      <x:c r="B1281" s="2"/>
      <x:c r="C1281" s="2" t="str">
        <x:v>2023</x:v>
      </x:c>
      <x:c r="D1281" s="5" t="n">
        <x:v>45028</x:v>
      </x:c>
      <x:c r="E1281" s="2" t="str">
        <x:v>unweighted</x:v>
      </x:c>
      <x:c r="F1281" s="37" t="n">
        <x:v>11455874.61584214</x:v>
      </x:c>
      <x:c r="G1281" s="37" t="n">
        <x:v>241643.1635885147</x:v>
      </x:c>
      <x:c r="H1281" s="37" t="n">
        <x:v>-18570.23191797351</x:v>
      </x:c>
      <x:c r="I1281" s="37" t="n">
        <x:v>260213.39550648822</x:v>
      </x:c>
      <x:c r="J1281" s="37" t="n">
        <x:v>10770439.529935667</x:v>
      </x:c>
      <x:c r="K1281" s="37" t="n">
        <x:v>10528796.366347153</x:v>
      </x:c>
      <x:c r="L1281" s="37" t="n">
        <x:v>11697517.779430654</x:v>
      </x:c>
      <x:c r="M1281" s="37" t="n">
        <x:v>0</x:v>
      </x:c>
      <x:c r="N1281" s="37" t="n">
        <x:v>0</x:v>
      </x:c>
      <x:c r="O1281" s="37" t="n">
        <x:v>627.6847633458674</x:v>
      </x:c>
      <x:c r="P1281" s="37" t="n">
        <x:v>0</x:v>
      </x:c>
      <x:c r="Q1281" s="37" t="n">
        <x:v>0</x:v>
      </x:c>
      <x:c r="R1281" s="37" t="n">
        <x:v>0</x:v>
      </x:c>
      <x:c r="S1281" s="37" t="n">
        <x:v>0</x:v>
      </x:c>
      <x:c r="T1281" s="37" t="n">
        <x:v>0</x:v>
      </x:c>
      <x:c r="U1281" s="37" t="n">
        <x:v>37500</x:v>
      </x:c>
      <x:c r="V1281" s="37" t="n">
        <x:v>0</x:v>
      </x:c>
      <x:c r="W1281" s="37" t="n">
        <x:v>60089.37049639784</x:v>
      </x:c>
      <x:c r="X1281" s="37" t="n">
        <x:v>0</x:v>
      </x:c>
      <x:c r="Y1281" s="37" t="n">
        <x:v>2070.2825714373325</x:v>
      </x:c>
      <x:c r="Z1281" s="37" t="n">
        <x:v>10739372.293674096</x:v>
      </x:c>
      <x:c r="AA1281" s="37" t="n">
        <x:v>0</x:v>
      </x:c>
      <x:c r="AB1281" s="37" t="n">
        <x:v>10739372.293674096</x:v>
      </x:c>
      <x:c r="AC1281" s="37" t="n">
        <x:v>716502.3221680429</x:v>
      </x:c>
      <x:c r="AD1281" s="37" t="n">
        <x:v>0</x:v>
      </x:c>
      <x:c r="AE1281" s="37" t="n">
        <x:v>0</x:v>
      </x:c>
      <x:c r="AF1281" s="47" t="b">
        <x:v>0</x:v>
      </x:c>
      <x:c r="AG1281" s="47" t="b">
        <x:v>0</x:v>
      </x:c>
      <x:c r="AH1281" s="48" t="n">
        <x:v>0</x:v>
      </x:c>
      <x:c r="AI1281" s="48" t="n">
        <x:v>1.1920928955078125e-7</x:v>
      </x:c>
      <x:c r="AJ1281" s="37" t="str">
        <x:v>passed</x:v>
      </x:c>
    </x:row>
    <x:row r="1282" ht="21" customHeight="1">
      <x:c r="A1282" s="2"/>
      <x:c r="B1282" s="2"/>
      <x:c r="C1282" s="2" t="str">
        <x:v>2023</x:v>
      </x:c>
      <x:c r="D1282" s="5" t="n">
        <x:v>45028</x:v>
      </x:c>
      <x:c r="E1282" s="2" t="str">
        <x:v>constrained</x:v>
      </x:c>
      <x:c r="F1282" s="37" t="n">
        <x:v>11841071.395239811</x:v>
      </x:c>
      <x:c r="G1282" s="37" t="n">
        <x:v>-151002.65581501863</x:v>
      </x:c>
      <x:c r="H1282" s="37" t="n">
        <x:v>-19701.315679370844</x:v>
      </x:c>
      <x:c r="I1282" s="37" t="n">
        <x:v>-131301.3401356478</x:v>
      </x:c>
      <x:c r="J1282" s="37" t="n">
        <x:v>10771543.93926059</x:v>
      </x:c>
      <x:c r="K1282" s="37" t="n">
        <x:v>10922546.59507561</x:v>
      </x:c>
      <x:c r="L1282" s="37" t="n">
        <x:v>11690068.739424793</x:v>
      </x:c>
      <x:c r="M1282" s="37" t="n">
        <x:v>0</x:v>
      </x:c>
      <x:c r="N1282" s="37" t="n">
        <x:v>0</x:v>
      </x:c>
      <x:c r="O1282" s="37" t="n">
        <x:v>648.7902797218412</x:v>
      </x:c>
      <x:c r="P1282" s="37" t="n">
        <x:v>0</x:v>
      </x:c>
      <x:c r="Q1282" s="37" t="n">
        <x:v>0</x:v>
      </x:c>
      <x:c r="R1282" s="37" t="n">
        <x:v>0</x:v>
      </x:c>
      <x:c r="S1282" s="37" t="n">
        <x:v>0</x:v>
      </x:c>
      <x:c r="T1282" s="37" t="n">
        <x:v>0</x:v>
      </x:c>
      <x:c r="U1282" s="37" t="n">
        <x:v>37500</x:v>
      </x:c>
      <x:c r="V1282" s="37" t="n">
        <x:v>0</x:v>
      </x:c>
      <x:c r="W1282" s="37" t="n">
        <x:v>63553.2277276665</x:v>
      </x:c>
      <x:c r="X1282" s="37" t="n">
        <x:v>0</x:v>
      </x:c>
      <x:c r="Y1282" s="37" t="n">
        <x:v>2126.5234819721045</x:v>
      </x:c>
      <x:c r="Z1282" s="37" t="n">
        <x:v>11140997.526977122</x:v>
      </x:c>
      <x:c r="AA1282" s="37" t="n">
        <x:v>0</x:v>
      </x:c>
      <x:c r="AB1282" s="37" t="n">
        <x:v>11140997.526977122</x:v>
      </x:c>
      <x:c r="AC1282" s="37" t="n">
        <x:v>700073.8682626896</x:v>
      </x:c>
      <x:c r="AD1282" s="37" t="n">
        <x:v>0</x:v>
      </x:c>
      <x:c r="AE1282" s="37" t="n">
        <x:v>0</x:v>
      </x:c>
      <x:c r="AF1282" s="47" t="b">
        <x:v>0</x:v>
      </x:c>
      <x:c r="AG1282" s="47" t="b">
        <x:v>0</x:v>
      </x:c>
      <x:c r="AH1282" s="48" t="n">
        <x:v>0</x:v>
      </x:c>
      <x:c r="AI1282" s="48" t="n">
        <x:v>1.1920928955078125e-7</x:v>
      </x:c>
      <x:c r="AJ1282" s="37" t="str">
        <x:v>passed</x:v>
      </x:c>
    </x:row>
    <x:row r="1283" ht="21" customHeight="1">
      <x:c r="A1283" s="2"/>
      <x:c r="B1283" s="2"/>
      <x:c r="C1283" s="2" t="str">
        <x:v>2023</x:v>
      </x:c>
      <x:c r="D1283" s="5" t="n">
        <x:v>45029</x:v>
      </x:c>
      <x:c r="E1283" s="2" t="str">
        <x:v>unhedged</x:v>
      </x:c>
      <x:c r="F1283" s="37" t="n">
        <x:v>1243161.9128643323</x:v>
      </x:c>
      <x:c r="G1283" s="37" t="n">
        <x:v>10689904.95440793</x:v>
      </x:c>
      <x:c r="H1283" s="37" t="n">
        <x:v>35593.9226519337</x:v>
      </x:c>
      <x:c r="I1283" s="37" t="n">
        <x:v>10654311.031755997</x:v>
      </x:c>
      <x:c r="J1283" s="37" t="n">
        <x:v>10689904.95440793</x:v>
      </x:c>
      <x:c r="K1283" s="37" t="n">
        <x:v>0</x:v>
      </x:c>
      <x:c r="L1283" s="37" t="n">
        <x:v>11933066.867272263</x:v>
      </x:c>
      <x:c r="M1283" s="37" t="n">
        <x:v>0</x:v>
      </x:c>
      <x:c r="N1283" s="37" t="n">
        <x:v>0</x:v>
      </x:c>
      <x:c r="O1283" s="37" t="n">
        <x:v>68.11472866497934</x:v>
      </x:c>
      <x:c r="P1283" s="37" t="n">
        <x:v>0</x:v>
      </x:c>
      <x:c r="Q1283" s="37" t="n">
        <x:v>0</x:v>
      </x:c>
      <x:c r="R1283" s="37" t="n">
        <x:v>0</x:v>
      </x:c>
      <x:c r="S1283" s="37" t="n">
        <x:v>0</x:v>
      </x:c>
      <x:c r="T1283" s="37" t="n">
        <x:v>0</x:v>
      </x:c>
      <x:c r="U1283" s="37" t="n">
        <x:v>37500</x:v>
      </x:c>
      <x:c r="V1283" s="37" t="n">
        <x:v>0</x:v>
      </x:c>
      <x:c r="W1283" s="37" t="n">
        <x:v>6704.782206454547</x:v>
      </x:c>
      <x:c r="X1283" s="37" t="n">
        <x:v>0</x:v>
      </x:c>
      <x:c r="Y1283" s="37" t="n">
        <x:v>1042.869342122179</x:v>
      </x:c>
      <x:c r="Z1283" s="37" t="n">
        <x:v>0</x:v>
      </x:c>
      <x:c r="AA1283" s="37" t="n">
        <x:v>0</x:v>
      </x:c>
      <x:c r="AB1283" s="37" t="n">
        <x:v>0</x:v>
      </x:c>
      <x:c r="AC1283" s="37" t="n">
        <x:v>1243161.9128643323</x:v>
      </x:c>
      <x:c r="AD1283" s="37" t="n">
        <x:v>0</x:v>
      </x:c>
      <x:c r="AE1283" s="37" t="n">
        <x:v>0</x:v>
      </x:c>
      <x:c r="AF1283" s="47" t="b">
        <x:v>0</x:v>
      </x:c>
      <x:c r="AG1283" s="47" t="b">
        <x:v>0</x:v>
      </x:c>
      <x:c r="AH1283" s="48" t="n">
        <x:v>0</x:v>
      </x:c>
      <x:c r="AI1283" s="48" t="n">
        <x:v>1.1920928955078125e-7</x:v>
      </x:c>
      <x:c r="AJ1283" s="37" t="str">
        <x:v>passed</x:v>
      </x:c>
    </x:row>
    <x:row r="1284" ht="21" customHeight="1">
      <x:c r="A1284" s="2"/>
      <x:c r="B1284" s="2"/>
      <x:c r="C1284" s="2" t="str">
        <x:v>2023</x:v>
      </x:c>
      <x:c r="D1284" s="5" t="n">
        <x:v>45029</x:v>
      </x:c>
      <x:c r="E1284" s="2" t="str">
        <x:v>duration</x:v>
      </x:c>
      <x:c r="F1284" s="37" t="n">
        <x:v>7730710.337213989</x:v>
      </x:c>
      <x:c r="G1284" s="37" t="n">
        <x:v>3991767.0395829445</x:v>
      </x:c>
      <x:c r="H1284" s="37" t="n">
        <x:v>-9007.538922568752</x:v>
      </x:c>
      <x:c r="I1284" s="37" t="n">
        <x:v>4000774.5785055133</x:v>
      </x:c>
      <x:c r="J1284" s="37" t="n">
        <x:v>10689904.95440793</x:v>
      </x:c>
      <x:c r="K1284" s="37" t="n">
        <x:v>6698137.914824987</x:v>
      </x:c>
      <x:c r="L1284" s="37" t="n">
        <x:v>11722477.376796935</x:v>
      </x:c>
      <x:c r="M1284" s="37" t="n">
        <x:v>0</x:v>
      </x:c>
      <x:c r="N1284" s="37" t="n">
        <x:v>0</x:v>
      </x:c>
      <x:c r="O1284" s="37" t="n">
        <x:v>423.5773567063734</x:v>
      </x:c>
      <x:c r="P1284" s="37" t="n">
        <x:v>0</x:v>
      </x:c>
      <x:c r="Q1284" s="37" t="n">
        <x:v>0</x:v>
      </x:c>
      <x:c r="R1284" s="37" t="n">
        <x:v>0</x:v>
      </x:c>
      <x:c r="S1284" s="37" t="n">
        <x:v>0</x:v>
      </x:c>
      <x:c r="T1284" s="37" t="n">
        <x:v>0</x:v>
      </x:c>
      <x:c r="U1284" s="37" t="n">
        <x:v>37500</x:v>
      </x:c>
      <x:c r="V1284" s="37" t="n">
        <x:v>0</x:v>
      </x:c>
      <x:c r="W1284" s="37" t="n">
        <x:v>42669.489132254384</x:v>
      </x:c>
      <x:c r="X1284" s="37" t="n">
        <x:v>0</x:v>
      </x:c>
      <x:c r="Y1284" s="37" t="n">
        <x:v>1721.0008871681664</x:v>
      </x:c>
      <x:c r="Z1284" s="37" t="n">
        <x:v>6832100.673121487</x:v>
      </x:c>
      <x:c r="AA1284" s="37" t="n">
        <x:v>0</x:v>
      </x:c>
      <x:c r="AB1284" s="37" t="n">
        <x:v>6832100.673121487</x:v>
      </x:c>
      <x:c r="AC1284" s="37" t="n">
        <x:v>898609.6640925026</x:v>
      </x:c>
      <x:c r="AD1284" s="37" t="n">
        <x:v>0</x:v>
      </x:c>
      <x:c r="AE1284" s="37" t="n">
        <x:v>0</x:v>
      </x:c>
      <x:c r="AF1284" s="47" t="b">
        <x:v>0</x:v>
      </x:c>
      <x:c r="AG1284" s="47" t="b">
        <x:v>0</x:v>
      </x:c>
      <x:c r="AH1284" s="48" t="n">
        <x:v>0</x:v>
      </x:c>
      <x:c r="AI1284" s="48" t="n">
        <x:v>5.960464477539063e-8</x:v>
      </x:c>
      <x:c r="AJ1284" s="37" t="str">
        <x:v>passed</x:v>
      </x:c>
    </x:row>
    <x:row r="1285" ht="21" customHeight="1">
      <x:c r="A1285" s="2"/>
      <x:c r="B1285" s="2"/>
      <x:c r="C1285" s="2" t="str">
        <x:v>2023</x:v>
      </x:c>
      <x:c r="D1285" s="5" t="n">
        <x:v>45029</x:v>
      </x:c>
      <x:c r="E1285" s="2" t="str">
        <x:v>unweighted</x:v>
      </x:c>
      <x:c r="F1285" s="37" t="n">
        <x:v>11456502.334999174</x:v>
      </x:c>
      <x:c r="G1285" s="37" t="n">
        <x:v>241378.9118380564</x:v>
      </x:c>
      <x:c r="H1285" s="37" t="n">
        <x:v>-18598.209126182508</x:v>
      </x:c>
      <x:c r="I1285" s="37" t="n">
        <x:v>259977.12096423891</x:v>
      </x:c>
      <x:c r="J1285" s="37" t="n">
        <x:v>10748400.325803064</x:v>
      </x:c>
      <x:c r="K1285" s="37" t="n">
        <x:v>10507021.413965007</x:v>
      </x:c>
      <x:c r="L1285" s="37" t="n">
        <x:v>11697881.24683723</x:v>
      </x:c>
      <x:c r="M1285" s="37" t="n">
        <x:v>0</x:v>
      </x:c>
      <x:c r="N1285" s="37" t="n">
        <x:v>0</x:v>
      </x:c>
      <x:c r="O1285" s="37" t="n">
        <x:v>627.7191570345312</x:v>
      </x:c>
      <x:c r="P1285" s="37" t="n">
        <x:v>0</x:v>
      </x:c>
      <x:c r="Q1285" s="37" t="n">
        <x:v>0</x:v>
      </x:c>
      <x:c r="R1285" s="37" t="n">
        <x:v>0</x:v>
      </x:c>
      <x:c r="S1285" s="37" t="n">
        <x:v>0</x:v>
      </x:c>
      <x:c r="T1285" s="37" t="n">
        <x:v>0</x:v>
      </x:c>
      <x:c r="U1285" s="37" t="n">
        <x:v>37500</x:v>
      </x:c>
      <x:c r="V1285" s="37" t="n">
        <x:v>0</x:v>
      </x:c>
      <x:c r="W1285" s="37" t="n">
        <x:v>60717.08965343237</x:v>
      </x:c>
      <x:c r="X1285" s="37" t="n">
        <x:v>0</x:v>
      </x:c>
      <x:c r="Y1285" s="37" t="n">
        <x:v>2070.2825714373325</x:v>
      </x:c>
      <x:c r="Z1285" s="37" t="n">
        <x:v>10717161.842244308</x:v>
      </x:c>
      <x:c r="AA1285" s="37" t="n">
        <x:v>0</x:v>
      </x:c>
      <x:c r="AB1285" s="37" t="n">
        <x:v>10717161.842244308</x:v>
      </x:c>
      <x:c r="AC1285" s="37" t="n">
        <x:v>739340.4927548654</x:v>
      </x:c>
      <x:c r="AD1285" s="37" t="n">
        <x:v>0</x:v>
      </x:c>
      <x:c r="AE1285" s="37" t="n">
        <x:v>0</x:v>
      </x:c>
      <x:c r="AF1285" s="47" t="b">
        <x:v>0</x:v>
      </x:c>
      <x:c r="AG1285" s="47" t="b">
        <x:v>0</x:v>
      </x:c>
      <x:c r="AH1285" s="48" t="n">
        <x:v>0</x:v>
      </x:c>
      <x:c r="AI1285" s="48" t="n">
        <x:v>1.1920928955078125e-7</x:v>
      </x:c>
      <x:c r="AJ1285" s="37" t="str">
        <x:v>passed</x:v>
      </x:c>
    </x:row>
    <x:row r="1286" ht="21" customHeight="1">
      <x:c r="A1286" s="2"/>
      <x:c r="B1286" s="2"/>
      <x:c r="C1286" s="2" t="str">
        <x:v>2023</x:v>
      </x:c>
      <x:c r="D1286" s="5" t="n">
        <x:v>45029</x:v>
      </x:c>
      <x:c r="E1286" s="2" t="str">
        <x:v>constrained</x:v>
      </x:c>
      <x:c r="F1286" s="37" t="n">
        <x:v>11841720.22106969</x:v>
      </x:c>
      <x:c r="G1286" s="37" t="n">
        <x:v>-151168.74534837378</x:v>
      </x:c>
      <x:c r="H1286" s="37" t="n">
        <x:v>-19737.805832744154</x:v>
      </x:c>
      <x:c r="I1286" s="37" t="n">
        <x:v>-131430.9395156296</x:v>
      </x:c>
      <x:c r="J1286" s="37" t="n">
        <x:v>10749498.128676811</x:v>
      </x:c>
      <x:c r="K1286" s="37" t="n">
        <x:v>10900666.874025187</x:v>
      </x:c>
      <x:c r="L1286" s="37" t="n">
        <x:v>11690551.475721316</x:v>
      </x:c>
      <x:c r="M1286" s="37" t="n">
        <x:v>0</x:v>
      </x:c>
      <x:c r="N1286" s="37" t="n">
        <x:v>0</x:v>
      </x:c>
      <x:c r="O1286" s="37" t="n">
        <x:v>648.8258298784494</x:v>
      </x:c>
      <x:c r="P1286" s="37" t="n">
        <x:v>0</x:v>
      </x:c>
      <x:c r="Q1286" s="37" t="n">
        <x:v>0</x:v>
      </x:c>
      <x:c r="R1286" s="37" t="n">
        <x:v>0</x:v>
      </x:c>
      <x:c r="S1286" s="37" t="n">
        <x:v>0</x:v>
      </x:c>
      <x:c r="T1286" s="37" t="n">
        <x:v>0</x:v>
      </x:c>
      <x:c r="U1286" s="37" t="n">
        <x:v>37500</x:v>
      </x:c>
      <x:c r="V1286" s="37" t="n">
        <x:v>0</x:v>
      </x:c>
      <x:c r="W1286" s="37" t="n">
        <x:v>64202.05355754495</x:v>
      </x:c>
      <x:c r="X1286" s="37" t="n">
        <x:v>0</x:v>
      </x:c>
      <x:c r="Y1286" s="37" t="n">
        <x:v>2126.5234819721045</x:v>
      </x:c>
      <x:c r="Z1286" s="37" t="n">
        <x:v>11118680.21150569</x:v>
      </x:c>
      <x:c r="AA1286" s="37" t="n">
        <x:v>0</x:v>
      </x:c>
      <x:c r="AB1286" s="37" t="n">
        <x:v>11118680.21150569</x:v>
      </x:c>
      <x:c r="AC1286" s="37" t="n">
        <x:v>723040.0095639993</x:v>
      </x:c>
      <x:c r="AD1286" s="37" t="n">
        <x:v>0</x:v>
      </x:c>
      <x:c r="AE1286" s="37" t="n">
        <x:v>0</x:v>
      </x:c>
      <x:c r="AF1286" s="47" t="b">
        <x:v>0</x:v>
      </x:c>
      <x:c r="AG1286" s="47" t="b">
        <x:v>0</x:v>
      </x:c>
      <x:c r="AH1286" s="48" t="n">
        <x:v>0</x:v>
      </x:c>
      <x:c r="AI1286" s="48" t="n">
        <x:v>1.1920928955078125e-7</x:v>
      </x:c>
      <x:c r="AJ1286" s="37" t="str">
        <x:v>passed</x:v>
      </x:c>
    </x:row>
    <x:row r="1287" ht="21" customHeight="1">
      <x:c r="A1287" s="2"/>
      <x:c r="B1287" s="2"/>
      <x:c r="C1287" s="2" t="str">
        <x:v>2023</x:v>
      </x:c>
      <x:c r="D1287" s="5" t="n">
        <x:v>45030</x:v>
      </x:c>
      <x:c r="E1287" s="2" t="str">
        <x:v>unhedged</x:v>
      </x:c>
      <x:c r="F1287" s="37" t="n">
        <x:v>1243230.031325311</x:v>
      </x:c>
      <x:c r="G1287" s="37" t="n">
        <x:v>10647346.743645934</x:v>
      </x:c>
      <x:c r="H1287" s="37" t="n">
        <x:v>35946.132596685085</x:v>
      </x:c>
      <x:c r="I1287" s="37" t="n">
        <x:v>10611400.61104925</x:v>
      </x:c>
      <x:c r="J1287" s="37" t="n">
        <x:v>10647346.743645934</x:v>
      </x:c>
      <x:c r="K1287" s="37" t="n">
        <x:v>0</x:v>
      </x:c>
      <x:c r="L1287" s="37" t="n">
        <x:v>11890576.774971245</x:v>
      </x:c>
      <x:c r="M1287" s="37" t="n">
        <x:v>0</x:v>
      </x:c>
      <x:c r="N1287" s="37" t="n">
        <x:v>0</x:v>
      </x:c>
      <x:c r="O1287" s="37" t="n">
        <x:v>68.11846097861417</x:v>
      </x:c>
      <x:c r="P1287" s="37" t="n">
        <x:v>0</x:v>
      </x:c>
      <x:c r="Q1287" s="37" t="n">
        <x:v>0</x:v>
      </x:c>
      <x:c r="R1287" s="37" t="n">
        <x:v>0</x:v>
      </x:c>
      <x:c r="S1287" s="37" t="n">
        <x:v>0</x:v>
      </x:c>
      <x:c r="T1287" s="37" t="n">
        <x:v>0</x:v>
      </x:c>
      <x:c r="U1287" s="37" t="n">
        <x:v>37500</x:v>
      </x:c>
      <x:c r="V1287" s="37" t="n">
        <x:v>0</x:v>
      </x:c>
      <x:c r="W1287" s="37" t="n">
        <x:v>6772.900667433161</x:v>
      </x:c>
      <x:c r="X1287" s="37" t="n">
        <x:v>0</x:v>
      </x:c>
      <x:c r="Y1287" s="37" t="n">
        <x:v>1042.869342122179</x:v>
      </x:c>
      <x:c r="Z1287" s="37" t="n">
        <x:v>0</x:v>
      </x:c>
      <x:c r="AA1287" s="37" t="n">
        <x:v>0</x:v>
      </x:c>
      <x:c r="AB1287" s="37" t="n">
        <x:v>0</x:v>
      </x:c>
      <x:c r="AC1287" s="37" t="n">
        <x:v>1243230.031325311</x:v>
      </x:c>
      <x:c r="AD1287" s="37" t="n">
        <x:v>0</x:v>
      </x:c>
      <x:c r="AE1287" s="37" t="n">
        <x:v>0</x:v>
      </x:c>
      <x:c r="AF1287" s="47" t="b">
        <x:v>0</x:v>
      </x:c>
      <x:c r="AG1287" s="47" t="b">
        <x:v>0</x:v>
      </x:c>
      <x:c r="AH1287" s="48" t="n">
        <x:v>0</x:v>
      </x:c>
      <x:c r="AI1287" s="48" t="n">
        <x:v>1.1920928955078125e-7</x:v>
      </x:c>
      <x:c r="AJ1287" s="37" t="str">
        <x:v>passed</x:v>
      </x:c>
    </x:row>
    <x:row r="1288" ht="21" customHeight="1">
      <x:c r="A1288" s="2"/>
      <x:c r="B1288" s="2"/>
      <x:c r="C1288" s="2" t="str">
        <x:v>2023</x:v>
      </x:c>
      <x:c r="D1288" s="5" t="n">
        <x:v>45030</x:v>
      </x:c>
      <x:c r="E1288" s="2" t="str">
        <x:v>duration</x:v>
      </x:c>
      <x:c r="F1288" s="37" t="n">
        <x:v>7731133.937780411</x:v>
      </x:c>
      <x:c r="G1288" s="37" t="n">
        <x:v>3987297.7870195536</x:v>
      </x:c>
      <x:c r="H1288" s="37" t="n">
        <x:v>-8954.66764610263</x:v>
      </x:c>
      <x:c r="I1288" s="37" t="n">
        <x:v>3996252.454665656</x:v>
      </x:c>
      <x:c r="J1288" s="37" t="n">
        <x:v>10647346.743645934</x:v>
      </x:c>
      <x:c r="K1288" s="37" t="n">
        <x:v>6660048.956626381</x:v>
      </x:c>
      <x:c r="L1288" s="37" t="n">
        <x:v>11718431.724799965</x:v>
      </x:c>
      <x:c r="M1288" s="37" t="n">
        <x:v>0</x:v>
      </x:c>
      <x:c r="N1288" s="37" t="n">
        <x:v>0</x:v>
      </x:c>
      <x:c r="O1288" s="37" t="n">
        <x:v>423.60056642163545</x:v>
      </x:c>
      <x:c r="P1288" s="37" t="n">
        <x:v>0</x:v>
      </x:c>
      <x:c r="Q1288" s="37" t="n">
        <x:v>0</x:v>
      </x:c>
      <x:c r="R1288" s="37" t="n">
        <x:v>0</x:v>
      </x:c>
      <x:c r="S1288" s="37" t="n">
        <x:v>0</x:v>
      </x:c>
      <x:c r="T1288" s="37" t="n">
        <x:v>0</x:v>
      </x:c>
      <x:c r="U1288" s="37" t="n">
        <x:v>37500</x:v>
      </x:c>
      <x:c r="V1288" s="37" t="n">
        <x:v>0</x:v>
      </x:c>
      <x:c r="W1288" s="37" t="n">
        <x:v>43093.08969867602</x:v>
      </x:c>
      <x:c r="X1288" s="37" t="n">
        <x:v>0</x:v>
      </x:c>
      <x:c r="Y1288" s="37" t="n">
        <x:v>1721.0008871681664</x:v>
      </x:c>
      <x:c r="Z1288" s="37" t="n">
        <x:v>6793249.935758908</x:v>
      </x:c>
      <x:c r="AA1288" s="37" t="n">
        <x:v>0</x:v>
      </x:c>
      <x:c r="AB1288" s="37" t="n">
        <x:v>6793249.935758908</x:v>
      </x:c>
      <x:c r="AC1288" s="37" t="n">
        <x:v>937884.0020215027</x:v>
      </x:c>
      <x:c r="AD1288" s="37" t="n">
        <x:v>0</x:v>
      </x:c>
      <x:c r="AE1288" s="37" t="n">
        <x:v>0</x:v>
      </x:c>
      <x:c r="AF1288" s="47" t="b">
        <x:v>0</x:v>
      </x:c>
      <x:c r="AG1288" s="47" t="b">
        <x:v>0</x:v>
      </x:c>
      <x:c r="AH1288" s="48" t="n">
        <x:v>0</x:v>
      </x:c>
      <x:c r="AI1288" s="48" t="n">
        <x:v>5.960464477539063e-8</x:v>
      </x:c>
      <x:c r="AJ1288" s="37" t="str">
        <x:v>passed</x:v>
      </x:c>
    </x:row>
    <x:row r="1289" ht="21" customHeight="1">
      <x:c r="A1289" s="2"/>
      <x:c r="B1289" s="2"/>
      <x:c r="C1289" s="2" t="str">
        <x:v>2023</x:v>
      </x:c>
      <x:c r="D1289" s="5" t="n">
        <x:v>45030</x:v>
      </x:c>
      <x:c r="E1289" s="2" t="str">
        <x:v>unweighted</x:v>
      </x:c>
      <x:c r="F1289" s="37" t="n">
        <x:v>11457130.088551776</x:v>
      </x:c>
      <x:c r="G1289" s="37" t="n">
        <x:v>240841.39165857714</x:v>
      </x:c>
      <x:c r="H1289" s="37" t="n">
        <x:v>-18626.18633439152</x:v>
      </x:c>
      <x:c r="I1289" s="37" t="n">
        <x:v>259467.57799296867</x:v>
      </x:c>
      <x:c r="J1289" s="37" t="n">
        <x:v>10705353.46017676</x:v>
      </x:c>
      <x:c r="K1289" s="37" t="n">
        <x:v>10464512.068518184</x:v>
      </x:c>
      <x:c r="L1289" s="37" t="n">
        <x:v>11697971.480210353</x:v>
      </x:c>
      <x:c r="M1289" s="37" t="n">
        <x:v>0</x:v>
      </x:c>
      <x:c r="N1289" s="37" t="n">
        <x:v>0</x:v>
      </x:c>
      <x:c r="O1289" s="37" t="n">
        <x:v>627.753552602604</x:v>
      </x:c>
      <x:c r="P1289" s="37" t="n">
        <x:v>0</x:v>
      </x:c>
      <x:c r="Q1289" s="37" t="n">
        <x:v>0</x:v>
      </x:c>
      <x:c r="R1289" s="37" t="n">
        <x:v>0</x:v>
      </x:c>
      <x:c r="S1289" s="37" t="n">
        <x:v>0</x:v>
      </x:c>
      <x:c r="T1289" s="37" t="n">
        <x:v>0</x:v>
      </x:c>
      <x:c r="U1289" s="37" t="n">
        <x:v>37500</x:v>
      </x:c>
      <x:c r="V1289" s="37" t="n">
        <x:v>0</x:v>
      </x:c>
      <x:c r="W1289" s="37" t="n">
        <x:v>61344.84320603497</x:v>
      </x:c>
      <x:c r="X1289" s="37" t="n">
        <x:v>0</x:v>
      </x:c>
      <x:c r="Y1289" s="37" t="n">
        <x:v>2070.2825714373325</x:v>
      </x:c>
      <x:c r="Z1289" s="37" t="n">
        <x:v>10673802.309888547</x:v>
      </x:c>
      <x:c r="AA1289" s="37" t="n">
        <x:v>0</x:v>
      </x:c>
      <x:c r="AB1289" s="37" t="n">
        <x:v>10673802.309888547</x:v>
      </x:c>
      <x:c r="AC1289" s="37" t="n">
        <x:v>783327.7786632292</x:v>
      </x:c>
      <x:c r="AD1289" s="37" t="n">
        <x:v>0</x:v>
      </x:c>
      <x:c r="AE1289" s="37" t="n">
        <x:v>0</x:v>
      </x:c>
      <x:c r="AF1289" s="47" t="b">
        <x:v>0</x:v>
      </x:c>
      <x:c r="AG1289" s="47" t="b">
        <x:v>0</x:v>
      </x:c>
      <x:c r="AH1289" s="48" t="n">
        <x:v>0</x:v>
      </x:c>
      <x:c r="AI1289" s="48" t="n">
        <x:v>1.1920928955078125e-7</x:v>
      </x:c>
      <x:c r="AJ1289" s="37" t="str">
        <x:v>passed</x:v>
      </x:c>
    </x:row>
    <x:row r="1290" ht="21" customHeight="1">
      <x:c r="A1290" s="2"/>
      <x:c r="B1290" s="2"/>
      <x:c r="C1290" s="2" t="str">
        <x:v>2023</x:v>
      </x:c>
      <x:c r="D1290" s="5" t="n">
        <x:v>45030</x:v>
      </x:c>
      <x:c r="E1290" s="2" t="str">
        <x:v>constrained</x:v>
      </x:c>
      <x:c r="F1290" s="37" t="n">
        <x:v>11842369.082451666</x:v>
      </x:c>
      <x:c r="G1290" s="37" t="n">
        <x:v>-151120.41863581288</x:v>
      </x:c>
      <x:c r="H1290" s="37" t="n">
        <x:v>-19774.295986117475</x:v>
      </x:c>
      <x:c r="I1290" s="37" t="n">
        <x:v>-131346.1226496954</x:v>
      </x:c>
      <x:c r="J1290" s="37" t="n">
        <x:v>10706442.0922956</x:v>
      </x:c>
      <x:c r="K1290" s="37" t="n">
        <x:v>10857562.510931414</x:v>
      </x:c>
      <x:c r="L1290" s="37" t="n">
        <x:v>11691248.663815852</x:v>
      </x:c>
      <x:c r="M1290" s="37" t="n">
        <x:v>0</x:v>
      </x:c>
      <x:c r="N1290" s="37" t="n">
        <x:v>0</x:v>
      </x:c>
      <x:c r="O1290" s="37" t="n">
        <x:v>648.8613819759339</x:v>
      </x:c>
      <x:c r="P1290" s="37" t="n">
        <x:v>0</x:v>
      </x:c>
      <x:c r="Q1290" s="37" t="n">
        <x:v>0</x:v>
      </x:c>
      <x:c r="R1290" s="37" t="n">
        <x:v>0</x:v>
      </x:c>
      <x:c r="S1290" s="37" t="n">
        <x:v>0</x:v>
      </x:c>
      <x:c r="T1290" s="37" t="n">
        <x:v>0</x:v>
      </x:c>
      <x:c r="U1290" s="37" t="n">
        <x:v>37500</x:v>
      </x:c>
      <x:c r="V1290" s="37" t="n">
        <x:v>0</x:v>
      </x:c>
      <x:c r="W1290" s="37" t="n">
        <x:v>64850.91493952088</x:v>
      </x:c>
      <x:c r="X1290" s="37" t="n">
        <x:v>0</x:v>
      </x:c>
      <x:c r="Y1290" s="37" t="n">
        <x:v>2126.5234819721045</x:v>
      </x:c>
      <x:c r="Z1290" s="37" t="n">
        <x:v>11074713.761150042</x:v>
      </x:c>
      <x:c r="AA1290" s="37" t="n">
        <x:v>0</x:v>
      </x:c>
      <x:c r="AB1290" s="37" t="n">
        <x:v>11074713.761150042</x:v>
      </x:c>
      <x:c r="AC1290" s="37" t="n">
        <x:v>767655.3213016242</x:v>
      </x:c>
      <x:c r="AD1290" s="37" t="n">
        <x:v>0</x:v>
      </x:c>
      <x:c r="AE1290" s="37" t="n">
        <x:v>0</x:v>
      </x:c>
      <x:c r="AF1290" s="47" t="b">
        <x:v>0</x:v>
      </x:c>
      <x:c r="AG1290" s="47" t="b">
        <x:v>0</x:v>
      </x:c>
      <x:c r="AH1290" s="48" t="n">
        <x:v>0</x:v>
      </x:c>
      <x:c r="AI1290" s="48" t="n">
        <x:v>1.1920928955078125e-7</x:v>
      </x:c>
      <x:c r="AJ1290" s="37" t="str">
        <x:v>passed</x:v>
      </x:c>
    </x:row>
    <x:row r="1291" ht="21" customHeight="1">
      <x:c r="A1291" s="2"/>
      <x:c r="B1291" s="2"/>
      <x:c r="C1291" s="2" t="str">
        <x:v>2023</x:v>
      </x:c>
      <x:c r="D1291" s="5" t="n">
        <x:v>45033</x:v>
      </x:c>
      <x:c r="E1291" s="2" t="str">
        <x:v>unhedged</x:v>
      </x:c>
      <x:c r="F1291" s="37" t="n">
        <x:v>1243434.4091041766</x:v>
      </x:c>
      <x:c r="G1291" s="37" t="n">
        <x:v>10608910.427367821</x:v>
      </x:c>
      <x:c r="H1291" s="37" t="n">
        <x:v>37002.76243093923</x:v>
      </x:c>
      <x:c r="I1291" s="37" t="n">
        <x:v>10571907.664936882</x:v>
      </x:c>
      <x:c r="J1291" s="37" t="n">
        <x:v>10608910.427367821</x:v>
      </x:c>
      <x:c r="K1291" s="37" t="n">
        <x:v>0</x:v>
      </x:c>
      <x:c r="L1291" s="37" t="n">
        <x:v>11852344.836471997</x:v>
      </x:c>
      <x:c r="M1291" s="37" t="n">
        <x:v>0</x:v>
      </x:c>
      <x:c r="N1291" s="37" t="n">
        <x:v>0</x:v>
      </x:c>
      <x:c r="O1291" s="37" t="n">
        <x:v>204.3777788656298</x:v>
      </x:c>
      <x:c r="P1291" s="37" t="n">
        <x:v>0</x:v>
      </x:c>
      <x:c r="Q1291" s="37" t="n">
        <x:v>0</x:v>
      </x:c>
      <x:c r="R1291" s="37" t="n">
        <x:v>0</x:v>
      </x:c>
      <x:c r="S1291" s="37" t="n">
        <x:v>0</x:v>
      </x:c>
      <x:c r="T1291" s="37" t="n">
        <x:v>0</x:v>
      </x:c>
      <x:c r="U1291" s="37" t="n">
        <x:v>37500</x:v>
      </x:c>
      <x:c r="V1291" s="37" t="n">
        <x:v>0</x:v>
      </x:c>
      <x:c r="W1291" s="37" t="n">
        <x:v>6977.278446298791</x:v>
      </x:c>
      <x:c r="X1291" s="37" t="n">
        <x:v>0</x:v>
      </x:c>
      <x:c r="Y1291" s="37" t="n">
        <x:v>1042.869342122179</x:v>
      </x:c>
      <x:c r="Z1291" s="37" t="n">
        <x:v>0</x:v>
      </x:c>
      <x:c r="AA1291" s="37" t="n">
        <x:v>0</x:v>
      </x:c>
      <x:c r="AB1291" s="37" t="n">
        <x:v>0</x:v>
      </x:c>
      <x:c r="AC1291" s="37" t="n">
        <x:v>1243434.4091041766</x:v>
      </x:c>
      <x:c r="AD1291" s="37" t="n">
        <x:v>0</x:v>
      </x:c>
      <x:c r="AE1291" s="37" t="n">
        <x:v>0</x:v>
      </x:c>
      <x:c r="AF1291" s="47" t="b">
        <x:v>0</x:v>
      </x:c>
      <x:c r="AG1291" s="47" t="b">
        <x:v>0</x:v>
      </x:c>
      <x:c r="AH1291" s="48" t="n">
        <x:v>0</x:v>
      </x:c>
      <x:c r="AI1291" s="48" t="n">
        <x:v>1.1920928955078125e-7</x:v>
      </x:c>
      <x:c r="AJ1291" s="37" t="str">
        <x:v>passed</x:v>
      </x:c>
    </x:row>
    <x:row r="1292" ht="21" customHeight="1">
      <x:c r="A1292" s="2"/>
      <x:c r="B1292" s="2"/>
      <x:c r="C1292" s="2" t="str">
        <x:v>2023</x:v>
      </x:c>
      <x:c r="D1292" s="5" t="n">
        <x:v>45033</x:v>
      </x:c>
      <x:c r="E1292" s="2" t="str">
        <x:v>duration</x:v>
      </x:c>
      <x:c r="F1292" s="37" t="n">
        <x:v>7732404.87875071</x:v>
      </x:c>
      <x:c r="G1292" s="37" t="n">
        <x:v>3987750.502704062</x:v>
      </x:c>
      <x:c r="H1292" s="37" t="n">
        <x:v>-8796.053816704232</x:v>
      </x:c>
      <x:c r="I1292" s="37" t="n">
        <x:v>3996546.556520766</x:v>
      </x:c>
      <x:c r="J1292" s="37" t="n">
        <x:v>10608910.427367821</x:v>
      </x:c>
      <x:c r="K1292" s="37" t="n">
        <x:v>6621159.92466376</x:v>
      </x:c>
      <x:c r="L1292" s="37" t="n">
        <x:v>11720155.381454771</x:v>
      </x:c>
      <x:c r="M1292" s="37" t="n">
        <x:v>0</x:v>
      </x:c>
      <x:c r="N1292" s="37" t="n">
        <x:v>0</x:v>
      </x:c>
      <x:c r="O1292" s="37" t="n">
        <x:v>1270.9409702988341</x:v>
      </x:c>
      <x:c r="P1292" s="37" t="n">
        <x:v>0</x:v>
      </x:c>
      <x:c r="Q1292" s="37" t="n">
        <x:v>0</x:v>
      </x:c>
      <x:c r="R1292" s="37" t="n">
        <x:v>0</x:v>
      </x:c>
      <x:c r="S1292" s="37" t="n">
        <x:v>0</x:v>
      </x:c>
      <x:c r="T1292" s="37" t="n">
        <x:v>0</x:v>
      </x:c>
      <x:c r="U1292" s="37" t="n">
        <x:v>37500</x:v>
      </x:c>
      <x:c r="V1292" s="37" t="n">
        <x:v>0</x:v>
      </x:c>
      <x:c r="W1292" s="37" t="n">
        <x:v>44364.030668974854</x:v>
      </x:c>
      <x:c r="X1292" s="37" t="n">
        <x:v>0</x:v>
      </x:c>
      <x:c r="Y1292" s="37" t="n">
        <x:v>1721.0008871681664</x:v>
      </x:c>
      <x:c r="Z1292" s="37" t="n">
        <x:v>6753583.123157035</x:v>
      </x:c>
      <x:c r="AA1292" s="37" t="n">
        <x:v>0</x:v>
      </x:c>
      <x:c r="AB1292" s="37" t="n">
        <x:v>6753583.123157035</x:v>
      </x:c>
      <x:c r="AC1292" s="37" t="n">
        <x:v>978821.7555936752</x:v>
      </x:c>
      <x:c r="AD1292" s="37" t="n">
        <x:v>0</x:v>
      </x:c>
      <x:c r="AE1292" s="37" t="n">
        <x:v>0</x:v>
      </x:c>
      <x:c r="AF1292" s="47" t="b">
        <x:v>0</x:v>
      </x:c>
      <x:c r="AG1292" s="47" t="b">
        <x:v>0</x:v>
      </x:c>
      <x:c r="AH1292" s="48" t="n">
        <x:v>0</x:v>
      </x:c>
      <x:c r="AI1292" s="48" t="n">
        <x:v>5.960464477539063e-8</x:v>
      </x:c>
      <x:c r="AJ1292" s="37" t="str">
        <x:v>passed</x:v>
      </x:c>
    </x:row>
    <x:row r="1293" ht="21" customHeight="1">
      <x:c r="A1293" s="2"/>
      <x:c r="B1293" s="2"/>
      <x:c r="C1293" s="2" t="str">
        <x:v>2023</x:v>
      </x:c>
      <x:c r="D1293" s="5" t="n">
        <x:v>45033</x:v>
      </x:c>
      <x:c r="E1293" s="2" t="str">
        <x:v>unweighted</x:v>
      </x:c>
      <x:c r="F1293" s="37" t="n">
        <x:v>11459013.555601858</x:v>
      </x:c>
      <x:c r="G1293" s="37" t="n">
        <x:v>240400.47957745785</x:v>
      </x:c>
      <x:c r="H1293" s="37" t="n">
        <x:v>-18710.11795901853</x:v>
      </x:c>
      <x:c r="I1293" s="37" t="n">
        <x:v>259110.5975364764</x:v>
      </x:c>
      <x:c r="J1293" s="37" t="n">
        <x:v>10666349.594655728</x:v>
      </x:c>
      <x:c r="K1293" s="37" t="n">
        <x:v>10425949.11507827</x:v>
      </x:c>
      <x:c r="L1293" s="37" t="n">
        <x:v>11699414.035179315</x:v>
      </x:c>
      <x:c r="M1293" s="37" t="n">
        <x:v>0</x:v>
      </x:c>
      <x:c r="N1293" s="37" t="n">
        <x:v>0</x:v>
      </x:c>
      <x:c r="O1293" s="37" t="n">
        <x:v>1883.467050081119</x:v>
      </x:c>
      <x:c r="P1293" s="37" t="n">
        <x:v>0</x:v>
      </x:c>
      <x:c r="Q1293" s="37" t="n">
        <x:v>0</x:v>
      </x:c>
      <x:c r="R1293" s="37" t="n">
        <x:v>0</x:v>
      </x:c>
      <x:c r="S1293" s="37" t="n">
        <x:v>0</x:v>
      </x:c>
      <x:c r="T1293" s="37" t="n">
        <x:v>0</x:v>
      </x:c>
      <x:c r="U1293" s="37" t="n">
        <x:v>37500</x:v>
      </x:c>
      <x:c r="V1293" s="37" t="n">
        <x:v>0</x:v>
      </x:c>
      <x:c r="W1293" s="37" t="n">
        <x:v>63228.31025611609</x:v>
      </x:c>
      <x:c r="X1293" s="37" t="n">
        <x:v>0</x:v>
      </x:c>
      <x:c r="Y1293" s="37" t="n">
        <x:v>2070.2825714373325</x:v>
      </x:c>
      <x:c r="Z1293" s="37" t="n">
        <x:v>10634468.097379835</x:v>
      </x:c>
      <x:c r="AA1293" s="37" t="n">
        <x:v>0</x:v>
      </x:c>
      <x:c r="AB1293" s="37" t="n">
        <x:v>10634468.097379835</x:v>
      </x:c>
      <x:c r="AC1293" s="37" t="n">
        <x:v>824545.4582220223</x:v>
      </x:c>
      <x:c r="AD1293" s="37" t="n">
        <x:v>0</x:v>
      </x:c>
      <x:c r="AE1293" s="37" t="n">
        <x:v>0</x:v>
      </x:c>
      <x:c r="AF1293" s="47" t="b">
        <x:v>0</x:v>
      </x:c>
      <x:c r="AG1293" s="47" t="b">
        <x:v>0</x:v>
      </x:c>
      <x:c r="AH1293" s="48" t="n">
        <x:v>0</x:v>
      </x:c>
      <x:c r="AI1293" s="48" t="n">
        <x:v>1.1920928955078125e-7</x:v>
      </x:c>
      <x:c r="AJ1293" s="37" t="str">
        <x:v>passed</x:v>
      </x:c>
    </x:row>
    <x:row r="1294" ht="21" customHeight="1">
      <x:c r="A1294" s="2"/>
      <x:c r="B1294" s="2"/>
      <x:c r="C1294" s="2" t="str">
        <x:v>2023</x:v>
      </x:c>
      <x:c r="D1294" s="5" t="n">
        <x:v>45033</x:v>
      </x:c>
      <x:c r="E1294" s="2" t="str">
        <x:v>constrained</x:v>
      </x:c>
      <x:c r="F1294" s="37" t="n">
        <x:v>11844315.879929682</x:v>
      </x:c>
      <x:c r="G1294" s="37" t="n">
        <x:v>-151241.4906270364</x:v>
      </x:c>
      <x:c r="H1294" s="37" t="n">
        <x:v>-19883.76644623742</x:v>
      </x:c>
      <x:c r="I1294" s="37" t="n">
        <x:v>-131357.72418079898</x:v>
      </x:c>
      <x:c r="J1294" s="37" t="n">
        <x:v>10667427.57538156</x:v>
      </x:c>
      <x:c r="K1294" s="37" t="n">
        <x:v>10818669.066008598</x:v>
      </x:c>
      <x:c r="L1294" s="37" t="n">
        <x:v>11693074.389302647</x:v>
      </x:c>
      <x:c r="M1294" s="37" t="n">
        <x:v>0</x:v>
      </x:c>
      <x:c r="N1294" s="37" t="n">
        <x:v>0</x:v>
      </x:c>
      <x:c r="O1294" s="37" t="n">
        <x:v>1946.797478016466</x:v>
      </x:c>
      <x:c r="P1294" s="37" t="n">
        <x:v>0</x:v>
      </x:c>
      <x:c r="Q1294" s="37" t="n">
        <x:v>0</x:v>
      </x:c>
      <x:c r="R1294" s="37" t="n">
        <x:v>0</x:v>
      </x:c>
      <x:c r="S1294" s="37" t="n">
        <x:v>0</x:v>
      </x:c>
      <x:c r="T1294" s="37" t="n">
        <x:v>0</x:v>
      </x:c>
      <x:c r="U1294" s="37" t="n">
        <x:v>37500</x:v>
      </x:c>
      <x:c r="V1294" s="37" t="n">
        <x:v>0</x:v>
      </x:c>
      <x:c r="W1294" s="37" t="n">
        <x:v>66797.71241753735</x:v>
      </x:c>
      <x:c r="X1294" s="37" t="n">
        <x:v>0</x:v>
      </x:c>
      <x:c r="Y1294" s="37" t="n">
        <x:v>2126.5234819721045</x:v>
      </x:c>
      <x:c r="Z1294" s="37" t="n">
        <x:v>11035042.44732877</x:v>
      </x:c>
      <x:c r="AA1294" s="37" t="n">
        <x:v>0</x:v>
      </x:c>
      <x:c r="AB1294" s="37" t="n">
        <x:v>11035042.44732877</x:v>
      </x:c>
      <x:c r="AC1294" s="37" t="n">
        <x:v>809273.4326009117</x:v>
      </x:c>
      <x:c r="AD1294" s="37" t="n">
        <x:v>0</x:v>
      </x:c>
      <x:c r="AE1294" s="37" t="n">
        <x:v>0</x:v>
      </x:c>
      <x:c r="AF1294" s="47" t="b">
        <x:v>0</x:v>
      </x:c>
      <x:c r="AG1294" s="47" t="b">
        <x:v>0</x:v>
      </x:c>
      <x:c r="AH1294" s="48" t="n">
        <x:v>0</x:v>
      </x:c>
      <x:c r="AI1294" s="48" t="n">
        <x:v>1.1920928955078125e-7</x:v>
      </x:c>
      <x:c r="AJ1294" s="37" t="str">
        <x:v>passed</x:v>
      </x:c>
    </x:row>
    <x:row r="1295" ht="21" customHeight="1">
      <x:c r="A1295" s="2"/>
      <x:c r="B1295" s="2"/>
      <x:c r="C1295" s="2" t="str">
        <x:v>2023</x:v>
      </x:c>
      <x:c r="D1295" s="5" t="n">
        <x:v>45034</x:v>
      </x:c>
      <x:c r="E1295" s="2" t="str">
        <x:v>unhedged</x:v>
      </x:c>
      <x:c r="F1295" s="37" t="n">
        <x:v>1243502.5424964563</x:v>
      </x:c>
      <x:c r="G1295" s="37" t="n">
        <x:v>10617812.892282853</x:v>
      </x:c>
      <x:c r="H1295" s="37" t="n">
        <x:v>37354.9723756906</x:v>
      </x:c>
      <x:c r="I1295" s="37" t="n">
        <x:v>10580457.919907162</x:v>
      </x:c>
      <x:c r="J1295" s="37" t="n">
        <x:v>10617812.892282853</x:v>
      </x:c>
      <x:c r="K1295" s="37" t="n">
        <x:v>0</x:v>
      </x:c>
      <x:c r="L1295" s="37" t="n">
        <x:v>11861315.434779309</x:v>
      </x:c>
      <x:c r="M1295" s="37" t="n">
        <x:v>0</x:v>
      </x:c>
      <x:c r="N1295" s="37" t="n">
        <x:v>0</x:v>
      </x:c>
      <x:c r="O1295" s="37" t="n">
        <x:v>68.13339227973484</x:v>
      </x:c>
      <x:c r="P1295" s="37" t="n">
        <x:v>0</x:v>
      </x:c>
      <x:c r="Q1295" s="37" t="n">
        <x:v>0</x:v>
      </x:c>
      <x:c r="R1295" s="37" t="n">
        <x:v>0</x:v>
      </x:c>
      <x:c r="S1295" s="37" t="n">
        <x:v>0</x:v>
      </x:c>
      <x:c r="T1295" s="37" t="n">
        <x:v>0</x:v>
      </x:c>
      <x:c r="U1295" s="37" t="n">
        <x:v>37500</x:v>
      </x:c>
      <x:c r="V1295" s="37" t="n">
        <x:v>0</x:v>
      </x:c>
      <x:c r="W1295" s="37" t="n">
        <x:v>7045.411838578526</x:v>
      </x:c>
      <x:c r="X1295" s="37" t="n">
        <x:v>0</x:v>
      </x:c>
      <x:c r="Y1295" s="37" t="n">
        <x:v>1042.869342122179</x:v>
      </x:c>
      <x:c r="Z1295" s="37" t="n">
        <x:v>0</x:v>
      </x:c>
      <x:c r="AA1295" s="37" t="n">
        <x:v>0</x:v>
      </x:c>
      <x:c r="AB1295" s="37" t="n">
        <x:v>0</x:v>
      </x:c>
      <x:c r="AC1295" s="37" t="n">
        <x:v>1243502.5424964563</x:v>
      </x:c>
      <x:c r="AD1295" s="37" t="n">
        <x:v>0</x:v>
      </x:c>
      <x:c r="AE1295" s="37" t="n">
        <x:v>0</x:v>
      </x:c>
      <x:c r="AF1295" s="47" t="b">
        <x:v>0</x:v>
      </x:c>
      <x:c r="AG1295" s="47" t="b">
        <x:v>0</x:v>
      </x:c>
      <x:c r="AH1295" s="48" t="n">
        <x:v>0</x:v>
      </x:c>
      <x:c r="AI1295" s="48" t="n">
        <x:v>1.1920928955078125e-7</x:v>
      </x:c>
      <x:c r="AJ1295" s="37" t="str">
        <x:v>passed</x:v>
      </x:c>
    </x:row>
    <x:row r="1296" ht="21" customHeight="1">
      <x:c r="A1296" s="2"/>
      <x:c r="B1296" s="2"/>
      <x:c r="C1296" s="2" t="str">
        <x:v>2023</x:v>
      </x:c>
      <x:c r="D1296" s="5" t="n">
        <x:v>45034</x:v>
      </x:c>
      <x:c r="E1296" s="2" t="str">
        <x:v>duration</x:v>
      </x:c>
      <x:c r="F1296" s="37" t="n">
        <x:v>7732828.572168724</x:v>
      </x:c>
      <x:c r="G1296" s="37" t="n">
        <x:v>3984891.8850096464</x:v>
      </x:c>
      <x:c r="H1296" s="37" t="n">
        <x:v>-8743.182540238111</x:v>
      </x:c>
      <x:c r="I1296" s="37" t="n">
        <x:v>3993635.0675498843</x:v>
      </x:c>
      <x:c r="J1296" s="37" t="n">
        <x:v>10617812.892282853</x:v>
      </x:c>
      <x:c r="K1296" s="37" t="n">
        <x:v>6632921.0072732065</x:v>
      </x:c>
      <x:c r="L1296" s="37" t="n">
        <x:v>11717720.45717837</x:v>
      </x:c>
      <x:c r="M1296" s="37" t="n">
        <x:v>0</x:v>
      </x:c>
      <x:c r="N1296" s="37" t="n">
        <x:v>0</x:v>
      </x:c>
      <x:c r="O1296" s="37" t="n">
        <x:v>423.69341801386327</x:v>
      </x:c>
      <x:c r="P1296" s="37" t="n">
        <x:v>0</x:v>
      </x:c>
      <x:c r="Q1296" s="37" t="n">
        <x:v>0</x:v>
      </x:c>
      <x:c r="R1296" s="37" t="n">
        <x:v>0</x:v>
      </x:c>
      <x:c r="S1296" s="37" t="n">
        <x:v>0</x:v>
      </x:c>
      <x:c r="T1296" s="37" t="n">
        <x:v>0</x:v>
      </x:c>
      <x:c r="U1296" s="37" t="n">
        <x:v>37500</x:v>
      </x:c>
      <x:c r="V1296" s="37" t="n">
        <x:v>0</x:v>
      </x:c>
      <x:c r="W1296" s="37" t="n">
        <x:v>44787.72408698872</x:v>
      </x:c>
      <x:c r="X1296" s="37" t="n">
        <x:v>0</x:v>
      </x:c>
      <x:c r="Y1296" s="37" t="n">
        <x:v>1721.0008871681664</x:v>
      </x:c>
      <x:c r="Z1296" s="37" t="n">
        <x:v>6765579.427418671</x:v>
      </x:c>
      <x:c r="AA1296" s="37" t="n">
        <x:v>0</x:v>
      </x:c>
      <x:c r="AB1296" s="37" t="n">
        <x:v>6765579.427418671</x:v>
      </x:c>
      <x:c r="AC1296" s="37" t="n">
        <x:v>967249.1447500531</x:v>
      </x:c>
      <x:c r="AD1296" s="37" t="n">
        <x:v>0</x:v>
      </x:c>
      <x:c r="AE1296" s="37" t="n">
        <x:v>0</x:v>
      </x:c>
      <x:c r="AF1296" s="47" t="b">
        <x:v>0</x:v>
      </x:c>
      <x:c r="AG1296" s="47" t="b">
        <x:v>0</x:v>
      </x:c>
      <x:c r="AH1296" s="48" t="n">
        <x:v>0</x:v>
      </x:c>
      <x:c r="AI1296" s="48" t="n">
        <x:v>5.960464477539063e-8</x:v>
      </x:c>
      <x:c r="AJ1296" s="37" t="str">
        <x:v>passed</x:v>
      </x:c>
    </x:row>
    <x:row r="1297" ht="21" customHeight="1">
      <x:c r="A1297" s="2"/>
      <x:c r="B1297" s="2"/>
      <x:c r="C1297" s="2" t="str">
        <x:v>2023</x:v>
      </x:c>
      <x:c r="D1297" s="5" t="n">
        <x:v>45034</x:v>
      </x:c>
      <x:c r="E1297" s="2" t="str">
        <x:v>unweighted</x:v>
      </x:c>
      <x:c r="F1297" s="37" t="n">
        <x:v>11459641.44675559</x:v>
      </x:c>
      <x:c r="G1297" s="37" t="n">
        <x:v>240536.83860360293</x:v>
      </x:c>
      <x:c r="H1297" s="37" t="n">
        <x:v>-18738.095167227548</x:v>
      </x:c>
      <x:c r="I1297" s="37" t="n">
        <x:v>259274.93377083048</x:v>
      </x:c>
      <x:c r="J1297" s="37" t="n">
        <x:v>10675395.654940931</x:v>
      </x:c>
      <x:c r="K1297" s="37" t="n">
        <x:v>10434858.816337328</x:v>
      </x:c>
      <x:c r="L1297" s="37" t="n">
        <x:v>11700178.285359193</x:v>
      </x:c>
      <x:c r="M1297" s="37" t="n">
        <x:v>0</x:v>
      </x:c>
      <x:c r="N1297" s="37" t="n">
        <x:v>0</x:v>
      </x:c>
      <x:c r="O1297" s="37" t="n">
        <x:v>627.8911537323147</x:v>
      </x:c>
      <x:c r="P1297" s="37" t="n">
        <x:v>0</x:v>
      </x:c>
      <x:c r="Q1297" s="37" t="n">
        <x:v>0</x:v>
      </x:c>
      <x:c r="R1297" s="37" t="n">
        <x:v>0</x:v>
      </x:c>
      <x:c r="S1297" s="37" t="n">
        <x:v>0</x:v>
      </x:c>
      <x:c r="T1297" s="37" t="n">
        <x:v>0</x:v>
      </x:c>
      <x:c r="U1297" s="37" t="n">
        <x:v>37500</x:v>
      </x:c>
      <x:c r="V1297" s="37" t="n">
        <x:v>0</x:v>
      </x:c>
      <x:c r="W1297" s="37" t="n">
        <x:v>63856.20140984841</x:v>
      </x:c>
      <x:c r="X1297" s="37" t="n">
        <x:v>0</x:v>
      </x:c>
      <x:c r="Y1297" s="37" t="n">
        <x:v>2070.2825714373325</x:v>
      </x:c>
      <x:c r="Z1297" s="37" t="n">
        <x:v>10643555.992664075</x:v>
      </x:c>
      <x:c r="AA1297" s="37" t="n">
        <x:v>0</x:v>
      </x:c>
      <x:c r="AB1297" s="37" t="n">
        <x:v>10643555.992664075</x:v>
      </x:c>
      <x:c r="AC1297" s="37" t="n">
        <x:v>816085.4540915154</x:v>
      </x:c>
      <x:c r="AD1297" s="37" t="n">
        <x:v>0</x:v>
      </x:c>
      <x:c r="AE1297" s="37" t="n">
        <x:v>0</x:v>
      </x:c>
      <x:c r="AF1297" s="47" t="b">
        <x:v>0</x:v>
      </x:c>
      <x:c r="AG1297" s="47" t="b">
        <x:v>0</x:v>
      </x:c>
      <x:c r="AH1297" s="48" t="n">
        <x:v>0</x:v>
      </x:c>
      <x:c r="AI1297" s="48" t="n">
        <x:v>1.1920928955078125e-7</x:v>
      </x:c>
      <x:c r="AJ1297" s="37" t="str">
        <x:v>passed</x:v>
      </x:c>
    </x:row>
    <x:row r="1298" ht="21" customHeight="1">
      <x:c r="A1298" s="2"/>
      <x:c r="B1298" s="2"/>
      <x:c r="C1298" s="2" t="str">
        <x:v>2023</x:v>
      </x:c>
      <x:c r="D1298" s="5" t="n">
        <x:v>45034</x:v>
      </x:c>
      <x:c r="E1298" s="2" t="str">
        <x:v>constrained</x:v>
      </x:c>
      <x:c r="F1298" s="37" t="n">
        <x:v>11844964.883539543</x:v>
      </x:c>
      <x:c r="G1298" s="37" t="n">
        <x:v>-151121.59522833576</x:v>
      </x:c>
      <x:c r="H1298" s="37" t="n">
        <x:v>-19920.256599610744</x:v>
      </x:c>
      <x:c r="I1298" s="37" t="n">
        <x:v>-131201.33862872503</x:v>
      </x:c>
      <x:c r="J1298" s="37" t="n">
        <x:v>10676476.330570757</x:v>
      </x:c>
      <x:c r="K1298" s="37" t="n">
        <x:v>10827597.925799092</x:v>
      </x:c>
      <x:c r="L1298" s="37" t="n">
        <x:v>11693843.288311208</x:v>
      </x:c>
      <x:c r="M1298" s="37" t="n">
        <x:v>0</x:v>
      </x:c>
      <x:c r="N1298" s="37" t="n">
        <x:v>0</x:v>
      </x:c>
      <x:c r="O1298" s="37" t="n">
        <x:v>649.0036098603159</x:v>
      </x:c>
      <x:c r="P1298" s="37" t="n">
        <x:v>0</x:v>
      </x:c>
      <x:c r="Q1298" s="37" t="n">
        <x:v>0</x:v>
      </x:c>
      <x:c r="R1298" s="37" t="n">
        <x:v>0</x:v>
      </x:c>
      <x:c r="S1298" s="37" t="n">
        <x:v>0</x:v>
      </x:c>
      <x:c r="T1298" s="37" t="n">
        <x:v>0</x:v>
      </x:c>
      <x:c r="U1298" s="37" t="n">
        <x:v>37500</x:v>
      </x:c>
      <x:c r="V1298" s="37" t="n">
        <x:v>0</x:v>
      </x:c>
      <x:c r="W1298" s="37" t="n">
        <x:v>67446.71602739766</x:v>
      </x:c>
      <x:c r="X1298" s="37" t="n">
        <x:v>0</x:v>
      </x:c>
      <x:c r="Y1298" s="37" t="n">
        <x:v>2126.5234819721045</x:v>
      </x:c>
      <x:c r="Z1298" s="37" t="n">
        <x:v>11044149.884315073</x:v>
      </x:c>
      <x:c r="AA1298" s="37" t="n">
        <x:v>0</x:v>
      </x:c>
      <x:c r="AB1298" s="37" t="n">
        <x:v>11044149.884315073</x:v>
      </x:c>
      <x:c r="AC1298" s="37" t="n">
        <x:v>800814.9992244691</x:v>
      </x:c>
      <x:c r="AD1298" s="37" t="n">
        <x:v>0</x:v>
      </x:c>
      <x:c r="AE1298" s="37" t="n">
        <x:v>0</x:v>
      </x:c>
      <x:c r="AF1298" s="47" t="b">
        <x:v>0</x:v>
      </x:c>
      <x:c r="AG1298" s="47" t="b">
        <x:v>0</x:v>
      </x:c>
      <x:c r="AH1298" s="48" t="n">
        <x:v>0</x:v>
      </x:c>
      <x:c r="AI1298" s="48" t="n">
        <x:v>1.1920928955078125e-7</x:v>
      </x:c>
      <x:c r="AJ1298" s="37" t="str">
        <x:v>passed</x:v>
      </x:c>
    </x:row>
    <x:row r="1299" ht="21" customHeight="1">
      <x:c r="A1299" s="2"/>
      <x:c r="B1299" s="2"/>
      <x:c r="C1299" s="2" t="str">
        <x:v>2023</x:v>
      </x:c>
      <x:c r="D1299" s="5" t="n">
        <x:v>45035</x:v>
      </x:c>
      <x:c r="E1299" s="2" t="str">
        <x:v>unhedged</x:v>
      </x:c>
      <x:c r="F1299" s="37" t="n">
        <x:v>1243570.6796220725</x:v>
      </x:c>
      <x:c r="G1299" s="37" t="n">
        <x:v>10605297.073264921</x:v>
      </x:c>
      <x:c r="H1299" s="37" t="n">
        <x:v>37707.182320441985</x:v>
      </x:c>
      <x:c r="I1299" s="37" t="n">
        <x:v>10567589.890944479</x:v>
      </x:c>
      <x:c r="J1299" s="37" t="n">
        <x:v>10605297.073264921</x:v>
      </x:c>
      <x:c r="K1299" s="37" t="n">
        <x:v>0</x:v>
      </x:c>
      <x:c r="L1299" s="37" t="n">
        <x:v>11848867.752886994</x:v>
      </x:c>
      <x:c r="M1299" s="37" t="n">
        <x:v>0</x:v>
      </x:c>
      <x:c r="N1299" s="37" t="n">
        <x:v>0</x:v>
      </x:c>
      <x:c r="O1299" s="37" t="n">
        <x:v>68.13712561619468</x:v>
      </x:c>
      <x:c r="P1299" s="37" t="n">
        <x:v>0</x:v>
      </x:c>
      <x:c r="Q1299" s="37" t="n">
        <x:v>0</x:v>
      </x:c>
      <x:c r="R1299" s="37" t="n">
        <x:v>0</x:v>
      </x:c>
      <x:c r="S1299" s="37" t="n">
        <x:v>0</x:v>
      </x:c>
      <x:c r="T1299" s="37" t="n">
        <x:v>0</x:v>
      </x:c>
      <x:c r="U1299" s="37" t="n">
        <x:v>37500</x:v>
      </x:c>
      <x:c r="V1299" s="37" t="n">
        <x:v>0</x:v>
      </x:c>
      <x:c r="W1299" s="37" t="n">
        <x:v>7113.548964194721</x:v>
      </x:c>
      <x:c r="X1299" s="37" t="n">
        <x:v>0</x:v>
      </x:c>
      <x:c r="Y1299" s="37" t="n">
        <x:v>1042.869342122179</x:v>
      </x:c>
      <x:c r="Z1299" s="37" t="n">
        <x:v>0</x:v>
      </x:c>
      <x:c r="AA1299" s="37" t="n">
        <x:v>0</x:v>
      </x:c>
      <x:c r="AB1299" s="37" t="n">
        <x:v>0</x:v>
      </x:c>
      <x:c r="AC1299" s="37" t="n">
        <x:v>1243570.6796220725</x:v>
      </x:c>
      <x:c r="AD1299" s="37" t="n">
        <x:v>0</x:v>
      </x:c>
      <x:c r="AE1299" s="37" t="n">
        <x:v>0</x:v>
      </x:c>
      <x:c r="AF1299" s="47" t="b">
        <x:v>0</x:v>
      </x:c>
      <x:c r="AG1299" s="47" t="b">
        <x:v>0</x:v>
      </x:c>
      <x:c r="AH1299" s="48" t="n">
        <x:v>0</x:v>
      </x:c>
      <x:c r="AI1299" s="48" t="n">
        <x:v>1.1920928955078125e-7</x:v>
      </x:c>
      <x:c r="AJ1299" s="37" t="str">
        <x:v>passed</x:v>
      </x:c>
    </x:row>
    <x:row r="1300" ht="21" customHeight="1">
      <x:c r="A1300" s="2"/>
      <x:c r="B1300" s="2"/>
      <x:c r="C1300" s="2" t="str">
        <x:v>2023</x:v>
      </x:c>
      <x:c r="D1300" s="5" t="n">
        <x:v>45035</x:v>
      </x:c>
      <x:c r="E1300" s="2" t="str">
        <x:v>duration</x:v>
      </x:c>
      <x:c r="F1300" s="37" t="n">
        <x:v>7733252.288802816</x:v>
      </x:c>
      <x:c r="G1300" s="37" t="n">
        <x:v>3982215.872339899</x:v>
      </x:c>
      <x:c r="H1300" s="37" t="n">
        <x:v>-8690.311263771973</x:v>
      </x:c>
      <x:c r="I1300" s="37" t="n">
        <x:v>3990906.1836036714</x:v>
      </x:c>
      <x:c r="J1300" s="37" t="n">
        <x:v>10605297.073264921</x:v>
      </x:c>
      <x:c r="K1300" s="37" t="n">
        <x:v>6623081.200925021</x:v>
      </x:c>
      <x:c r="L1300" s="37" t="n">
        <x:v>11715468.161142714</x:v>
      </x:c>
      <x:c r="M1300" s="37" t="n">
        <x:v>0</x:v>
      </x:c>
      <x:c r="N1300" s="37" t="n">
        <x:v>0</x:v>
      </x:c>
      <x:c r="O1300" s="37" t="n">
        <x:v>423.71663409192115</x:v>
      </x:c>
      <x:c r="P1300" s="37" t="n">
        <x:v>0</x:v>
      </x:c>
      <x:c r="Q1300" s="37" t="n">
        <x:v>0</x:v>
      </x:c>
      <x:c r="R1300" s="37" t="n">
        <x:v>0</x:v>
      </x:c>
      <x:c r="S1300" s="37" t="n">
        <x:v>0</x:v>
      </x:c>
      <x:c r="T1300" s="37" t="n">
        <x:v>0</x:v>
      </x:c>
      <x:c r="U1300" s="37" t="n">
        <x:v>37500</x:v>
      </x:c>
      <x:c r="V1300" s="37" t="n">
        <x:v>0</x:v>
      </x:c>
      <x:c r="W1300" s="37" t="n">
        <x:v>45211.44072108064</x:v>
      </x:c>
      <x:c r="X1300" s="37" t="n">
        <x:v>0</x:v>
      </x:c>
      <x:c r="Y1300" s="37" t="n">
        <x:v>1721.0008871681664</x:v>
      </x:c>
      <x:c r="Z1300" s="37" t="n">
        <x:v>6755542.824943522</x:v>
      </x:c>
      <x:c r="AA1300" s="37" t="n">
        <x:v>0</x:v>
      </x:c>
      <x:c r="AB1300" s="37" t="n">
        <x:v>6755542.824943522</x:v>
      </x:c>
      <x:c r="AC1300" s="37" t="n">
        <x:v>977709.4638592936</x:v>
      </x:c>
      <x:c r="AD1300" s="37" t="n">
        <x:v>0</x:v>
      </x:c>
      <x:c r="AE1300" s="37" t="n">
        <x:v>0</x:v>
      </x:c>
      <x:c r="AF1300" s="47" t="b">
        <x:v>0</x:v>
      </x:c>
      <x:c r="AG1300" s="47" t="b">
        <x:v>0</x:v>
      </x:c>
      <x:c r="AH1300" s="48" t="n">
        <x:v>0</x:v>
      </x:c>
      <x:c r="AI1300" s="48" t="n">
        <x:v>5.960464477539063e-8</x:v>
      </x:c>
      <x:c r="AJ1300" s="37" t="str">
        <x:v>passed</x:v>
      </x:c>
    </x:row>
    <x:row r="1301" ht="21" customHeight="1">
      <x:c r="A1301" s="2"/>
      <x:c r="B1301" s="2"/>
      <x:c r="C1301" s="2" t="str">
        <x:v>2023</x:v>
      </x:c>
      <x:c r="D1301" s="5" t="n">
        <x:v>45035</x:v>
      </x:c>
      <x:c r="E1301" s="2" t="str">
        <x:v>unweighted</x:v>
      </x:c>
      <x:c r="F1301" s="37" t="n">
        <x:v>11460269.372314317</x:v>
      </x:c>
      <x:c r="G1301" s="37" t="n">
        <x:v>240388.3587431521</x:v>
      </x:c>
      <x:c r="H1301" s="37" t="n">
        <x:v>-18766.07237543655</x:v>
      </x:c>
      <x:c r="I1301" s="37" t="n">
        <x:v>259154.43111858863</x:v>
      </x:c>
      <x:c r="J1301" s="37" t="n">
        <x:v>10662801.367882235</x:v>
      </x:c>
      <x:c r="K1301" s="37" t="n">
        <x:v>10422413.009139083</x:v>
      </x:c>
      <x:c r="L1301" s="37" t="n">
        <x:v>11700657.731057469</x:v>
      </x:c>
      <x:c r="M1301" s="37" t="n">
        <x:v>0</x:v>
      </x:c>
      <x:c r="N1301" s="37" t="n">
        <x:v>0</x:v>
      </x:c>
      <x:c r="O1301" s="37" t="n">
        <x:v>627.9255587272346</x:v>
      </x:c>
      <x:c r="P1301" s="37" t="n">
        <x:v>0</x:v>
      </x:c>
      <x:c r="Q1301" s="37" t="n">
        <x:v>0</x:v>
      </x:c>
      <x:c r="R1301" s="37" t="n">
        <x:v>0</x:v>
      </x:c>
      <x:c r="S1301" s="37" t="n">
        <x:v>0</x:v>
      </x:c>
      <x:c r="T1301" s="37" t="n">
        <x:v>0</x:v>
      </x:c>
      <x:c r="U1301" s="37" t="n">
        <x:v>37500</x:v>
      </x:c>
      <x:c r="V1301" s="37" t="n">
        <x:v>0</x:v>
      </x:c>
      <x:c r="W1301" s="37" t="n">
        <x:v>64484.12696857564</x:v>
      </x:c>
      <x:c r="X1301" s="37" t="n">
        <x:v>0</x:v>
      </x:c>
      <x:c r="Y1301" s="37" t="n">
        <x:v>2070.2825714373325</x:v>
      </x:c>
      <x:c r="Z1301" s="37" t="n">
        <x:v>10630861.269321864</x:v>
      </x:c>
      <x:c r="AA1301" s="37" t="n">
        <x:v>0</x:v>
      </x:c>
      <x:c r="AB1301" s="37" t="n">
        <x:v>10630861.269321864</x:v>
      </x:c>
      <x:c r="AC1301" s="37" t="n">
        <x:v>829408.1029924527</x:v>
      </x:c>
      <x:c r="AD1301" s="37" t="n">
        <x:v>0</x:v>
      </x:c>
      <x:c r="AE1301" s="37" t="n">
        <x:v>0</x:v>
      </x:c>
      <x:c r="AF1301" s="47" t="b">
        <x:v>0</x:v>
      </x:c>
      <x:c r="AG1301" s="47" t="b">
        <x:v>0</x:v>
      </x:c>
      <x:c r="AH1301" s="48" t="n">
        <x:v>0</x:v>
      </x:c>
      <x:c r="AI1301" s="48" t="n">
        <x:v>1.1920928955078125e-7</x:v>
      </x:c>
      <x:c r="AJ1301" s="37" t="str">
        <x:v>passed</x:v>
      </x:c>
    </x:row>
    <x:row r="1302" ht="21" customHeight="1">
      <x:c r="A1302" s="2"/>
      <x:c r="B1302" s="2"/>
      <x:c r="C1302" s="2" t="str">
        <x:v>2023</x:v>
      </x:c>
      <x:c r="D1302" s="5" t="n">
        <x:v>45035</x:v>
      </x:c>
      <x:c r="E1302" s="2" t="str">
        <x:v>constrained</x:v>
      </x:c>
      <x:c r="F1302" s="37" t="n">
        <x:v>11845613.922711244</x:v>
      </x:c>
      <x:c r="G1302" s="37" t="n">
        <x:v>-151102.59640107534</x:v>
      </x:c>
      <x:c r="H1302" s="37" t="n">
        <x:v>-19956.746752984058</x:v>
      </x:c>
      <x:c r="I1302" s="37" t="n">
        <x:v>-131145.84964809127</x:v>
      </x:c>
      <x:c r="J1302" s="37" t="n">
        <x:v>10663880.570875192</x:v>
      </x:c>
      <x:c r="K1302" s="37" t="n">
        <x:v>10814983.167276267</x:v>
      </x:c>
      <x:c r="L1302" s="37" t="n">
        <x:v>11694511.326310169</x:v>
      </x:c>
      <x:c r="M1302" s="37" t="n">
        <x:v>0</x:v>
      </x:c>
      <x:c r="N1302" s="37" t="n">
        <x:v>0</x:v>
      </x:c>
      <x:c r="O1302" s="37" t="n">
        <x:v>649.0391717012972</x:v>
      </x:c>
      <x:c r="P1302" s="37" t="n">
        <x:v>0</x:v>
      </x:c>
      <x:c r="Q1302" s="37" t="n">
        <x:v>0</x:v>
      </x:c>
      <x:c r="R1302" s="37" t="n">
        <x:v>0</x:v>
      </x:c>
      <x:c r="S1302" s="37" t="n">
        <x:v>0</x:v>
      </x:c>
      <x:c r="T1302" s="37" t="n">
        <x:v>0</x:v>
      </x:c>
      <x:c r="U1302" s="37" t="n">
        <x:v>37500</x:v>
      </x:c>
      <x:c r="V1302" s="37" t="n">
        <x:v>0</x:v>
      </x:c>
      <x:c r="W1302" s="37" t="n">
        <x:v>68095.75519909896</x:v>
      </x:c>
      <x:c r="X1302" s="37" t="n">
        <x:v>0</x:v>
      </x:c>
      <x:c r="Y1302" s="37" t="n">
        <x:v>2126.5234819721045</x:v>
      </x:c>
      <x:c r="Z1302" s="37" t="n">
        <x:v>11031282.830621792</x:v>
      </x:c>
      <x:c r="AA1302" s="37" t="n">
        <x:v>0</x:v>
      </x:c>
      <x:c r="AB1302" s="37" t="n">
        <x:v>11031282.830621792</x:v>
      </x:c>
      <x:c r="AC1302" s="37" t="n">
        <x:v>814331.0920894518</x:v>
      </x:c>
      <x:c r="AD1302" s="37" t="n">
        <x:v>0</x:v>
      </x:c>
      <x:c r="AE1302" s="37" t="n">
        <x:v>0</x:v>
      </x:c>
      <x:c r="AF1302" s="47" t="b">
        <x:v>0</x:v>
      </x:c>
      <x:c r="AG1302" s="47" t="b">
        <x:v>0</x:v>
      </x:c>
      <x:c r="AH1302" s="48" t="n">
        <x:v>0</x:v>
      </x:c>
      <x:c r="AI1302" s="48" t="n">
        <x:v>1.1920928955078125e-7</x:v>
      </x:c>
      <x:c r="AJ1302" s="37" t="str">
        <x:v>passed</x:v>
      </x:c>
    </x:row>
    <x:row r="1303" ht="21" customHeight="1">
      <x:c r="A1303" s="2"/>
      <x:c r="B1303" s="2"/>
      <x:c r="C1303" s="2" t="str">
        <x:v>2023</x:v>
      </x:c>
      <x:c r="D1303" s="5" t="n">
        <x:v>45036</x:v>
      </x:c>
      <x:c r="E1303" s="2" t="str">
        <x:v>unhedged</x:v>
      </x:c>
      <x:c r="F1303" s="37" t="n">
        <x:v>1243638.82048123</x:v>
      </x:c>
      <x:c r="G1303" s="37" t="n">
        <x:v>10641556.30825324</x:v>
      </x:c>
      <x:c r="H1303" s="37" t="n">
        <x:v>38059.39226519337</x:v>
      </x:c>
      <x:c r="I1303" s="37" t="n">
        <x:v>10603496.915988047</x:v>
      </x:c>
      <x:c r="J1303" s="37" t="n">
        <x:v>10641556.30825324</x:v>
      </x:c>
      <x:c r="K1303" s="37" t="n">
        <x:v>0</x:v>
      </x:c>
      <x:c r="L1303" s="37" t="n">
        <x:v>11885195.12873447</x:v>
      </x:c>
      <x:c r="M1303" s="37" t="n">
        <x:v>0</x:v>
      </x:c>
      <x:c r="N1303" s="37" t="n">
        <x:v>0</x:v>
      </x:c>
      <x:c r="O1303" s="37" t="n">
        <x:v>68.14085915754549</x:v>
      </x:c>
      <x:c r="P1303" s="37" t="n">
        <x:v>0</x:v>
      </x:c>
      <x:c r="Q1303" s="37" t="n">
        <x:v>0</x:v>
      </x:c>
      <x:c r="R1303" s="37" t="n">
        <x:v>0</x:v>
      </x:c>
      <x:c r="S1303" s="37" t="n">
        <x:v>0</x:v>
      </x:c>
      <x:c r="T1303" s="37" t="n">
        <x:v>0</x:v>
      </x:c>
      <x:c r="U1303" s="37" t="n">
        <x:v>37500</x:v>
      </x:c>
      <x:c r="V1303" s="37" t="n">
        <x:v>0</x:v>
      </x:c>
      <x:c r="W1303" s="37" t="n">
        <x:v>7181.689823352266</x:v>
      </x:c>
      <x:c r="X1303" s="37" t="n">
        <x:v>0</x:v>
      </x:c>
      <x:c r="Y1303" s="37" t="n">
        <x:v>1042.869342122179</x:v>
      </x:c>
      <x:c r="Z1303" s="37" t="n">
        <x:v>0</x:v>
      </x:c>
      <x:c r="AA1303" s="37" t="n">
        <x:v>0</x:v>
      </x:c>
      <x:c r="AB1303" s="37" t="n">
        <x:v>0</x:v>
      </x:c>
      <x:c r="AC1303" s="37" t="n">
        <x:v>1243638.82048123</x:v>
      </x:c>
      <x:c r="AD1303" s="37" t="n">
        <x:v>0</x:v>
      </x:c>
      <x:c r="AE1303" s="37" t="n">
        <x:v>0</x:v>
      </x:c>
      <x:c r="AF1303" s="47" t="b">
        <x:v>0</x:v>
      </x:c>
      <x:c r="AG1303" s="47" t="b">
        <x:v>0</x:v>
      </x:c>
      <x:c r="AH1303" s="48" t="n">
        <x:v>0</x:v>
      </x:c>
      <x:c r="AI1303" s="48" t="n">
        <x:v>1.1920928955078125e-7</x:v>
      </x:c>
      <x:c r="AJ1303" s="37" t="str">
        <x:v>passed</x:v>
      </x:c>
    </x:row>
    <x:row r="1304" ht="21" customHeight="1">
      <x:c r="A1304" s="2"/>
      <x:c r="B1304" s="2"/>
      <x:c r="C1304" s="2" t="str">
        <x:v>2023</x:v>
      </x:c>
      <x:c r="D1304" s="5" t="n">
        <x:v>45036</x:v>
      </x:c>
      <x:c r="E1304" s="2" t="str">
        <x:v>duration</x:v>
      </x:c>
      <x:c r="F1304" s="37" t="n">
        <x:v>7733676.028654257</x:v>
      </x:c>
      <x:c r="G1304" s="37" t="n">
        <x:v>3987588.6242836523</x:v>
      </x:c>
      <x:c r="H1304" s="37" t="n">
        <x:v>-8637.439987305848</x:v>
      </x:c>
      <x:c r="I1304" s="37" t="n">
        <x:v>3996226.0642709583</x:v>
      </x:c>
      <x:c r="J1304" s="37" t="n">
        <x:v>10641556.30825324</x:v>
      </x:c>
      <x:c r="K1304" s="37" t="n">
        <x:v>6653967.683969587</x:v>
      </x:c>
      <x:c r="L1304" s="37" t="n">
        <x:v>11721264.65293791</x:v>
      </x:c>
      <x:c r="M1304" s="37" t="n">
        <x:v>0</x:v>
      </x:c>
      <x:c r="N1304" s="37" t="n">
        <x:v>0</x:v>
      </x:c>
      <x:c r="O1304" s="37" t="n">
        <x:v>423.73985144123435</x:v>
      </x:c>
      <x:c r="P1304" s="37" t="n">
        <x:v>0</x:v>
      </x:c>
      <x:c r="Q1304" s="37" t="n">
        <x:v>0</x:v>
      </x:c>
      <x:c r="R1304" s="37" t="n">
        <x:v>0</x:v>
      </x:c>
      <x:c r="S1304" s="37" t="n">
        <x:v>0</x:v>
      </x:c>
      <x:c r="T1304" s="37" t="n">
        <x:v>0</x:v>
      </x:c>
      <x:c r="U1304" s="37" t="n">
        <x:v>37500</x:v>
      </x:c>
      <x:c r="V1304" s="37" t="n">
        <x:v>0</x:v>
      </x:c>
      <x:c r="W1304" s="37" t="n">
        <x:v>45635.18057252187</x:v>
      </x:c>
      <x:c r="X1304" s="37" t="n">
        <x:v>0</x:v>
      </x:c>
      <x:c r="Y1304" s="37" t="n">
        <x:v>1721.0008871681664</x:v>
      </x:c>
      <x:c r="Z1304" s="37" t="n">
        <x:v>6787047.037648979</x:v>
      </x:c>
      <x:c r="AA1304" s="37" t="n">
        <x:v>0</x:v>
      </x:c>
      <x:c r="AB1304" s="37" t="n">
        <x:v>6787047.037648979</x:v>
      </x:c>
      <x:c r="AC1304" s="37" t="n">
        <x:v>946628.9910052782</x:v>
      </x:c>
      <x:c r="AD1304" s="37" t="n">
        <x:v>0</x:v>
      </x:c>
      <x:c r="AE1304" s="37" t="n">
        <x:v>0</x:v>
      </x:c>
      <x:c r="AF1304" s="47" t="b">
        <x:v>0</x:v>
      </x:c>
      <x:c r="AG1304" s="47" t="b">
        <x:v>0</x:v>
      </x:c>
      <x:c r="AH1304" s="48" t="n">
        <x:v>0</x:v>
      </x:c>
      <x:c r="AI1304" s="48" t="n">
        <x:v>5.960464477539063e-8</x:v>
      </x:c>
      <x:c r="AJ1304" s="37" t="str">
        <x:v>passed</x:v>
      </x:c>
    </x:row>
    <x:row r="1305" ht="21" customHeight="1">
      <x:c r="A1305" s="2"/>
      <x:c r="B1305" s="2"/>
      <x:c r="C1305" s="2" t="str">
        <x:v>2023</x:v>
      </x:c>
      <x:c r="D1305" s="5" t="n">
        <x:v>45036</x:v>
      </x:c>
      <x:c r="E1305" s="2" t="str">
        <x:v>unweighted</x:v>
      </x:c>
      <x:c r="F1305" s="37" t="n">
        <x:v>11460897.332279922</x:v>
      </x:c>
      <x:c r="G1305" s="37" t="n">
        <x:v>240990.22866410477</x:v>
      </x:c>
      <x:c r="H1305" s="37" t="n">
        <x:v>-18794.04958364555</x:v>
      </x:c>
      <x:c r="I1305" s="37" t="n">
        <x:v>259784.2782477503</x:v>
      </x:c>
      <x:c r="J1305" s="37" t="n">
        <x:v>10699429.906593218</x:v>
      </x:c>
      <x:c r="K1305" s="37" t="n">
        <x:v>10458439.677929115</x:v>
      </x:c>
      <x:c r="L1305" s="37" t="n">
        <x:v>11701887.560944026</x:v>
      </x:c>
      <x:c r="M1305" s="37" t="n">
        <x:v>0</x:v>
      </x:c>
      <x:c r="N1305" s="37" t="n">
        <x:v>0</x:v>
      </x:c>
      <x:c r="O1305" s="37" t="n">
        <x:v>627.9599656052887</x:v>
      </x:c>
      <x:c r="P1305" s="37" t="n">
        <x:v>0</x:v>
      </x:c>
      <x:c r="Q1305" s="37" t="n">
        <x:v>0</x:v>
      </x:c>
      <x:c r="R1305" s="37" t="n">
        <x:v>0</x:v>
      </x:c>
      <x:c r="S1305" s="37" t="n">
        <x:v>0</x:v>
      </x:c>
      <x:c r="T1305" s="37" t="n">
        <x:v>0</x:v>
      </x:c>
      <x:c r="U1305" s="37" t="n">
        <x:v>37500</x:v>
      </x:c>
      <x:c r="V1305" s="37" t="n">
        <x:v>0</x:v>
      </x:c>
      <x:c r="W1305" s="37" t="n">
        <x:v>65112.08693418093</x:v>
      </x:c>
      <x:c r="X1305" s="37" t="n">
        <x:v>0</x:v>
      </x:c>
      <x:c r="Y1305" s="37" t="n">
        <x:v>2070.2825714373325</x:v>
      </x:c>
      <x:c r="Z1305" s="37" t="n">
        <x:v>10667608.471487697</x:v>
      </x:c>
      <x:c r="AA1305" s="37" t="n">
        <x:v>0</x:v>
      </x:c>
      <x:c r="AB1305" s="37" t="n">
        <x:v>10667608.471487697</x:v>
      </x:c>
      <x:c r="AC1305" s="37" t="n">
        <x:v>793288.8607922252</x:v>
      </x:c>
      <x:c r="AD1305" s="37" t="n">
        <x:v>0</x:v>
      </x:c>
      <x:c r="AE1305" s="37" t="n">
        <x:v>0</x:v>
      </x:c>
      <x:c r="AF1305" s="47" t="b">
        <x:v>0</x:v>
      </x:c>
      <x:c r="AG1305" s="47" t="b">
        <x:v>0</x:v>
      </x:c>
      <x:c r="AH1305" s="48" t="n">
        <x:v>0</x:v>
      </x:c>
      <x:c r="AI1305" s="48" t="n">
        <x:v>1.1920928955078125e-7</x:v>
      </x:c>
      <x:c r="AJ1305" s="37" t="str">
        <x:v>passed</x:v>
      </x:c>
    </x:row>
    <x:row r="1306" ht="21" customHeight="1">
      <x:c r="A1306" s="2"/>
      <x:c r="B1306" s="2"/>
      <x:c r="C1306" s="2" t="str">
        <x:v>2023</x:v>
      </x:c>
      <x:c r="D1306" s="5" t="n">
        <x:v>45036</x:v>
      </x:c>
      <x:c r="E1306" s="2" t="str">
        <x:v>constrained</x:v>
      </x:c>
      <x:c r="F1306" s="37" t="n">
        <x:v>11846262.997446734</x:v>
      </x:c>
      <x:c r="G1306" s="37" t="n">
        <x:v>-151034.55071794326</x:v>
      </x:c>
      <x:c r="H1306" s="37" t="n">
        <x:v>-19993.23690635738</x:v>
      </x:c>
      <x:c r="I1306" s="37" t="n">
        <x:v>-131041.31381158589</x:v>
      </x:c>
      <x:c r="J1306" s="37" t="n">
        <x:v>10700516.040436914</x:v>
      </x:c>
      <x:c r="K1306" s="37" t="n">
        <x:v>10851550.591154857</x:v>
      </x:c>
      <x:c r="L1306" s="37" t="n">
        <x:v>11695228.446728792</x:v>
      </x:c>
      <x:c r="M1306" s="37" t="n">
        <x:v>0</x:v>
      </x:c>
      <x:c r="N1306" s="37" t="n">
        <x:v>0</x:v>
      </x:c>
      <x:c r="O1306" s="37" t="n">
        <x:v>649.0747354906052</x:v>
      </x:c>
      <x:c r="P1306" s="37" t="n">
        <x:v>0</x:v>
      </x:c>
      <x:c r="Q1306" s="37" t="n">
        <x:v>0</x:v>
      </x:c>
      <x:c r="R1306" s="37" t="n">
        <x:v>0</x:v>
      </x:c>
      <x:c r="S1306" s="37" t="n">
        <x:v>0</x:v>
      </x:c>
      <x:c r="T1306" s="37" t="n">
        <x:v>0</x:v>
      </x:c>
      <x:c r="U1306" s="37" t="n">
        <x:v>37500</x:v>
      </x:c>
      <x:c r="V1306" s="37" t="n">
        <x:v>0</x:v>
      </x:c>
      <x:c r="W1306" s="37" t="n">
        <x:v>68744.82993458956</x:v>
      </x:c>
      <x:c r="X1306" s="37" t="n">
        <x:v>0</x:v>
      </x:c>
      <x:c r="Y1306" s="37" t="n">
        <x:v>2126.5234819721045</x:v>
      </x:c>
      <x:c r="Z1306" s="37" t="n">
        <x:v>11068581.602977954</x:v>
      </x:c>
      <x:c r="AA1306" s="37" t="n">
        <x:v>0</x:v>
      </x:c>
      <x:c r="AB1306" s="37" t="n">
        <x:v>11068581.602977954</x:v>
      </x:c>
      <x:c r="AC1306" s="37" t="n">
        <x:v>777681.3944687806</x:v>
      </x:c>
      <x:c r="AD1306" s="37" t="n">
        <x:v>0</x:v>
      </x:c>
      <x:c r="AE1306" s="37" t="n">
        <x:v>0</x:v>
      </x:c>
      <x:c r="AF1306" s="47" t="b">
        <x:v>0</x:v>
      </x:c>
      <x:c r="AG1306" s="47" t="b">
        <x:v>0</x:v>
      </x:c>
      <x:c r="AH1306" s="48" t="n">
        <x:v>0</x:v>
      </x:c>
      <x:c r="AI1306" s="48" t="n">
        <x:v>1.1920928955078125e-7</x:v>
      </x:c>
      <x:c r="AJ1306" s="37" t="str">
        <x:v>passed</x:v>
      </x:c>
    </x:row>
    <x:row r="1307" ht="21" customHeight="1">
      <x:c r="A1307" s="2"/>
      <x:c r="B1307" s="2"/>
      <x:c r="C1307" s="2" t="str">
        <x:v>2023</x:v>
      </x:c>
      <x:c r="D1307" s="5" t="n">
        <x:v>45037</x:v>
      </x:c>
      <x:c r="E1307" s="2" t="str">
        <x:v>unhedged</x:v>
      </x:c>
      <x:c r="F1307" s="37" t="n">
        <x:v>1243706.9650741334</x:v>
      </x:c>
      <x:c r="G1307" s="37" t="n">
        <x:v>10627236.065265872</x:v>
      </x:c>
      <x:c r="H1307" s="37" t="n">
        <x:v>38411.60220994475</x:v>
      </x:c>
      <x:c r="I1307" s="37" t="n">
        <x:v>10588824.463055927</x:v>
      </x:c>
      <x:c r="J1307" s="37" t="n">
        <x:v>10627236.065265872</x:v>
      </x:c>
      <x:c r="K1307" s="37" t="n">
        <x:v>0</x:v>
      </x:c>
      <x:c r="L1307" s="37" t="n">
        <x:v>11870943.030340005</x:v>
      </x:c>
      <x:c r="M1307" s="37" t="n">
        <x:v>0</x:v>
      </x:c>
      <x:c r="N1307" s="37" t="n">
        <x:v>0</x:v>
      </x:c>
      <x:c r="O1307" s="37" t="n">
        <x:v>68.14459290332161</x:v>
      </x:c>
      <x:c r="P1307" s="37" t="n">
        <x:v>0</x:v>
      </x:c>
      <x:c r="Q1307" s="37" t="n">
        <x:v>0</x:v>
      </x:c>
      <x:c r="R1307" s="37" t="n">
        <x:v>0</x:v>
      </x:c>
      <x:c r="S1307" s="37" t="n">
        <x:v>0</x:v>
      </x:c>
      <x:c r="T1307" s="37" t="n">
        <x:v>0</x:v>
      </x:c>
      <x:c r="U1307" s="37" t="n">
        <x:v>37500</x:v>
      </x:c>
      <x:c r="V1307" s="37" t="n">
        <x:v>0</x:v>
      </x:c>
      <x:c r="W1307" s="37" t="n">
        <x:v>7249.834416255588</x:v>
      </x:c>
      <x:c r="X1307" s="37" t="n">
        <x:v>0</x:v>
      </x:c>
      <x:c r="Y1307" s="37" t="n">
        <x:v>1042.869342122179</x:v>
      </x:c>
      <x:c r="Z1307" s="37" t="n">
        <x:v>0</x:v>
      </x:c>
      <x:c r="AA1307" s="37" t="n">
        <x:v>0</x:v>
      </x:c>
      <x:c r="AB1307" s="37" t="n">
        <x:v>0</x:v>
      </x:c>
      <x:c r="AC1307" s="37" t="n">
        <x:v>1243706.9650741334</x:v>
      </x:c>
      <x:c r="AD1307" s="37" t="n">
        <x:v>0</x:v>
      </x:c>
      <x:c r="AE1307" s="37" t="n">
        <x:v>0</x:v>
      </x:c>
      <x:c r="AF1307" s="47" t="b">
        <x:v>0</x:v>
      </x:c>
      <x:c r="AG1307" s="47" t="b">
        <x:v>0</x:v>
      </x:c>
      <x:c r="AH1307" s="48" t="n">
        <x:v>0</x:v>
      </x:c>
      <x:c r="AI1307" s="48" t="n">
        <x:v>1.1920928955078125e-7</x:v>
      </x:c>
      <x:c r="AJ1307" s="37" t="str">
        <x:v>passed</x:v>
      </x:c>
    </x:row>
    <x:row r="1308" ht="21" customHeight="1">
      <x:c r="A1308" s="2"/>
      <x:c r="B1308" s="2"/>
      <x:c r="C1308" s="2" t="str">
        <x:v>2023</x:v>
      </x:c>
      <x:c r="D1308" s="5" t="n">
        <x:v>45037</x:v>
      </x:c>
      <x:c r="E1308" s="2" t="str">
        <x:v>duration</x:v>
      </x:c>
      <x:c r="F1308" s="37" t="n">
        <x:v>7734099.791724321</x:v>
      </x:c>
      <x:c r="G1308" s="37" t="n">
        <x:v>3989336.9168778667</x:v>
      </x:c>
      <x:c r="H1308" s="37" t="n">
        <x:v>-8584.568710839718</x:v>
      </x:c>
      <x:c r="I1308" s="37" t="n">
        <x:v>3997921.4855887066</x:v>
      </x:c>
      <x:c r="J1308" s="37" t="n">
        <x:v>10627236.065265872</x:v>
      </x:c>
      <x:c r="K1308" s="37" t="n">
        <x:v>6637899.148388004</x:v>
      </x:c>
      <x:c r="L1308" s="37" t="n">
        <x:v>11723436.708602188</x:v>
      </x:c>
      <x:c r="M1308" s="37" t="n">
        <x:v>0</x:v>
      </x:c>
      <x:c r="N1308" s="37" t="n">
        <x:v>0</x:v>
      </x:c>
      <x:c r="O1308" s="37" t="n">
        <x:v>423.76307006459683</x:v>
      </x:c>
      <x:c r="P1308" s="37" t="n">
        <x:v>0</x:v>
      </x:c>
      <x:c r="Q1308" s="37" t="n">
        <x:v>0</x:v>
      </x:c>
      <x:c r="R1308" s="37" t="n">
        <x:v>0</x:v>
      </x:c>
      <x:c r="S1308" s="37" t="n">
        <x:v>0</x:v>
      </x:c>
      <x:c r="T1308" s="37" t="n">
        <x:v>0</x:v>
      </x:c>
      <x:c r="U1308" s="37" t="n">
        <x:v>37500</x:v>
      </x:c>
      <x:c r="V1308" s="37" t="n">
        <x:v>0</x:v>
      </x:c>
      <x:c r="W1308" s="37" t="n">
        <x:v>46058.94364258647</x:v>
      </x:c>
      <x:c r="X1308" s="37" t="n">
        <x:v>0</x:v>
      </x:c>
      <x:c r="Y1308" s="37" t="n">
        <x:v>1721.0008871681664</x:v>
      </x:c>
      <x:c r="Z1308" s="37" t="n">
        <x:v>6770657.131355764</x:v>
      </x:c>
      <x:c r="AA1308" s="37" t="n">
        <x:v>0</x:v>
      </x:c>
      <x:c r="AB1308" s="37" t="n">
        <x:v>6770657.131355764</x:v>
      </x:c>
      <x:c r="AC1308" s="37" t="n">
        <x:v>963442.6603685571</x:v>
      </x:c>
      <x:c r="AD1308" s="37" t="n">
        <x:v>0</x:v>
      </x:c>
      <x:c r="AE1308" s="37" t="n">
        <x:v>0</x:v>
      </x:c>
      <x:c r="AF1308" s="47" t="b">
        <x:v>0</x:v>
      </x:c>
      <x:c r="AG1308" s="47" t="b">
        <x:v>0</x:v>
      </x:c>
      <x:c r="AH1308" s="48" t="n">
        <x:v>0</x:v>
      </x:c>
      <x:c r="AI1308" s="48" t="n">
        <x:v>5.960464477539063e-8</x:v>
      </x:c>
      <x:c r="AJ1308" s="37" t="str">
        <x:v>passed</x:v>
      </x:c>
    </x:row>
    <x:row r="1309" ht="21" customHeight="1">
      <x:c r="A1309" s="2"/>
      <x:c r="B1309" s="2"/>
      <x:c r="C1309" s="2" t="str">
        <x:v>2023</x:v>
      </x:c>
      <x:c r="D1309" s="5" t="n">
        <x:v>45037</x:v>
      </x:c>
      <x:c r="E1309" s="2" t="str">
        <x:v>unweighted</x:v>
      </x:c>
      <x:c r="F1309" s="37" t="n">
        <x:v>11461525.326654296</x:v>
      </x:c>
      <x:c r="G1309" s="37" t="n">
        <x:v>240848.0950867463</x:v>
      </x:c>
      <x:c r="H1309" s="37" t="n">
        <x:v>-18822.026791854558</x:v>
      </x:c>
      <x:c r="I1309" s="37" t="n">
        <x:v>259670.12187860085</x:v>
      </x:c>
      <x:c r="J1309" s="37" t="n">
        <x:v>10684866.532341473</x:v>
      </x:c>
      <x:c r="K1309" s="37" t="n">
        <x:v>10444018.437254727</x:v>
      </x:c>
      <x:c r="L1309" s="37" t="n">
        <x:v>11702373.421741042</x:v>
      </x:c>
      <x:c r="M1309" s="37" t="n">
        <x:v>0</x:v>
      </x:c>
      <x:c r="N1309" s="37" t="n">
        <x:v>0</x:v>
      </x:c>
      <x:c r="O1309" s="37" t="n">
        <x:v>627.9943743739277</x:v>
      </x:c>
      <x:c r="P1309" s="37" t="n">
        <x:v>0</x:v>
      </x:c>
      <x:c r="Q1309" s="37" t="n">
        <x:v>0</x:v>
      </x:c>
      <x:c r="R1309" s="37" t="n">
        <x:v>0</x:v>
      </x:c>
      <x:c r="S1309" s="37" t="n">
        <x:v>0</x:v>
      </x:c>
      <x:c r="T1309" s="37" t="n">
        <x:v>0</x:v>
      </x:c>
      <x:c r="U1309" s="37" t="n">
        <x:v>37500</x:v>
      </x:c>
      <x:c r="V1309" s="37" t="n">
        <x:v>0</x:v>
      </x:c>
      <x:c r="W1309" s="37" t="n">
        <x:v>65740.08130855486</x:v>
      </x:c>
      <x:c r="X1309" s="37" t="n">
        <x:v>0</x:v>
      </x:c>
      <x:c r="Y1309" s="37" t="n">
        <x:v>2070.2825714373325</x:v>
      </x:c>
      <x:c r="Z1309" s="37" t="n">
        <x:v>10652898.805999821</x:v>
      </x:c>
      <x:c r="AA1309" s="37" t="n">
        <x:v>0</x:v>
      </x:c>
      <x:c r="AB1309" s="37" t="n">
        <x:v>10652898.805999821</x:v>
      </x:c>
      <x:c r="AC1309" s="37" t="n">
        <x:v>808626.5206544753</x:v>
      </x:c>
      <x:c r="AD1309" s="37" t="n">
        <x:v>0</x:v>
      </x:c>
      <x:c r="AE1309" s="37" t="n">
        <x:v>0</x:v>
      </x:c>
      <x:c r="AF1309" s="47" t="b">
        <x:v>0</x:v>
      </x:c>
      <x:c r="AG1309" s="47" t="b">
        <x:v>0</x:v>
      </x:c>
      <x:c r="AH1309" s="48" t="n">
        <x:v>0</x:v>
      </x:c>
      <x:c r="AI1309" s="48" t="n">
        <x:v>1.1920928955078125e-7</x:v>
      </x:c>
      <x:c r="AJ1309" s="37" t="str">
        <x:v>passed</x:v>
      </x:c>
    </x:row>
    <x:row r="1310" ht="21" customHeight="1">
      <x:c r="A1310" s="2"/>
      <x:c r="B1310" s="2"/>
      <x:c r="C1310" s="2" t="str">
        <x:v>2023</x:v>
      </x:c>
      <x:c r="D1310" s="5" t="n">
        <x:v>45037</x:v>
      </x:c>
      <x:c r="E1310" s="2" t="str">
        <x:v>constrained</x:v>
      </x:c>
      <x:c r="F1310" s="37" t="n">
        <x:v>11846912.107747966</x:v>
      </x:c>
      <x:c r="G1310" s="37" t="n">
        <x:v>-151077.77118479807</x:v>
      </x:c>
      <x:c r="H1310" s="37" t="n">
        <x:v>-20029.727059730692</x:v>
      </x:c>
      <x:c r="I1310" s="37" t="n">
        <x:v>-131048.04412506738</x:v>
      </x:c>
      <x:c r="J1310" s="37" t="n">
        <x:v>10685948.103256607</x:v>
      </x:c>
      <x:c r="K1310" s="37" t="n">
        <x:v>10837025.874441406</x:v>
      </x:c>
      <x:c r="L1310" s="37" t="n">
        <x:v>11695834.336563168</x:v>
      </x:c>
      <x:c r="M1310" s="37" t="n">
        <x:v>0</x:v>
      </x:c>
      <x:c r="N1310" s="37" t="n">
        <x:v>0</x:v>
      </x:c>
      <x:c r="O1310" s="37" t="n">
        <x:v>649.1103012319654</x:v>
      </x:c>
      <x:c r="P1310" s="37" t="n">
        <x:v>0</x:v>
      </x:c>
      <x:c r="Q1310" s="37" t="n">
        <x:v>0</x:v>
      </x:c>
      <x:c r="R1310" s="37" t="n">
        <x:v>0</x:v>
      </x:c>
      <x:c r="S1310" s="37" t="n">
        <x:v>0</x:v>
      </x:c>
      <x:c r="T1310" s="37" t="n">
        <x:v>0</x:v>
      </x:c>
      <x:c r="U1310" s="37" t="n">
        <x:v>37500</x:v>
      </x:c>
      <x:c r="V1310" s="37" t="n">
        <x:v>0</x:v>
      </x:c>
      <x:c r="W1310" s="37" t="n">
        <x:v>69393.94023582153</x:v>
      </x:c>
      <x:c r="X1310" s="37" t="n">
        <x:v>0</x:v>
      </x:c>
      <x:c r="Y1310" s="37" t="n">
        <x:v>2126.5234819721045</x:v>
      </x:c>
      <x:c r="Z1310" s="37" t="n">
        <x:v>11053766.391930234</x:v>
      </x:c>
      <x:c r="AA1310" s="37" t="n">
        <x:v>0</x:v>
      </x:c>
      <x:c r="AB1310" s="37" t="n">
        <x:v>11053766.391930234</x:v>
      </x:c>
      <x:c r="AC1310" s="37" t="n">
        <x:v>793145.7158177327</x:v>
      </x:c>
      <x:c r="AD1310" s="37" t="n">
        <x:v>0</x:v>
      </x:c>
      <x:c r="AE1310" s="37" t="n">
        <x:v>0</x:v>
      </x:c>
      <x:c r="AF1310" s="47" t="b">
        <x:v>0</x:v>
      </x:c>
      <x:c r="AG1310" s="47" t="b">
        <x:v>0</x:v>
      </x:c>
      <x:c r="AH1310" s="48" t="n">
        <x:v>0</x:v>
      </x:c>
      <x:c r="AI1310" s="48" t="n">
        <x:v>1.1920928955078125e-7</x:v>
      </x:c>
      <x:c r="AJ1310" s="37" t="str">
        <x:v>passed</x:v>
      </x:c>
    </x:row>
    <x:row r="1311" ht="21" customHeight="1">
      <x:c r="A1311" s="2"/>
      <x:c r="B1311" s="2"/>
      <x:c r="C1311" s="2" t="str">
        <x:v>2023</x:v>
      </x:c>
      <x:c r="D1311" s="5" t="n">
        <x:v>45040</x:v>
      </x:c>
      <x:c r="E1311" s="2" t="str">
        <x:v>unhedged</x:v>
      </x:c>
      <x:c r="F1311" s="37" t="n">
        <x:v>1243911.4212573632</x:v>
      </x:c>
      <x:c r="G1311" s="37" t="n">
        <x:v>10659743.553591186</x:v>
      </x:c>
      <x:c r="H1311" s="37" t="n">
        <x:v>39468.2320441989</x:v>
      </x:c>
      <x:c r="I1311" s="37" t="n">
        <x:v>10620275.321546987</x:v>
      </x:c>
      <x:c r="J1311" s="37" t="n">
        <x:v>10659743.553591186</x:v>
      </x:c>
      <x:c r="K1311" s="37" t="n">
        <x:v>0</x:v>
      </x:c>
      <x:c r="L1311" s="37" t="n">
        <x:v>11903654.97484855</x:v>
      </x:c>
      <x:c r="M1311" s="37" t="n">
        <x:v>0</x:v>
      </x:c>
      <x:c r="N1311" s="37" t="n">
        <x:v>0</x:v>
      </x:c>
      <x:c r="O1311" s="37" t="n">
        <x:v>204.4561832298059</x:v>
      </x:c>
      <x:c r="P1311" s="37" t="n">
        <x:v>0</x:v>
      </x:c>
      <x:c r="Q1311" s="37" t="n">
        <x:v>0</x:v>
      </x:c>
      <x:c r="R1311" s="37" t="n">
        <x:v>0</x:v>
      </x:c>
      <x:c r="S1311" s="37" t="n">
        <x:v>0</x:v>
      </x:c>
      <x:c r="T1311" s="37" t="n">
        <x:v>0</x:v>
      </x:c>
      <x:c r="U1311" s="37" t="n">
        <x:v>37500</x:v>
      </x:c>
      <x:c r="V1311" s="37" t="n">
        <x:v>0</x:v>
      </x:c>
      <x:c r="W1311" s="37" t="n">
        <x:v>7454.290599485394</x:v>
      </x:c>
      <x:c r="X1311" s="37" t="n">
        <x:v>0</x:v>
      </x:c>
      <x:c r="Y1311" s="37" t="n">
        <x:v>1042.869342122179</x:v>
      </x:c>
      <x:c r="Z1311" s="37" t="n">
        <x:v>0</x:v>
      </x:c>
      <x:c r="AA1311" s="37" t="n">
        <x:v>0</x:v>
      </x:c>
      <x:c r="AB1311" s="37" t="n">
        <x:v>0</x:v>
      </x:c>
      <x:c r="AC1311" s="37" t="n">
        <x:v>1243911.4212573632</x:v>
      </x:c>
      <x:c r="AD1311" s="37" t="n">
        <x:v>0</x:v>
      </x:c>
      <x:c r="AE1311" s="37" t="n">
        <x:v>0</x:v>
      </x:c>
      <x:c r="AF1311" s="47" t="b">
        <x:v>0</x:v>
      </x:c>
      <x:c r="AG1311" s="47" t="b">
        <x:v>0</x:v>
      </x:c>
      <x:c r="AH1311" s="48" t="n">
        <x:v>0</x:v>
      </x:c>
      <x:c r="AI1311" s="48" t="n">
        <x:v>1.1920928955078125e-7</x:v>
      </x:c>
      <x:c r="AJ1311" s="37" t="str">
        <x:v>passed</x:v>
      </x:c>
    </x:row>
    <x:row r="1312" ht="21" customHeight="1">
      <x:c r="A1312" s="2"/>
      <x:c r="B1312" s="2"/>
      <x:c r="C1312" s="2" t="str">
        <x:v>2023</x:v>
      </x:c>
      <x:c r="D1312" s="5" t="n">
        <x:v>45040</x:v>
      </x:c>
      <x:c r="E1312" s="2" t="str">
        <x:v>duration</x:v>
      </x:c>
      <x:c r="F1312" s="37" t="n">
        <x:v>7735371.220258967</x:v>
      </x:c>
      <x:c r="G1312" s="37" t="n">
        <x:v>3990630.182678687</x:v>
      </x:c>
      <x:c r="H1312" s="37" t="n">
        <x:v>-8425.954881441325</x:v>
      </x:c>
      <x:c r="I1312" s="37" t="n">
        <x:v>3999056.1375601282</x:v>
      </x:c>
      <x:c r="J1312" s="37" t="n">
        <x:v>10659743.553591186</x:v>
      </x:c>
      <x:c r="K1312" s="37" t="n">
        <x:v>6669113.370912499</x:v>
      </x:c>
      <x:c r="L1312" s="37" t="n">
        <x:v>11726001.402937654</x:v>
      </x:c>
      <x:c r="M1312" s="37" t="n">
        <x:v>0</x:v>
      </x:c>
      <x:c r="N1312" s="37" t="n">
        <x:v>0</x:v>
      </x:c>
      <x:c r="O1312" s="37" t="n">
        <x:v>1271.4285346455872</x:v>
      </x:c>
      <x:c r="P1312" s="37" t="n">
        <x:v>0</x:v>
      </x:c>
      <x:c r="Q1312" s="37" t="n">
        <x:v>0</x:v>
      </x:c>
      <x:c r="R1312" s="37" t="n">
        <x:v>0</x:v>
      </x:c>
      <x:c r="S1312" s="37" t="n">
        <x:v>0</x:v>
      </x:c>
      <x:c r="T1312" s="37" t="n">
        <x:v>0</x:v>
      </x:c>
      <x:c r="U1312" s="37" t="n">
        <x:v>37500</x:v>
      </x:c>
      <x:c r="V1312" s="37" t="n">
        <x:v>0</x:v>
      </x:c>
      <x:c r="W1312" s="37" t="n">
        <x:v>47330.37217723206</x:v>
      </x:c>
      <x:c r="X1312" s="37" t="n">
        <x:v>0</x:v>
      </x:c>
      <x:c r="Y1312" s="37" t="n">
        <x:v>1721.0008871681664</x:v>
      </x:c>
      <x:c r="Z1312" s="37" t="n">
        <x:v>6802495.638330749</x:v>
      </x:c>
      <x:c r="AA1312" s="37" t="n">
        <x:v>0</x:v>
      </x:c>
      <x:c r="AB1312" s="37" t="n">
        <x:v>6802495.638330749</x:v>
      </x:c>
      <x:c r="AC1312" s="37" t="n">
        <x:v>932875.5819282178</x:v>
      </x:c>
      <x:c r="AD1312" s="37" t="n">
        <x:v>0</x:v>
      </x:c>
      <x:c r="AE1312" s="37" t="n">
        <x:v>0</x:v>
      </x:c>
      <x:c r="AF1312" s="47" t="b">
        <x:v>0</x:v>
      </x:c>
      <x:c r="AG1312" s="47" t="b">
        <x:v>0</x:v>
      </x:c>
      <x:c r="AH1312" s="48" t="n">
        <x:v>0</x:v>
      </x:c>
      <x:c r="AI1312" s="48" t="n">
        <x:v>5.960464477539063e-8</x:v>
      </x:c>
      <x:c r="AJ1312" s="37" t="str">
        <x:v>passed</x:v>
      </x:c>
    </x:row>
    <x:row r="1313" ht="21" customHeight="1">
      <x:c r="A1313" s="2"/>
      <x:c r="B1313" s="2"/>
      <x:c r="C1313" s="2" t="str">
        <x:v>2023</x:v>
      </x:c>
      <x:c r="D1313" s="5" t="n">
        <x:v>45040</x:v>
      </x:c>
      <x:c r="E1313" s="2" t="str">
        <x:v>unweighted</x:v>
      </x:c>
      <x:c r="F1313" s="37" t="n">
        <x:v>11463409.51624886</x:v>
      </x:c>
      <x:c r="G1313" s="37" t="n">
        <x:v>241289.79182583795</x:v>
      </x:c>
      <x:c r="H1313" s="37" t="n">
        <x:v>-18905.95841648157</x:v>
      </x:c>
      <x:c r="I1313" s="37" t="n">
        <x:v>260195.7502423195</x:v>
      </x:c>
      <x:c r="J1313" s="37" t="n">
        <x:v>10717815.894883955</x:v>
      </x:c>
      <x:c r="K1313" s="37" t="n">
        <x:v>10476526.103058117</x:v>
      </x:c>
      <x:c r="L1313" s="37" t="n">
        <x:v>11704699.308074698</x:v>
      </x:c>
      <x:c r="M1313" s="37" t="n">
        <x:v>0</x:v>
      </x:c>
      <x:c r="N1313" s="37" t="n">
        <x:v>0</x:v>
      </x:c>
      <x:c r="O1313" s="37" t="n">
        <x:v>1884.1895945630968</x:v>
      </x:c>
      <x:c r="P1313" s="37" t="n">
        <x:v>0</x:v>
      </x:c>
      <x:c r="Q1313" s="37" t="n">
        <x:v>0</x:v>
      </x:c>
      <x:c r="R1313" s="37" t="n">
        <x:v>0</x:v>
      </x:c>
      <x:c r="S1313" s="37" t="n">
        <x:v>0</x:v>
      </x:c>
      <x:c r="T1313" s="37" t="n">
        <x:v>0</x:v>
      </x:c>
      <x:c r="U1313" s="37" t="n">
        <x:v>37500</x:v>
      </x:c>
      <x:c r="V1313" s="37" t="n">
        <x:v>0</x:v>
      </x:c>
      <x:c r="W1313" s="37" t="n">
        <x:v>67624.27090311795</x:v>
      </x:c>
      <x:c r="X1313" s="37" t="n">
        <x:v>0</x:v>
      </x:c>
      <x:c r="Y1313" s="37" t="n">
        <x:v>2070.2825714373325</x:v>
      </x:c>
      <x:c r="Z1313" s="37" t="n">
        <x:v>10686056.625119278</x:v>
      </x:c>
      <x:c r="AA1313" s="37" t="n">
        <x:v>0</x:v>
      </x:c>
      <x:c r="AB1313" s="37" t="n">
        <x:v>10686056.625119278</x:v>
      </x:c>
      <x:c r="AC1313" s="37" t="n">
        <x:v>777352.8911295813</x:v>
      </x:c>
      <x:c r="AD1313" s="37" t="n">
        <x:v>0</x:v>
      </x:c>
      <x:c r="AE1313" s="37" t="n">
        <x:v>0</x:v>
      </x:c>
      <x:c r="AF1313" s="47" t="b">
        <x:v>0</x:v>
      </x:c>
      <x:c r="AG1313" s="47" t="b">
        <x:v>0</x:v>
      </x:c>
      <x:c r="AH1313" s="48" t="n">
        <x:v>0</x:v>
      </x:c>
      <x:c r="AI1313" s="48" t="n">
        <x:v>1.1920928955078125e-7</x:v>
      </x:c>
      <x:c r="AJ1313" s="37" t="str">
        <x:v>passed</x:v>
      </x:c>
    </x:row>
    <x:row r="1314" ht="21" customHeight="1">
      <x:c r="A1314" s="2"/>
      <x:c r="B1314" s="2"/>
      <x:c r="C1314" s="2" t="str">
        <x:v>2023</x:v>
      </x:c>
      <x:c r="D1314" s="5" t="n">
        <x:v>45040</x:v>
      </x:c>
      <x:c r="E1314" s="2" t="str">
        <x:v>constrained</x:v>
      </x:c>
      <x:c r="F1314" s="37" t="n">
        <x:v>11848859.65206558</x:v>
      </x:c>
      <x:c r="G1314" s="37" t="n">
        <x:v>-151038.5631514131</x:v>
      </x:c>
      <x:c r="H1314" s="37" t="n">
        <x:v>-20139.197519850637</x:v>
      </x:c>
      <x:c r="I1314" s="37" t="n">
        <x:v>-130899.36563156247</x:v>
      </x:c>
      <x:c r="J1314" s="37" t="n">
        <x:v>10718905.758605408</x:v>
      </x:c>
      <x:c r="K1314" s="37" t="n">
        <x:v>10869944.32175682</x:v>
      </x:c>
      <x:c r="L1314" s="37" t="n">
        <x:v>11697821.088914167</x:v>
      </x:c>
      <x:c r="M1314" s="37" t="n">
        <x:v>0</x:v>
      </x:c>
      <x:c r="N1314" s="37" t="n">
        <x:v>0</x:v>
      </x:c>
      <x:c r="O1314" s="37" t="n">
        <x:v>1947.5443176142871</x:v>
      </x:c>
      <x:c r="P1314" s="37" t="n">
        <x:v>0</x:v>
      </x:c>
      <x:c r="Q1314" s="37" t="n">
        <x:v>0</x:v>
      </x:c>
      <x:c r="R1314" s="37" t="n">
        <x:v>0</x:v>
      </x:c>
      <x:c r="S1314" s="37" t="n">
        <x:v>0</x:v>
      </x:c>
      <x:c r="T1314" s="37" t="n">
        <x:v>0</x:v>
      </x:c>
      <x:c r="U1314" s="37" t="n">
        <x:v>37500</x:v>
      </x:c>
      <x:c r="V1314" s="37" t="n">
        <x:v>0</x:v>
      </x:c>
      <x:c r="W1314" s="37" t="n">
        <x:v>71341.48455343582</x:v>
      </x:c>
      <x:c r="X1314" s="37" t="n">
        <x:v>0</x:v>
      </x:c>
      <x:c r="Y1314" s="37" t="n">
        <x:v>2126.5234819721045</x:v>
      </x:c>
      <x:c r="Z1314" s="37" t="n">
        <x:v>11087343.208191955</x:v>
      </x:c>
      <x:c r="AA1314" s="37" t="n">
        <x:v>0</x:v>
      </x:c>
      <x:c r="AB1314" s="37" t="n">
        <x:v>11087343.208191955</x:v>
      </x:c>
      <x:c r="AC1314" s="37" t="n">
        <x:v>761516.4438736252</x:v>
      </x:c>
      <x:c r="AD1314" s="37" t="n">
        <x:v>0</x:v>
      </x:c>
      <x:c r="AE1314" s="37" t="n">
        <x:v>0</x:v>
      </x:c>
      <x:c r="AF1314" s="47" t="b">
        <x:v>0</x:v>
      </x:c>
      <x:c r="AG1314" s="47" t="b">
        <x:v>0</x:v>
      </x:c>
      <x:c r="AH1314" s="48" t="n">
        <x:v>0</x:v>
      </x:c>
      <x:c r="AI1314" s="48" t="n">
        <x:v>1.1920928955078125e-7</x:v>
      </x:c>
      <x:c r="AJ1314" s="37" t="str">
        <x:v>passed</x:v>
      </x:c>
    </x:row>
    <x:row r="1315" ht="21" customHeight="1">
      <x:c r="A1315" s="2"/>
      <x:c r="B1315" s="2"/>
      <x:c r="C1315" s="2" t="str">
        <x:v>2023</x:v>
      </x:c>
      <x:c r="D1315" s="5" t="n">
        <x:v>45041</x:v>
      </x:c>
      <x:c r="E1315" s="2" t="str">
        <x:v>unhedged</x:v>
      </x:c>
      <x:c r="F1315" s="37" t="n">
        <x:v>1243979.580787295</x:v>
      </x:c>
      <x:c r="G1315" s="37" t="n">
        <x:v>10733578.839983515</x:v>
      </x:c>
      <x:c r="H1315" s="37" t="n">
        <x:v>39820.441988950275</x:v>
      </x:c>
      <x:c r="I1315" s="37" t="n">
        <x:v>10693758.397994565</x:v>
      </x:c>
      <x:c r="J1315" s="37" t="n">
        <x:v>10733578.839983515</x:v>
      </x:c>
      <x:c r="K1315" s="37" t="n">
        <x:v>0</x:v>
      </x:c>
      <x:c r="L1315" s="37" t="n">
        <x:v>11977558.42077081</x:v>
      </x:c>
      <x:c r="M1315" s="37" t="n">
        <x:v>0</x:v>
      </x:c>
      <x:c r="N1315" s="37" t="n">
        <x:v>0</x:v>
      </x:c>
      <x:c r="O1315" s="37" t="n">
        <x:v>68.15952993184328</x:v>
      </x:c>
      <x:c r="P1315" s="37" t="n">
        <x:v>0</x:v>
      </x:c>
      <x:c r="Q1315" s="37" t="n">
        <x:v>0</x:v>
      </x:c>
      <x:c r="R1315" s="37" t="n">
        <x:v>0</x:v>
      </x:c>
      <x:c r="S1315" s="37" t="n">
        <x:v>0</x:v>
      </x:c>
      <x:c r="T1315" s="37" t="n">
        <x:v>0</x:v>
      </x:c>
      <x:c r="U1315" s="37" t="n">
        <x:v>37500</x:v>
      </x:c>
      <x:c r="V1315" s="37" t="n">
        <x:v>0</x:v>
      </x:c>
      <x:c r="W1315" s="37" t="n">
        <x:v>7522.450129417237</x:v>
      </x:c>
      <x:c r="X1315" s="37" t="n">
        <x:v>0</x:v>
      </x:c>
      <x:c r="Y1315" s="37" t="n">
        <x:v>1042.869342122179</x:v>
      </x:c>
      <x:c r="Z1315" s="37" t="n">
        <x:v>0</x:v>
      </x:c>
      <x:c r="AA1315" s="37" t="n">
        <x:v>0</x:v>
      </x:c>
      <x:c r="AB1315" s="37" t="n">
        <x:v>0</x:v>
      </x:c>
      <x:c r="AC1315" s="37" t="n">
        <x:v>1243979.580787295</x:v>
      </x:c>
      <x:c r="AD1315" s="37" t="n">
        <x:v>0</x:v>
      </x:c>
      <x:c r="AE1315" s="37" t="n">
        <x:v>0</x:v>
      </x:c>
      <x:c r="AF1315" s="47" t="b">
        <x:v>0</x:v>
      </x:c>
      <x:c r="AG1315" s="47" t="b">
        <x:v>0</x:v>
      </x:c>
      <x:c r="AH1315" s="48" t="n">
        <x:v>0</x:v>
      </x:c>
      <x:c r="AI1315" s="48" t="n">
        <x:v>1.1920928955078125e-7</x:v>
      </x:c>
      <x:c r="AJ1315" s="37" t="str">
        <x:v>passed</x:v>
      </x:c>
    </x:row>
    <x:row r="1316" ht="21" customHeight="1">
      <x:c r="A1316" s="2"/>
      <x:c r="B1316" s="2"/>
      <x:c r="C1316" s="2" t="str">
        <x:v>2023</x:v>
      </x:c>
      <x:c r="D1316" s="5" t="n">
        <x:v>45041</x:v>
      </x:c>
      <x:c r="E1316" s="2" t="str">
        <x:v>duration</x:v>
      </x:c>
      <x:c r="F1316" s="37" t="n">
        <x:v>7735795.076216241</x:v>
      </x:c>
      <x:c r="G1316" s="37" t="n">
        <x:v>4000069.927265339</x:v>
      </x:c>
      <x:c r="H1316" s="37" t="n">
        <x:v>-8373.083604975203</x:v>
      </x:c>
      <x:c r="I1316" s="37" t="n">
        <x:v>4008443.010870314</x:v>
      </x:c>
      <x:c r="J1316" s="37" t="n">
        <x:v>10733578.839983515</x:v>
      </x:c>
      <x:c r="K1316" s="37" t="n">
        <x:v>6733508.912718176</x:v>
      </x:c>
      <x:c r="L1316" s="37" t="n">
        <x:v>11735865.00348158</x:v>
      </x:c>
      <x:c r="M1316" s="37" t="n">
        <x:v>0</x:v>
      </x:c>
      <x:c r="N1316" s="37" t="n">
        <x:v>0</x:v>
      </x:c>
      <x:c r="O1316" s="37" t="n">
        <x:v>423.8559572743252</x:v>
      </x:c>
      <x:c r="P1316" s="37" t="n">
        <x:v>0</x:v>
      </x:c>
      <x:c r="Q1316" s="37" t="n">
        <x:v>0</x:v>
      </x:c>
      <x:c r="R1316" s="37" t="n">
        <x:v>0</x:v>
      </x:c>
      <x:c r="S1316" s="37" t="n">
        <x:v>0</x:v>
      </x:c>
      <x:c r="T1316" s="37" t="n">
        <x:v>0</x:v>
      </x:c>
      <x:c r="U1316" s="37" t="n">
        <x:v>37500</x:v>
      </x:c>
      <x:c r="V1316" s="37" t="n">
        <x:v>0</x:v>
      </x:c>
      <x:c r="W1316" s="37" t="n">
        <x:v>47754.22813450638</x:v>
      </x:c>
      <x:c r="X1316" s="37" t="n">
        <x:v>0</x:v>
      </x:c>
      <x:c r="Y1316" s="37" t="n">
        <x:v>1721.0008871681664</x:v>
      </x:c>
      <x:c r="Z1316" s="37" t="n">
        <x:v>6868179.09097254</x:v>
      </x:c>
      <x:c r="AA1316" s="37" t="n">
        <x:v>0</x:v>
      </x:c>
      <x:c r="AB1316" s="37" t="n">
        <x:v>6868179.09097254</x:v>
      </x:c>
      <x:c r="AC1316" s="37" t="n">
        <x:v>867615.9852437014</x:v>
      </x:c>
      <x:c r="AD1316" s="37" t="n">
        <x:v>0</x:v>
      </x:c>
      <x:c r="AE1316" s="37" t="n">
        <x:v>0</x:v>
      </x:c>
      <x:c r="AF1316" s="47" t="b">
        <x:v>0</x:v>
      </x:c>
      <x:c r="AG1316" s="47" t="b">
        <x:v>0</x:v>
      </x:c>
      <x:c r="AH1316" s="48" t="n">
        <x:v>0</x:v>
      </x:c>
      <x:c r="AI1316" s="48" t="n">
        <x:v>5.960464477539063e-8</x:v>
      </x:c>
      <x:c r="AJ1316" s="37" t="str">
        <x:v>passed</x:v>
      </x:c>
    </x:row>
    <x:row r="1317" ht="21" customHeight="1">
      <x:c r="A1317" s="2"/>
      <x:c r="B1317" s="2"/>
      <x:c r="C1317" s="2" t="str">
        <x:v>2023</x:v>
      </x:c>
      <x:c r="D1317" s="5" t="n">
        <x:v>45041</x:v>
      </x:c>
      <x:c r="E1317" s="2" t="str">
        <x:v>unweighted</x:v>
      </x:c>
      <x:c r="F1317" s="37" t="n">
        <x:v>11464037.648277147</x:v>
      </x:c>
      <x:c r="G1317" s="37" t="n">
        <x:v>242256.3284924797</x:v>
      </x:c>
      <x:c r="H1317" s="37" t="n">
        <x:v>-18933.935624690588</x:v>
      </x:c>
      <x:c r="I1317" s="37" t="n">
        <x:v>261190.26411717027</x:v>
      </x:c>
      <x:c r="J1317" s="37" t="n">
        <x:v>10792461.701947609</x:v>
      </x:c>
      <x:c r="K1317" s="37" t="n">
        <x:v>10550205.37345513</x:v>
      </x:c>
      <x:c r="L1317" s="37" t="n">
        <x:v>11706293.976769626</x:v>
      </x:c>
      <x:c r="M1317" s="37" t="n">
        <x:v>0</x:v>
      </x:c>
      <x:c r="N1317" s="37" t="n">
        <x:v>0</x:v>
      </x:c>
      <x:c r="O1317" s="37" t="n">
        <x:v>628.1320282872766</x:v>
      </x:c>
      <x:c r="P1317" s="37" t="n">
        <x:v>0</x:v>
      </x:c>
      <x:c r="Q1317" s="37" t="n">
        <x:v>0</x:v>
      </x:c>
      <x:c r="R1317" s="37" t="n">
        <x:v>0</x:v>
      </x:c>
      <x:c r="S1317" s="37" t="n">
        <x:v>0</x:v>
      </x:c>
      <x:c r="T1317" s="37" t="n">
        <x:v>0</x:v>
      </x:c>
      <x:c r="U1317" s="37" t="n">
        <x:v>37500</x:v>
      </x:c>
      <x:c r="V1317" s="37" t="n">
        <x:v>0</x:v>
      </x:c>
      <x:c r="W1317" s="37" t="n">
        <x:v>68252.40293140523</x:v>
      </x:c>
      <x:c r="X1317" s="37" t="n">
        <x:v>0</x:v>
      </x:c>
      <x:c r="Y1317" s="37" t="n">
        <x:v>2070.2825714373325</x:v>
      </x:c>
      <x:c r="Z1317" s="37" t="n">
        <x:v>10761209.480924232</x:v>
      </x:c>
      <x:c r="AA1317" s="37" t="n">
        <x:v>0</x:v>
      </x:c>
      <x:c r="AB1317" s="37" t="n">
        <x:v>10761209.480924232</x:v>
      </x:c>
      <x:c r="AC1317" s="37" t="n">
        <x:v>702828.1673529148</x:v>
      </x:c>
      <x:c r="AD1317" s="37" t="n">
        <x:v>0</x:v>
      </x:c>
      <x:c r="AE1317" s="37" t="n">
        <x:v>0</x:v>
      </x:c>
      <x:c r="AF1317" s="47" t="b">
        <x:v>0</x:v>
      </x:c>
      <x:c r="AG1317" s="47" t="b">
        <x:v>0</x:v>
      </x:c>
      <x:c r="AH1317" s="48" t="n">
        <x:v>0</x:v>
      </x:c>
      <x:c r="AI1317" s="48" t="n">
        <x:v>1.1920928955078125e-7</x:v>
      </x:c>
      <x:c r="AJ1317" s="37" t="str">
        <x:v>passed</x:v>
      </x:c>
    </x:row>
    <x:row r="1318" ht="21" customHeight="1">
      <x:c r="A1318" s="2"/>
      <x:c r="B1318" s="2"/>
      <x:c r="C1318" s="2" t="str">
        <x:v>2023</x:v>
      </x:c>
      <x:c r="D1318" s="5" t="n">
        <x:v>45041</x:v>
      </x:c>
      <x:c r="E1318" s="2" t="str">
        <x:v>constrained</x:v>
      </x:c>
      <x:c r="F1318" s="37" t="n">
        <x:v>11849508.904649256</x:v>
      </x:c>
      <x:c r="G1318" s="37" t="n">
        <x:v>-151086.21840265818</x:v>
      </x:c>
      <x:c r="H1318" s="37" t="n">
        <x:v>-20175.68767322396</x:v>
      </x:c>
      <x:c r="I1318" s="37" t="n">
        <x:v>-130910.53072943422</x:v>
      </x:c>
      <x:c r="J1318" s="37" t="n">
        <x:v>10793566.776990933</x:v>
      </x:c>
      <x:c r="K1318" s="37" t="n">
        <x:v>10944652.995393591</x:v>
      </x:c>
      <x:c r="L1318" s="37" t="n">
        <x:v>11698422.686246598</x:v>
      </x:c>
      <x:c r="M1318" s="37" t="n">
        <x:v>0</x:v>
      </x:c>
      <x:c r="N1318" s="37" t="n">
        <x:v>0</x:v>
      </x:c>
      <x:c r="O1318" s="37" t="n">
        <x:v>649.2525836750865</x:v>
      </x:c>
      <x:c r="P1318" s="37" t="n">
        <x:v>0</x:v>
      </x:c>
      <x:c r="Q1318" s="37" t="n">
        <x:v>0</x:v>
      </x:c>
      <x:c r="R1318" s="37" t="n">
        <x:v>0</x:v>
      </x:c>
      <x:c r="S1318" s="37" t="n">
        <x:v>0</x:v>
      </x:c>
      <x:c r="T1318" s="37" t="n">
        <x:v>0</x:v>
      </x:c>
      <x:c r="U1318" s="37" t="n">
        <x:v>37500</x:v>
      </x:c>
      <x:c r="V1318" s="37" t="n">
        <x:v>0</x:v>
      </x:c>
      <x:c r="W1318" s="37" t="n">
        <x:v>71990.7371371109</x:v>
      </x:c>
      <x:c r="X1318" s="37" t="n">
        <x:v>0</x:v>
      </x:c>
      <x:c r="Y1318" s="37" t="n">
        <x:v>2126.5234819721045</x:v>
      </x:c>
      <x:c r="Z1318" s="37" t="n">
        <x:v>11163546.055301463</x:v>
      </x:c>
      <x:c r="AA1318" s="37" t="n">
        <x:v>0</x:v>
      </x:c>
      <x:c r="AB1318" s="37" t="n">
        <x:v>11163546.055301463</x:v>
      </x:c>
      <x:c r="AC1318" s="37" t="n">
        <x:v>685962.8493477926</x:v>
      </x:c>
      <x:c r="AD1318" s="37" t="n">
        <x:v>0</x:v>
      </x:c>
      <x:c r="AE1318" s="37" t="n">
        <x:v>0</x:v>
      </x:c>
      <x:c r="AF1318" s="47" t="b">
        <x:v>0</x:v>
      </x:c>
      <x:c r="AG1318" s="47" t="b">
        <x:v>0</x:v>
      </x:c>
      <x:c r="AH1318" s="48" t="n">
        <x:v>0</x:v>
      </x:c>
      <x:c r="AI1318" s="48" t="n">
        <x:v>1.1920928955078125e-7</x:v>
      </x:c>
      <x:c r="AJ1318" s="37" t="str">
        <x:v>passed</x:v>
      </x:c>
    </x:row>
    <x:row r="1319" ht="21" customHeight="1">
      <x:c r="A1319" s="2"/>
      <x:c r="B1319" s="2"/>
      <x:c r="C1319" s="2" t="str">
        <x:v>2023</x:v>
      </x:c>
      <x:c r="D1319" s="5" t="n">
        <x:v>45042</x:v>
      </x:c>
      <x:c r="E1319" s="2" t="str">
        <x:v>unhedged</x:v>
      </x:c>
      <x:c r="F1319" s="37" t="n">
        <x:v>1244047.744051996</x:v>
      </x:c>
      <x:c r="G1319" s="37" t="n">
        <x:v>10717262.722639184</x:v>
      </x:c>
      <x:c r="H1319" s="37" t="n">
        <x:v>40172.65193370165</x:v>
      </x:c>
      <x:c r="I1319" s="37" t="n">
        <x:v>10677090.070705483</x:v>
      </x:c>
      <x:c r="J1319" s="37" t="n">
        <x:v>10717262.722639184</x:v>
      </x:c>
      <x:c r="K1319" s="37" t="n">
        <x:v>0</x:v>
      </x:c>
      <x:c r="L1319" s="37" t="n">
        <x:v>11961310.466691181</x:v>
      </x:c>
      <x:c r="M1319" s="37" t="n">
        <x:v>0</x:v>
      </x:c>
      <x:c r="N1319" s="37" t="n">
        <x:v>0</x:v>
      </x:c>
      <x:c r="O1319" s="37" t="n">
        <x:v>68.16326470091008</x:v>
      </x:c>
      <x:c r="P1319" s="37" t="n">
        <x:v>0</x:v>
      </x:c>
      <x:c r="Q1319" s="37" t="n">
        <x:v>0</x:v>
      </x:c>
      <x:c r="R1319" s="37" t="n">
        <x:v>0</x:v>
      </x:c>
      <x:c r="S1319" s="37" t="n">
        <x:v>0</x:v>
      </x:c>
      <x:c r="T1319" s="37" t="n">
        <x:v>0</x:v>
      </x:c>
      <x:c r="U1319" s="37" t="n">
        <x:v>37500</x:v>
      </x:c>
      <x:c r="V1319" s="37" t="n">
        <x:v>0</x:v>
      </x:c>
      <x:c r="W1319" s="37" t="n">
        <x:v>7590.613394118147</x:v>
      </x:c>
      <x:c r="X1319" s="37" t="n">
        <x:v>0</x:v>
      </x:c>
      <x:c r="Y1319" s="37" t="n">
        <x:v>1042.869342122179</x:v>
      </x:c>
      <x:c r="Z1319" s="37" t="n">
        <x:v>0</x:v>
      </x:c>
      <x:c r="AA1319" s="37" t="n">
        <x:v>0</x:v>
      </x:c>
      <x:c r="AB1319" s="37" t="n">
        <x:v>0</x:v>
      </x:c>
      <x:c r="AC1319" s="37" t="n">
        <x:v>1244047.744051996</x:v>
      </x:c>
      <x:c r="AD1319" s="37" t="n">
        <x:v>0</x:v>
      </x:c>
      <x:c r="AE1319" s="37" t="n">
        <x:v>0</x:v>
      </x:c>
      <x:c r="AF1319" s="47" t="b">
        <x:v>0</x:v>
      </x:c>
      <x:c r="AG1319" s="47" t="b">
        <x:v>0</x:v>
      </x:c>
      <x:c r="AH1319" s="48" t="n">
        <x:v>0</x:v>
      </x:c>
      <x:c r="AI1319" s="48" t="n">
        <x:v>1.1920928955078125e-7</x:v>
      </x:c>
      <x:c r="AJ1319" s="37" t="str">
        <x:v>passed</x:v>
      </x:c>
    </x:row>
    <x:row r="1320" ht="21" customHeight="1">
      <x:c r="A1320" s="2"/>
      <x:c r="B1320" s="2"/>
      <x:c r="C1320" s="2" t="str">
        <x:v>2023</x:v>
      </x:c>
      <x:c r="D1320" s="5" t="n">
        <x:v>45042</x:v>
      </x:c>
      <x:c r="E1320" s="2" t="str">
        <x:v>duration</x:v>
      </x:c>
      <x:c r="F1320" s="37" t="n">
        <x:v>7736218.955398502</x:v>
      </x:c>
      <x:c r="G1320" s="37" t="n">
        <x:v>4000566.80571042</x:v>
      </x:c>
      <x:c r="H1320" s="37" t="n">
        <x:v>-8320.212328509075</x:v>
      </x:c>
      <x:c r="I1320" s="37" t="n">
        <x:v>4008887.018038929</x:v>
      </x:c>
      <x:c r="J1320" s="37" t="n">
        <x:v>10717262.722639184</x:v>
      </x:c>
      <x:c r="K1320" s="37" t="n">
        <x:v>6716695.9169287635</x:v>
      </x:c>
      <x:c r="L1320" s="37" t="n">
        <x:v>11736785.761108922</x:v>
      </x:c>
      <x:c r="M1320" s="37" t="n">
        <x:v>0</x:v>
      </x:c>
      <x:c r="N1320" s="37" t="n">
        <x:v>0</x:v>
      </x:c>
      <x:c r="O1320" s="37" t="n">
        <x:v>423.8791822604835</x:v>
      </x:c>
      <x:c r="P1320" s="37" t="n">
        <x:v>0</x:v>
      </x:c>
      <x:c r="Q1320" s="37" t="n">
        <x:v>0</x:v>
      </x:c>
      <x:c r="R1320" s="37" t="n">
        <x:v>0</x:v>
      </x:c>
      <x:c r="S1320" s="37" t="n">
        <x:v>0</x:v>
      </x:c>
      <x:c r="T1320" s="37" t="n">
        <x:v>0</x:v>
      </x:c>
      <x:c r="U1320" s="37" t="n">
        <x:v>37500</x:v>
      </x:c>
      <x:c r="V1320" s="37" t="n">
        <x:v>0</x:v>
      </x:c>
      <x:c r="W1320" s="37" t="n">
        <x:v>48178.107316766866</x:v>
      </x:c>
      <x:c r="X1320" s="37" t="n">
        <x:v>0</x:v>
      </x:c>
      <x:c r="Y1320" s="37" t="n">
        <x:v>1721.0008871681664</x:v>
      </x:c>
      <x:c r="Z1320" s="37" t="n">
        <x:v>6851029.835267339</x:v>
      </x:c>
      <x:c r="AA1320" s="37" t="n">
        <x:v>0</x:v>
      </x:c>
      <x:c r="AB1320" s="37" t="n">
        <x:v>6851029.835267339</x:v>
      </x:c>
      <x:c r="AC1320" s="37" t="n">
        <x:v>885189.1201311629</x:v>
      </x:c>
      <x:c r="AD1320" s="37" t="n">
        <x:v>0</x:v>
      </x:c>
      <x:c r="AE1320" s="37" t="n">
        <x:v>0</x:v>
      </x:c>
      <x:c r="AF1320" s="47" t="b">
        <x:v>0</x:v>
      </x:c>
      <x:c r="AG1320" s="47" t="b">
        <x:v>0</x:v>
      </x:c>
      <x:c r="AH1320" s="48" t="n">
        <x:v>0</x:v>
      </x:c>
      <x:c r="AI1320" s="48" t="n">
        <x:v>5.960464477539063e-8</x:v>
      </x:c>
      <x:c r="AJ1320" s="37" t="str">
        <x:v>passed</x:v>
      </x:c>
    </x:row>
    <x:row r="1321" ht="21" customHeight="1">
      <x:c r="A1321" s="2"/>
      <x:c r="B1321" s="2"/>
      <x:c r="C1321" s="2" t="str">
        <x:v>2023</x:v>
      </x:c>
      <x:c r="D1321" s="5" t="n">
        <x:v>45042</x:v>
      </x:c>
      <x:c r="E1321" s="2" t="str">
        <x:v>unweighted</x:v>
      </x:c>
      <x:c r="F1321" s="37" t="n">
        <x:v>11464665.81472363</x:v>
      </x:c>
      <x:c r="G1321" s="37" t="n">
        <x:v>242120.78384753663</x:v>
      </x:c>
      <x:c r="H1321" s="37" t="n">
        <x:v>-18961.91283289959</x:v>
      </x:c>
      <x:c r="I1321" s="37" t="n">
        <x:v>261082.69668043623</x:v>
      </x:c>
      <x:c r="J1321" s="37" t="n">
        <x:v>10775807.696807846</x:v>
      </x:c>
      <x:c r="K1321" s="37" t="n">
        <x:v>10533686.91296031</x:v>
      </x:c>
      <x:c r="L1321" s="37" t="n">
        <x:v>11706786.598571166</x:v>
      </x:c>
      <x:c r="M1321" s="37" t="n">
        <x:v>0</x:v>
      </x:c>
      <x:c r="N1321" s="37" t="n">
        <x:v>0</x:v>
      </x:c>
      <x:c r="O1321" s="37" t="n">
        <x:v>628.1664464827627</x:v>
      </x:c>
      <x:c r="P1321" s="37" t="n">
        <x:v>0</x:v>
      </x:c>
      <x:c r="Q1321" s="37" t="n">
        <x:v>0</x:v>
      </x:c>
      <x:c r="R1321" s="37" t="n">
        <x:v>0</x:v>
      </x:c>
      <x:c r="S1321" s="37" t="n">
        <x:v>0</x:v>
      </x:c>
      <x:c r="T1321" s="37" t="n">
        <x:v>0</x:v>
      </x:c>
      <x:c r="U1321" s="37" t="n">
        <x:v>37500</x:v>
      </x:c>
      <x:c r="V1321" s="37" t="n">
        <x:v>0</x:v>
      </x:c>
      <x:c r="W1321" s="37" t="n">
        <x:v>68880.569377888</x:v>
      </x:c>
      <x:c r="X1321" s="37" t="n">
        <x:v>0</x:v>
      </x:c>
      <x:c r="Y1321" s="37" t="n">
        <x:v>2070.2825714373325</x:v>
      </x:c>
      <x:c r="Z1321" s="37" t="n">
        <x:v>10744360.651219515</x:v>
      </x:c>
      <x:c r="AA1321" s="37" t="n">
        <x:v>0</x:v>
      </x:c>
      <x:c r="AB1321" s="37" t="n">
        <x:v>10744360.651219515</x:v>
      </x:c>
      <x:c r="AC1321" s="37" t="n">
        <x:v>720305.1635041144</x:v>
      </x:c>
      <x:c r="AD1321" s="37" t="n">
        <x:v>0</x:v>
      </x:c>
      <x:c r="AE1321" s="37" t="n">
        <x:v>0</x:v>
      </x:c>
      <x:c r="AF1321" s="47" t="b">
        <x:v>0</x:v>
      </x:c>
      <x:c r="AG1321" s="47" t="b">
        <x:v>0</x:v>
      </x:c>
      <x:c r="AH1321" s="48" t="n">
        <x:v>0</x:v>
      </x:c>
      <x:c r="AI1321" s="48" t="n">
        <x:v>1.1920928955078125e-7</x:v>
      </x:c>
      <x:c r="AJ1321" s="37" t="str">
        <x:v>passed</x:v>
      </x:c>
    </x:row>
    <x:row r="1322" ht="21" customHeight="1">
      <x:c r="A1322" s="2"/>
      <x:c r="B1322" s="2"/>
      <x:c r="C1322" s="2" t="str">
        <x:v>2023</x:v>
      </x:c>
      <x:c r="D1322" s="5" t="n">
        <x:v>45042</x:v>
      </x:c>
      <x:c r="E1322" s="2" t="str">
        <x:v>constrained</x:v>
      </x:c>
      <x:c r="F1322" s="37" t="n">
        <x:v>11850158.192808418</x:v>
      </x:c>
      <x:c r="G1322" s="37" t="n">
        <x:v>-151060.17560874642</x:v>
      </x:c>
      <x:c r="H1322" s="37" t="n">
        <x:v>-20212.17782659728</x:v>
      </x:c>
      <x:c r="I1322" s="37" t="n">
        <x:v>-130847.99778214913</x:v>
      </x:c>
      <x:c r="J1322" s="37" t="n">
        <x:v>10776906.430594007</x:v>
      </x:c>
      <x:c r="K1322" s="37" t="n">
        <x:v>10927966.606202753</x:v>
      </x:c>
      <x:c r="L1322" s="37" t="n">
        <x:v>11699098.01719967</x:v>
      </x:c>
      <x:c r="M1322" s="37" t="n">
        <x:v>0</x:v>
      </x:c>
      <x:c r="N1322" s="37" t="n">
        <x:v>0</x:v>
      </x:c>
      <x:c r="O1322" s="37" t="n">
        <x:v>649.2881591618061</x:v>
      </x:c>
      <x:c r="P1322" s="37" t="n">
        <x:v>0</x:v>
      </x:c>
      <x:c r="Q1322" s="37" t="n">
        <x:v>0</x:v>
      </x:c>
      <x:c r="R1322" s="37" t="n">
        <x:v>0</x:v>
      </x:c>
      <x:c r="S1322" s="37" t="n">
        <x:v>0</x:v>
      </x:c>
      <x:c r="T1322" s="37" t="n">
        <x:v>0</x:v>
      </x:c>
      <x:c r="U1322" s="37" t="n">
        <x:v>37500</x:v>
      </x:c>
      <x:c r="V1322" s="37" t="n">
        <x:v>0</x:v>
      </x:c>
      <x:c r="W1322" s="37" t="n">
        <x:v>72640.02529627271</x:v>
      </x:c>
      <x:c r="X1322" s="37" t="n">
        <x:v>0</x:v>
      </x:c>
      <x:c r="Y1322" s="37" t="n">
        <x:v>2126.5234819721045</x:v>
      </x:c>
      <x:c r="Z1322" s="37" t="n">
        <x:v>11146525.938326808</x:v>
      </x:c>
      <x:c r="AA1322" s="37" t="n">
        <x:v>0</x:v>
      </x:c>
      <x:c r="AB1322" s="37" t="n">
        <x:v>11146525.938326808</x:v>
      </x:c>
      <x:c r="AC1322" s="37" t="n">
        <x:v>703632.2544816099</x:v>
      </x:c>
      <x:c r="AD1322" s="37" t="n">
        <x:v>0</x:v>
      </x:c>
      <x:c r="AE1322" s="37" t="n">
        <x:v>0</x:v>
      </x:c>
      <x:c r="AF1322" s="47" t="b">
        <x:v>0</x:v>
      </x:c>
      <x:c r="AG1322" s="47" t="b">
        <x:v>0</x:v>
      </x:c>
      <x:c r="AH1322" s="48" t="n">
        <x:v>0</x:v>
      </x:c>
      <x:c r="AI1322" s="48" t="n">
        <x:v>1.1920928955078125e-7</x:v>
      </x:c>
      <x:c r="AJ1322" s="37" t="str">
        <x:v>passed</x:v>
      </x:c>
    </x:row>
    <x:row r="1323" ht="21" customHeight="1">
      <x:c r="A1323" s="2"/>
      <x:c r="B1323" s="2"/>
      <x:c r="C1323" s="2" t="str">
        <x:v>2023</x:v>
      </x:c>
      <x:c r="D1323" s="5" t="n">
        <x:v>45043</x:v>
      </x:c>
      <x:c r="E1323" s="2" t="str">
        <x:v>unhedged</x:v>
      </x:c>
      <x:c r="F1323" s="37" t="n">
        <x:v>1244115.91105167</x:v>
      </x:c>
      <x:c r="G1323" s="37" t="n">
        <x:v>10655309.916075736</x:v>
      </x:c>
      <x:c r="H1323" s="37" t="n">
        <x:v>40524.86187845304</x:v>
      </x:c>
      <x:c r="I1323" s="37" t="n">
        <x:v>10614785.054197283</x:v>
      </x:c>
      <x:c r="J1323" s="37" t="n">
        <x:v>10655309.916075736</x:v>
      </x:c>
      <x:c r="K1323" s="37" t="n">
        <x:v>0</x:v>
      </x:c>
      <x:c r="L1323" s="37" t="n">
        <x:v>11899425.827127406</x:v>
      </x:c>
      <x:c r="M1323" s="37" t="n">
        <x:v>0</x:v>
      </x:c>
      <x:c r="N1323" s="37" t="n">
        <x:v>0</x:v>
      </x:c>
      <x:c r="O1323" s="37" t="n">
        <x:v>68.16699967416935</x:v>
      </x:c>
      <x:c r="P1323" s="37" t="n">
        <x:v>0</x:v>
      </x:c>
      <x:c r="Q1323" s="37" t="n">
        <x:v>0</x:v>
      </x:c>
      <x:c r="R1323" s="37" t="n">
        <x:v>0</x:v>
      </x:c>
      <x:c r="S1323" s="37" t="n">
        <x:v>0</x:v>
      </x:c>
      <x:c r="T1323" s="37" t="n">
        <x:v>0</x:v>
      </x:c>
      <x:c r="U1323" s="37" t="n">
        <x:v>37500</x:v>
      </x:c>
      <x:c r="V1323" s="37" t="n">
        <x:v>0</x:v>
      </x:c>
      <x:c r="W1323" s="37" t="n">
        <x:v>7658.780393792316</x:v>
      </x:c>
      <x:c r="X1323" s="37" t="n">
        <x:v>0</x:v>
      </x:c>
      <x:c r="Y1323" s="37" t="n">
        <x:v>1042.869342122179</x:v>
      </x:c>
      <x:c r="Z1323" s="37" t="n">
        <x:v>0</x:v>
      </x:c>
      <x:c r="AA1323" s="37" t="n">
        <x:v>0</x:v>
      </x:c>
      <x:c r="AB1323" s="37" t="n">
        <x:v>0</x:v>
      </x:c>
      <x:c r="AC1323" s="37" t="n">
        <x:v>1244115.91105167</x:v>
      </x:c>
      <x:c r="AD1323" s="37" t="n">
        <x:v>0</x:v>
      </x:c>
      <x:c r="AE1323" s="37" t="n">
        <x:v>0</x:v>
      </x:c>
      <x:c r="AF1323" s="47" t="b">
        <x:v>0</x:v>
      </x:c>
      <x:c r="AG1323" s="47" t="b">
        <x:v>0</x:v>
      </x:c>
      <x:c r="AH1323" s="48" t="n">
        <x:v>0</x:v>
      </x:c>
      <x:c r="AI1323" s="48" t="n">
        <x:v>1.1920928955078125e-7</x:v>
      </x:c>
      <x:c r="AJ1323" s="37" t="str">
        <x:v>passed</x:v>
      </x:c>
    </x:row>
    <x:row r="1324" ht="21" customHeight="1">
      <x:c r="A1324" s="2"/>
      <x:c r="B1324" s="2"/>
      <x:c r="C1324" s="2" t="str">
        <x:v>2023</x:v>
      </x:c>
      <x:c r="D1324" s="5" t="n">
        <x:v>45043</x:v>
      </x:c>
      <x:c r="E1324" s="2" t="str">
        <x:v>duration</x:v>
      </x:c>
      <x:c r="F1324" s="37" t="n">
        <x:v>7736642.857807017</x:v>
      </x:c>
      <x:c r="G1324" s="37" t="n">
        <x:v>3994734.4527788684</x:v>
      </x:c>
      <x:c r="H1324" s="37" t="n">
        <x:v>-8267.34105204294</x:v>
      </x:c>
      <x:c r="I1324" s="37" t="n">
        <x:v>4003001.793830911</x:v>
      </x:c>
      <x:c r="J1324" s="37" t="n">
        <x:v>10655309.916075736</x:v>
      </x:c>
      <x:c r="K1324" s="37" t="n">
        <x:v>6660575.463296868</x:v>
      </x:c>
      <x:c r="L1324" s="37" t="n">
        <x:v>11731377.310585886</x:v>
      </x:c>
      <x:c r="M1324" s="37" t="n">
        <x:v>0</x:v>
      </x:c>
      <x:c r="N1324" s="37" t="n">
        <x:v>0</x:v>
      </x:c>
      <x:c r="O1324" s="37" t="n">
        <x:v>423.90240851510316</x:v>
      </x:c>
      <x:c r="P1324" s="37" t="n">
        <x:v>0</x:v>
      </x:c>
      <x:c r="Q1324" s="37" t="n">
        <x:v>0</x:v>
      </x:c>
      <x:c r="R1324" s="37" t="n">
        <x:v>0</x:v>
      </x:c>
      <x:c r="S1324" s="37" t="n">
        <x:v>0</x:v>
      </x:c>
      <x:c r="T1324" s="37" t="n">
        <x:v>0</x:v>
      </x:c>
      <x:c r="U1324" s="37" t="n">
        <x:v>37500</x:v>
      </x:c>
      <x:c r="V1324" s="37" t="n">
        <x:v>0</x:v>
      </x:c>
      <x:c r="W1324" s="37" t="n">
        <x:v>48602.00972528197</x:v>
      </x:c>
      <x:c r="X1324" s="37" t="n">
        <x:v>0</x:v>
      </x:c>
      <x:c r="Y1324" s="37" t="n">
        <x:v>1721.0008871681664</x:v>
      </x:c>
      <x:c r="Z1324" s="37" t="n">
        <x:v>6793786.972562806</x:v>
      </x:c>
      <x:c r="AA1324" s="37" t="n">
        <x:v>0</x:v>
      </x:c>
      <x:c r="AB1324" s="37" t="n">
        <x:v>6793786.972562806</x:v>
      </x:c>
      <x:c r="AC1324" s="37" t="n">
        <x:v>942855.8852442112</x:v>
      </x:c>
      <x:c r="AD1324" s="37" t="n">
        <x:v>0</x:v>
      </x:c>
      <x:c r="AE1324" s="37" t="n">
        <x:v>0</x:v>
      </x:c>
      <x:c r="AF1324" s="47" t="b">
        <x:v>0</x:v>
      </x:c>
      <x:c r="AG1324" s="47" t="b">
        <x:v>0</x:v>
      </x:c>
      <x:c r="AH1324" s="48" t="n">
        <x:v>0</x:v>
      </x:c>
      <x:c r="AI1324" s="48" t="n">
        <x:v>5.960464477539063e-8</x:v>
      </x:c>
      <x:c r="AJ1324" s="37" t="str">
        <x:v>passed</x:v>
      </x:c>
    </x:row>
    <x:row r="1325" ht="21" customHeight="1">
      <x:c r="A1325" s="2"/>
      <x:c r="B1325" s="2"/>
      <x:c r="C1325" s="2" t="str">
        <x:v>2023</x:v>
      </x:c>
      <x:c r="D1325" s="5" t="n">
        <x:v>45043</x:v>
      </x:c>
      <x:c r="E1325" s="2" t="str">
        <x:v>unweighted</x:v>
      </x:c>
      <x:c r="F1325" s="37" t="n">
        <x:v>11465294.01559019</x:v>
      </x:c>
      <x:c r="G1325" s="37" t="n">
        <x:v>241354.45989856703</x:v>
      </x:c>
      <x:c r="H1325" s="37" t="n">
        <x:v>-18989.89004110859</x:v>
      </x:c>
      <x:c r="I1325" s="37" t="n">
        <x:v>260344.34993967562</x:v>
      </x:c>
      <x:c r="J1325" s="37" t="n">
        <x:v>10713183.14157211</x:v>
      </x:c>
      <x:c r="K1325" s="37" t="n">
        <x:v>10471828.681673542</x:v>
      </x:c>
      <x:c r="L1325" s="37" t="n">
        <x:v>11706648.475488758</x:v>
      </x:c>
      <x:c r="M1325" s="37" t="n">
        <x:v>0</x:v>
      </x:c>
      <x:c r="N1325" s="37" t="n">
        <x:v>0</x:v>
      </x:c>
      <x:c r="O1325" s="37" t="n">
        <x:v>628.200866561383</x:v>
      </x:c>
      <x:c r="P1325" s="37" t="n">
        <x:v>0</x:v>
      </x:c>
      <x:c r="Q1325" s="37" t="n">
        <x:v>0</x:v>
      </x:c>
      <x:c r="R1325" s="37" t="n">
        <x:v>0</x:v>
      </x:c>
      <x:c r="S1325" s="37" t="n">
        <x:v>0</x:v>
      </x:c>
      <x:c r="T1325" s="37" t="n">
        <x:v>0</x:v>
      </x:c>
      <x:c r="U1325" s="37" t="n">
        <x:v>37500</x:v>
      </x:c>
      <x:c r="V1325" s="37" t="n">
        <x:v>0</x:v>
      </x:c>
      <x:c r="W1325" s="37" t="n">
        <x:v>69508.77024444938</x:v>
      </x:c>
      <x:c r="X1325" s="37" t="n">
        <x:v>0</x:v>
      </x:c>
      <x:c r="Y1325" s="37" t="n">
        <x:v>2070.2825714373325</x:v>
      </x:c>
      <x:c r="Z1325" s="37" t="n">
        <x:v>10681265.255307013</x:v>
      </x:c>
      <x:c r="AA1325" s="37" t="n">
        <x:v>0</x:v>
      </x:c>
      <x:c r="AB1325" s="37" t="n">
        <x:v>10681265.255307013</x:v>
      </x:c>
      <x:c r="AC1325" s="37" t="n">
        <x:v>784028.7602831777</x:v>
      </x:c>
      <x:c r="AD1325" s="37" t="n">
        <x:v>0</x:v>
      </x:c>
      <x:c r="AE1325" s="37" t="n">
        <x:v>0</x:v>
      </x:c>
      <x:c r="AF1325" s="47" t="b">
        <x:v>0</x:v>
      </x:c>
      <x:c r="AG1325" s="47" t="b">
        <x:v>0</x:v>
      </x:c>
      <x:c r="AH1325" s="48" t="n">
        <x:v>0</x:v>
      </x:c>
      <x:c r="AI1325" s="48" t="n">
        <x:v>1.1920928955078125e-7</x:v>
      </x:c>
      <x:c r="AJ1325" s="37" t="str">
        <x:v>passed</x:v>
      </x:c>
    </x:row>
    <x:row r="1326" ht="21" customHeight="1">
      <x:c r="A1326" s="2"/>
      <x:c r="B1326" s="2"/>
      <x:c r="C1326" s="2" t="str">
        <x:v>2023</x:v>
      </x:c>
      <x:c r="D1326" s="5" t="n">
        <x:v>45043</x:v>
      </x:c>
      <x:c r="E1326" s="2" t="str">
        <x:v>constrained</x:v>
      </x:c>
      <x:c r="F1326" s="37" t="n">
        <x:v>11850807.51654501</x:v>
      </x:c>
      <x:c r="G1326" s="37" t="n">
        <x:v>-151045.97663508312</x:v>
      </x:c>
      <x:c r="H1326" s="37" t="n">
        <x:v>-20248.667979970596</x:v>
      </x:c>
      <x:c r="I1326" s="37" t="n">
        <x:v>-130797.30865511252</x:v>
      </x:c>
      <x:c r="J1326" s="37" t="n">
        <x:v>10714269.268418519</x:v>
      </x:c>
      <x:c r="K1326" s="37" t="n">
        <x:v>10865315.245053602</x:v>
      </x:c>
      <x:c r="L1326" s="37" t="n">
        <x:v>11699761.539909927</x:v>
      </x:c>
      <x:c r="M1326" s="37" t="n">
        <x:v>0</x:v>
      </x:c>
      <x:c r="N1326" s="37" t="n">
        <x:v>0</x:v>
      </x:c>
      <x:c r="O1326" s="37" t="n">
        <x:v>649.3237365931273</x:v>
      </x:c>
      <x:c r="P1326" s="37" t="n">
        <x:v>0</x:v>
      </x:c>
      <x:c r="Q1326" s="37" t="n">
        <x:v>0</x:v>
      </x:c>
      <x:c r="R1326" s="37" t="n">
        <x:v>0</x:v>
      </x:c>
      <x:c r="S1326" s="37" t="n">
        <x:v>0</x:v>
      </x:c>
      <x:c r="T1326" s="37" t="n">
        <x:v>0</x:v>
      </x:c>
      <x:c r="U1326" s="37" t="n">
        <x:v>37500</x:v>
      </x:c>
      <x:c r="V1326" s="37" t="n">
        <x:v>0</x:v>
      </x:c>
      <x:c r="W1326" s="37" t="n">
        <x:v>73289.34903286584</x:v>
      </x:c>
      <x:c r="X1326" s="37" t="n">
        <x:v>0</x:v>
      </x:c>
      <x:c r="Y1326" s="37" t="n">
        <x:v>2126.5234819721045</x:v>
      </x:c>
      <x:c r="Z1326" s="37" t="n">
        <x:v>11082621.549954675</x:v>
      </x:c>
      <x:c r="AA1326" s="37" t="n">
        <x:v>0</x:v>
      </x:c>
      <x:c r="AB1326" s="37" t="n">
        <x:v>11082621.549954675</x:v>
      </x:c>
      <x:c r="AC1326" s="37" t="n">
        <x:v>768185.9665903356</x:v>
      </x:c>
      <x:c r="AD1326" s="37" t="n">
        <x:v>0</x:v>
      </x:c>
      <x:c r="AE1326" s="37" t="n">
        <x:v>0</x:v>
      </x:c>
      <x:c r="AF1326" s="47" t="b">
        <x:v>0</x:v>
      </x:c>
      <x:c r="AG1326" s="47" t="b">
        <x:v>0</x:v>
      </x:c>
      <x:c r="AH1326" s="48" t="n">
        <x:v>0</x:v>
      </x:c>
      <x:c r="AI1326" s="48" t="n">
        <x:v>1.1920928955078125e-7</x:v>
      </x:c>
      <x:c r="AJ1326" s="37" t="str">
        <x:v>passed</x:v>
      </x:c>
    </x:row>
    <x:row r="1327" ht="21" customHeight="1">
      <x:c r="A1327" s="2"/>
      <x:c r="B1327" s="2"/>
      <x:c r="C1327" s="2" t="str">
        <x:v>2023</x:v>
      </x:c>
      <x:c r="D1327" s="5" t="n">
        <x:v>45044</x:v>
      </x:c>
      <x:c r="E1327" s="2" t="str">
        <x:v>unhedged</x:v>
      </x:c>
      <x:c r="F1327" s="37" t="n">
        <x:v>1244184.0817865222</x:v>
      </x:c>
      <x:c r="G1327" s="37" t="n">
        <x:v>10699544.21922585</x:v>
      </x:c>
      <x:c r="H1327" s="37" t="n">
        <x:v>40877.07182320442</x:v>
      </x:c>
      <x:c r="I1327" s="37" t="n">
        <x:v>10658667.147402646</x:v>
      </x:c>
      <x:c r="J1327" s="37" t="n">
        <x:v>10699544.21922585</x:v>
      </x:c>
      <x:c r="K1327" s="37" t="n">
        <x:v>0</x:v>
      </x:c>
      <x:c r="L1327" s="37" t="n">
        <x:v>11943728.301012373</x:v>
      </x:c>
      <x:c r="M1327" s="37" t="n">
        <x:v>0</x:v>
      </x:c>
      <x:c r="N1327" s="37" t="n">
        <x:v>0</x:v>
      </x:c>
      <x:c r="O1327" s="37" t="n">
        <x:v>68.17073485208675</x:v>
      </x:c>
      <x:c r="P1327" s="37" t="n">
        <x:v>0</x:v>
      </x:c>
      <x:c r="Q1327" s="37" t="n">
        <x:v>0</x:v>
      </x:c>
      <x:c r="R1327" s="37" t="n">
        <x:v>0</x:v>
      </x:c>
      <x:c r="S1327" s="37" t="n">
        <x:v>0</x:v>
      </x:c>
      <x:c r="T1327" s="37" t="n">
        <x:v>0</x:v>
      </x:c>
      <x:c r="U1327" s="37" t="n">
        <x:v>37500</x:v>
      </x:c>
      <x:c r="V1327" s="37" t="n">
        <x:v>0</x:v>
      </x:c>
      <x:c r="W1327" s="37" t="n">
        <x:v>7726.951128644403</x:v>
      </x:c>
      <x:c r="X1327" s="37" t="n">
        <x:v>0</x:v>
      </x:c>
      <x:c r="Y1327" s="37" t="n">
        <x:v>1042.869342122179</x:v>
      </x:c>
      <x:c r="Z1327" s="37" t="n">
        <x:v>0</x:v>
      </x:c>
      <x:c r="AA1327" s="37" t="n">
        <x:v>0</x:v>
      </x:c>
      <x:c r="AB1327" s="37" t="n">
        <x:v>0</x:v>
      </x:c>
      <x:c r="AC1327" s="37" t="n">
        <x:v>1244184.0817865222</x:v>
      </x:c>
      <x:c r="AD1327" s="37" t="n">
        <x:v>0</x:v>
      </x:c>
      <x:c r="AE1327" s="37" t="n">
        <x:v>0</x:v>
      </x:c>
      <x:c r="AF1327" s="47" t="b">
        <x:v>0</x:v>
      </x:c>
      <x:c r="AG1327" s="47" t="b">
        <x:v>0</x:v>
      </x:c>
      <x:c r="AH1327" s="48" t="n">
        <x:v>0</x:v>
      </x:c>
      <x:c r="AI1327" s="48" t="n">
        <x:v>1.1920928955078125e-7</x:v>
      </x:c>
      <x:c r="AJ1327" s="37" t="str">
        <x:v>passed</x:v>
      </x:c>
    </x:row>
    <x:row r="1328" ht="21" customHeight="1">
      <x:c r="A1328" s="2"/>
      <x:c r="B1328" s="2"/>
      <x:c r="C1328" s="2" t="str">
        <x:v>2023</x:v>
      </x:c>
      <x:c r="D1328" s="5" t="n">
        <x:v>45044</x:v>
      </x:c>
      <x:c r="E1328" s="2" t="str">
        <x:v>duration</x:v>
      </x:c>
      <x:c r="F1328" s="37" t="n">
        <x:v>7737066.783443062</x:v>
      </x:c>
      <x:c r="G1328" s="37" t="n">
        <x:v>3991944.7386255125</x:v>
      </x:c>
      <x:c r="H1328" s="37" t="n">
        <x:v>-8214.46977557681</x:v>
      </x:c>
      <x:c r="I1328" s="37" t="n">
        <x:v>4000159.208401089</x:v>
      </x:c>
      <x:c r="J1328" s="37" t="n">
        <x:v>10699544.21922585</x:v>
      </x:c>
      <x:c r="K1328" s="37" t="n">
        <x:v>6707599.4806003375</x:v>
      </x:c>
      <x:c r="L1328" s="37" t="n">
        <x:v>11729011.522068575</x:v>
      </x:c>
      <x:c r="M1328" s="37" t="n">
        <x:v>0</x:v>
      </x:c>
      <x:c r="N1328" s="37" t="n">
        <x:v>0</x:v>
      </x:c>
      <x:c r="O1328" s="37" t="n">
        <x:v>423.9256360447034</x:v>
      </x:c>
      <x:c r="P1328" s="37" t="n">
        <x:v>0</x:v>
      </x:c>
      <x:c r="Q1328" s="37" t="n">
        <x:v>0</x:v>
      </x:c>
      <x:c r="R1328" s="37" t="n">
        <x:v>0</x:v>
      </x:c>
      <x:c r="S1328" s="37" t="n">
        <x:v>0</x:v>
      </x:c>
      <x:c r="T1328" s="37" t="n">
        <x:v>0</x:v>
      </x:c>
      <x:c r="U1328" s="37" t="n">
        <x:v>37500</x:v>
      </x:c>
      <x:c r="V1328" s="37" t="n">
        <x:v>0</x:v>
      </x:c>
      <x:c r="W1328" s="37" t="n">
        <x:v>49025.93536132667</x:v>
      </x:c>
      <x:c r="X1328" s="37" t="n">
        <x:v>0</x:v>
      </x:c>
      <x:c r="Y1328" s="37" t="n">
        <x:v>1721.0008871681664</x:v>
      </x:c>
      <x:c r="Z1328" s="37" t="n">
        <x:v>6841751.470212344</x:v>
      </x:c>
      <x:c r="AA1328" s="37" t="n">
        <x:v>0</x:v>
      </x:c>
      <x:c r="AB1328" s="37" t="n">
        <x:v>6841751.470212344</x:v>
      </x:c>
      <x:c r="AC1328" s="37" t="n">
        <x:v>895315.3132307176</x:v>
      </x:c>
      <x:c r="AD1328" s="37" t="n">
        <x:v>0</x:v>
      </x:c>
      <x:c r="AE1328" s="37" t="n">
        <x:v>0</x:v>
      </x:c>
      <x:c r="AF1328" s="47" t="b">
        <x:v>0</x:v>
      </x:c>
      <x:c r="AG1328" s="47" t="b">
        <x:v>0</x:v>
      </x:c>
      <x:c r="AH1328" s="48" t="n">
        <x:v>0</x:v>
      </x:c>
      <x:c r="AI1328" s="48" t="n">
        <x:v>5.960464477539063e-8</x:v>
      </x:c>
      <x:c r="AJ1328" s="37" t="str">
        <x:v>passed</x:v>
      </x:c>
    </x:row>
    <x:row r="1329" ht="21" customHeight="1">
      <x:c r="A1329" s="2"/>
      <x:c r="B1329" s="2"/>
      <x:c r="C1329" s="2" t="str">
        <x:v>2023</x:v>
      </x:c>
      <x:c r="D1329" s="5" t="n">
        <x:v>45044</x:v>
      </x:c>
      <x:c r="E1329" s="2" t="str">
        <x:v>unweighted</x:v>
      </x:c>
      <x:c r="F1329" s="37" t="n">
        <x:v>11465922.250878718</x:v>
      </x:c>
      <x:c r="G1329" s="37" t="n">
        <x:v>241956.90075605316</x:v>
      </x:c>
      <x:c r="H1329" s="37" t="n">
        <x:v>-19017.867249317595</x:v>
      </x:c>
      <x:c r="I1329" s="37" t="n">
        <x:v>260974.76800537074</x:v>
      </x:c>
      <x:c r="J1329" s="37" t="n">
        <x:v>10758218.490782358</x:v>
      </x:c>
      <x:c r="K1329" s="37" t="n">
        <x:v>10516261.590026304</x:v>
      </x:c>
      <x:c r="L1329" s="37" t="n">
        <x:v>11707879.151634771</x:v>
      </x:c>
      <x:c r="M1329" s="37" t="n">
        <x:v>0</x:v>
      </x:c>
      <x:c r="N1329" s="37" t="n">
        <x:v>0</x:v>
      </x:c>
      <x:c r="O1329" s="37" t="n">
        <x:v>628.2352885268629</x:v>
      </x:c>
      <x:c r="P1329" s="37" t="n">
        <x:v>0</x:v>
      </x:c>
      <x:c r="Q1329" s="37" t="n">
        <x:v>0</x:v>
      </x:c>
      <x:c r="R1329" s="37" t="n">
        <x:v>0</x:v>
      </x:c>
      <x:c r="S1329" s="37" t="n">
        <x:v>0</x:v>
      </x:c>
      <x:c r="T1329" s="37" t="n">
        <x:v>0</x:v>
      </x:c>
      <x:c r="U1329" s="37" t="n">
        <x:v>37500</x:v>
      </x:c>
      <x:c r="V1329" s="37" t="n">
        <x:v>0</x:v>
      </x:c>
      <x:c r="W1329" s="37" t="n">
        <x:v>70137.00553297624</x:v>
      </x:c>
      <x:c r="X1329" s="37" t="n">
        <x:v>0</x:v>
      </x:c>
      <x:c r="Y1329" s="37" t="n">
        <x:v>2070.2825714373325</x:v>
      </x:c>
      <x:c r="Z1329" s="37" t="n">
        <x:v>10726586.82182683</x:v>
      </x:c>
      <x:c r="AA1329" s="37" t="n">
        <x:v>0</x:v>
      </x:c>
      <x:c r="AB1329" s="37" t="n">
        <x:v>10726586.82182683</x:v>
      </x:c>
      <x:c r="AC1329" s="37" t="n">
        <x:v>739335.4290518872</x:v>
      </x:c>
      <x:c r="AD1329" s="37" t="n">
        <x:v>0</x:v>
      </x:c>
      <x:c r="AE1329" s="37" t="n">
        <x:v>0</x:v>
      </x:c>
      <x:c r="AF1329" s="47" t="b">
        <x:v>0</x:v>
      </x:c>
      <x:c r="AG1329" s="47" t="b">
        <x:v>0</x:v>
      </x:c>
      <x:c r="AH1329" s="48" t="n">
        <x:v>0</x:v>
      </x:c>
      <x:c r="AI1329" s="48" t="n">
        <x:v>1.1920928955078125e-7</x:v>
      </x:c>
      <x:c r="AJ1329" s="37" t="str">
        <x:v>passed</x:v>
      </x:c>
    </x:row>
    <x:row r="1330" ht="21" customHeight="1">
      <x:c r="A1330" s="2"/>
      <x:c r="B1330" s="2"/>
      <x:c r="C1330" s="2" t="str">
        <x:v>2023</x:v>
      </x:c>
      <x:c r="D1330" s="5" t="n">
        <x:v>45044</x:v>
      </x:c>
      <x:c r="E1330" s="2" t="str">
        <x:v>constrained</x:v>
      </x:c>
      <x:c r="F1330" s="37" t="n">
        <x:v>11851456.875860985</x:v>
      </x:c>
      <x:c r="G1330" s="37" t="n">
        <x:v>-150777.9425984666</x:v>
      </x:c>
      <x:c r="H1330" s="37" t="n">
        <x:v>-20285.158133343906</x:v>
      </x:c>
      <x:c r="I1330" s="37" t="n">
        <x:v>-130492.78446512268</x:v>
      </x:c>
      <x:c r="J1330" s="37" t="n">
        <x:v>10759319.651137332</x:v>
      </x:c>
      <x:c r="K1330" s="37" t="n">
        <x:v>10910097.593735797</x:v>
      </x:c>
      <x:c r="L1330" s="37" t="n">
        <x:v>11700678.93326252</x:v>
      </x:c>
      <x:c r="M1330" s="37" t="n">
        <x:v>0</x:v>
      </x:c>
      <x:c r="N1330" s="37" t="n">
        <x:v>0</x:v>
      </x:c>
      <x:c r="O1330" s="37" t="n">
        <x:v>649.3593159746379</x:v>
      </x:c>
      <x:c r="P1330" s="37" t="n">
        <x:v>0</x:v>
      </x:c>
      <x:c r="Q1330" s="37" t="n">
        <x:v>0</x:v>
      </x:c>
      <x:c r="R1330" s="37" t="n">
        <x:v>0</x:v>
      </x:c>
      <x:c r="S1330" s="37" t="n">
        <x:v>0</x:v>
      </x:c>
      <x:c r="T1330" s="37" t="n">
        <x:v>0</x:v>
      </x:c>
      <x:c r="U1330" s="37" t="n">
        <x:v>37500</x:v>
      </x:c>
      <x:c r="V1330" s="37" t="n">
        <x:v>0</x:v>
      </x:c>
      <x:c r="W1330" s="37" t="n">
        <x:v>73938.70834884048</x:v>
      </x:c>
      <x:c r="X1330" s="37" t="n">
        <x:v>0</x:v>
      </x:c>
      <x:c r="Y1330" s="37" t="n">
        <x:v>2126.5234819721045</x:v>
      </x:c>
      <x:c r="Z1330" s="37" t="n">
        <x:v>11128299.545610514</x:v>
      </x:c>
      <x:c r="AA1330" s="37" t="n">
        <x:v>0</x:v>
      </x:c>
      <x:c r="AB1330" s="37" t="n">
        <x:v>11128299.545610514</x:v>
      </x:c>
      <x:c r="AC1330" s="37" t="n">
        <x:v>723157.3302504718</x:v>
      </x:c>
      <x:c r="AD1330" s="37" t="n">
        <x:v>0</x:v>
      </x:c>
      <x:c r="AE1330" s="37" t="n">
        <x:v>0</x:v>
      </x:c>
      <x:c r="AF1330" s="47" t="b">
        <x:v>0</x:v>
      </x:c>
      <x:c r="AG1330" s="47" t="b">
        <x:v>0</x:v>
      </x:c>
      <x:c r="AH1330" s="48" t="n">
        <x:v>0</x:v>
      </x:c>
      <x:c r="AI1330" s="48" t="n">
        <x:v>1.1920928955078125e-7</x:v>
      </x:c>
      <x:c r="AJ1330" s="37" t="str">
        <x:v>passed</x:v>
      </x:c>
    </x:row>
    <x:row r="1331" ht="21" customHeight="1">
      <x:c r="A1331" s="2"/>
      <x:c r="B1331" s="2"/>
      <x:c r="C1331" s="2" t="str">
        <x:v>2023</x:v>
      </x:c>
      <x:c r="D1331" s="5" t="n">
        <x:v>45047</x:v>
      </x:c>
      <x:c r="E1331" s="2" t="str">
        <x:v>unhedged</x:v>
      </x:c>
      <x:c r="F1331" s="37" t="n">
        <x:v>1270638.6164041942</x:v>
      </x:c>
      <x:c r="G1331" s="37" t="n">
        <x:v>10611294.794434482</x:v>
      </x:c>
      <x:c r="H1331" s="37" t="n">
        <x:v>15681.337076627433</x:v>
      </x:c>
      <x:c r="I1331" s="37" t="n">
        <x:v>10595613.457357856</x:v>
      </x:c>
      <x:c r="J1331" s="37" t="n">
        <x:v>10611294.794434482</x:v>
      </x:c>
      <x:c r="K1331" s="37" t="n">
        <x:v>0</x:v>
      </x:c>
      <x:c r="L1331" s="37" t="n">
        <x:v>11881933.410838677</x:v>
      </x:c>
      <x:c r="M1331" s="37" t="n">
        <x:v>26250</x:v>
      </x:c>
      <x:c r="N1331" s="37" t="n">
        <x:v>0</x:v>
      </x:c>
      <x:c r="O1331" s="37" t="n">
        <x:v>204.53461767197587</x:v>
      </x:c>
      <x:c r="P1331" s="37" t="n">
        <x:v>0</x:v>
      </x:c>
      <x:c r="Q1331" s="37" t="n">
        <x:v>0</x:v>
      </x:c>
      <x:c r="R1331" s="37" t="n">
        <x:v>0</x:v>
      </x:c>
      <x:c r="S1331" s="37" t="n">
        <x:v>0</x:v>
      </x:c>
      <x:c r="T1331" s="37" t="n">
        <x:v>0</x:v>
      </x:c>
      <x:c r="U1331" s="37" t="n">
        <x:v>63750</x:v>
      </x:c>
      <x:c r="V1331" s="37" t="n">
        <x:v>0</x:v>
      </x:c>
      <x:c r="W1331" s="37" t="n">
        <x:v>7931.485746316379</x:v>
      </x:c>
      <x:c r="X1331" s="37" t="n">
        <x:v>0</x:v>
      </x:c>
      <x:c r="Y1331" s="37" t="n">
        <x:v>1042.869342122179</x:v>
      </x:c>
      <x:c r="Z1331" s="37" t="n">
        <x:v>0</x:v>
      </x:c>
      <x:c r="AA1331" s="37" t="n">
        <x:v>0</x:v>
      </x:c>
      <x:c r="AB1331" s="37" t="n">
        <x:v>0</x:v>
      </x:c>
      <x:c r="AC1331" s="37" t="n">
        <x:v>1270638.6164041942</x:v>
      </x:c>
      <x:c r="AD1331" s="37" t="n">
        <x:v>0</x:v>
      </x:c>
      <x:c r="AE1331" s="37" t="n">
        <x:v>0</x:v>
      </x:c>
      <x:c r="AF1331" s="47" t="b">
        <x:v>0</x:v>
      </x:c>
      <x:c r="AG1331" s="47" t="b">
        <x:v>0</x:v>
      </x:c>
      <x:c r="AH1331" s="48" t="n">
        <x:v>0</x:v>
      </x:c>
      <x:c r="AI1331" s="48" t="n">
        <x:v>1.1920928955078125e-7</x:v>
      </x:c>
      <x:c r="AJ1331" s="37" t="str">
        <x:v>passed</x:v>
      </x:c>
    </x:row>
    <x:row r="1332" ht="21" customHeight="1">
      <x:c r="A1332" s="2"/>
      <x:c r="B1332" s="2"/>
      <x:c r="C1332" s="2" t="str">
        <x:v>2023</x:v>
      </x:c>
      <x:c r="D1332" s="5" t="n">
        <x:v>45047</x:v>
      </x:c>
      <x:c r="E1332" s="2" t="str">
        <x:v>duration</x:v>
      </x:c>
      <x:c r="F1332" s="37" t="n">
        <x:v>7721982.0542885335</x:v>
      </x:c>
      <x:c r="G1332" s="37" t="n">
        <x:v>4015013.554962948</x:v>
      </x:c>
      <x:c r="H1332" s="37" t="n">
        <x:v>-33987.43249855324</x:v>
      </x:c>
      <x:c r="I1332" s="37" t="n">
        <x:v>4049000.9874615013</x:v>
      </x:c>
      <x:c r="J1332" s="37" t="n">
        <x:v>10611294.794434482</x:v>
      </x:c>
      <x:c r="K1332" s="37" t="n">
        <x:v>6596281.239471534</x:v>
      </x:c>
      <x:c r="L1332" s="37" t="n">
        <x:v>11736995.60925148</x:v>
      </x:c>
      <x:c r="M1332" s="37" t="n">
        <x:v>26250</x:v>
      </x:c>
      <x:c r="N1332" s="37" t="n">
        <x:v>0</x:v>
      </x:c>
      <x:c r="O1332" s="37" t="n">
        <x:v>1271.9162860373035</x:v>
      </x:c>
      <x:c r="P1332" s="37" t="n">
        <x:v>0</x:v>
      </x:c>
      <x:c r="Q1332" s="37" t="n">
        <x:v>4.260238520204532</x:v>
      </x:c>
      <x:c r="R1332" s="37" t="n">
        <x:v>-42602.38520204532</x:v>
      </x:c>
      <x:c r="S1332" s="37" t="n">
        <x:v>42602.38520204532</x:v>
      </x:c>
      <x:c r="T1332" s="37" t="n">
        <x:v>0</x:v>
      </x:c>
      <x:c r="U1332" s="37" t="n">
        <x:v>63750</x:v>
      </x:c>
      <x:c r="V1332" s="37" t="n">
        <x:v>0</x:v>
      </x:c>
      <x:c r="W1332" s="37" t="n">
        <x:v>50297.851647363976</x:v>
      </x:c>
      <x:c r="X1332" s="37" t="n">
        <x:v>0</x:v>
      </x:c>
      <x:c r="Y1332" s="37" t="n">
        <x:v>1725.2611256883708</x:v>
      </x:c>
      <x:c r="Z1332" s="37" t="n">
        <x:v>6728206.864260965</x:v>
      </x:c>
      <x:c r="AA1332" s="37" t="n">
        <x:v>0</x:v>
      </x:c>
      <x:c r="AB1332" s="37" t="n">
        <x:v>6728206.864260965</x:v>
      </x:c>
      <x:c r="AC1332" s="37" t="n">
        <x:v>993775.1900275685</x:v>
      </x:c>
      <x:c r="AD1332" s="37" t="n">
        <x:v>0</x:v>
      </x:c>
      <x:c r="AE1332" s="37" t="n">
        <x:v>0</x:v>
      </x:c>
      <x:c r="AF1332" s="47" t="b">
        <x:v>0</x:v>
      </x:c>
      <x:c r="AG1332" s="47" t="b">
        <x:v>0</x:v>
      </x:c>
      <x:c r="AH1332" s="48" t="n">
        <x:v>1.0195666533263648e-10</x:v>
      </x:c>
      <x:c r="AI1332" s="48" t="n">
        <x:v>5.960464477539063e-8</x:v>
      </x:c>
      <x:c r="AJ1332" s="37" t="str">
        <x:v>passed</x:v>
      </x:c>
    </x:row>
    <x:row r="1333" ht="21" customHeight="1">
      <x:c r="A1333" s="2"/>
      <x:c r="B1333" s="2"/>
      <x:c r="C1333" s="2" t="str">
        <x:v>2023</x:v>
      </x:c>
      <x:c r="D1333" s="5" t="n">
        <x:v>45047</x:v>
      </x:c>
      <x:c r="E1333" s="2" t="str">
        <x:v>unweighted</x:v>
      </x:c>
      <x:c r="F1333" s="37" t="n">
        <x:v>11592010.5673004</x:v>
      </x:c>
      <x:c r="G1333" s="37" t="n">
        <x:v>117162.79332106205</x:v>
      </x:c>
      <x:c r="H1333" s="37" t="n">
        <x:v>-45766.67279784339</x:v>
      </x:c>
      <x:c r="I1333" s="37" t="n">
        <x:v>162929.46611890546</x:v>
      </x:c>
      <x:c r="J1333" s="37" t="n">
        <x:v>10675989.206240715</x:v>
      </x:c>
      <x:c r="K1333" s="37" t="n">
        <x:v>10558826.412919654</x:v>
      </x:c>
      <x:c r="L1333" s="37" t="n">
        <x:v>11709173.360621462</x:v>
      </x:c>
      <x:c r="M1333" s="37" t="n">
        <x:v>26250</x:v>
      </x:c>
      <x:c r="N1333" s="37" t="n">
        <x:v>0</x:v>
      </x:c>
      <x:c r="O1333" s="37" t="n">
        <x:v>1884.9124162308872</x:v>
      </x:c>
      <x:c r="P1333" s="37" t="n">
        <x:v>0</x:v>
      </x:c>
      <x:c r="Q1333" s="37" t="n">
        <x:v>11.26248060928188</x:v>
      </x:c>
      <x:c r="R1333" s="37" t="n">
        <x:v>97964.66648606096</x:v>
      </x:c>
      <x:c r="S1333" s="37" t="n">
        <x:v>112624.80609281879</x:v>
      </x:c>
      <x:c r="T1333" s="37" t="n">
        <x:v>0</x:v>
      </x:c>
      <x:c r="U1333" s="37" t="n">
        <x:v>63750</x:v>
      </x:c>
      <x:c r="V1333" s="37" t="n">
        <x:v>0</x:v>
      </x:c>
      <x:c r="W1333" s="37" t="n">
        <x:v>72021.91794920713</x:v>
      </x:c>
      <x:c r="X1333" s="37" t="n">
        <x:v>0</x:v>
      </x:c>
      <x:c r="Y1333" s="37" t="n">
        <x:v>2081.5450520466143</x:v>
      </x:c>
      <x:c r="Z1333" s="37" t="n">
        <x:v>10770002.941178046</x:v>
      </x:c>
      <x:c r="AA1333" s="37" t="n">
        <x:v>0</x:v>
      </x:c>
      <x:c r="AB1333" s="37" t="n">
        <x:v>10770002.941178046</x:v>
      </x:c>
      <x:c r="AC1333" s="37" t="n">
        <x:v>822007.6261223536</x:v>
      </x:c>
      <x:c r="AD1333" s="37" t="n">
        <x:v>0</x:v>
      </x:c>
      <x:c r="AE1333" s="37" t="n">
        <x:v>0</x:v>
      </x:c>
      <x:c r="AF1333" s="47" t="b">
        <x:v>0</x:v>
      </x:c>
      <x:c r="AG1333" s="47" t="b">
        <x:v>0</x:v>
      </x:c>
      <x:c r="AH1333" s="48" t="n">
        <x:v>-5.501021860254696e-10</x:v>
      </x:c>
      <x:c r="AI1333" s="48" t="n">
        <x:v>1.1920928955078125e-7</x:v>
      </x:c>
      <x:c r="AJ1333" s="37" t="str">
        <x:v>passed</x:v>
      </x:c>
    </x:row>
    <x:row r="1334" ht="21" customHeight="1">
      <x:c r="A1334" s="2"/>
      <x:c r="B1334" s="2"/>
      <x:c r="C1334" s="2" t="str">
        <x:v>2023</x:v>
      </x:c>
      <x:c r="D1334" s="5" t="n">
        <x:v>45047</x:v>
      </x:c>
      <x:c r="E1334" s="2" t="str">
        <x:v>constrained</x:v>
      </x:c>
      <x:c r="F1334" s="37" t="n">
        <x:v>11893902.770450769</x:v>
      </x:c>
      <x:c r="G1334" s="37" t="n">
        <x:v>-191472.34191196744</x:v>
      </x:c>
      <x:c r="H1334" s="37" t="n">
        <x:v>-46658.03149060965</x:v>
      </x:c>
      <x:c r="I1334" s="37" t="n">
        <x:v>-144814.3104213578</x:v>
      </x:c>
      <x:c r="J1334" s="37" t="n">
        <x:v>10679507.816948563</x:v>
      </x:c>
      <x:c r="K1334" s="37" t="n">
        <x:v>10870980.15886053</x:v>
      </x:c>
      <x:c r="L1334" s="37" t="n">
        <x:v>11702430.428538801</x:v>
      </x:c>
      <x:c r="M1334" s="37" t="n">
        <x:v>26250</x:v>
      </x:c>
      <x:c r="N1334" s="37" t="n">
        <x:v>0</x:v>
      </x:c>
      <x:c r="O1334" s="37" t="n">
        <x:v>1948.29144372046</x:v>
      </x:c>
      <x:c r="P1334" s="37" t="n">
        <x:v>0</x:v>
      </x:c>
      <x:c r="Q1334" s="37" t="n">
        <x:v>7.5907242598476925</x:v>
      </x:c>
      <x:c r="R1334" s="37" t="n">
        <x:v>14255.193870323574</x:v>
      </x:c>
      <x:c r="S1334" s="37" t="n">
        <x:v>75907.24259847692</x:v>
      </x:c>
      <x:c r="T1334" s="37" t="n">
        <x:v>0</x:v>
      </x:c>
      <x:c r="U1334" s="37" t="n">
        <x:v>63750</x:v>
      </x:c>
      <x:c r="V1334" s="37" t="n">
        <x:v>0</x:v>
      </x:c>
      <x:c r="W1334" s="37" t="n">
        <x:v>75886.99979256094</x:v>
      </x:c>
      <x:c r="X1334" s="37" t="n">
        <x:v>0</x:v>
      </x:c>
      <x:c r="Y1334" s="37" t="n">
        <x:v>2134.1142062319523</x:v>
      </x:c>
      <x:c r="Z1334" s="37" t="n">
        <x:v>11088399.762037741</x:v>
      </x:c>
      <x:c r="AA1334" s="37" t="n">
        <x:v>0</x:v>
      </x:c>
      <x:c r="AB1334" s="37" t="n">
        <x:v>11088399.762037741</x:v>
      </x:c>
      <x:c r="AC1334" s="37" t="n">
        <x:v>805503.008413028</x:v>
      </x:c>
      <x:c r="AD1334" s="37" t="n">
        <x:v>0</x:v>
      </x:c>
      <x:c r="AE1334" s="37" t="n">
        <x:v>0</x:v>
      </x:c>
      <x:c r="AF1334" s="47" t="b">
        <x:v>0</x:v>
      </x:c>
      <x:c r="AG1334" s="47" t="b">
        <x:v>0</x:v>
      </x:c>
      <x:c r="AH1334" s="48" t="n">
        <x:v>-5.621503262887018e-10</x:v>
      </x:c>
      <x:c r="AI1334" s="48" t="n">
        <x:v>1.1920928955078125e-7</x:v>
      </x:c>
      <x:c r="AJ1334" s="37" t="str">
        <x:v>passed</x:v>
      </x:c>
    </x:row>
    <x:row r="1335" ht="21" customHeight="1">
      <x:c r="A1335" s="2"/>
      <x:c r="B1335" s="2"/>
      <x:c r="C1335" s="2" t="str">
        <x:v>2023</x:v>
      </x:c>
      <x:c r="D1335" s="5" t="n">
        <x:v>45048</x:v>
      </x:c>
      <x:c r="E1335" s="2" t="str">
        <x:v>unhedged</x:v>
      </x:c>
      <x:c r="F1335" s="37" t="n">
        <x:v>1270708.2404379698</x:v>
      </x:c>
      <x:c r="G1335" s="37" t="n">
        <x:v>10698947.92296334</x:v>
      </x:c>
      <x:c r="H1335" s="37" t="n">
        <x:v>16031.182440547682</x:v>
      </x:c>
      <x:c r="I1335" s="37" t="n">
        <x:v>10682916.740522793</x:v>
      </x:c>
      <x:c r="J1335" s="37" t="n">
        <x:v>10698947.92296334</x:v>
      </x:c>
      <x:c r="K1335" s="37" t="n">
        <x:v>0</x:v>
      </x:c>
      <x:c r="L1335" s="37" t="n">
        <x:v>11969656.16340131</x:v>
      </x:c>
      <x:c r="M1335" s="37" t="n">
        <x:v>0</x:v>
      </x:c>
      <x:c r="N1335" s="37" t="n">
        <x:v>0</x:v>
      </x:c>
      <x:c r="O1335" s="37" t="n">
        <x:v>69.62403377564624</x:v>
      </x:c>
      <x:c r="P1335" s="37" t="n">
        <x:v>0</x:v>
      </x:c>
      <x:c r="Q1335" s="37" t="n">
        <x:v>0</x:v>
      </x:c>
      <x:c r="R1335" s="37" t="n">
        <x:v>0</x:v>
      </x:c>
      <x:c r="S1335" s="37" t="n">
        <x:v>0</x:v>
      </x:c>
      <x:c r="T1335" s="37" t="n">
        <x:v>0</x:v>
      </x:c>
      <x:c r="U1335" s="37" t="n">
        <x:v>63750</x:v>
      </x:c>
      <x:c r="V1335" s="37" t="n">
        <x:v>0</x:v>
      </x:c>
      <x:c r="W1335" s="37" t="n">
        <x:v>8001.109780092025</x:v>
      </x:c>
      <x:c r="X1335" s="37" t="n">
        <x:v>0</x:v>
      </x:c>
      <x:c r="Y1335" s="37" t="n">
        <x:v>1042.869342122179</x:v>
      </x:c>
      <x:c r="Z1335" s="37" t="n">
        <x:v>0</x:v>
      </x:c>
      <x:c r="AA1335" s="37" t="n">
        <x:v>0</x:v>
      </x:c>
      <x:c r="AB1335" s="37" t="n">
        <x:v>0</x:v>
      </x:c>
      <x:c r="AC1335" s="37" t="n">
        <x:v>1270708.2404379698</x:v>
      </x:c>
      <x:c r="AD1335" s="37" t="n">
        <x:v>0</x:v>
      </x:c>
      <x:c r="AE1335" s="37" t="n">
        <x:v>0</x:v>
      </x:c>
      <x:c r="AF1335" s="47" t="b">
        <x:v>0</x:v>
      </x:c>
      <x:c r="AG1335" s="47" t="b">
        <x:v>0</x:v>
      </x:c>
      <x:c r="AH1335" s="48" t="n">
        <x:v>0</x:v>
      </x:c>
      <x:c r="AI1335" s="48" t="n">
        <x:v>1.1920928955078125e-7</x:v>
      </x:c>
      <x:c r="AJ1335" s="37" t="str">
        <x:v>passed</x:v>
      </x:c>
    </x:row>
    <x:row r="1336" ht="21" customHeight="1">
      <x:c r="A1336" s="2"/>
      <x:c r="B1336" s="2"/>
      <x:c r="C1336" s="2" t="str">
        <x:v>2023</x:v>
      </x:c>
      <x:c r="D1336" s="5" t="n">
        <x:v>45048</x:v>
      </x:c>
      <x:c r="E1336" s="2" t="str">
        <x:v>duration</x:v>
      </x:c>
      <x:c r="F1336" s="37" t="n">
        <x:v>7722405.176592879</x:v>
      </x:c>
      <x:c r="G1336" s="37" t="n">
        <x:v>4017334.4859005846</x:v>
      </x:c>
      <x:c r="H1336" s="37" t="n">
        <x:v>-33935.004916520295</x:v>
      </x:c>
      <x:c r="I1336" s="37" t="n">
        <x:v>4051269.490817105</x:v>
      </x:c>
      <x:c r="J1336" s="37" t="n">
        <x:v>10698947.92296334</x:v>
      </x:c>
      <x:c r="K1336" s="37" t="n">
        <x:v>6681613.437062755</x:v>
      </x:c>
      <x:c r="L1336" s="37" t="n">
        <x:v>11739739.662493464</x:v>
      </x:c>
      <x:c r="M1336" s="37" t="n">
        <x:v>0</x:v>
      </x:c>
      <x:c r="N1336" s="37" t="n">
        <x:v>0</x:v>
      </x:c>
      <x:c r="O1336" s="37" t="n">
        <x:v>423.1223043454811</x:v>
      </x:c>
      <x:c r="P1336" s="37" t="n">
        <x:v>0</x:v>
      </x:c>
      <x:c r="Q1336" s="37" t="n">
        <x:v>0</x:v>
      </x:c>
      <x:c r="R1336" s="37" t="n">
        <x:v>0</x:v>
      </x:c>
      <x:c r="S1336" s="37" t="n">
        <x:v>0</x:v>
      </x:c>
      <x:c r="T1336" s="37" t="n">
        <x:v>0</x:v>
      </x:c>
      <x:c r="U1336" s="37" t="n">
        <x:v>63750</x:v>
      </x:c>
      <x:c r="V1336" s="37" t="n">
        <x:v>0</x:v>
      </x:c>
      <x:c r="W1336" s="37" t="n">
        <x:v>50720.97395170946</x:v>
      </x:c>
      <x:c r="X1336" s="37" t="n">
        <x:v>0</x:v>
      </x:c>
      <x:c r="Y1336" s="37" t="n">
        <x:v>1725.2611256883708</x:v>
      </x:c>
      <x:c r="Z1336" s="37" t="n">
        <x:v>6815245.705804011</x:v>
      </x:c>
      <x:c r="AA1336" s="37" t="n">
        <x:v>0</x:v>
      </x:c>
      <x:c r="AB1336" s="37" t="n">
        <x:v>6815245.705804011</x:v>
      </x:c>
      <x:c r="AC1336" s="37" t="n">
        <x:v>907159.4707888681</x:v>
      </x:c>
      <x:c r="AD1336" s="37" t="n">
        <x:v>0</x:v>
      </x:c>
      <x:c r="AE1336" s="37" t="n">
        <x:v>0</x:v>
      </x:c>
      <x:c r="AF1336" s="47" t="b">
        <x:v>0</x:v>
      </x:c>
      <x:c r="AG1336" s="47" t="b">
        <x:v>0</x:v>
      </x:c>
      <x:c r="AH1336" s="48" t="n">
        <x:v>0</x:v>
      </x:c>
      <x:c r="AI1336" s="48" t="n">
        <x:v>5.960464477539063e-8</x:v>
      </x:c>
      <x:c r="AJ1336" s="37" t="str">
        <x:v>passed</x:v>
      </x:c>
    </x:row>
    <x:row r="1337" ht="21" customHeight="1">
      <x:c r="A1337" s="2"/>
      <x:c r="B1337" s="2"/>
      <x:c r="C1337" s="2" t="str">
        <x:v>2023</x:v>
      </x:c>
      <x:c r="D1337" s="5" t="n">
        <x:v>45048</x:v>
      </x:c>
      <x:c r="E1337" s="2" t="str">
        <x:v>unweighted</x:v>
      </x:c>
      <x:c r="F1337" s="37" t="n">
        <x:v>11592645.745961623</x:v>
      </x:c>
      <x:c r="G1337" s="37" t="n">
        <x:v>117778.78720764186</x:v>
      </x:c>
      <x:c r="H1337" s="37" t="n">
        <x:v>-45799.58626375417</x:v>
      </x:c>
      <x:c r="I1337" s="37" t="n">
        <x:v>163578.37347139604</x:v>
      </x:c>
      <x:c r="J1337" s="37" t="n">
        <x:v>10764905.370603118</x:v>
      </x:c>
      <x:c r="K1337" s="37" t="n">
        <x:v>10647126.583395476</x:v>
      </x:c>
      <x:c r="L1337" s="37" t="n">
        <x:v>11710424.533169266</x:v>
      </x:c>
      <x:c r="M1337" s="37" t="n">
        <x:v>0</x:v>
      </x:c>
      <x:c r="N1337" s="37" t="n">
        <x:v>0</x:v>
      </x:c>
      <x:c r="O1337" s="37" t="n">
        <x:v>635.178661223501</x:v>
      </x:c>
      <x:c r="P1337" s="37" t="n">
        <x:v>0</x:v>
      </x:c>
      <x:c r="Q1337" s="37" t="n">
        <x:v>0</x:v>
      </x:c>
      <x:c r="R1337" s="37" t="n">
        <x:v>0</x:v>
      </x:c>
      <x:c r="S1337" s="37" t="n">
        <x:v>0</x:v>
      </x:c>
      <x:c r="T1337" s="37" t="n">
        <x:v>0</x:v>
      </x:c>
      <x:c r="U1337" s="37" t="n">
        <x:v>63750</x:v>
      </x:c>
      <x:c r="V1337" s="37" t="n">
        <x:v>0</x:v>
      </x:c>
      <x:c r="W1337" s="37" t="n">
        <x:v>72657.09661043063</x:v>
      </x:c>
      <x:c r="X1337" s="37" t="n">
        <x:v>0</x:v>
      </x:c>
      <x:c r="Y1337" s="37" t="n">
        <x:v>2081.5450520466143</x:v>
      </x:c>
      <x:c r="Z1337" s="37" t="n">
        <x:v>10860069.115063386</x:v>
      </x:c>
      <x:c r="AA1337" s="37" t="n">
        <x:v>0</x:v>
      </x:c>
      <x:c r="AB1337" s="37" t="n">
        <x:v>10860069.115063386</x:v>
      </x:c>
      <x:c r="AC1337" s="37" t="n">
        <x:v>732576.6308982372</x:v>
      </x:c>
      <x:c r="AD1337" s="37" t="n">
        <x:v>0</x:v>
      </x:c>
      <x:c r="AE1337" s="37" t="n">
        <x:v>0</x:v>
      </x:c>
      <x:c r="AF1337" s="47" t="b">
        <x:v>0</x:v>
      </x:c>
      <x:c r="AG1337" s="47" t="b">
        <x:v>0</x:v>
      </x:c>
      <x:c r="AH1337" s="48" t="n">
        <x:v>0</x:v>
      </x:c>
      <x:c r="AI1337" s="48" t="n">
        <x:v>1.1920928955078125e-7</x:v>
      </x:c>
      <x:c r="AJ1337" s="37" t="str">
        <x:v>passed</x:v>
      </x:c>
    </x:row>
    <x:row r="1338" ht="21" customHeight="1">
      <x:c r="A1338" s="2"/>
      <x:c r="B1338" s="2"/>
      <x:c r="C1338" s="2" t="str">
        <x:v>2023</x:v>
      </x:c>
      <x:c r="D1338" s="5" t="n">
        <x:v>45048</x:v>
      </x:c>
      <x:c r="E1338" s="2" t="str">
        <x:v>constrained</x:v>
      </x:c>
      <x:c r="F1338" s="37" t="n">
        <x:v>11894554.49115052</x:v>
      </x:c>
      <x:c r="G1338" s="37" t="n">
        <x:v>-191346.947790543</x:v>
      </x:c>
      <x:c r="H1338" s="37" t="n">
        <x:v>-46696.90322908535</x:v>
      </x:c>
      <x:c r="I1338" s="37" t="n">
        <x:v>-144650.04456145765</x:v>
      </x:c>
      <x:c r="J1338" s="37" t="n">
        <x:v>10768492.675519386</x:v>
      </x:c>
      <x:c r="K1338" s="37" t="n">
        <x:v>10959839.623309929</x:v>
      </x:c>
      <x:c r="L1338" s="37" t="n">
        <x:v>11703207.543359978</x:v>
      </x:c>
      <x:c r="M1338" s="37" t="n">
        <x:v>0</x:v>
      </x:c>
      <x:c r="N1338" s="37" t="n">
        <x:v>0</x:v>
      </x:c>
      <x:c r="O1338" s="37" t="n">
        <x:v>651.7206997517496</x:v>
      </x:c>
      <x:c r="P1338" s="37" t="n">
        <x:v>0</x:v>
      </x:c>
      <x:c r="Q1338" s="37" t="n">
        <x:v>0</x:v>
      </x:c>
      <x:c r="R1338" s="37" t="n">
        <x:v>0</x:v>
      </x:c>
      <x:c r="S1338" s="37" t="n">
        <x:v>0</x:v>
      </x:c>
      <x:c r="T1338" s="37" t="n">
        <x:v>0</x:v>
      </x:c>
      <x:c r="U1338" s="37" t="n">
        <x:v>63750</x:v>
      </x:c>
      <x:c r="V1338" s="37" t="n">
        <x:v>0</x:v>
      </x:c>
      <x:c r="W1338" s="37" t="n">
        <x:v>76538.72049231268</x:v>
      </x:c>
      <x:c r="X1338" s="37" t="n">
        <x:v>0</x:v>
      </x:c>
      <x:c r="Y1338" s="37" t="n">
        <x:v>2134.1142062319523</x:v>
      </x:c>
      <x:c r="Z1338" s="37" t="n">
        <x:v>11179036.415776128</x:v>
      </x:c>
      <x:c r="AA1338" s="37" t="n">
        <x:v>0</x:v>
      </x:c>
      <x:c r="AB1338" s="37" t="n">
        <x:v>11179036.415776128</x:v>
      </x:c>
      <x:c r="AC1338" s="37" t="n">
        <x:v>715518.0753743928</x:v>
      </x:c>
      <x:c r="AD1338" s="37" t="n">
        <x:v>0</x:v>
      </x:c>
      <x:c r="AE1338" s="37" t="n">
        <x:v>0</x:v>
      </x:c>
      <x:c r="AF1338" s="47" t="b">
        <x:v>0</x:v>
      </x:c>
      <x:c r="AG1338" s="47" t="b">
        <x:v>0</x:v>
      </x:c>
      <x:c r="AH1338" s="48" t="n">
        <x:v>0</x:v>
      </x:c>
      <x:c r="AI1338" s="48" t="n">
        <x:v>1.1920928955078125e-7</x:v>
      </x:c>
      <x:c r="AJ1338" s="37" t="str">
        <x:v>passed</x:v>
      </x:c>
    </x:row>
    <x:row r="1339" ht="21" customHeight="1">
      <x:c r="A1339" s="2"/>
      <x:c r="B1339" s="2"/>
      <x:c r="C1339" s="2" t="str">
        <x:v>2023</x:v>
      </x:c>
      <x:c r="D1339" s="5" t="n">
        <x:v>45049</x:v>
      </x:c>
      <x:c r="E1339" s="2" t="str">
        <x:v>unhedged</x:v>
      </x:c>
      <x:c r="F1339" s="37" t="n">
        <x:v>1270777.868286761</x:v>
      </x:c>
      <x:c r="G1339" s="37" t="n">
        <x:v>10736430.140135117</x:v>
      </x:c>
      <x:c r="H1339" s="37" t="n">
        <x:v>16381.027804467929</x:v>
      </x:c>
      <x:c r="I1339" s="37" t="n">
        <x:v>10720049.112330649</x:v>
      </x:c>
      <x:c r="J1339" s="37" t="n">
        <x:v>10736430.140135117</x:v>
      </x:c>
      <x:c r="K1339" s="37" t="n">
        <x:v>0</x:v>
      </x:c>
      <x:c r="L1339" s="37" t="n">
        <x:v>12007208.008421877</x:v>
      </x:c>
      <x:c r="M1339" s="37" t="n">
        <x:v>0</x:v>
      </x:c>
      <x:c r="N1339" s="37" t="n">
        <x:v>0</x:v>
      </x:c>
      <x:c r="O1339" s="37" t="n">
        <x:v>69.62784879119135</x:v>
      </x:c>
      <x:c r="P1339" s="37" t="n">
        <x:v>0</x:v>
      </x:c>
      <x:c r="Q1339" s="37" t="n">
        <x:v>0</x:v>
      </x:c>
      <x:c r="R1339" s="37" t="n">
        <x:v>0</x:v>
      </x:c>
      <x:c r="S1339" s="37" t="n">
        <x:v>0</x:v>
      </x:c>
      <x:c r="T1339" s="37" t="n">
        <x:v>0</x:v>
      </x:c>
      <x:c r="U1339" s="37" t="n">
        <x:v>63750</x:v>
      </x:c>
      <x:c r="V1339" s="37" t="n">
        <x:v>0</x:v>
      </x:c>
      <x:c r="W1339" s="37" t="n">
        <x:v>8070.7376288832165</x:v>
      </x:c>
      <x:c r="X1339" s="37" t="n">
        <x:v>0</x:v>
      </x:c>
      <x:c r="Y1339" s="37" t="n">
        <x:v>1042.869342122179</x:v>
      </x:c>
      <x:c r="Z1339" s="37" t="n">
        <x:v>0</x:v>
      </x:c>
      <x:c r="AA1339" s="37" t="n">
        <x:v>0</x:v>
      </x:c>
      <x:c r="AB1339" s="37" t="n">
        <x:v>0</x:v>
      </x:c>
      <x:c r="AC1339" s="37" t="n">
        <x:v>1270777.868286761</x:v>
      </x:c>
      <x:c r="AD1339" s="37" t="n">
        <x:v>0</x:v>
      </x:c>
      <x:c r="AE1339" s="37" t="n">
        <x:v>0</x:v>
      </x:c>
      <x:c r="AF1339" s="47" t="b">
        <x:v>0</x:v>
      </x:c>
      <x:c r="AG1339" s="47" t="b">
        <x:v>0</x:v>
      </x:c>
      <x:c r="AH1339" s="48" t="n">
        <x:v>0</x:v>
      </x:c>
      <x:c r="AI1339" s="48" t="n">
        <x:v>1.1920928955078125e-7</x:v>
      </x:c>
      <x:c r="AJ1339" s="37" t="str">
        <x:v>passed</x:v>
      </x:c>
    </x:row>
    <x:row r="1340" ht="21" customHeight="1">
      <x:c r="A1340" s="2"/>
      <x:c r="B1340" s="2"/>
      <x:c r="C1340" s="2" t="str">
        <x:v>2023</x:v>
      </x:c>
      <x:c r="D1340" s="5" t="n">
        <x:v>45049</x:v>
      </x:c>
      <x:c r="E1340" s="2" t="str">
        <x:v>duration</x:v>
      </x:c>
      <x:c r="F1340" s="37" t="n">
        <x:v>7722828.322082007</x:v>
      </x:c>
      <x:c r="G1340" s="37" t="n">
        <x:v>4021939.0246378738</x:v>
      </x:c>
      <x:c r="H1340" s="37" t="n">
        <x:v>-33882.57733448736</x:v>
      </x:c>
      <x:c r="I1340" s="37" t="n">
        <x:v>4055821.601972361</x:v>
      </x:c>
      <x:c r="J1340" s="37" t="n">
        <x:v>10736430.140135117</x:v>
      </x:c>
      <x:c r="K1340" s="37" t="n">
        <x:v>6714491.115497243</x:v>
      </x:c>
      <x:c r="L1340" s="37" t="n">
        <x:v>11744767.346719882</x:v>
      </x:c>
      <x:c r="M1340" s="37" t="n">
        <x:v>0</x:v>
      </x:c>
      <x:c r="N1340" s="37" t="n">
        <x:v>0</x:v>
      </x:c>
      <x:c r="O1340" s="37" t="n">
        <x:v>423.1454891283065</x:v>
      </x:c>
      <x:c r="P1340" s="37" t="n">
        <x:v>0</x:v>
      </x:c>
      <x:c r="Q1340" s="37" t="n">
        <x:v>0</x:v>
      </x:c>
      <x:c r="R1340" s="37" t="n">
        <x:v>0</x:v>
      </x:c>
      <x:c r="S1340" s="37" t="n">
        <x:v>0</x:v>
      </x:c>
      <x:c r="T1340" s="37" t="n">
        <x:v>0</x:v>
      </x:c>
      <x:c r="U1340" s="37" t="n">
        <x:v>63750</x:v>
      </x:c>
      <x:c r="V1340" s="37" t="n">
        <x:v>0</x:v>
      </x:c>
      <x:c r="W1340" s="37" t="n">
        <x:v>51144.11944083776</x:v>
      </x:c>
      <x:c r="X1340" s="37" t="n">
        <x:v>0</x:v>
      </x:c>
      <x:c r="Y1340" s="37" t="n">
        <x:v>1725.2611256883708</x:v>
      </x:c>
      <x:c r="Z1340" s="37" t="n">
        <x:v>6848780.937807187</x:v>
      </x:c>
      <x:c r="AA1340" s="37" t="n">
        <x:v>0</x:v>
      </x:c>
      <x:c r="AB1340" s="37" t="n">
        <x:v>6848780.937807187</x:v>
      </x:c>
      <x:c r="AC1340" s="37" t="n">
        <x:v>874047.3842748199</x:v>
      </x:c>
      <x:c r="AD1340" s="37" t="n">
        <x:v>0</x:v>
      </x:c>
      <x:c r="AE1340" s="37" t="n">
        <x:v>0</x:v>
      </x:c>
      <x:c r="AF1340" s="47" t="b">
        <x:v>0</x:v>
      </x:c>
      <x:c r="AG1340" s="47" t="b">
        <x:v>0</x:v>
      </x:c>
      <x:c r="AH1340" s="48" t="n">
        <x:v>0</x:v>
      </x:c>
      <x:c r="AI1340" s="48" t="n">
        <x:v>5.960464477539063e-8</x:v>
      </x:c>
      <x:c r="AJ1340" s="37" t="str">
        <x:v>passed</x:v>
      </x:c>
    </x:row>
    <x:row r="1341" ht="21" customHeight="1">
      <x:c r="A1341" s="2"/>
      <x:c r="B1341" s="2"/>
      <x:c r="C1341" s="2" t="str">
        <x:v>2023</x:v>
      </x:c>
      <x:c r="D1341" s="5" t="n">
        <x:v>45049</x:v>
      </x:c>
      <x:c r="E1341" s="2" t="str">
        <x:v>unweighted</x:v>
      </x:c>
      <x:c r="F1341" s="37" t="n">
        <x:v>11593280.959427156</x:v>
      </x:c>
      <x:c r="G1341" s="37" t="n">
        <x:v>118248.82777624212</x:v>
      </x:c>
      <x:c r="H1341" s="37" t="n">
        <x:v>-45832.49972966495</x:v>
      </x:c>
      <x:c r="I1341" s="37" t="n">
        <x:v>164081.32750590707</x:v>
      </x:c>
      <x:c r="J1341" s="37" t="n">
        <x:v>10802656.467736382</x:v>
      </x:c>
      <x:c r="K1341" s="37" t="n">
        <x:v>10684407.63996014</x:v>
      </x:c>
      <x:c r="L1341" s="37" t="n">
        <x:v>11711529.787203398</x:v>
      </x:c>
      <x:c r="M1341" s="37" t="n">
        <x:v>0</x:v>
      </x:c>
      <x:c r="N1341" s="37" t="n">
        <x:v>0</x:v>
      </x:c>
      <x:c r="O1341" s="37" t="n">
        <x:v>635.213465532288</x:v>
      </x:c>
      <x:c r="P1341" s="37" t="n">
        <x:v>0</x:v>
      </x:c>
      <x:c r="Q1341" s="37" t="n">
        <x:v>0</x:v>
      </x:c>
      <x:c r="R1341" s="37" t="n">
        <x:v>0</x:v>
      </x:c>
      <x:c r="S1341" s="37" t="n">
        <x:v>0</x:v>
      </x:c>
      <x:c r="T1341" s="37" t="n">
        <x:v>0</x:v>
      </x:c>
      <x:c r="U1341" s="37" t="n">
        <x:v>63750</x:v>
      </x:c>
      <x:c r="V1341" s="37" t="n">
        <x:v>0</x:v>
      </x:c>
      <x:c r="W1341" s="37" t="n">
        <x:v>73292.31007596292</x:v>
      </x:c>
      <x:c r="X1341" s="37" t="n">
        <x:v>0</x:v>
      </x:c>
      <x:c r="Y1341" s="37" t="n">
        <x:v>2081.5450520466143</x:v>
      </x:c>
      <x:c r="Z1341" s="37" t="n">
        <x:v>10898095.792759342</x:v>
      </x:c>
      <x:c r="AA1341" s="37" t="n">
        <x:v>0</x:v>
      </x:c>
      <x:c r="AB1341" s="37" t="n">
        <x:v>10898095.792759342</x:v>
      </x:c>
      <x:c r="AC1341" s="37" t="n">
        <x:v>695185.1666678134</x:v>
      </x:c>
      <x:c r="AD1341" s="37" t="n">
        <x:v>0</x:v>
      </x:c>
      <x:c r="AE1341" s="37" t="n">
        <x:v>0</x:v>
      </x:c>
      <x:c r="AF1341" s="47" t="b">
        <x:v>0</x:v>
      </x:c>
      <x:c r="AG1341" s="47" t="b">
        <x:v>0</x:v>
      </x:c>
      <x:c r="AH1341" s="48" t="n">
        <x:v>0</x:v>
      </x:c>
      <x:c r="AI1341" s="48" t="n">
        <x:v>1.1920928955078125e-7</x:v>
      </x:c>
      <x:c r="AJ1341" s="37" t="str">
        <x:v>passed</x:v>
      </x:c>
    </x:row>
    <x:row r="1342" ht="21" customHeight="1">
      <x:c r="A1342" s="2"/>
      <x:c r="B1342" s="2"/>
      <x:c r="C1342" s="2" t="str">
        <x:v>2023</x:v>
      </x:c>
      <x:c r="D1342" s="5" t="n">
        <x:v>45049</x:v>
      </x:c>
      <x:c r="E1342" s="2" t="str">
        <x:v>constrained</x:v>
      </x:c>
      <x:c r="F1342" s="37" t="n">
        <x:v>11895206.247560995</x:v>
      </x:c>
      <x:c r="G1342" s="37" t="n">
        <x:v>-191138.7306163448</x:v>
      </x:c>
      <x:c r="H1342" s="37" t="n">
        <x:v>-46735.77496756107</x:v>
      </x:c>
      <x:c r="I1342" s="37" t="n">
        <x:v>-144402.95564878374</x:v>
      </x:c>
      <x:c r="J1342" s="37" t="n">
        <x:v>10806258.396541875</x:v>
      </x:c>
      <x:c r="K1342" s="37" t="n">
        <x:v>10997397.127158219</x:v>
      </x:c>
      <x:c r="L1342" s="37" t="n">
        <x:v>11704067.51694465</x:v>
      </x:c>
      <x:c r="M1342" s="37" t="n">
        <x:v>0</x:v>
      </x:c>
      <x:c r="N1342" s="37" t="n">
        <x:v>0</x:v>
      </x:c>
      <x:c r="O1342" s="37" t="n">
        <x:v>651.7564104739577</x:v>
      </x:c>
      <x:c r="P1342" s="37" t="n">
        <x:v>0</x:v>
      </x:c>
      <x:c r="Q1342" s="37" t="n">
        <x:v>0</x:v>
      </x:c>
      <x:c r="R1342" s="37" t="n">
        <x:v>0</x:v>
      </x:c>
      <x:c r="S1342" s="37" t="n">
        <x:v>0</x:v>
      </x:c>
      <x:c r="T1342" s="37" t="n">
        <x:v>0</x:v>
      </x:c>
      <x:c r="U1342" s="37" t="n">
        <x:v>63750</x:v>
      </x:c>
      <x:c r="V1342" s="37" t="n">
        <x:v>0</x:v>
      </x:c>
      <x:c r="W1342" s="37" t="n">
        <x:v>77190.47690278664</x:v>
      </x:c>
      <x:c r="X1342" s="37" t="n">
        <x:v>0</x:v>
      </x:c>
      <x:c r="Y1342" s="37" t="n">
        <x:v>2134.1142062319523</x:v>
      </x:c>
      <x:c r="Z1342" s="37" t="n">
        <x:v>11217345.069701383</x:v>
      </x:c>
      <x:c r="AA1342" s="37" t="n">
        <x:v>0</x:v>
      </x:c>
      <x:c r="AB1342" s="37" t="n">
        <x:v>11217345.069701383</x:v>
      </x:c>
      <x:c r="AC1342" s="37" t="n">
        <x:v>677861.1778596118</x:v>
      </x:c>
      <x:c r="AD1342" s="37" t="n">
        <x:v>0</x:v>
      </x:c>
      <x:c r="AE1342" s="37" t="n">
        <x:v>0</x:v>
      </x:c>
      <x:c r="AF1342" s="47" t="b">
        <x:v>0</x:v>
      </x:c>
      <x:c r="AG1342" s="47" t="b">
        <x:v>0</x:v>
      </x:c>
      <x:c r="AH1342" s="48" t="n">
        <x:v>0</x:v>
      </x:c>
      <x:c r="AI1342" s="48" t="n">
        <x:v>1.1920928955078125e-7</x:v>
      </x:c>
      <x:c r="AJ1342" s="37" t="str">
        <x:v>passed</x:v>
      </x:c>
    </x:row>
    <x:row r="1343" ht="21" customHeight="1">
      <x:c r="A1343" s="2"/>
      <x:c r="B1343" s="2"/>
      <x:c r="C1343" s="2" t="str">
        <x:v>2023</x:v>
      </x:c>
      <x:c r="D1343" s="5" t="n">
        <x:v>45050</x:v>
      </x:c>
      <x:c r="E1343" s="2" t="str">
        <x:v>unhedged</x:v>
      </x:c>
      <x:c r="F1343" s="37" t="n">
        <x:v>1270847.4999507768</x:v>
      </x:c>
      <x:c r="G1343" s="37" t="n">
        <x:v>10761097.305178981</x:v>
      </x:c>
      <x:c r="H1343" s="37" t="n">
        <x:v>16730.87316838818</x:v>
      </x:c>
      <x:c r="I1343" s="37" t="n">
        <x:v>10744366.432010593</x:v>
      </x:c>
      <x:c r="J1343" s="37" t="n">
        <x:v>10761097.305178981</x:v>
      </x:c>
      <x:c r="K1343" s="37" t="n">
        <x:v>0</x:v>
      </x:c>
      <x:c r="L1343" s="37" t="n">
        <x:v>12031944.805129759</x:v>
      </x:c>
      <x:c r="M1343" s="37" t="n">
        <x:v>0</x:v>
      </x:c>
      <x:c r="N1343" s="37" t="n">
        <x:v>0</x:v>
      </x:c>
      <x:c r="O1343" s="37" t="n">
        <x:v>69.63166401581839</x:v>
      </x:c>
      <x:c r="P1343" s="37" t="n">
        <x:v>0</x:v>
      </x:c>
      <x:c r="Q1343" s="37" t="n">
        <x:v>0</x:v>
      </x:c>
      <x:c r="R1343" s="37" t="n">
        <x:v>0</x:v>
      </x:c>
      <x:c r="S1343" s="37" t="n">
        <x:v>0</x:v>
      </x:c>
      <x:c r="T1343" s="37" t="n">
        <x:v>0</x:v>
      </x:c>
      <x:c r="U1343" s="37" t="n">
        <x:v>63750</x:v>
      </x:c>
      <x:c r="V1343" s="37" t="n">
        <x:v>0</x:v>
      </x:c>
      <x:c r="W1343" s="37" t="n">
        <x:v>8140.369292899035</x:v>
      </x:c>
      <x:c r="X1343" s="37" t="n">
        <x:v>0</x:v>
      </x:c>
      <x:c r="Y1343" s="37" t="n">
        <x:v>1042.869342122179</x:v>
      </x:c>
      <x:c r="Z1343" s="37" t="n">
        <x:v>0</x:v>
      </x:c>
      <x:c r="AA1343" s="37" t="n">
        <x:v>0</x:v>
      </x:c>
      <x:c r="AB1343" s="37" t="n">
        <x:v>0</x:v>
      </x:c>
      <x:c r="AC1343" s="37" t="n">
        <x:v>1270847.4999507768</x:v>
      </x:c>
      <x:c r="AD1343" s="37" t="n">
        <x:v>0</x:v>
      </x:c>
      <x:c r="AE1343" s="37" t="n">
        <x:v>0</x:v>
      </x:c>
      <x:c r="AF1343" s="47" t="b">
        <x:v>0</x:v>
      </x:c>
      <x:c r="AG1343" s="47" t="b">
        <x:v>0</x:v>
      </x:c>
      <x:c r="AH1343" s="48" t="n">
        <x:v>0</x:v>
      </x:c>
      <x:c r="AI1343" s="48" t="n">
        <x:v>1.1920928955078125e-7</x:v>
      </x:c>
      <x:c r="AJ1343" s="37" t="str">
        <x:v>passed</x:v>
      </x:c>
    </x:row>
    <x:row r="1344" ht="21" customHeight="1">
      <x:c r="A1344" s="2"/>
      <x:c r="B1344" s="2"/>
      <x:c r="C1344" s="2" t="str">
        <x:v>2023</x:v>
      </x:c>
      <x:c r="D1344" s="5" t="n">
        <x:v>45050</x:v>
      </x:c>
      <x:c r="E1344" s="2" t="str">
        <x:v>duration</x:v>
      </x:c>
      <x:c r="F1344" s="37" t="n">
        <x:v>7723251.490757191</x:v>
      </x:c>
      <x:c r="G1344" s="37" t="n">
        <x:v>4033609.542972265</x:v>
      </x:c>
      <x:c r="H1344" s="37" t="n">
        <x:v>-33830.1497524544</x:v>
      </x:c>
      <x:c r="I1344" s="37" t="n">
        <x:v>4067439.692724719</x:v>
      </x:c>
      <x:c r="J1344" s="37" t="n">
        <x:v>10761097.305178981</x:v>
      </x:c>
      <x:c r="K1344" s="37" t="n">
        <x:v>6727487.762206716</x:v>
      </x:c>
      <x:c r="L1344" s="37" t="n">
        <x:v>11756861.033729456</x:v>
      </x:c>
      <x:c r="M1344" s="37" t="n">
        <x:v>0</x:v>
      </x:c>
      <x:c r="N1344" s="37" t="n">
        <x:v>0</x:v>
      </x:c>
      <x:c r="O1344" s="37" t="n">
        <x:v>423.16867518331856</x:v>
      </x:c>
      <x:c r="P1344" s="37" t="n">
        <x:v>0</x:v>
      </x:c>
      <x:c r="Q1344" s="37" t="n">
        <x:v>0</x:v>
      </x:c>
      <x:c r="R1344" s="37" t="n">
        <x:v>0</x:v>
      </x:c>
      <x:c r="S1344" s="37" t="n">
        <x:v>0</x:v>
      </x:c>
      <x:c r="T1344" s="37" t="n">
        <x:v>0</x:v>
      </x:c>
      <x:c r="U1344" s="37" t="n">
        <x:v>63750</x:v>
      </x:c>
      <x:c r="V1344" s="37" t="n">
        <x:v>0</x:v>
      </x:c>
      <x:c r="W1344" s="37" t="n">
        <x:v>51567.28811602108</x:v>
      </x:c>
      <x:c r="X1344" s="37" t="n">
        <x:v>0</x:v>
      </x:c>
      <x:c r="Y1344" s="37" t="n">
        <x:v>1725.2611256883708</x:v>
      </x:c>
      <x:c r="Z1344" s="37" t="n">
        <x:v>6862037.51745085</x:v>
      </x:c>
      <x:c r="AA1344" s="37" t="n">
        <x:v>0</x:v>
      </x:c>
      <x:c r="AB1344" s="37" t="n">
        <x:v>6862037.51745085</x:v>
      </x:c>
      <x:c r="AC1344" s="37" t="n">
        <x:v>861213.9733063402</x:v>
      </x:c>
      <x:c r="AD1344" s="37" t="n">
        <x:v>0</x:v>
      </x:c>
      <x:c r="AE1344" s="37" t="n">
        <x:v>0</x:v>
      </x:c>
      <x:c r="AF1344" s="47" t="b">
        <x:v>0</x:v>
      </x:c>
      <x:c r="AG1344" s="47" t="b">
        <x:v>0</x:v>
      </x:c>
      <x:c r="AH1344" s="48" t="n">
        <x:v>0</x:v>
      </x:c>
      <x:c r="AI1344" s="48" t="n">
        <x:v>5.960464477539063e-8</x:v>
      </x:c>
      <x:c r="AJ1344" s="37" t="str">
        <x:v>passed</x:v>
      </x:c>
    </x:row>
    <x:row r="1345" ht="21" customHeight="1">
      <x:c r="A1345" s="2"/>
      <x:c r="B1345" s="2"/>
      <x:c r="C1345" s="2" t="str">
        <x:v>2023</x:v>
      </x:c>
      <x:c r="D1345" s="5" t="n">
        <x:v>45050</x:v>
      </x:c>
      <x:c r="E1345" s="2" t="str">
        <x:v>unweighted</x:v>
      </x:c>
      <x:c r="F1345" s="37" t="n">
        <x:v>11593916.207698906</x:v>
      </x:c>
      <x:c r="G1345" s="37" t="n">
        <x:v>118447.88758606212</x:v>
      </x:c>
      <x:c r="H1345" s="37" t="n">
        <x:v>-45865.413195575726</x:v>
      </x:c>
      <x:c r="I1345" s="37" t="n">
        <x:v>164313.30078163784</x:v>
      </x:c>
      <x:c r="J1345" s="37" t="n">
        <x:v>10827201.163724521</x:v>
      </x:c>
      <x:c r="K1345" s="37" t="n">
        <x:v>10708753.27613846</x:v>
      </x:c>
      <x:c r="L1345" s="37" t="n">
        <x:v>11712364.095284969</x:v>
      </x:c>
      <x:c r="M1345" s="37" t="n">
        <x:v>0</x:v>
      </x:c>
      <x:c r="N1345" s="37" t="n">
        <x:v>0</x:v>
      </x:c>
      <x:c r="O1345" s="37" t="n">
        <x:v>635.2482717502862</x:v>
      </x:c>
      <x:c r="P1345" s="37" t="n">
        <x:v>0</x:v>
      </x:c>
      <x:c r="Q1345" s="37" t="n">
        <x:v>0</x:v>
      </x:c>
      <x:c r="R1345" s="37" t="n">
        <x:v>0</x:v>
      </x:c>
      <x:c r="S1345" s="37" t="n">
        <x:v>0</x:v>
      </x:c>
      <x:c r="T1345" s="37" t="n">
        <x:v>0</x:v>
      </x:c>
      <x:c r="U1345" s="37" t="n">
        <x:v>63750</x:v>
      </x:c>
      <x:c r="V1345" s="37" t="n">
        <x:v>0</x:v>
      </x:c>
      <x:c r="W1345" s="37" t="n">
        <x:v>73927.5583477132</x:v>
      </x:c>
      <x:c r="X1345" s="37" t="n">
        <x:v>0</x:v>
      </x:c>
      <x:c r="Y1345" s="37" t="n">
        <x:v>2081.5450520466143</x:v>
      </x:c>
      <x:c r="Z1345" s="37" t="n">
        <x:v>10922928.34166123</x:v>
      </x:c>
      <x:c r="AA1345" s="37" t="n">
        <x:v>0</x:v>
      </x:c>
      <x:c r="AB1345" s="37" t="n">
        <x:v>10922928.34166123</x:v>
      </x:c>
      <x:c r="AC1345" s="37" t="n">
        <x:v>670987.8660376761</x:v>
      </x:c>
      <x:c r="AD1345" s="37" t="n">
        <x:v>0</x:v>
      </x:c>
      <x:c r="AE1345" s="37" t="n">
        <x:v>0</x:v>
      </x:c>
      <x:c r="AF1345" s="47" t="b">
        <x:v>0</x:v>
      </x:c>
      <x:c r="AG1345" s="47" t="b">
        <x:v>0</x:v>
      </x:c>
      <x:c r="AH1345" s="48" t="n">
        <x:v>0</x:v>
      </x:c>
      <x:c r="AI1345" s="48" t="n">
        <x:v>1.1920928955078125e-7</x:v>
      </x:c>
      <x:c r="AJ1345" s="37" t="str">
        <x:v>passed</x:v>
      </x:c>
    </x:row>
    <x:row r="1346" ht="21" customHeight="1">
      <x:c r="A1346" s="2"/>
      <x:c r="B1346" s="2"/>
      <x:c r="C1346" s="2" t="str">
        <x:v>2023</x:v>
      </x:c>
      <x:c r="D1346" s="5" t="n">
        <x:v>45050</x:v>
      </x:c>
      <x:c r="E1346" s="2" t="str">
        <x:v>constrained</x:v>
      </x:c>
      <x:c r="F1346" s="37" t="n">
        <x:v>11895858.03968415</x:v>
      </x:c>
      <x:c r="G1346" s="37" t="n">
        <x:v>-191400.97350208252</x:v>
      </x:c>
      <x:c r="H1346" s="37" t="n">
        <x:v>-46774.646706036765</x:v>
      </x:c>
      <x:c r="I1346" s="37" t="n">
        <x:v>-144626.32679604576</x:v>
      </x:c>
      <x:c r="J1346" s="37" t="n">
        <x:v>10830796.431662114</x:v>
      </x:c>
      <x:c r="K1346" s="37" t="n">
        <x:v>11022197.405164197</x:v>
      </x:c>
      <x:c r="L1346" s="37" t="n">
        <x:v>11704457.066182068</x:v>
      </x:c>
      <x:c r="M1346" s="37" t="n">
        <x:v>0</x:v>
      </x:c>
      <x:c r="N1346" s="37" t="n">
        <x:v>0</x:v>
      </x:c>
      <x:c r="O1346" s="37" t="n">
        <x:v>651.7921231556684</x:v>
      </x:c>
      <x:c r="P1346" s="37" t="n">
        <x:v>0</x:v>
      </x:c>
      <x:c r="Q1346" s="37" t="n">
        <x:v>0</x:v>
      </x:c>
      <x:c r="R1346" s="37" t="n">
        <x:v>0</x:v>
      </x:c>
      <x:c r="S1346" s="37" t="n">
        <x:v>0</x:v>
      </x:c>
      <x:c r="T1346" s="37" t="n">
        <x:v>0</x:v>
      </x:c>
      <x:c r="U1346" s="37" t="n">
        <x:v>63750</x:v>
      </x:c>
      <x:c r="V1346" s="37" t="n">
        <x:v>0</x:v>
      </x:c>
      <x:c r="W1346" s="37" t="n">
        <x:v>77842.26902594231</x:v>
      </x:c>
      <x:c r="X1346" s="37" t="n">
        <x:v>0</x:v>
      </x:c>
      <x:c r="Y1346" s="37" t="n">
        <x:v>2134.1142062319523</x:v>
      </x:c>
      <x:c r="Z1346" s="37" t="n">
        <x:v>11242641.353267482</x:v>
      </x:c>
      <x:c r="AA1346" s="37" t="n">
        <x:v>0</x:v>
      </x:c>
      <x:c r="AB1346" s="37" t="n">
        <x:v>11242641.353267482</x:v>
      </x:c>
      <x:c r="AC1346" s="37" t="n">
        <x:v>653216.6864166688</x:v>
      </x:c>
      <x:c r="AD1346" s="37" t="n">
        <x:v>0</x:v>
      </x:c>
      <x:c r="AE1346" s="37" t="n">
        <x:v>0</x:v>
      </x:c>
      <x:c r="AF1346" s="47" t="b">
        <x:v>0</x:v>
      </x:c>
      <x:c r="AG1346" s="47" t="b">
        <x:v>0</x:v>
      </x:c>
      <x:c r="AH1346" s="48" t="n">
        <x:v>0</x:v>
      </x:c>
      <x:c r="AI1346" s="48" t="n">
        <x:v>1.1920928955078125e-7</x:v>
      </x:c>
      <x:c r="AJ1346" s="37" t="str">
        <x:v>passed</x:v>
      </x:c>
    </x:row>
    <x:row r="1347" ht="21" customHeight="1">
      <x:c r="A1347" s="2"/>
      <x:c r="B1347" s="2"/>
      <x:c r="C1347" s="2" t="str">
        <x:v>2023</x:v>
      </x:c>
      <x:c r="D1347" s="5" t="n">
        <x:v>45051</x:v>
      </x:c>
      <x:c r="E1347" s="2" t="str">
        <x:v>unhedged</x:v>
      </x:c>
      <x:c r="F1347" s="37" t="n">
        <x:v>1270917.1354302263</x:v>
      </x:c>
      <x:c r="G1347" s="37" t="n">
        <x:v>10712357.088801757</x:v>
      </x:c>
      <x:c r="H1347" s="37" t="n">
        <x:v>17080.71853230843</x:v>
      </x:c>
      <x:c r="I1347" s="37" t="n">
        <x:v>10695276.370269448</x:v>
      </x:c>
      <x:c r="J1347" s="37" t="n">
        <x:v>10712357.088801757</x:v>
      </x:c>
      <x:c r="K1347" s="37" t="n">
        <x:v>0</x:v>
      </x:c>
      <x:c r="L1347" s="37" t="n">
        <x:v>11983274.224231983</x:v>
      </x:c>
      <x:c r="M1347" s="37" t="n">
        <x:v>0</x:v>
      </x:c>
      <x:c r="N1347" s="37" t="n">
        <x:v>0</x:v>
      </x:c>
      <x:c r="O1347" s="37" t="n">
        <x:v>69.63547944952734</x:v>
      </x:c>
      <x:c r="P1347" s="37" t="n">
        <x:v>0</x:v>
      </x:c>
      <x:c r="Q1347" s="37" t="n">
        <x:v>0</x:v>
      </x:c>
      <x:c r="R1347" s="37" t="n">
        <x:v>0</x:v>
      </x:c>
      <x:c r="S1347" s="37" t="n">
        <x:v>0</x:v>
      </x:c>
      <x:c r="T1347" s="37" t="n">
        <x:v>0</x:v>
      </x:c>
      <x:c r="U1347" s="37" t="n">
        <x:v>63750</x:v>
      </x:c>
      <x:c r="V1347" s="37" t="n">
        <x:v>0</x:v>
      </x:c>
      <x:c r="W1347" s="37" t="n">
        <x:v>8210.004772348562</x:v>
      </x:c>
      <x:c r="X1347" s="37" t="n">
        <x:v>0</x:v>
      </x:c>
      <x:c r="Y1347" s="37" t="n">
        <x:v>1042.869342122179</x:v>
      </x:c>
      <x:c r="Z1347" s="37" t="n">
        <x:v>0</x:v>
      </x:c>
      <x:c r="AA1347" s="37" t="n">
        <x:v>0</x:v>
      </x:c>
      <x:c r="AB1347" s="37" t="n">
        <x:v>0</x:v>
      </x:c>
      <x:c r="AC1347" s="37" t="n">
        <x:v>1270917.1354302263</x:v>
      </x:c>
      <x:c r="AD1347" s="37" t="n">
        <x:v>0</x:v>
      </x:c>
      <x:c r="AE1347" s="37" t="n">
        <x:v>0</x:v>
      </x:c>
      <x:c r="AF1347" s="47" t="b">
        <x:v>0</x:v>
      </x:c>
      <x:c r="AG1347" s="47" t="b">
        <x:v>0</x:v>
      </x:c>
      <x:c r="AH1347" s="48" t="n">
        <x:v>0</x:v>
      </x:c>
      <x:c r="AI1347" s="48" t="n">
        <x:v>1.1920928955078125e-7</x:v>
      </x:c>
      <x:c r="AJ1347" s="37" t="str">
        <x:v>passed</x:v>
      </x:c>
    </x:row>
    <x:row r="1348" ht="21" customHeight="1">
      <x:c r="A1348" s="2"/>
      <x:c r="B1348" s="2"/>
      <x:c r="C1348" s="2" t="str">
        <x:v>2023</x:v>
      </x:c>
      <x:c r="D1348" s="5" t="n">
        <x:v>45051</x:v>
      </x:c>
      <x:c r="E1348" s="2" t="str">
        <x:v>duration</x:v>
      </x:c>
      <x:c r="F1348" s="37" t="n">
        <x:v>7723674.682619699</x:v>
      </x:c>
      <x:c r="G1348" s="37" t="n">
        <x:v>4025910.2360185483</x:v>
      </x:c>
      <x:c r="H1348" s="37" t="n">
        <x:v>-33777.72217042147</x:v>
      </x:c>
      <x:c r="I1348" s="37" t="n">
        <x:v>4059687.9581889696</x:v>
      </x:c>
      <x:c r="J1348" s="37" t="n">
        <x:v>10712357.088801757</x:v>
      </x:c>
      <x:c r="K1348" s="37" t="n">
        <x:v>6686446.852783208</x:v>
      </x:c>
      <x:c r="L1348" s="37" t="n">
        <x:v>11749584.918638248</x:v>
      </x:c>
      <x:c r="M1348" s="37" t="n">
        <x:v>0</x:v>
      </x:c>
      <x:c r="N1348" s="37" t="n">
        <x:v>0</x:v>
      </x:c>
      <x:c r="O1348" s="37" t="n">
        <x:v>423.1918625086546</x:v>
      </x:c>
      <x:c r="P1348" s="37" t="n">
        <x:v>0</x:v>
      </x:c>
      <x:c r="Q1348" s="37" t="n">
        <x:v>0</x:v>
      </x:c>
      <x:c r="R1348" s="37" t="n">
        <x:v>0</x:v>
      </x:c>
      <x:c r="S1348" s="37" t="n">
        <x:v>0</x:v>
      </x:c>
      <x:c r="T1348" s="37" t="n">
        <x:v>0</x:v>
      </x:c>
      <x:c r="U1348" s="37" t="n">
        <x:v>63750</x:v>
      </x:c>
      <x:c r="V1348" s="37" t="n">
        <x:v>0</x:v>
      </x:c>
      <x:c r="W1348" s="37" t="n">
        <x:v>51990.47997852974</x:v>
      </x:c>
      <x:c r="X1348" s="37" t="n">
        <x:v>0</x:v>
      </x:c>
      <x:c r="Y1348" s="37" t="n">
        <x:v>1725.2611256883708</x:v>
      </x:c>
      <x:c r="Z1348" s="37" t="n">
        <x:v>6820175.789838872</x:v>
      </x:c>
      <x:c r="AA1348" s="37" t="n">
        <x:v>0</x:v>
      </x:c>
      <x:c r="AB1348" s="37" t="n">
        <x:v>6820175.789838872</x:v>
      </x:c>
      <x:c r="AC1348" s="37" t="n">
        <x:v>903498.8927808274</x:v>
      </x:c>
      <x:c r="AD1348" s="37" t="n">
        <x:v>0</x:v>
      </x:c>
      <x:c r="AE1348" s="37" t="n">
        <x:v>0</x:v>
      </x:c>
      <x:c r="AF1348" s="47" t="b">
        <x:v>0</x:v>
      </x:c>
      <x:c r="AG1348" s="47" t="b">
        <x:v>0</x:v>
      </x:c>
      <x:c r="AH1348" s="48" t="n">
        <x:v>0</x:v>
      </x:c>
      <x:c r="AI1348" s="48" t="n">
        <x:v>5.960464477539063e-8</x:v>
      </x:c>
      <x:c r="AJ1348" s="37" t="str">
        <x:v>passed</x:v>
      </x:c>
    </x:row>
    <x:row r="1349" ht="21" customHeight="1">
      <x:c r="A1349" s="2"/>
      <x:c r="B1349" s="2"/>
      <x:c r="C1349" s="2" t="str">
        <x:v>2023</x:v>
      </x:c>
      <x:c r="D1349" s="5" t="n">
        <x:v>45051</x:v>
      </x:c>
      <x:c r="E1349" s="2" t="str">
        <x:v>unweighted</x:v>
      </x:c>
      <x:c r="F1349" s="37" t="n">
        <x:v>11594551.490778781</x:v>
      </x:c>
      <x:c r="G1349" s="37" t="n">
        <x:v>118102.99674237365</x:v>
      </x:c>
      <x:c r="H1349" s="37" t="n">
        <x:v>-45898.32666148651</x:v>
      </x:c>
      <x:c r="I1349" s="37" t="n">
        <x:v>164001.32340386015</x:v>
      </x:c>
      <x:c r="J1349" s="37" t="n">
        <x:v>10778011.213018645</x:v>
      </x:c>
      <x:c r="K1349" s="37" t="n">
        <x:v>10659908.216276271</x:v>
      </x:c>
      <x:c r="L1349" s="37" t="n">
        <x:v>11712654.487521155</x:v>
      </x:c>
      <x:c r="M1349" s="37" t="n">
        <x:v>0</x:v>
      </x:c>
      <x:c r="N1349" s="37" t="n">
        <x:v>0</x:v>
      </x:c>
      <x:c r="O1349" s="37" t="n">
        <x:v>635.2830798756331</x:v>
      </x:c>
      <x:c r="P1349" s="37" t="n">
        <x:v>0</x:v>
      </x:c>
      <x:c r="Q1349" s="37" t="n">
        <x:v>0</x:v>
      </x:c>
      <x:c r="R1349" s="37" t="n">
        <x:v>0</x:v>
      </x:c>
      <x:c r="S1349" s="37" t="n">
        <x:v>0</x:v>
      </x:c>
      <x:c r="T1349" s="37" t="n">
        <x:v>0</x:v>
      </x:c>
      <x:c r="U1349" s="37" t="n">
        <x:v>63750</x:v>
      </x:c>
      <x:c r="V1349" s="37" t="n">
        <x:v>0</x:v>
      </x:c>
      <x:c r="W1349" s="37" t="n">
        <x:v>74562.84142758884</x:v>
      </x:c>
      <x:c r="X1349" s="37" t="n">
        <x:v>0</x:v>
      </x:c>
      <x:c r="Y1349" s="37" t="n">
        <x:v>2081.5450520466143</x:v>
      </x:c>
      <x:c r="Z1349" s="37" t="n">
        <x:v>10873106.380601797</x:v>
      </x:c>
      <x:c r="AA1349" s="37" t="n">
        <x:v>0</x:v>
      </x:c>
      <x:c r="AB1349" s="37" t="n">
        <x:v>10873106.380601797</x:v>
      </x:c>
      <x:c r="AC1349" s="37" t="n">
        <x:v>721445.1101769842</x:v>
      </x:c>
      <x:c r="AD1349" s="37" t="n">
        <x:v>0</x:v>
      </x:c>
      <x:c r="AE1349" s="37" t="n">
        <x:v>0</x:v>
      </x:c>
      <x:c r="AF1349" s="47" t="b">
        <x:v>0</x:v>
      </x:c>
      <x:c r="AG1349" s="47" t="b">
        <x:v>0</x:v>
      </x:c>
      <x:c r="AH1349" s="48" t="n">
        <x:v>0</x:v>
      </x:c>
      <x:c r="AI1349" s="48" t="n">
        <x:v>1.1920928955078125e-7</x:v>
      </x:c>
      <x:c r="AJ1349" s="37" t="str">
        <x:v>passed</x:v>
      </x:c>
    </x:row>
    <x:row r="1350" ht="21" customHeight="1">
      <x:c r="A1350" s="2"/>
      <x:c r="B1350" s="2"/>
      <x:c r="C1350" s="2" t="str">
        <x:v>2023</x:v>
      </x:c>
      <x:c r="D1350" s="5" t="n">
        <x:v>45051</x:v>
      </x:c>
      <x:c r="E1350" s="2" t="str">
        <x:v>constrained</x:v>
      </x:c>
      <x:c r="F1350" s="37" t="n">
        <x:v>11896509.867521944</x:v>
      </x:c>
      <x:c r="G1350" s="37" t="n">
        <x:v>-191346.84488076725</x:v>
      </x:c>
      <x:c r="H1350" s="37" t="n">
        <x:v>-46813.51844451248</x:v>
      </x:c>
      <x:c r="I1350" s="37" t="n">
        <x:v>-144533.32643625478</x:v>
      </x:c>
      <x:c r="J1350" s="37" t="n">
        <x:v>10781582.020728836</x:v>
      </x:c>
      <x:c r="K1350" s="37" t="n">
        <x:v>10972928.865609603</x:v>
      </x:c>
      <x:c r="L1350" s="37" t="n">
        <x:v>11705163.022641176</x:v>
      </x:c>
      <x:c r="M1350" s="37" t="n">
        <x:v>0</x:v>
      </x:c>
      <x:c r="N1350" s="37" t="n">
        <x:v>0</x:v>
      </x:c>
      <x:c r="O1350" s="37" t="n">
        <x:v>651.8278377931565</x:v>
      </x:c>
      <x:c r="P1350" s="37" t="n">
        <x:v>0</x:v>
      </x:c>
      <x:c r="Q1350" s="37" t="n">
        <x:v>0</x:v>
      </x:c>
      <x:c r="R1350" s="37" t="n">
        <x:v>0</x:v>
      </x:c>
      <x:c r="S1350" s="37" t="n">
        <x:v>0</x:v>
      </x:c>
      <x:c r="T1350" s="37" t="n">
        <x:v>0</x:v>
      </x:c>
      <x:c r="U1350" s="37" t="n">
        <x:v>63750</x:v>
      </x:c>
      <x:c r="V1350" s="37" t="n">
        <x:v>0</x:v>
      </x:c>
      <x:c r="W1350" s="37" t="n">
        <x:v>78494.09686373547</x:v>
      </x:c>
      <x:c r="X1350" s="37" t="n">
        <x:v>0</x:v>
      </x:c>
      <x:c r="Y1350" s="37" t="n">
        <x:v>2134.1142062319523</x:v>
      </x:c>
      <x:c r="Z1350" s="37" t="n">
        <x:v>11192387.442921795</x:v>
      </x:c>
      <x:c r="AA1350" s="37" t="n">
        <x:v>0</x:v>
      </x:c>
      <x:c r="AB1350" s="37" t="n">
        <x:v>11192387.442921795</x:v>
      </x:c>
      <x:c r="AC1350" s="37" t="n">
        <x:v>704122.4246001486</x:v>
      </x:c>
      <x:c r="AD1350" s="37" t="n">
        <x:v>0</x:v>
      </x:c>
      <x:c r="AE1350" s="37" t="n">
        <x:v>0</x:v>
      </x:c>
      <x:c r="AF1350" s="47" t="b">
        <x:v>0</x:v>
      </x:c>
      <x:c r="AG1350" s="47" t="b">
        <x:v>0</x:v>
      </x:c>
      <x:c r="AH1350" s="48" t="n">
        <x:v>0</x:v>
      </x:c>
      <x:c r="AI1350" s="48" t="n">
        <x:v>1.1920928955078125e-7</x:v>
      </x:c>
      <x:c r="AJ1350" s="37" t="str">
        <x:v>passed</x:v>
      </x:c>
    </x:row>
    <x:row r="1351" ht="21" customHeight="1">
      <x:c r="A1351" s="2"/>
      <x:c r="B1351" s="2"/>
      <x:c r="C1351" s="2" t="str">
        <x:v>2023</x:v>
      </x:c>
      <x:c r="D1351" s="5" t="n">
        <x:v>45054</x:v>
      </x:c>
      <x:c r="E1351" s="2" t="str">
        <x:v>unhedged</x:v>
      </x:c>
      <x:c r="F1351" s="37" t="n">
        <x:v>1271126.0647632673</x:v>
      </x:c>
      <x:c r="G1351" s="37" t="n">
        <x:v>10673956.390937906</x:v>
      </x:c>
      <x:c r="H1351" s="37" t="n">
        <x:v>18130.254624069185</x:v>
      </x:c>
      <x:c r="I1351" s="37" t="n">
        <x:v>10655826.136313837</x:v>
      </x:c>
      <x:c r="J1351" s="37" t="n">
        <x:v>10673956.390937906</x:v>
      </x:c>
      <x:c r="K1351" s="37" t="n">
        <x:v>0</x:v>
      </x:c>
      <x:c r="L1351" s="37" t="n">
        <x:v>11945082.455701172</x:v>
      </x:c>
      <x:c r="M1351" s="37" t="n">
        <x:v>0</x:v>
      </x:c>
      <x:c r="N1351" s="37" t="n">
        <x:v>0</x:v>
      </x:c>
      <x:c r="O1351" s="37" t="n">
        <x:v>208.9293330409564</x:v>
      </x:c>
      <x:c r="P1351" s="37" t="n">
        <x:v>0</x:v>
      </x:c>
      <x:c r="Q1351" s="37" t="n">
        <x:v>0</x:v>
      </x:c>
      <x:c r="R1351" s="37" t="n">
        <x:v>0</x:v>
      </x:c>
      <x:c r="S1351" s="37" t="n">
        <x:v>0</x:v>
      </x:c>
      <x:c r="T1351" s="37" t="n">
        <x:v>0</x:v>
      </x:c>
      <x:c r="U1351" s="37" t="n">
        <x:v>63750</x:v>
      </x:c>
      <x:c r="V1351" s="37" t="n">
        <x:v>0</x:v>
      </x:c>
      <x:c r="W1351" s="37" t="n">
        <x:v>8418.934105389519</x:v>
      </x:c>
      <x:c r="X1351" s="37" t="n">
        <x:v>0</x:v>
      </x:c>
      <x:c r="Y1351" s="37" t="n">
        <x:v>1042.869342122179</x:v>
      </x:c>
      <x:c r="Z1351" s="37" t="n">
        <x:v>0</x:v>
      </x:c>
      <x:c r="AA1351" s="37" t="n">
        <x:v>0</x:v>
      </x:c>
      <x:c r="AB1351" s="37" t="n">
        <x:v>0</x:v>
      </x:c>
      <x:c r="AC1351" s="37" t="n">
        <x:v>1271126.0647632673</x:v>
      </x:c>
      <x:c r="AD1351" s="37" t="n">
        <x:v>0</x:v>
      </x:c>
      <x:c r="AE1351" s="37" t="n">
        <x:v>0</x:v>
      </x:c>
      <x:c r="AF1351" s="47" t="b">
        <x:v>0</x:v>
      </x:c>
      <x:c r="AG1351" s="47" t="b">
        <x:v>0</x:v>
      </x:c>
      <x:c r="AH1351" s="48" t="n">
        <x:v>0</x:v>
      </x:c>
      <x:c r="AI1351" s="48" t="n">
        <x:v>1.1920928955078125e-7</x:v>
      </x:c>
      <x:c r="AJ1351" s="37" t="str">
        <x:v>passed</x:v>
      </x:c>
    </x:row>
    <x:row r="1352" ht="21" customHeight="1">
      <x:c r="A1352" s="2"/>
      <x:c r="B1352" s="2"/>
      <x:c r="C1352" s="2" t="str">
        <x:v>2023</x:v>
      </x:c>
      <x:c r="D1352" s="5" t="n">
        <x:v>45054</x:v>
      </x:c>
      <x:c r="E1352" s="2" t="str">
        <x:v>duration</x:v>
      </x:c>
      <x:c r="F1352" s="37" t="n">
        <x:v>7724944.397343877</x:v>
      </x:c>
      <x:c r="G1352" s="37" t="n">
        <x:v>4026554.677208184</x:v>
      </x:c>
      <x:c r="H1352" s="37" t="n">
        <x:v>-33620.43942432265</x:v>
      </x:c>
      <x:c r="I1352" s="37" t="n">
        <x:v>4060175.1166325063</x:v>
      </x:c>
      <x:c r="J1352" s="37" t="n">
        <x:v>10673956.390937906</x:v>
      </x:c>
      <x:c r="K1352" s="37" t="n">
        <x:v>6647401.7137297215</x:v>
      </x:c>
      <x:c r="L1352" s="37" t="n">
        <x:v>11751499.074552061</x:v>
      </x:c>
      <x:c r="M1352" s="37" t="n">
        <x:v>0</x:v>
      </x:c>
      <x:c r="N1352" s="37" t="n">
        <x:v>0</x:v>
      </x:c>
      <x:c r="O1352" s="37" t="n">
        <x:v>1269.7147241774946</x:v>
      </x:c>
      <x:c r="P1352" s="37" t="n">
        <x:v>0</x:v>
      </x:c>
      <x:c r="Q1352" s="37" t="n">
        <x:v>0</x:v>
      </x:c>
      <x:c r="R1352" s="37" t="n">
        <x:v>0</x:v>
      </x:c>
      <x:c r="S1352" s="37" t="n">
        <x:v>0</x:v>
      </x:c>
      <x:c r="T1352" s="37" t="n">
        <x:v>0</x:v>
      </x:c>
      <x:c r="U1352" s="37" t="n">
        <x:v>63750</x:v>
      </x:c>
      <x:c r="V1352" s="37" t="n">
        <x:v>0</x:v>
      </x:c>
      <x:c r="W1352" s="37" t="n">
        <x:v>53260.19470270723</x:v>
      </x:c>
      <x:c r="X1352" s="37" t="n">
        <x:v>0</x:v>
      </x:c>
      <x:c r="Y1352" s="37" t="n">
        <x:v>1725.2611256883708</x:v>
      </x:c>
      <x:c r="Z1352" s="37" t="n">
        <x:v>6780349.748004316</x:v>
      </x:c>
      <x:c r="AA1352" s="37" t="n">
        <x:v>0</x:v>
      </x:c>
      <x:c r="AB1352" s="37" t="n">
        <x:v>6780349.748004316</x:v>
      </x:c>
      <x:c r="AC1352" s="37" t="n">
        <x:v>944594.6493395604</x:v>
      </x:c>
      <x:c r="AD1352" s="37" t="n">
        <x:v>0</x:v>
      </x:c>
      <x:c r="AE1352" s="37" t="n">
        <x:v>0</x:v>
      </x:c>
      <x:c r="AF1352" s="47" t="b">
        <x:v>0</x:v>
      </x:c>
      <x:c r="AG1352" s="47" t="b">
        <x:v>0</x:v>
      </x:c>
      <x:c r="AH1352" s="48" t="n">
        <x:v>0</x:v>
      </x:c>
      <x:c r="AI1352" s="48" t="n">
        <x:v>5.960464477539063e-8</x:v>
      </x:c>
      <x:c r="AJ1352" s="37" t="str">
        <x:v>passed</x:v>
      </x:c>
    </x:row>
    <x:row r="1353" ht="21" customHeight="1">
      <x:c r="A1353" s="2"/>
      <x:c r="B1353" s="2"/>
      <x:c r="C1353" s="2" t="str">
        <x:v>2023</x:v>
      </x:c>
      <x:c r="D1353" s="5" t="n">
        <x:v>45054</x:v>
      </x:c>
      <x:c r="E1353" s="2" t="str">
        <x:v>unweighted</x:v>
      </x:c>
      <x:c r="F1353" s="37" t="n">
        <x:v>11596457.548886226</x:v>
      </x:c>
      <x:c r="G1353" s="37" t="n">
        <x:v>117859.73322343038</x:v>
      </x:c>
      <x:c r="H1353" s="37" t="n">
        <x:v>-45997.06705921883</x:v>
      </x:c>
      <x:c r="I1353" s="37" t="n">
        <x:v>163856.8002826492</x:v>
      </x:c>
      <x:c r="J1353" s="37" t="n">
        <x:v>10738891.285308888</x:v>
      </x:c>
      <x:c r="K1353" s="37" t="n">
        <x:v>10621031.55208546</x:v>
      </x:c>
      <x:c r="L1353" s="37" t="n">
        <x:v>11714317.282109657</x:v>
      </x:c>
      <x:c r="M1353" s="37" t="n">
        <x:v>0</x:v>
      </x:c>
      <x:c r="N1353" s="37" t="n">
        <x:v>0</x:v>
      </x:c>
      <x:c r="O1353" s="37" t="n">
        <x:v>1906.0581074450165</x:v>
      </x:c>
      <x:c r="P1353" s="37" t="n">
        <x:v>0</x:v>
      </x:c>
      <x:c r="Q1353" s="37" t="n">
        <x:v>0</x:v>
      </x:c>
      <x:c r="R1353" s="37" t="n">
        <x:v>0</x:v>
      </x:c>
      <x:c r="S1353" s="37" t="n">
        <x:v>0</x:v>
      </x:c>
      <x:c r="T1353" s="37" t="n">
        <x:v>0</x:v>
      </x:c>
      <x:c r="U1353" s="37" t="n">
        <x:v>63750</x:v>
      </x:c>
      <x:c r="V1353" s="37" t="n">
        <x:v>0</x:v>
      </x:c>
      <x:c r="W1353" s="37" t="n">
        <x:v>76468.89953503385</x:v>
      </x:c>
      <x:c r="X1353" s="37" t="n">
        <x:v>0</x:v>
      </x:c>
      <x:c r="Y1353" s="37" t="n">
        <x:v>2081.5450520466143</x:v>
      </x:c>
      <x:c r="Z1353" s="37" t="n">
        <x:v>10833452.183127169</x:v>
      </x:c>
      <x:c r="AA1353" s="37" t="n">
        <x:v>0</x:v>
      </x:c>
      <x:c r="AB1353" s="37" t="n">
        <x:v>10833452.183127169</x:v>
      </x:c>
      <x:c r="AC1353" s="37" t="n">
        <x:v>763005.3657590579</x:v>
      </x:c>
      <x:c r="AD1353" s="37" t="n">
        <x:v>0</x:v>
      </x:c>
      <x:c r="AE1353" s="37" t="n">
        <x:v>0</x:v>
      </x:c>
      <x:c r="AF1353" s="47" t="b">
        <x:v>0</x:v>
      </x:c>
      <x:c r="AG1353" s="47" t="b">
        <x:v>0</x:v>
      </x:c>
      <x:c r="AH1353" s="48" t="n">
        <x:v>0</x:v>
      </x:c>
      <x:c r="AI1353" s="48" t="n">
        <x:v>1.1920928955078125e-7</x:v>
      </x:c>
      <x:c r="AJ1353" s="37" t="str">
        <x:v>passed</x:v>
      </x:c>
    </x:row>
    <x:row r="1354" ht="21" customHeight="1">
      <x:c r="A1354" s="2"/>
      <x:c r="B1354" s="2"/>
      <x:c r="C1354" s="2" t="str">
        <x:v>2023</x:v>
      </x:c>
      <x:c r="D1354" s="5" t="n">
        <x:v>45054</x:v>
      </x:c>
      <x:c r="E1354" s="2" t="str">
        <x:v>constrained</x:v>
      </x:c>
      <x:c r="F1354" s="37" t="n">
        <x:v>11898465.56534271</x:v>
      </x:c>
      <x:c r="G1354" s="37" t="n">
        <x:v>-191472.9140874132</x:v>
      </x:c>
      <x:c r="H1354" s="37" t="n">
        <x:v>-46930.1336599396</x:v>
      </x:c>
      <x:c r="I1354" s="37" t="n">
        <x:v>-144542.7804274736</x:v>
      </x:c>
      <x:c r="J1354" s="37" t="n">
        <x:v>10742422.975423502</x:v>
      </x:c>
      <x:c r="K1354" s="37" t="n">
        <x:v>10933895.889510915</x:v>
      </x:c>
      <x:c r="L1354" s="37" t="n">
        <x:v>11706992.651255297</x:v>
      </x:c>
      <x:c r="M1354" s="37" t="n">
        <x:v>0</x:v>
      </x:c>
      <x:c r="N1354" s="37" t="n">
        <x:v>0</x:v>
      </x:c>
      <x:c r="O1354" s="37" t="n">
        <x:v>1955.6978207658976</x:v>
      </x:c>
      <x:c r="P1354" s="37" t="n">
        <x:v>0</x:v>
      </x:c>
      <x:c r="Q1354" s="37" t="n">
        <x:v>0</x:v>
      </x:c>
      <x:c r="R1354" s="37" t="n">
        <x:v>0</x:v>
      </x:c>
      <x:c r="S1354" s="37" t="n">
        <x:v>0</x:v>
      </x:c>
      <x:c r="T1354" s="37" t="n">
        <x:v>0</x:v>
      </x:c>
      <x:c r="U1354" s="37" t="n">
        <x:v>63750</x:v>
      </x:c>
      <x:c r="V1354" s="37" t="n">
        <x:v>0</x:v>
      </x:c>
      <x:c r="W1354" s="37" t="n">
        <x:v>80449.79468450136</x:v>
      </x:c>
      <x:c r="X1354" s="37" t="n">
        <x:v>0</x:v>
      </x:c>
      <x:c r="Y1354" s="37" t="n">
        <x:v>2134.1142062319523</x:v>
      </x:c>
      <x:c r="Z1354" s="37" t="n">
        <x:v>11152573.807301134</x:v>
      </x:c>
      <x:c r="AA1354" s="37" t="n">
        <x:v>0</x:v>
      </x:c>
      <x:c r="AB1354" s="37" t="n">
        <x:v>11152573.807301134</x:v>
      </x:c>
      <x:c r="AC1354" s="37" t="n">
        <x:v>745891.7580415756</x:v>
      </x:c>
      <x:c r="AD1354" s="37" t="n">
        <x:v>0</x:v>
      </x:c>
      <x:c r="AE1354" s="37" t="n">
        <x:v>0</x:v>
      </x:c>
      <x:c r="AF1354" s="47" t="b">
        <x:v>0</x:v>
      </x:c>
      <x:c r="AG1354" s="47" t="b">
        <x:v>0</x:v>
      </x:c>
      <x:c r="AH1354" s="48" t="n">
        <x:v>0</x:v>
      </x:c>
      <x:c r="AI1354" s="48" t="n">
        <x:v>1.1920928955078125e-7</x:v>
      </x:c>
      <x:c r="AJ1354" s="37" t="str">
        <x:v>passed</x:v>
      </x:c>
    </x:row>
    <x:row r="1355" ht="21" customHeight="1">
      <x:c r="A1355" s="2"/>
      <x:c r="B1355" s="2"/>
      <x:c r="C1355" s="2" t="str">
        <x:v>2023</x:v>
      </x:c>
      <x:c r="D1355" s="5" t="n">
        <x:v>45055</x:v>
      </x:c>
      <x:c r="E1355" s="2" t="str">
        <x:v>unhedged</x:v>
      </x:c>
      <x:c r="F1355" s="37" t="n">
        <x:v>1271195.715506542</x:v>
      </x:c>
      <x:c r="G1355" s="37" t="n">
        <x:v>10669784.291092291</x:v>
      </x:c>
      <x:c r="H1355" s="37" t="n">
        <x:v>18480.09998798943</x:v>
      </x:c>
      <x:c r="I1355" s="37" t="n">
        <x:v>10651304.191104302</x:v>
      </x:c>
      <x:c r="J1355" s="37" t="n">
        <x:v>10669784.291092291</x:v>
      </x:c>
      <x:c r="K1355" s="37" t="n">
        <x:v>0</x:v>
      </x:c>
      <x:c r="L1355" s="37" t="n">
        <x:v>11940980.006598834</x:v>
      </x:c>
      <x:c r="M1355" s="37" t="n">
        <x:v>0</x:v>
      </x:c>
      <x:c r="N1355" s="37" t="n">
        <x:v>0</x:v>
      </x:c>
      <x:c r="O1355" s="37" t="n">
        <x:v>69.65074327471666</x:v>
      </x:c>
      <x:c r="P1355" s="37" t="n">
        <x:v>0</x:v>
      </x:c>
      <x:c r="Q1355" s="37" t="n">
        <x:v>0</x:v>
      </x:c>
      <x:c r="R1355" s="37" t="n">
        <x:v>0</x:v>
      </x:c>
      <x:c r="S1355" s="37" t="n">
        <x:v>0</x:v>
      </x:c>
      <x:c r="T1355" s="37" t="n">
        <x:v>0</x:v>
      </x:c>
      <x:c r="U1355" s="37" t="n">
        <x:v>63750</x:v>
      </x:c>
      <x:c r="V1355" s="37" t="n">
        <x:v>0</x:v>
      </x:c>
      <x:c r="W1355" s="37" t="n">
        <x:v>8488.584848664235</x:v>
      </x:c>
      <x:c r="X1355" s="37" t="n">
        <x:v>0</x:v>
      </x:c>
      <x:c r="Y1355" s="37" t="n">
        <x:v>1042.869342122179</x:v>
      </x:c>
      <x:c r="Z1355" s="37" t="n">
        <x:v>0</x:v>
      </x:c>
      <x:c r="AA1355" s="37" t="n">
        <x:v>0</x:v>
      </x:c>
      <x:c r="AB1355" s="37" t="n">
        <x:v>0</x:v>
      </x:c>
      <x:c r="AC1355" s="37" t="n">
        <x:v>1271195.715506542</x:v>
      </x:c>
      <x:c r="AD1355" s="37" t="n">
        <x:v>0</x:v>
      </x:c>
      <x:c r="AE1355" s="37" t="n">
        <x:v>0</x:v>
      </x:c>
      <x:c r="AF1355" s="47" t="b">
        <x:v>0</x:v>
      </x:c>
      <x:c r="AG1355" s="47" t="b">
        <x:v>0</x:v>
      </x:c>
      <x:c r="AH1355" s="48" t="n">
        <x:v>0</x:v>
      </x:c>
      <x:c r="AI1355" s="48" t="n">
        <x:v>1.1920928955078125e-7</x:v>
      </x:c>
      <x:c r="AJ1355" s="37" t="str">
        <x:v>passed</x:v>
      </x:c>
    </x:row>
    <x:row r="1356" ht="21" customHeight="1">
      <x:c r="A1356" s="2"/>
      <x:c r="B1356" s="2"/>
      <x:c r="C1356" s="2" t="str">
        <x:v>2023</x:v>
      </x:c>
      <x:c r="D1356" s="5" t="n">
        <x:v>45055</x:v>
      </x:c>
      <x:c r="E1356" s="2" t="str">
        <x:v>duration</x:v>
      </x:c>
      <x:c r="F1356" s="37" t="n">
        <x:v>7725367.681968389</x:v>
      </x:c>
      <x:c r="G1356" s="37" t="n">
        <x:v>4027025.978723795</x:v>
      </x:c>
      <x:c r="H1356" s="37" t="n">
        <x:v>-33568.011842289714</x:v>
      </x:c>
      <x:c r="I1356" s="37" t="n">
        <x:v>4060593.990566085</x:v>
      </x:c>
      <x:c r="J1356" s="37" t="n">
        <x:v>10669784.291092291</x:v>
      </x:c>
      <x:c r="K1356" s="37" t="n">
        <x:v>6642758.312368495</x:v>
      </x:c>
      <x:c r="L1356" s="37" t="n">
        <x:v>11752393.660692185</x:v>
      </x:c>
      <x:c r="M1356" s="37" t="n">
        <x:v>0</x:v>
      </x:c>
      <x:c r="N1356" s="37" t="n">
        <x:v>0</x:v>
      </x:c>
      <x:c r="O1356" s="37" t="n">
        <x:v>423.28462451230735</x:v>
      </x:c>
      <x:c r="P1356" s="37" t="n">
        <x:v>0</x:v>
      </x:c>
      <x:c r="Q1356" s="37" t="n">
        <x:v>0</x:v>
      </x:c>
      <x:c r="R1356" s="37" t="n">
        <x:v>0</x:v>
      </x:c>
      <x:c r="S1356" s="37" t="n">
        <x:v>0</x:v>
      </x:c>
      <x:c r="T1356" s="37" t="n">
        <x:v>0</x:v>
      </x:c>
      <x:c r="U1356" s="37" t="n">
        <x:v>63750</x:v>
      </x:c>
      <x:c r="V1356" s="37" t="n">
        <x:v>0</x:v>
      </x:c>
      <x:c r="W1356" s="37" t="n">
        <x:v>53683.47932721954</x:v>
      </x:c>
      <x:c r="X1356" s="37" t="n">
        <x:v>0</x:v>
      </x:c>
      <x:c r="Y1356" s="37" t="n">
        <x:v>1725.2611256883708</x:v>
      </x:c>
      <x:c r="Z1356" s="37" t="n">
        <x:v>6775613.478615865</x:v>
      </x:c>
      <x:c r="AA1356" s="37" t="n">
        <x:v>0</x:v>
      </x:c>
      <x:c r="AB1356" s="37" t="n">
        <x:v>6775613.478615865</x:v>
      </x:c>
      <x:c r="AC1356" s="37" t="n">
        <x:v>949754.203352524</x:v>
      </x:c>
      <x:c r="AD1356" s="37" t="n">
        <x:v>0</x:v>
      </x:c>
      <x:c r="AE1356" s="37" t="n">
        <x:v>0</x:v>
      </x:c>
      <x:c r="AF1356" s="47" t="b">
        <x:v>0</x:v>
      </x:c>
      <x:c r="AG1356" s="47" t="b">
        <x:v>0</x:v>
      </x:c>
      <x:c r="AH1356" s="48" t="n">
        <x:v>0</x:v>
      </x:c>
      <x:c r="AI1356" s="48" t="n">
        <x:v>5.960464477539063e-8</x:v>
      </x:c>
      <x:c r="AJ1356" s="37" t="str">
        <x:v>passed</x:v>
      </x:c>
    </x:row>
    <x:row r="1357" ht="21" customHeight="1">
      <x:c r="A1357" s="2"/>
      <x:c r="B1357" s="2"/>
      <x:c r="C1357" s="2" t="str">
        <x:v>2023</x:v>
      </x:c>
      <x:c r="D1357" s="5" t="n">
        <x:v>45055</x:v>
      </x:c>
      <x:c r="E1357" s="2" t="str">
        <x:v>unweighted</x:v>
      </x:c>
      <x:c r="F1357" s="37" t="n">
        <x:v>11597092.971217673</x:v>
      </x:c>
      <x:c r="G1357" s="37" t="n">
        <x:v>117904.19506419257</x:v>
      </x:c>
      <x:c r="H1357" s="37" t="n">
        <x:v>-46029.98052512963</x:v>
      </x:c>
      <x:c r="I1357" s="37" t="n">
        <x:v>163934.1755893222</x:v>
      </x:c>
      <x:c r="J1357" s="37" t="n">
        <x:v>10734549.29741221</x:v>
      </x:c>
      <x:c r="K1357" s="37" t="n">
        <x:v>10616645.102348017</x:v>
      </x:c>
      <x:c r="L1357" s="37" t="n">
        <x:v>11714997.166281866</x:v>
      </x:c>
      <x:c r="M1357" s="37" t="n">
        <x:v>0</x:v>
      </x:c>
      <x:c r="N1357" s="37" t="n">
        <x:v>0</x:v>
      </x:c>
      <x:c r="O1357" s="37" t="n">
        <x:v>635.4223314467818</x:v>
      </x:c>
      <x:c r="P1357" s="37" t="n">
        <x:v>0</x:v>
      </x:c>
      <x:c r="Q1357" s="37" t="n">
        <x:v>0</x:v>
      </x:c>
      <x:c r="R1357" s="37" t="n">
        <x:v>0</x:v>
      </x:c>
      <x:c r="S1357" s="37" t="n">
        <x:v>0</x:v>
      </x:c>
      <x:c r="T1357" s="37" t="n">
        <x:v>0</x:v>
      </x:c>
      <x:c r="U1357" s="37" t="n">
        <x:v>63750</x:v>
      </x:c>
      <x:c r="V1357" s="37" t="n">
        <x:v>0</x:v>
      </x:c>
      <x:c r="W1357" s="37" t="n">
        <x:v>77104.32186648063</x:v>
      </x:c>
      <x:c r="X1357" s="37" t="n">
        <x:v>0</x:v>
      </x:c>
      <x:c r="Y1357" s="37" t="n">
        <x:v>2081.5450520466143</x:v>
      </x:c>
      <x:c r="Z1357" s="37" t="n">
        <x:v>10828978.004394976</x:v>
      </x:c>
      <x:c r="AA1357" s="37" t="n">
        <x:v>0</x:v>
      </x:c>
      <x:c r="AB1357" s="37" t="n">
        <x:v>10828978.004394976</x:v>
      </x:c>
      <x:c r="AC1357" s="37" t="n">
        <x:v>768114.9668226968</x:v>
      </x:c>
      <x:c r="AD1357" s="37" t="n">
        <x:v>0</x:v>
      </x:c>
      <x:c r="AE1357" s="37" t="n">
        <x:v>0</x:v>
      </x:c>
      <x:c r="AF1357" s="47" t="b">
        <x:v>0</x:v>
      </x:c>
      <x:c r="AG1357" s="47" t="b">
        <x:v>0</x:v>
      </x:c>
      <x:c r="AH1357" s="48" t="n">
        <x:v>0</x:v>
      </x:c>
      <x:c r="AI1357" s="48" t="n">
        <x:v>1.1920928955078125e-7</x:v>
      </x:c>
      <x:c r="AJ1357" s="37" t="str">
        <x:v>passed</x:v>
      </x:c>
    </x:row>
    <x:row r="1358" ht="21" customHeight="1">
      <x:c r="A1358" s="2"/>
      <x:c r="B1358" s="2"/>
      <x:c r="C1358" s="2" t="str">
        <x:v>2023</x:v>
      </x:c>
      <x:c r="D1358" s="5" t="n">
        <x:v>45055</x:v>
      </x:c>
      <x:c r="E1358" s="2" t="str">
        <x:v>constrained</x:v>
      </x:c>
      <x:c r="F1358" s="37" t="n">
        <x:v>11899117.53605862</x:v>
      </x:c>
      <x:c r="G1358" s="37" t="n">
        <x:v>-191444.90955503707</x:v>
      </x:c>
      <x:c r="H1358" s="37" t="n">
        <x:v>-46969.00539841531</x:v>
      </x:c>
      <x:c r="I1358" s="37" t="n">
        <x:v>-144475.90415662175</x:v>
      </x:c>
      <x:c r="J1358" s="37" t="n">
        <x:v>10738071.747626513</x:v>
      </x:c>
      <x:c r="K1358" s="37" t="n">
        <x:v>10929516.65718155</x:v>
      </x:c>
      <x:c r="L1358" s="37" t="n">
        <x:v>11707672.626503583</x:v>
      </x:c>
      <x:c r="M1358" s="37" t="n">
        <x:v>0</x:v>
      </x:c>
      <x:c r="N1358" s="37" t="n">
        <x:v>0</x:v>
      </x:c>
      <x:c r="O1358" s="37" t="n">
        <x:v>651.9707159101963</x:v>
      </x:c>
      <x:c r="P1358" s="37" t="n">
        <x:v>0</x:v>
      </x:c>
      <x:c r="Q1358" s="37" t="n">
        <x:v>0</x:v>
      </x:c>
      <x:c r="R1358" s="37" t="n">
        <x:v>0</x:v>
      </x:c>
      <x:c r="S1358" s="37" t="n">
        <x:v>0</x:v>
      </x:c>
      <x:c r="T1358" s="37" t="n">
        <x:v>0</x:v>
      </x:c>
      <x:c r="U1358" s="37" t="n">
        <x:v>63750</x:v>
      </x:c>
      <x:c r="V1358" s="37" t="n">
        <x:v>0</x:v>
      </x:c>
      <x:c r="W1358" s="37" t="n">
        <x:v>81101.76540041156</x:v>
      </x:c>
      <x:c r="X1358" s="37" t="n">
        <x:v>0</x:v>
      </x:c>
      <x:c r="Y1358" s="37" t="n">
        <x:v>2134.1142062319523</x:v>
      </x:c>
      <x:c r="Z1358" s="37" t="n">
        <x:v>11148106.99032518</x:v>
      </x:c>
      <x:c r="AA1358" s="37" t="n">
        <x:v>0</x:v>
      </x:c>
      <x:c r="AB1358" s="37" t="n">
        <x:v>11148106.99032518</x:v>
      </x:c>
      <x:c r="AC1358" s="37" t="n">
        <x:v>751010.5457334388</x:v>
      </x:c>
      <x:c r="AD1358" s="37" t="n">
        <x:v>0</x:v>
      </x:c>
      <x:c r="AE1358" s="37" t="n">
        <x:v>0</x:v>
      </x:c>
      <x:c r="AF1358" s="47" t="b">
        <x:v>0</x:v>
      </x:c>
      <x:c r="AG1358" s="47" t="b">
        <x:v>0</x:v>
      </x:c>
      <x:c r="AH1358" s="48" t="n">
        <x:v>0</x:v>
      </x:c>
      <x:c r="AI1358" s="48" t="n">
        <x:v>1.1920928955078125e-7</x:v>
      </x:c>
      <x:c r="AJ1358" s="37" t="str">
        <x:v>passed</x:v>
      </x:c>
    </x:row>
    <x:row r="1359" ht="21" customHeight="1">
      <x:c r="A1359" s="2"/>
      <x:c r="B1359" s="2"/>
      <x:c r="C1359" s="2" t="str">
        <x:v>2023</x:v>
      </x:c>
      <x:c r="D1359" s="5" t="n">
        <x:v>45056</x:v>
      </x:c>
      <x:c r="E1359" s="2" t="str">
        <x:v>unhedged</x:v>
      </x:c>
      <x:c r="F1359" s="37" t="n">
        <x:v>1271265.3700662958</x:v>
      </x:c>
      <x:c r="G1359" s="37" t="n">
        <x:v>10722312.569074996</x:v>
      </x:c>
      <x:c r="H1359" s="37" t="n">
        <x:v>18829.94535190968</x:v>
      </x:c>
      <x:c r="I1359" s="37" t="n">
        <x:v>10703482.623723086</x:v>
      </x:c>
      <x:c r="J1359" s="37" t="n">
        <x:v>10722312.569074996</x:v>
      </x:c>
      <x:c r="K1359" s="37" t="n">
        <x:v>0</x:v>
      </x:c>
      <x:c r="L1359" s="37" t="n">
        <x:v>11993577.939141292</x:v>
      </x:c>
      <x:c r="M1359" s="37" t="n">
        <x:v>0</x:v>
      </x:c>
      <x:c r="N1359" s="37" t="n">
        <x:v>0</x:v>
      </x:c>
      <x:c r="O1359" s="37" t="n">
        <x:v>69.6545597538352</x:v>
      </x:c>
      <x:c r="P1359" s="37" t="n">
        <x:v>0</x:v>
      </x:c>
      <x:c r="Q1359" s="37" t="n">
        <x:v>0</x:v>
      </x:c>
      <x:c r="R1359" s="37" t="n">
        <x:v>0</x:v>
      </x:c>
      <x:c r="S1359" s="37" t="n">
        <x:v>0</x:v>
      </x:c>
      <x:c r="T1359" s="37" t="n">
        <x:v>0</x:v>
      </x:c>
      <x:c r="U1359" s="37" t="n">
        <x:v>63750</x:v>
      </x:c>
      <x:c r="V1359" s="37" t="n">
        <x:v>0</x:v>
      </x:c>
      <x:c r="W1359" s="37" t="n">
        <x:v>8558.23940841807</x:v>
      </x:c>
      <x:c r="X1359" s="37" t="n">
        <x:v>0</x:v>
      </x:c>
      <x:c r="Y1359" s="37" t="n">
        <x:v>1042.869342122179</x:v>
      </x:c>
      <x:c r="Z1359" s="37" t="n">
        <x:v>0</x:v>
      </x:c>
      <x:c r="AA1359" s="37" t="n">
        <x:v>0</x:v>
      </x:c>
      <x:c r="AB1359" s="37" t="n">
        <x:v>0</x:v>
      </x:c>
      <x:c r="AC1359" s="37" t="n">
        <x:v>1271265.3700662958</x:v>
      </x:c>
      <x:c r="AD1359" s="37" t="n">
        <x:v>0</x:v>
      </x:c>
      <x:c r="AE1359" s="37" t="n">
        <x:v>0</x:v>
      </x:c>
      <x:c r="AF1359" s="47" t="b">
        <x:v>0</x:v>
      </x:c>
      <x:c r="AG1359" s="47" t="b">
        <x:v>0</x:v>
      </x:c>
      <x:c r="AH1359" s="48" t="n">
        <x:v>0</x:v>
      </x:c>
      <x:c r="AI1359" s="48" t="n">
        <x:v>1.1920928955078125e-7</x:v>
      </x:c>
      <x:c r="AJ1359" s="37" t="str">
        <x:v>passed</x:v>
      </x:c>
    </x:row>
    <x:row r="1360" ht="21" customHeight="1">
      <x:c r="A1360" s="2"/>
      <x:c r="B1360" s="2"/>
      <x:c r="C1360" s="2" t="str">
        <x:v>2023</x:v>
      </x:c>
      <x:c r="D1360" s="5" t="n">
        <x:v>45056</x:v>
      </x:c>
      <x:c r="E1360" s="2" t="str">
        <x:v>duration</x:v>
      </x:c>
      <x:c r="F1360" s="37" t="n">
        <x:v>7725790.989786578</x:v>
      </x:c>
      <x:c r="G1360" s="37" t="n">
        <x:v>4032699.88784034</x:v>
      </x:c>
      <x:c r="H1360" s="37" t="n">
        <x:v>-33515.584260256765</x:v>
      </x:c>
      <x:c r="I1360" s="37" t="n">
        <x:v>4066215.472100597</x:v>
      </x:c>
      <x:c r="J1360" s="37" t="n">
        <x:v>10722312.569074996</x:v>
      </x:c>
      <x:c r="K1360" s="37" t="n">
        <x:v>6689612.681234656</x:v>
      </x:c>
      <x:c r="L1360" s="37" t="n">
        <x:v>11758490.877626918</x:v>
      </x:c>
      <x:c r="M1360" s="37" t="n">
        <x:v>0</x:v>
      </x:c>
      <x:c r="N1360" s="37" t="n">
        <x:v>0</x:v>
      </x:c>
      <x:c r="O1360" s="37" t="n">
        <x:v>423.30781818926334</x:v>
      </x:c>
      <x:c r="P1360" s="37" t="n">
        <x:v>0</x:v>
      </x:c>
      <x:c r="Q1360" s="37" t="n">
        <x:v>0</x:v>
      </x:c>
      <x:c r="R1360" s="37" t="n">
        <x:v>0</x:v>
      </x:c>
      <x:c r="S1360" s="37" t="n">
        <x:v>0</x:v>
      </x:c>
      <x:c r="T1360" s="37" t="n">
        <x:v>0</x:v>
      </x:c>
      <x:c r="U1360" s="37" t="n">
        <x:v>63750</x:v>
      </x:c>
      <x:c r="V1360" s="37" t="n">
        <x:v>0</x:v>
      </x:c>
      <x:c r="W1360" s="37" t="n">
        <x:v>54106.7871454088</x:v>
      </x:c>
      <x:c r="X1360" s="37" t="n">
        <x:v>0</x:v>
      </x:c>
      <x:c r="Y1360" s="37" t="n">
        <x:v>1725.2611256883708</x:v>
      </x:c>
      <x:c r="Z1360" s="37" t="n">
        <x:v>6823404.934859349</x:v>
      </x:c>
      <x:c r="AA1360" s="37" t="n">
        <x:v>0</x:v>
      </x:c>
      <x:c r="AB1360" s="37" t="n">
        <x:v>6823404.934859349</x:v>
      </x:c>
      <x:c r="AC1360" s="37" t="n">
        <x:v>902386.054927229</x:v>
      </x:c>
      <x:c r="AD1360" s="37" t="n">
        <x:v>0</x:v>
      </x:c>
      <x:c r="AE1360" s="37" t="n">
        <x:v>0</x:v>
      </x:c>
      <x:c r="AF1360" s="47" t="b">
        <x:v>0</x:v>
      </x:c>
      <x:c r="AG1360" s="47" t="b">
        <x:v>0</x:v>
      </x:c>
      <x:c r="AH1360" s="48" t="n">
        <x:v>0</x:v>
      </x:c>
      <x:c r="AI1360" s="48" t="n">
        <x:v>5.960464477539063e-8</x:v>
      </x:c>
      <x:c r="AJ1360" s="37" t="str">
        <x:v>passed</x:v>
      </x:c>
    </x:row>
    <x:row r="1361" ht="21" customHeight="1">
      <x:c r="A1361" s="2"/>
      <x:c r="B1361" s="2"/>
      <x:c r="C1361" s="2" t="str">
        <x:v>2023</x:v>
      </x:c>
      <x:c r="D1361" s="5" t="n">
        <x:v>45056</x:v>
      </x:c>
      <x:c r="E1361" s="2" t="str">
        <x:v>unweighted</x:v>
      </x:c>
      <x:c r="F1361" s="37" t="n">
        <x:v>11597728.42836678</x:v>
      </x:c>
      <x:c r="G1361" s="37" t="n">
        <x:v>118353.05279882753</x:v>
      </x:c>
      <x:c r="H1361" s="37" t="n">
        <x:v>-46062.8939910404</x:v>
      </x:c>
      <x:c r="I1361" s="37" t="n">
        <x:v>164415.94678986794</x:v>
      </x:c>
      <x:c r="J1361" s="37" t="n">
        <x:v>10787616.489848087</x:v>
      </x:c>
      <x:c r="K1361" s="37" t="n">
        <x:v>10669263.437049259</x:v>
      </x:c>
      <x:c r="L1361" s="37" t="n">
        <x:v>11716081.481165608</x:v>
      </x:c>
      <x:c r="M1361" s="37" t="n">
        <x:v>0</x:v>
      </x:c>
      <x:c r="N1361" s="37" t="n">
        <x:v>0</x:v>
      </x:c>
      <x:c r="O1361" s="37" t="n">
        <x:v>635.4571491070092</x:v>
      </x:c>
      <x:c r="P1361" s="37" t="n">
        <x:v>0</x:v>
      </x:c>
      <x:c r="Q1361" s="37" t="n">
        <x:v>0</x:v>
      </x:c>
      <x:c r="R1361" s="37" t="n">
        <x:v>0</x:v>
      </x:c>
      <x:c r="S1361" s="37" t="n">
        <x:v>0</x:v>
      </x:c>
      <x:c r="T1361" s="37" t="n">
        <x:v>0</x:v>
      </x:c>
      <x:c r="U1361" s="37" t="n">
        <x:v>63750</x:v>
      </x:c>
      <x:c r="V1361" s="37" t="n">
        <x:v>0</x:v>
      </x:c>
      <x:c r="W1361" s="37" t="n">
        <x:v>77739.77901558764</x:v>
      </x:c>
      <x:c r="X1361" s="37" t="n">
        <x:v>0</x:v>
      </x:c>
      <x:c r="Y1361" s="37" t="n">
        <x:v>2081.5450520466143</x:v>
      </x:c>
      <x:c r="Z1361" s="37" t="n">
        <x:v>10882648.705790244</x:v>
      </x:c>
      <x:c r="AA1361" s="37" t="n">
        <x:v>0</x:v>
      </x:c>
      <x:c r="AB1361" s="37" t="n">
        <x:v>10882648.705790244</x:v>
      </x:c>
      <x:c r="AC1361" s="37" t="n">
        <x:v>715079.7225765362</x:v>
      </x:c>
      <x:c r="AD1361" s="37" t="n">
        <x:v>0</x:v>
      </x:c>
      <x:c r="AE1361" s="37" t="n">
        <x:v>0</x:v>
      </x:c>
      <x:c r="AF1361" s="47" t="b">
        <x:v>0</x:v>
      </x:c>
      <x:c r="AG1361" s="47" t="b">
        <x:v>0</x:v>
      </x:c>
      <x:c r="AH1361" s="48" t="n">
        <x:v>0</x:v>
      </x:c>
      <x:c r="AI1361" s="48" t="n">
        <x:v>1.1920928955078125e-7</x:v>
      </x:c>
      <x:c r="AJ1361" s="37" t="str">
        <x:v>passed</x:v>
      </x:c>
    </x:row>
    <x:row r="1362" ht="21" customHeight="1">
      <x:c r="A1362" s="2"/>
      <x:c r="B1362" s="2"/>
      <x:c r="C1362" s="2" t="str">
        <x:v>2023</x:v>
      </x:c>
      <x:c r="D1362" s="5" t="n">
        <x:v>45056</x:v>
      </x:c>
      <x:c r="E1362" s="2" t="str">
        <x:v>constrained</x:v>
      </x:c>
      <x:c r="F1362" s="37" t="n">
        <x:v>11899769.542498952</x:v>
      </x:c>
      <x:c r="G1362" s="37" t="n">
        <x:v>-191367.44925367253</x:v>
      </x:c>
      <x:c r="H1362" s="37" t="n">
        <x:v>-47007.877136891024</x:v>
      </x:c>
      <x:c r="I1362" s="37" t="n">
        <x:v>-144359.5721167815</x:v>
      </x:c>
      <x:c r="J1362" s="37" t="n">
        <x:v>10791168.250633622</x:v>
      </x:c>
      <x:c r="K1362" s="37" t="n">
        <x:v>10982535.699887294</x:v>
      </x:c>
      <x:c r="L1362" s="37" t="n">
        <x:v>11708402.093245279</x:v>
      </x:c>
      <x:c r="M1362" s="37" t="n">
        <x:v>0</x:v>
      </x:c>
      <x:c r="N1362" s="37" t="n">
        <x:v>0</x:v>
      </x:c>
      <x:c r="O1362" s="37" t="n">
        <x:v>652.0064403321594</x:v>
      </x:c>
      <x:c r="P1362" s="37" t="n">
        <x:v>0</x:v>
      </x:c>
      <x:c r="Q1362" s="37" t="n">
        <x:v>0</x:v>
      </x:c>
      <x:c r="R1362" s="37" t="n">
        <x:v>0</x:v>
      </x:c>
      <x:c r="S1362" s="37" t="n">
        <x:v>0</x:v>
      </x:c>
      <x:c r="T1362" s="37" t="n">
        <x:v>0</x:v>
      </x:c>
      <x:c r="U1362" s="37" t="n">
        <x:v>63750</x:v>
      </x:c>
      <x:c r="V1362" s="37" t="n">
        <x:v>0</x:v>
      </x:c>
      <x:c r="W1362" s="37" t="n">
        <x:v>81753.77184074372</x:v>
      </x:c>
      <x:c r="X1362" s="37" t="n">
        <x:v>0</x:v>
      </x:c>
      <x:c r="Y1362" s="37" t="n">
        <x:v>2134.1142062319523</x:v>
      </x:c>
      <x:c r="Z1362" s="37" t="n">
        <x:v>11202186.41388504</x:v>
      </x:c>
      <x:c r="AA1362" s="37" t="n">
        <x:v>0</x:v>
      </x:c>
      <x:c r="AB1362" s="37" t="n">
        <x:v>11202186.41388504</x:v>
      </x:c>
      <x:c r="AC1362" s="37" t="n">
        <x:v>697583.1286139116</x:v>
      </x:c>
      <x:c r="AD1362" s="37" t="n">
        <x:v>0</x:v>
      </x:c>
      <x:c r="AE1362" s="37" t="n">
        <x:v>0</x:v>
      </x:c>
      <x:c r="AF1362" s="47" t="b">
        <x:v>0</x:v>
      </x:c>
      <x:c r="AG1362" s="47" t="b">
        <x:v>0</x:v>
      </x:c>
      <x:c r="AH1362" s="48" t="n">
        <x:v>0</x:v>
      </x:c>
      <x:c r="AI1362" s="48" t="n">
        <x:v>1.1920928955078125e-7</x:v>
      </x:c>
      <x:c r="AJ1362" s="37" t="str">
        <x:v>passed</x:v>
      </x:c>
    </x:row>
    <x:row r="1363" ht="21" customHeight="1">
      <x:c r="A1363" s="2"/>
      <x:c r="B1363" s="2"/>
      <x:c r="C1363" s="2" t="str">
        <x:v>2023</x:v>
      </x:c>
      <x:c r="D1363" s="5" t="n">
        <x:v>45057</x:v>
      </x:c>
      <x:c r="E1363" s="2" t="str">
        <x:v>unhedged</x:v>
      </x:c>
      <x:c r="F1363" s="37" t="n">
        <x:v>1271335.028442738</x:v>
      </x:c>
      <x:c r="G1363" s="37" t="n">
        <x:v>10742369.558738645</x:v>
      </x:c>
      <x:c r="H1363" s="37" t="n">
        <x:v>19179.79071582993</x:v>
      </x:c>
      <x:c r="I1363" s="37" t="n">
        <x:v>10723189.768022815</x:v>
      </x:c>
      <x:c r="J1363" s="37" t="n">
        <x:v>10742369.558738645</x:v>
      </x:c>
      <x:c r="K1363" s="37" t="n">
        <x:v>0</x:v>
      </x:c>
      <x:c r="L1363" s="37" t="n">
        <x:v>12013704.587181384</x:v>
      </x:c>
      <x:c r="M1363" s="37" t="n">
        <x:v>0</x:v>
      </x:c>
      <x:c r="N1363" s="37" t="n">
        <x:v>0</x:v>
      </x:c>
      <x:c r="O1363" s="37" t="n">
        <x:v>69.65837644226849</x:v>
      </x:c>
      <x:c r="P1363" s="37" t="n">
        <x:v>0</x:v>
      </x:c>
      <x:c r="Q1363" s="37" t="n">
        <x:v>0</x:v>
      </x:c>
      <x:c r="R1363" s="37" t="n">
        <x:v>0</x:v>
      </x:c>
      <x:c r="S1363" s="37" t="n">
        <x:v>0</x:v>
      </x:c>
      <x:c r="T1363" s="37" t="n">
        <x:v>0</x:v>
      </x:c>
      <x:c r="U1363" s="37" t="n">
        <x:v>63750</x:v>
      </x:c>
      <x:c r="V1363" s="37" t="n">
        <x:v>0</x:v>
      </x:c>
      <x:c r="W1363" s="37" t="n">
        <x:v>8627.897784860339</x:v>
      </x:c>
      <x:c r="X1363" s="37" t="n">
        <x:v>0</x:v>
      </x:c>
      <x:c r="Y1363" s="37" t="n">
        <x:v>1042.869342122179</x:v>
      </x:c>
      <x:c r="Z1363" s="37" t="n">
        <x:v>0</x:v>
      </x:c>
      <x:c r="AA1363" s="37" t="n">
        <x:v>0</x:v>
      </x:c>
      <x:c r="AB1363" s="37" t="n">
        <x:v>0</x:v>
      </x:c>
      <x:c r="AC1363" s="37" t="n">
        <x:v>1271335.028442738</x:v>
      </x:c>
      <x:c r="AD1363" s="37" t="n">
        <x:v>0</x:v>
      </x:c>
      <x:c r="AE1363" s="37" t="n">
        <x:v>0</x:v>
      </x:c>
      <x:c r="AF1363" s="47" t="b">
        <x:v>0</x:v>
      </x:c>
      <x:c r="AG1363" s="47" t="b">
        <x:v>0</x:v>
      </x:c>
      <x:c r="AH1363" s="48" t="n">
        <x:v>0</x:v>
      </x:c>
      <x:c r="AI1363" s="48" t="n">
        <x:v>1.1920928955078125e-7</x:v>
      </x:c>
      <x:c r="AJ1363" s="37" t="str">
        <x:v>passed</x:v>
      </x:c>
    </x:row>
    <x:row r="1364" ht="21" customHeight="1">
      <x:c r="A1364" s="2"/>
      <x:c r="B1364" s="2"/>
      <x:c r="C1364" s="2" t="str">
        <x:v>2023</x:v>
      </x:c>
      <x:c r="D1364" s="5" t="n">
        <x:v>45057</x:v>
      </x:c>
      <x:c r="E1364" s="2" t="str">
        <x:v>duration</x:v>
      </x:c>
      <x:c r="F1364" s="37" t="n">
        <x:v>7726214.320799719</x:v>
      </x:c>
      <x:c r="G1364" s="37" t="n">
        <x:v>4027182.114481841</x:v>
      </x:c>
      <x:c r="H1364" s="37" t="n">
        <x:v>-33463.15667822382</x:v>
      </x:c>
      <x:c r="I1364" s="37" t="n">
        <x:v>4060645.271160065</x:v>
      </x:c>
      <x:c r="J1364" s="37" t="n">
        <x:v>10742369.558738645</x:v>
      </x:c>
      <x:c r="K1364" s="37" t="n">
        <x:v>6715187.444256804</x:v>
      </x:c>
      <x:c r="L1364" s="37" t="n">
        <x:v>11753396.43528156</x:v>
      </x:c>
      <x:c r="M1364" s="37" t="n">
        <x:v>0</x:v>
      </x:c>
      <x:c r="N1364" s="37" t="n">
        <x:v>0</x:v>
      </x:c>
      <x:c r="O1364" s="37" t="n">
        <x:v>423.3310131402686</x:v>
      </x:c>
      <x:c r="P1364" s="37" t="n">
        <x:v>0</x:v>
      </x:c>
      <x:c r="Q1364" s="37" t="n">
        <x:v>0</x:v>
      </x:c>
      <x:c r="R1364" s="37" t="n">
        <x:v>0</x:v>
      </x:c>
      <x:c r="S1364" s="37" t="n">
        <x:v>0</x:v>
      </x:c>
      <x:c r="T1364" s="37" t="n">
        <x:v>0</x:v>
      </x:c>
      <x:c r="U1364" s="37" t="n">
        <x:v>63750</x:v>
      </x:c>
      <x:c r="V1364" s="37" t="n">
        <x:v>0</x:v>
      </x:c>
      <x:c r="W1364" s="37" t="n">
        <x:v>54530.11815854907</x:v>
      </x:c>
      <x:c r="X1364" s="37" t="n">
        <x:v>0</x:v>
      </x:c>
      <x:c r="Y1364" s="37" t="n">
        <x:v>1725.2611256883708</x:v>
      </x:c>
      <x:c r="Z1364" s="37" t="n">
        <x:v>6849491.19314194</x:v>
      </x:c>
      <x:c r="AA1364" s="37" t="n">
        <x:v>0</x:v>
      </x:c>
      <x:c r="AB1364" s="37" t="n">
        <x:v>6849491.19314194</x:v>
      </x:c>
      <x:c r="AC1364" s="37" t="n">
        <x:v>876723.1276577786</x:v>
      </x:c>
      <x:c r="AD1364" s="37" t="n">
        <x:v>0</x:v>
      </x:c>
      <x:c r="AE1364" s="37" t="n">
        <x:v>0</x:v>
      </x:c>
      <x:c r="AF1364" s="47" t="b">
        <x:v>0</x:v>
      </x:c>
      <x:c r="AG1364" s="47" t="b">
        <x:v>0</x:v>
      </x:c>
      <x:c r="AH1364" s="48" t="n">
        <x:v>0</x:v>
      </x:c>
      <x:c r="AI1364" s="48" t="n">
        <x:v>5.960464477539063e-8</x:v>
      </x:c>
      <x:c r="AJ1364" s="37" t="str">
        <x:v>passed</x:v>
      </x:c>
    </x:row>
    <x:row r="1365" ht="21" customHeight="1">
      <x:c r="A1365" s="2"/>
      <x:c r="B1365" s="2"/>
      <x:c r="C1365" s="2" t="str">
        <x:v>2023</x:v>
      </x:c>
      <x:c r="D1365" s="5" t="n">
        <x:v>45057</x:v>
      </x:c>
      <x:c r="E1365" s="2" t="str">
        <x:v>unweighted</x:v>
      </x:c>
      <x:c r="F1365" s="37" t="n">
        <x:v>11598363.920335459</x:v>
      </x:c>
      <x:c r="G1365" s="37" t="n">
        <x:v>118206.66296081805</x:v>
      </x:c>
      <x:c r="H1365" s="37" t="n">
        <x:v>-46095.807456951174</x:v>
      </x:c>
      <x:c r="I1365" s="37" t="n">
        <x:v>164302.47041776922</x:v>
      </x:c>
      <x:c r="J1365" s="37" t="n">
        <x:v>10808329.816410486</x:v>
      </x:c>
      <x:c r="K1365" s="37" t="n">
        <x:v>10690123.153449668</x:v>
      </x:c>
      <x:c r="L1365" s="37" t="n">
        <x:v>11716570.583296277</x:v>
      </x:c>
      <x:c r="M1365" s="37" t="n">
        <x:v>0</x:v>
      </x:c>
      <x:c r="N1365" s="37" t="n">
        <x:v>0</x:v>
      </x:c>
      <x:c r="O1365" s="37" t="n">
        <x:v>635.4919686783105</x:v>
      </x:c>
      <x:c r="P1365" s="37" t="n">
        <x:v>0</x:v>
      </x:c>
      <x:c r="Q1365" s="37" t="n">
        <x:v>0</x:v>
      </x:c>
      <x:c r="R1365" s="37" t="n">
        <x:v>0</x:v>
      </x:c>
      <x:c r="S1365" s="37" t="n">
        <x:v>0</x:v>
      </x:c>
      <x:c r="T1365" s="37" t="n">
        <x:v>0</x:v>
      </x:c>
      <x:c r="U1365" s="37" t="n">
        <x:v>63750</x:v>
      </x:c>
      <x:c r="V1365" s="37" t="n">
        <x:v>0</x:v>
      </x:c>
      <x:c r="W1365" s="37" t="n">
        <x:v>78375.27098426595</x:v>
      </x:c>
      <x:c r="X1365" s="37" t="n">
        <x:v>0</x:v>
      </x:c>
      <x:c r="Y1365" s="37" t="n">
        <x:v>2081.5450520466143</x:v>
      </x:c>
      <x:c r="Z1365" s="37" t="n">
        <x:v>10903925.616518661</x:v>
      </x:c>
      <x:c r="AA1365" s="37" t="n">
        <x:v>0</x:v>
      </x:c>
      <x:c r="AB1365" s="37" t="n">
        <x:v>10903925.616518661</x:v>
      </x:c>
      <x:c r="AC1365" s="37" t="n">
        <x:v>694438.3038167972</x:v>
      </x:c>
      <x:c r="AD1365" s="37" t="n">
        <x:v>0</x:v>
      </x:c>
      <x:c r="AE1365" s="37" t="n">
        <x:v>0</x:v>
      </x:c>
      <x:c r="AF1365" s="47" t="b">
        <x:v>0</x:v>
      </x:c>
      <x:c r="AG1365" s="47" t="b">
        <x:v>0</x:v>
      </x:c>
      <x:c r="AH1365" s="48" t="n">
        <x:v>0</x:v>
      </x:c>
      <x:c r="AI1365" s="48" t="n">
        <x:v>1.1920928955078125e-7</x:v>
      </x:c>
      <x:c r="AJ1365" s="37" t="str">
        <x:v>passed</x:v>
      </x:c>
    </x:row>
    <x:row r="1366" ht="21" customHeight="1">
      <x:c r="A1366" s="2"/>
      <x:c r="B1366" s="2"/>
      <x:c r="C1366" s="2" t="str">
        <x:v>2023</x:v>
      </x:c>
      <x:c r="D1366" s="5" t="n">
        <x:v>45057</x:v>
      </x:c>
      <x:c r="E1366" s="2" t="str">
        <x:v>constrained</x:v>
      </x:c>
      <x:c r="F1366" s="37" t="n">
        <x:v>11900421.584665665</x:v>
      </x:c>
      <x:c r="G1366" s="37" t="n">
        <x:v>-191485.37863044644</x:v>
      </x:c>
      <x:c r="H1366" s="37" t="n">
        <x:v>-47046.74887536673</x:v>
      </x:c>
      <x:c r="I1366" s="37" t="n">
        <x:v>-144438.62975507972</x:v>
      </x:c>
      <x:c r="J1366" s="37" t="n">
        <x:v>10811917.274159258</x:v>
      </x:c>
      <x:c r="K1366" s="37" t="n">
        <x:v>11003402.652789705</x:v>
      </x:c>
      <x:c r="L1366" s="37" t="n">
        <x:v>11708936.20603522</x:v>
      </x:c>
      <x:c r="M1366" s="37" t="n">
        <x:v>0</x:v>
      </x:c>
      <x:c r="N1366" s="37" t="n">
        <x:v>0</x:v>
      </x:c>
      <x:c r="O1366" s="37" t="n">
        <x:v>652.0421667136252</x:v>
      </x:c>
      <x:c r="P1366" s="37" t="n">
        <x:v>0</x:v>
      </x:c>
      <x:c r="Q1366" s="37" t="n">
        <x:v>0</x:v>
      </x:c>
      <x:c r="R1366" s="37" t="n">
        <x:v>0</x:v>
      </x:c>
      <x:c r="S1366" s="37" t="n">
        <x:v>0</x:v>
      </x:c>
      <x:c r="T1366" s="37" t="n">
        <x:v>0</x:v>
      </x:c>
      <x:c r="U1366" s="37" t="n">
        <x:v>63750</x:v>
      </x:c>
      <x:c r="V1366" s="37" t="n">
        <x:v>0</x:v>
      </x:c>
      <x:c r="W1366" s="37" t="n">
        <x:v>82405.81400745735</x:v>
      </x:c>
      <x:c r="X1366" s="37" t="n">
        <x:v>0</x:v>
      </x:c>
      <x:c r="Y1366" s="37" t="n">
        <x:v>2134.1142062319523</x:v>
      </x:c>
      <x:c r="Z1366" s="37" t="n">
        <x:v>11223470.7058455</x:v>
      </x:c>
      <x:c r="AA1366" s="37" t="n">
        <x:v>0</x:v>
      </x:c>
      <x:c r="AB1366" s="37" t="n">
        <x:v>11223470.7058455</x:v>
      </x:c>
      <x:c r="AC1366" s="37" t="n">
        <x:v>676950.878820166</x:v>
      </x:c>
      <x:c r="AD1366" s="37" t="n">
        <x:v>0</x:v>
      </x:c>
      <x:c r="AE1366" s="37" t="n">
        <x:v>0</x:v>
      </x:c>
      <x:c r="AF1366" s="47" t="b">
        <x:v>0</x:v>
      </x:c>
      <x:c r="AG1366" s="47" t="b">
        <x:v>0</x:v>
      </x:c>
      <x:c r="AH1366" s="48" t="n">
        <x:v>0</x:v>
      </x:c>
      <x:c r="AI1366" s="48" t="n">
        <x:v>1.1920928955078125e-7</x:v>
      </x:c>
      <x:c r="AJ1366" s="37" t="str">
        <x:v>passed</x:v>
      </x:c>
    </x:row>
    <x:row r="1367" ht="21" customHeight="1">
      <x:c r="A1367" s="2"/>
      <x:c r="B1367" s="2"/>
      <x:c r="C1367" s="2" t="str">
        <x:v>2023</x:v>
      </x:c>
      <x:c r="D1367" s="5" t="n">
        <x:v>45058</x:v>
      </x:c>
      <x:c r="E1367" s="2" t="str">
        <x:v>unhedged</x:v>
      </x:c>
      <x:c r="F1367" s="37" t="n">
        <x:v>1271404.6906360772</x:v>
      </x:c>
      <x:c r="G1367" s="37" t="n">
        <x:v>10702305.21006858</x:v>
      </x:c>
      <x:c r="H1367" s="37" t="n">
        <x:v>19529.63607975018</x:v>
      </x:c>
      <x:c r="I1367" s="37" t="n">
        <x:v>10682775.573988829</x:v>
      </x:c>
      <x:c r="J1367" s="37" t="n">
        <x:v>10702305.21006858</x:v>
      </x:c>
      <x:c r="K1367" s="37" t="n">
        <x:v>0</x:v>
      </x:c>
      <x:c r="L1367" s="37" t="n">
        <x:v>11973709.900704658</x:v>
      </x:c>
      <x:c r="M1367" s="37" t="n">
        <x:v>0</x:v>
      </x:c>
      <x:c r="N1367" s="37" t="n">
        <x:v>0</x:v>
      </x:c>
      <x:c r="O1367" s="37" t="n">
        <x:v>69.6621933390852</x:v>
      </x:c>
      <x:c r="P1367" s="37" t="n">
        <x:v>0</x:v>
      </x:c>
      <x:c r="Q1367" s="37" t="n">
        <x:v>0</x:v>
      </x:c>
      <x:c r="R1367" s="37" t="n">
        <x:v>0</x:v>
      </x:c>
      <x:c r="S1367" s="37" t="n">
        <x:v>0</x:v>
      </x:c>
      <x:c r="T1367" s="37" t="n">
        <x:v>0</x:v>
      </x:c>
      <x:c r="U1367" s="37" t="n">
        <x:v>63750</x:v>
      </x:c>
      <x:c r="V1367" s="37" t="n">
        <x:v>0</x:v>
      </x:c>
      <x:c r="W1367" s="37" t="n">
        <x:v>8697.559978199424</x:v>
      </x:c>
      <x:c r="X1367" s="37" t="n">
        <x:v>0</x:v>
      </x:c>
      <x:c r="Y1367" s="37" t="n">
        <x:v>1042.869342122179</x:v>
      </x:c>
      <x:c r="Z1367" s="37" t="n">
        <x:v>0</x:v>
      </x:c>
      <x:c r="AA1367" s="37" t="n">
        <x:v>0</x:v>
      </x:c>
      <x:c r="AB1367" s="37" t="n">
        <x:v>0</x:v>
      </x:c>
      <x:c r="AC1367" s="37" t="n">
        <x:v>1271404.6906360772</x:v>
      </x:c>
      <x:c r="AD1367" s="37" t="n">
        <x:v>0</x:v>
      </x:c>
      <x:c r="AE1367" s="37" t="n">
        <x:v>0</x:v>
      </x:c>
      <x:c r="AF1367" s="47" t="b">
        <x:v>0</x:v>
      </x:c>
      <x:c r="AG1367" s="47" t="b">
        <x:v>0</x:v>
      </x:c>
      <x:c r="AH1367" s="48" t="n">
        <x:v>0</x:v>
      </x:c>
      <x:c r="AI1367" s="48" t="n">
        <x:v>1.1920928955078125e-7</x:v>
      </x:c>
      <x:c r="AJ1367" s="37" t="str">
        <x:v>passed</x:v>
      </x:c>
    </x:row>
    <x:row r="1368" ht="21" customHeight="1">
      <x:c r="A1368" s="2"/>
      <x:c r="B1368" s="2"/>
      <x:c r="C1368" s="2" t="str">
        <x:v>2023</x:v>
      </x:c>
      <x:c r="D1368" s="5" t="n">
        <x:v>45058</x:v>
      </x:c>
      <x:c r="E1368" s="2" t="str">
        <x:v>duration</x:v>
      </x:c>
      <x:c r="F1368" s="37" t="n">
        <x:v>7726637.675009077</x:v>
      </x:c>
      <x:c r="G1368" s="37" t="n">
        <x:v>4025482.8005640428</x:v>
      </x:c>
      <x:c r="H1368" s="37" t="n">
        <x:v>-33410.72909619089</x:v>
      </x:c>
      <x:c r="I1368" s="37" t="n">
        <x:v>4058893.5296602338</x:v>
      </x:c>
      <x:c r="J1368" s="37" t="n">
        <x:v>10702305.21006858</x:v>
      </x:c>
      <x:c r="K1368" s="37" t="n">
        <x:v>6676822.409504537</x:v>
      </x:c>
      <x:c r="L1368" s="37" t="n">
        <x:v>11752120.47557312</x:v>
      </x:c>
      <x:c r="M1368" s="37" t="n">
        <x:v>0</x:v>
      </x:c>
      <x:c r="N1368" s="37" t="n">
        <x:v>0</x:v>
      </x:c>
      <x:c r="O1368" s="37" t="n">
        <x:v>423.3542093588039</x:v>
      </x:c>
      <x:c r="P1368" s="37" t="n">
        <x:v>0</x:v>
      </x:c>
      <x:c r="Q1368" s="37" t="n">
        <x:v>0</x:v>
      </x:c>
      <x:c r="R1368" s="37" t="n">
        <x:v>0</x:v>
      </x:c>
      <x:c r="S1368" s="37" t="n">
        <x:v>0</x:v>
      </x:c>
      <x:c r="T1368" s="37" t="n">
        <x:v>0</x:v>
      </x:c>
      <x:c r="U1368" s="37" t="n">
        <x:v>63750</x:v>
      </x:c>
      <x:c r="V1368" s="37" t="n">
        <x:v>0</x:v>
      </x:c>
      <x:c r="W1368" s="37" t="n">
        <x:v>54953.472367907874</x:v>
      </x:c>
      <x:c r="X1368" s="37" t="n">
        <x:v>0</x:v>
      </x:c>
      <x:c r="Y1368" s="37" t="n">
        <x:v>1725.2611256883708</x:v>
      </x:c>
      <x:c r="Z1368" s="37" t="n">
        <x:v>6810358.857694628</x:v>
      </x:c>
      <x:c r="AA1368" s="37" t="n">
        <x:v>0</x:v>
      </x:c>
      <x:c r="AB1368" s="37" t="n">
        <x:v>6810358.857694628</x:v>
      </x:c>
      <x:c r="AC1368" s="37" t="n">
        <x:v>916278.8173144497</x:v>
      </x:c>
      <x:c r="AD1368" s="37" t="n">
        <x:v>0</x:v>
      </x:c>
      <x:c r="AE1368" s="37" t="n">
        <x:v>0</x:v>
      </x:c>
      <x:c r="AF1368" s="47" t="b">
        <x:v>0</x:v>
      </x:c>
      <x:c r="AG1368" s="47" t="b">
        <x:v>0</x:v>
      </x:c>
      <x:c r="AH1368" s="48" t="n">
        <x:v>0</x:v>
      </x:c>
      <x:c r="AI1368" s="48" t="n">
        <x:v>5.960464477539063e-8</x:v>
      </x:c>
      <x:c r="AJ1368" s="37" t="str">
        <x:v>passed</x:v>
      </x:c>
    </x:row>
    <x:row r="1369" ht="21" customHeight="1">
      <x:c r="A1369" s="2"/>
      <x:c r="B1369" s="2"/>
      <x:c r="C1369" s="2" t="str">
        <x:v>2023</x:v>
      </x:c>
      <x:c r="D1369" s="5" t="n">
        <x:v>45058</x:v>
      </x:c>
      <x:c r="E1369" s="2" t="str">
        <x:v>unweighted</x:v>
      </x:c>
      <x:c r="F1369" s="37" t="n">
        <x:v>11598999.447125614</x:v>
      </x:c>
      <x:c r="G1369" s="37" t="n">
        <x:v>117891.89693707447</x:v>
      </x:c>
      <x:c r="H1369" s="37" t="n">
        <x:v>-46128.720922861954</x:v>
      </x:c>
      <x:c r="I1369" s="37" t="n">
        <x:v>164020.61785993644</x:v>
      </x:c>
      <x:c r="J1369" s="37" t="n">
        <x:v>10767790.248844542</x:v>
      </x:c>
      <x:c r="K1369" s="37" t="n">
        <x:v>10649898.351907467</x:v>
      </x:c>
      <x:c r="L1369" s="37" t="n">
        <x:v>11716891.344062688</x:v>
      </x:c>
      <x:c r="M1369" s="37" t="n">
        <x:v>0</x:v>
      </x:c>
      <x:c r="N1369" s="37" t="n">
        <x:v>0</x:v>
      </x:c>
      <x:c r="O1369" s="37" t="n">
        <x:v>635.5267901550978</x:v>
      </x:c>
      <x:c r="P1369" s="37" t="n">
        <x:v>0</x:v>
      </x:c>
      <x:c r="Q1369" s="37" t="n">
        <x:v>0</x:v>
      </x:c>
      <x:c r="R1369" s="37" t="n">
        <x:v>0</x:v>
      </x:c>
      <x:c r="S1369" s="37" t="n">
        <x:v>0</x:v>
      </x:c>
      <x:c r="T1369" s="37" t="n">
        <x:v>0</x:v>
      </x:c>
      <x:c r="U1369" s="37" t="n">
        <x:v>63750</x:v>
      </x:c>
      <x:c r="V1369" s="37" t="n">
        <x:v>0</x:v>
      </x:c>
      <x:c r="W1369" s="37" t="n">
        <x:v>79010.79777442105</x:v>
      </x:c>
      <x:c r="X1369" s="37" t="n">
        <x:v>0</x:v>
      </x:c>
      <x:c r="Y1369" s="37" t="n">
        <x:v>2081.5450520466143</x:v>
      </x:c>
      <x:c r="Z1369" s="37" t="n">
        <x:v>10862896.318945616</x:v>
      </x:c>
      <x:c r="AA1369" s="37" t="n">
        <x:v>0</x:v>
      </x:c>
      <x:c r="AB1369" s="37" t="n">
        <x:v>10862896.318945616</x:v>
      </x:c>
      <x:c r="AC1369" s="37" t="n">
        <x:v>736103.1281799972</x:v>
      </x:c>
      <x:c r="AD1369" s="37" t="n">
        <x:v>0</x:v>
      </x:c>
      <x:c r="AE1369" s="37" t="n">
        <x:v>0</x:v>
      </x:c>
      <x:c r="AF1369" s="47" t="b">
        <x:v>0</x:v>
      </x:c>
      <x:c r="AG1369" s="47" t="b">
        <x:v>0</x:v>
      </x:c>
      <x:c r="AH1369" s="48" t="n">
        <x:v>0</x:v>
      </x:c>
      <x:c r="AI1369" s="48" t="n">
        <x:v>1.1920928955078125e-7</x:v>
      </x:c>
      <x:c r="AJ1369" s="37" t="str">
        <x:v>passed</x:v>
      </x:c>
    </x:row>
    <x:row r="1370" ht="21" customHeight="1">
      <x:c r="A1370" s="2"/>
      <x:c r="B1370" s="2"/>
      <x:c r="C1370" s="2" t="str">
        <x:v>2023</x:v>
      </x:c>
      <x:c r="D1370" s="5" t="n">
        <x:v>45058</x:v>
      </x:c>
      <x:c r="E1370" s="2" t="str">
        <x:v>constrained</x:v>
      </x:c>
      <x:c r="F1370" s="37" t="n">
        <x:v>11901073.662560714</x:v>
      </x:c>
      <x:c r="G1370" s="37" t="n">
        <x:v>-191607.87471592508</x:v>
      </x:c>
      <x:c r="H1370" s="37" t="n">
        <x:v>-47085.62061384244</x:v>
      </x:c>
      <x:c r="I1370" s="37" t="n">
        <x:v>-144522.25410208263</x:v>
      </x:c>
      <x:c r="J1370" s="37" t="n">
        <x:v>10771351.86030692</x:v>
      </x:c>
      <x:c r="K1370" s="37" t="n">
        <x:v>10962959.735022847</x:v>
      </x:c>
      <x:c r="L1370" s="37" t="n">
        <x:v>11709465.78784479</x:v>
      </x:c>
      <x:c r="M1370" s="37" t="n">
        <x:v>0</x:v>
      </x:c>
      <x:c r="N1370" s="37" t="n">
        <x:v>0</x:v>
      </x:c>
      <x:c r="O1370" s="37" t="n">
        <x:v>652.0778950490057</x:v>
      </x:c>
      <x:c r="P1370" s="37" t="n">
        <x:v>0</x:v>
      </x:c>
      <x:c r="Q1370" s="37" t="n">
        <x:v>0</x:v>
      </x:c>
      <x:c r="R1370" s="37" t="n">
        <x:v>0</x:v>
      </x:c>
      <x:c r="S1370" s="37" t="n">
        <x:v>0</x:v>
      </x:c>
      <x:c r="T1370" s="37" t="n">
        <x:v>0</x:v>
      </x:c>
      <x:c r="U1370" s="37" t="n">
        <x:v>63750</x:v>
      </x:c>
      <x:c r="V1370" s="37" t="n">
        <x:v>0</x:v>
      </x:c>
      <x:c r="W1370" s="37" t="n">
        <x:v>83057.89190250635</x:v>
      </x:c>
      <x:c r="X1370" s="37" t="n">
        <x:v>0</x:v>
      </x:c>
      <x:c r="Y1370" s="37" t="n">
        <x:v>2134.1142062319523</x:v>
      </x:c>
      <x:c r="Z1370" s="37" t="n">
        <x:v>11182218.929723304</x:v>
      </x:c>
      <x:c r="AA1370" s="37" t="n">
        <x:v>0</x:v>
      </x:c>
      <x:c r="AB1370" s="37" t="n">
        <x:v>11182218.929723304</x:v>
      </x:c>
      <x:c r="AC1370" s="37" t="n">
        <x:v>718854.7328374106</x:v>
      </x:c>
      <x:c r="AD1370" s="37" t="n">
        <x:v>0</x:v>
      </x:c>
      <x:c r="AE1370" s="37" t="n">
        <x:v>0</x:v>
      </x:c>
      <x:c r="AF1370" s="47" t="b">
        <x:v>0</x:v>
      </x:c>
      <x:c r="AG1370" s="47" t="b">
        <x:v>0</x:v>
      </x:c>
      <x:c r="AH1370" s="48" t="n">
        <x:v>0</x:v>
      </x:c>
      <x:c r="AI1370" s="48" t="n">
        <x:v>1.1920928955078125e-7</x:v>
      </x:c>
      <x:c r="AJ1370" s="37" t="str">
        <x:v>passed</x:v>
      </x:c>
    </x:row>
    <x:row r="1371" ht="21" customHeight="1">
      <x:c r="A1371" s="2"/>
      <x:c r="B1371" s="2"/>
      <x:c r="C1371" s="2" t="str">
        <x:v>2023</x:v>
      </x:c>
      <x:c r="D1371" s="5" t="n">
        <x:v>45061</x:v>
      </x:c>
      <x:c r="E1371" s="2" t="str">
        <x:v>unhedged</x:v>
      </x:c>
      <x:c r="F1371" s="37" t="n">
        <x:v>1271613.7001195713</x:v>
      </x:c>
      <x:c r="G1371" s="37" t="n">
        <x:v>10691031.038033953</x:v>
      </x:c>
      <x:c r="H1371" s="37" t="n">
        <x:v>20579.172171510927</x:v>
      </x:c>
      <x:c r="I1371" s="37" t="n">
        <x:v>10670451.865862442</x:v>
      </x:c>
      <x:c r="J1371" s="37" t="n">
        <x:v>10691031.038033953</x:v>
      </x:c>
      <x:c r="K1371" s="37" t="n">
        <x:v>0</x:v>
      </x:c>
      <x:c r="L1371" s="37" t="n">
        <x:v>11962644.738153525</x:v>
      </x:c>
      <x:c r="M1371" s="37" t="n">
        <x:v>0</x:v>
      </x:c>
      <x:c r="N1371" s="37" t="n">
        <x:v>0</x:v>
      </x:c>
      <x:c r="O1371" s="37" t="n">
        <x:v>209.00948349409737</x:v>
      </x:c>
      <x:c r="P1371" s="37" t="n">
        <x:v>0</x:v>
      </x:c>
      <x:c r="Q1371" s="37" t="n">
        <x:v>0</x:v>
      </x:c>
      <x:c r="R1371" s="37" t="n">
        <x:v>0</x:v>
      </x:c>
      <x:c r="S1371" s="37" t="n">
        <x:v>0</x:v>
      </x:c>
      <x:c r="T1371" s="37" t="n">
        <x:v>0</x:v>
      </x:c>
      <x:c r="U1371" s="37" t="n">
        <x:v>63750</x:v>
      </x:c>
      <x:c r="V1371" s="37" t="n">
        <x:v>0</x:v>
      </x:c>
      <x:c r="W1371" s="37" t="n">
        <x:v>8906.569461693522</x:v>
      </x:c>
      <x:c r="X1371" s="37" t="n">
        <x:v>0</x:v>
      </x:c>
      <x:c r="Y1371" s="37" t="n">
        <x:v>1042.869342122179</x:v>
      </x:c>
      <x:c r="Z1371" s="37" t="n">
        <x:v>0</x:v>
      </x:c>
      <x:c r="AA1371" s="37" t="n">
        <x:v>0</x:v>
      </x:c>
      <x:c r="AB1371" s="37" t="n">
        <x:v>0</x:v>
      </x:c>
      <x:c r="AC1371" s="37" t="n">
        <x:v>1271613.7001195713</x:v>
      </x:c>
      <x:c r="AD1371" s="37" t="n">
        <x:v>0</x:v>
      </x:c>
      <x:c r="AE1371" s="37" t="n">
        <x:v>0</x:v>
      </x:c>
      <x:c r="AF1371" s="47" t="b">
        <x:v>0</x:v>
      </x:c>
      <x:c r="AG1371" s="47" t="b">
        <x:v>0</x:v>
      </x:c>
      <x:c r="AH1371" s="48" t="n">
        <x:v>0</x:v>
      </x:c>
      <x:c r="AI1371" s="48" t="n">
        <x:v>1.1920928955078125e-7</x:v>
      </x:c>
      <x:c r="AJ1371" s="37" t="str">
        <x:v>passed</x:v>
      </x:c>
    </x:row>
    <x:row r="1372" ht="21" customHeight="1">
      <x:c r="A1372" s="2"/>
      <x:c r="B1372" s="2"/>
      <x:c r="C1372" s="2" t="str">
        <x:v>2023</x:v>
      </x:c>
      <x:c r="D1372" s="5" t="n">
        <x:v>45061</x:v>
      </x:c>
      <x:c r="E1372" s="2" t="str">
        <x:v>duration</x:v>
      </x:c>
      <x:c r="F1372" s="37" t="n">
        <x:v>7674075.258305584</x:v>
      </x:c>
      <x:c r="G1372" s="37" t="n">
        <x:v>4085745.7710132715</x:v>
      </x:c>
      <x:c r="H1372" s="37" t="n">
        <x:v>20579.172171510927</x:v>
      </x:c>
      <x:c r="I1372" s="37" t="n">
        <x:v>4065166.598841761</x:v>
      </x:c>
      <x:c r="J1372" s="37" t="n">
        <x:v>10691031.038033953</x:v>
      </x:c>
      <x:c r="K1372" s="37" t="n">
        <x:v>6605285.267020681</x:v>
      </x:c>
      <x:c r="L1372" s="37" t="n">
        <x:v>11759821.029318856</x:v>
      </x:c>
      <x:c r="M1372" s="37" t="n">
        <x:v>-53832.618521603</x:v>
      </x:c>
      <x:c r="N1372" s="37" t="n">
        <x:v>0</x:v>
      </x:c>
      <x:c r="O1372" s="37" t="n">
        <x:v>1270.20181810949</x:v>
      </x:c>
      <x:c r="P1372" s="37" t="n">
        <x:v>0</x:v>
      </x:c>
      <x:c r="Q1372" s="37" t="n">
        <x:v>0</x:v>
      </x:c>
      <x:c r="R1372" s="37" t="n">
        <x:v>0</x:v>
      </x:c>
      <x:c r="S1372" s="37" t="n">
        <x:v>0</x:v>
      </x:c>
      <x:c r="T1372" s="37" t="n">
        <x:v>0</x:v>
      </x:c>
      <x:c r="U1372" s="37" t="n">
        <x:v>9917.381478397001</x:v>
      </x:c>
      <x:c r="V1372" s="37" t="n">
        <x:v>0</x:v>
      </x:c>
      <x:c r="W1372" s="37" t="n">
        <x:v>56223.674186017364</x:v>
      </x:c>
      <x:c r="X1372" s="37" t="n">
        <x:v>0</x:v>
      </x:c>
      <x:c r="Y1372" s="37" t="n">
        <x:v>1725.2611256883708</x:v>
      </x:c>
      <x:c r="Z1372" s="37" t="n">
        <x:v>6737390.972361094</x:v>
      </x:c>
      <x:c r="AA1372" s="37" t="n">
        <x:v>0</x:v>
      </x:c>
      <x:c r="AB1372" s="37" t="n">
        <x:v>6737390.972361094</x:v>
      </x:c>
      <x:c r="AC1372" s="37" t="n">
        <x:v>936684.2859444898</x:v>
      </x:c>
      <x:c r="AD1372" s="37" t="n">
        <x:v>0</x:v>
      </x:c>
      <x:c r="AE1372" s="37" t="n">
        <x:v>0</x:v>
      </x:c>
      <x:c r="AF1372" s="47" t="b">
        <x:v>0</x:v>
      </x:c>
      <x:c r="AG1372" s="47" t="b">
        <x:v>0</x:v>
      </x:c>
      <x:c r="AH1372" s="48" t="n">
        <x:v>1.7462298274040222e-10</x:v>
      </x:c>
      <x:c r="AI1372" s="48" t="n">
        <x:v>5.960464477539063e-8</x:v>
      </x:c>
      <x:c r="AJ1372" s="37" t="str">
        <x:v>passed</x:v>
      </x:c>
    </x:row>
    <x:row r="1373" ht="21" customHeight="1">
      <x:c r="A1373" s="2"/>
      <x:c r="B1373" s="2"/>
      <x:c r="C1373" s="2" t="str">
        <x:v>2023</x:v>
      </x:c>
      <x:c r="D1373" s="5" t="n">
        <x:v>45061</x:v>
      </x:c>
      <x:c r="E1373" s="2" t="str">
        <x:v>unweighted</x:v>
      </x:c>
      <x:c r="F1373" s="37" t="n">
        <x:v>11561464.3123795</x:v>
      </x:c>
      <x:c r="G1373" s="37" t="n">
        <x:v>157580.4623822292</x:v>
      </x:c>
      <x:c r="H1373" s="37" t="n">
        <x:v>-6785.537256061968</x:v>
      </x:c>
      <x:c r="I1373" s="37" t="n">
        <x:v>164365.99963829116</x:v>
      </x:c>
      <x:c r="J1373" s="37" t="n">
        <x:v>10755135.532703592</x:v>
      </x:c>
      <x:c r="K1373" s="37" t="n">
        <x:v>10597555.070321362</x:v>
      </x:c>
      <x:c r="L1373" s="37" t="n">
        <x:v>11719044.774761729</x:v>
      </x:c>
      <x:c r="M1373" s="37" t="n">
        <x:v>-39441.924064532315</x:v>
      </x:c>
      <x:c r="N1373" s="37" t="n">
        <x:v>0</x:v>
      </x:c>
      <x:c r="O1373" s="37" t="n">
        <x:v>1906.7893184181303</x:v>
      </x:c>
      <x:c r="P1373" s="37" t="n">
        <x:v>0</x:v>
      </x:c>
      <x:c r="Q1373" s="37" t="n">
        <x:v>0</x:v>
      </x:c>
      <x:c r="R1373" s="37" t="n">
        <x:v>0</x:v>
      </x:c>
      <x:c r="S1373" s="37" t="n">
        <x:v>0</x:v>
      </x:c>
      <x:c r="T1373" s="37" t="n">
        <x:v>0</x:v>
      </x:c>
      <x:c r="U1373" s="37" t="n">
        <x:v>24308.075935467685</x:v>
      </x:c>
      <x:c r="V1373" s="37" t="n">
        <x:v>0</x:v>
      </x:c>
      <x:c r="W1373" s="37" t="n">
        <x:v>80917.58709283918</x:v>
      </x:c>
      <x:c r="X1373" s="37" t="n">
        <x:v>0</x:v>
      </x:c>
      <x:c r="Y1373" s="37" t="n">
        <x:v>2081.5450520466143</x:v>
      </x:c>
      <x:c r="Z1373" s="37" t="n">
        <x:v>10809506.17172779</x:v>
      </x:c>
      <x:c r="AA1373" s="37" t="n">
        <x:v>0</x:v>
      </x:c>
      <x:c r="AB1373" s="37" t="n">
        <x:v>10809506.17172779</x:v>
      </x:c>
      <x:c r="AC1373" s="37" t="n">
        <x:v>751958.1406517103</x:v>
      </x:c>
      <x:c r="AD1373" s="37" t="n">
        <x:v>0</x:v>
      </x:c>
      <x:c r="AE1373" s="37" t="n">
        <x:v>0</x:v>
      </x:c>
      <x:c r="AF1373" s="47" t="b">
        <x:v>0</x:v>
      </x:c>
      <x:c r="AG1373" s="47" t="b">
        <x:v>0</x:v>
      </x:c>
      <x:c r="AH1373" s="48" t="n">
        <x:v>3.92901711165905e-10</x:v>
      </x:c>
      <x:c r="AI1373" s="48" t="n">
        <x:v>1.1920928955078125e-7</x:v>
      </x:c>
      <x:c r="AJ1373" s="37" t="str">
        <x:v>passed</x:v>
      </x:c>
    </x:row>
    <x:row r="1374" ht="21" customHeight="1">
      <x:c r="A1374" s="2"/>
      <x:c r="B1374" s="2"/>
      <x:c r="C1374" s="2" t="str">
        <x:v>2023</x:v>
      </x:c>
      <x:c r="D1374" s="5" t="n">
        <x:v>45061</x:v>
      </x:c>
      <x:c r="E1374" s="2" t="str">
        <x:v>constrained</x:v>
      </x:c>
      <x:c r="F1374" s="37" t="n">
        <x:v>11863760.724665321</x:v>
      </x:c>
      <x:c r="G1374" s="37" t="n">
        <x:v>-152231.81449851705</x:v>
      </x:c>
      <x:c r="H1374" s="37" t="n">
        <x:v>-7932.849859116778</x:v>
      </x:c>
      <x:c r="I1374" s="37" t="n">
        <x:v>-144298.96463940028</x:v>
      </x:c>
      <x:c r="J1374" s="37" t="n">
        <x:v>10758622.058897559</x:v>
      </x:c>
      <x:c r="K1374" s="37" t="n">
        <x:v>10910853.873396076</x:v>
      </x:c>
      <x:c r="L1374" s="37" t="n">
        <x:v>11711528.910166804</x:v>
      </x:c>
      <x:c r="M1374" s="37" t="n">
        <x:v>-39269.38597015279</x:v>
      </x:c>
      <x:c r="N1374" s="37" t="n">
        <x:v>0</x:v>
      </x:c>
      <x:c r="O1374" s="37" t="n">
        <x:v>1956.4480747599155</x:v>
      </x:c>
      <x:c r="P1374" s="37" t="n">
        <x:v>0</x:v>
      </x:c>
      <x:c r="Q1374" s="37" t="n">
        <x:v>0</x:v>
      </x:c>
      <x:c r="R1374" s="37" t="n">
        <x:v>0</x:v>
      </x:c>
      <x:c r="S1374" s="37" t="n">
        <x:v>0</x:v>
      </x:c>
      <x:c r="T1374" s="37" t="n">
        <x:v>0</x:v>
      </x:c>
      <x:c r="U1374" s="37" t="n">
        <x:v>24480.61402984721</x:v>
      </x:c>
      <x:c r="V1374" s="37" t="n">
        <x:v>0</x:v>
      </x:c>
      <x:c r="W1374" s="37" t="n">
        <x:v>85014.33997726627</x:v>
      </x:c>
      <x:c r="X1374" s="37" t="n">
        <x:v>0</x:v>
      </x:c>
      <x:c r="Y1374" s="37" t="n">
        <x:v>2134.1142062319523</x:v>
      </x:c>
      <x:c r="Z1374" s="37" t="n">
        <x:v>11129070.950863998</x:v>
      </x:c>
      <x:c r="AA1374" s="37" t="n">
        <x:v>0</x:v>
      </x:c>
      <x:c r="AB1374" s="37" t="n">
        <x:v>11129070.950863998</x:v>
      </x:c>
      <x:c r="AC1374" s="37" t="n">
        <x:v>734689.773801323</x:v>
      </x:c>
      <x:c r="AD1374" s="37" t="n">
        <x:v>0</x:v>
      </x:c>
      <x:c r="AE1374" s="37" t="n">
        <x:v>0</x:v>
      </x:c>
      <x:c r="AF1374" s="47" t="b">
        <x:v>0</x:v>
      </x:c>
      <x:c r="AG1374" s="47" t="b">
        <x:v>0</x:v>
      </x:c>
      <x:c r="AH1374" s="48" t="n">
        <x:v>-1.2369127944111824e-10</x:v>
      </x:c>
      <x:c r="AI1374" s="48" t="n">
        <x:v>1.1920928955078125e-7</x:v>
      </x:c>
      <x:c r="AJ1374" s="37" t="str">
        <x:v>passed</x:v>
      </x:c>
    </x:row>
    <x:row r="1375" ht="21" customHeight="1">
      <x:c r="A1375" s="2"/>
      <x:c r="B1375" s="2"/>
      <x:c r="C1375" s="2" t="str">
        <x:v>2023</x:v>
      </x:c>
      <x:c r="D1375" s="5" t="n">
        <x:v>45062</x:v>
      </x:c>
      <x:c r="E1375" s="2" t="str">
        <x:v>unhedged</x:v>
      </x:c>
      <x:c r="F1375" s="37" t="n">
        <x:v>1271683.3775825915</x:v>
      </x:c>
      <x:c r="G1375" s="37" t="n">
        <x:v>10665558.956461998</x:v>
      </x:c>
      <x:c r="H1375" s="37" t="n">
        <x:v>20929.017535431183</x:v>
      </x:c>
      <x:c r="I1375" s="37" t="n">
        <x:v>10644629.938926566</x:v>
      </x:c>
      <x:c r="J1375" s="37" t="n">
        <x:v>10665558.956461998</x:v>
      </x:c>
      <x:c r="K1375" s="37" t="n">
        <x:v>0</x:v>
      </x:c>
      <x:c r="L1375" s="37" t="n">
        <x:v>11937242.334044589</x:v>
      </x:c>
      <x:c r="M1375" s="37" t="n">
        <x:v>0</x:v>
      </x:c>
      <x:c r="N1375" s="37" t="n">
        <x:v>0</x:v>
      </x:c>
      <x:c r="O1375" s="37" t="n">
        <x:v>69.67746302019805</x:v>
      </x:c>
      <x:c r="P1375" s="37" t="n">
        <x:v>0</x:v>
      </x:c>
      <x:c r="Q1375" s="37" t="n">
        <x:v>0</x:v>
      </x:c>
      <x:c r="R1375" s="37" t="n">
        <x:v>0</x:v>
      </x:c>
      <x:c r="S1375" s="37" t="n">
        <x:v>0</x:v>
      </x:c>
      <x:c r="T1375" s="37" t="n">
        <x:v>0</x:v>
      </x:c>
      <x:c r="U1375" s="37" t="n">
        <x:v>63750</x:v>
      </x:c>
      <x:c r="V1375" s="37" t="n">
        <x:v>0</x:v>
      </x:c>
      <x:c r="W1375" s="37" t="n">
        <x:v>8976.24692471372</x:v>
      </x:c>
      <x:c r="X1375" s="37" t="n">
        <x:v>0</x:v>
      </x:c>
      <x:c r="Y1375" s="37" t="n">
        <x:v>1042.869342122179</x:v>
      </x:c>
      <x:c r="Z1375" s="37" t="n">
        <x:v>0</x:v>
      </x:c>
      <x:c r="AA1375" s="37" t="n">
        <x:v>0</x:v>
      </x:c>
      <x:c r="AB1375" s="37" t="n">
        <x:v>0</x:v>
      </x:c>
      <x:c r="AC1375" s="37" t="n">
        <x:v>1271683.3775825915</x:v>
      </x:c>
      <x:c r="AD1375" s="37" t="n">
        <x:v>0</x:v>
      </x:c>
      <x:c r="AE1375" s="37" t="n">
        <x:v>0</x:v>
      </x:c>
      <x:c r="AF1375" s="47" t="b">
        <x:v>0</x:v>
      </x:c>
      <x:c r="AG1375" s="47" t="b">
        <x:v>0</x:v>
      </x:c>
      <x:c r="AH1375" s="48" t="n">
        <x:v>0</x:v>
      </x:c>
      <x:c r="AI1375" s="48" t="n">
        <x:v>1.1920928955078125e-7</x:v>
      </x:c>
      <x:c r="AJ1375" s="37" t="str">
        <x:v>passed</x:v>
      </x:c>
    </x:row>
    <x:row r="1376" ht="21" customHeight="1">
      <x:c r="A1376" s="2"/>
      <x:c r="B1376" s="2"/>
      <x:c r="C1376" s="2" t="str">
        <x:v>2023</x:v>
      </x:c>
      <x:c r="D1376" s="5" t="n">
        <x:v>45062</x:v>
      </x:c>
      <x:c r="E1376" s="2" t="str">
        <x:v>duration</x:v>
      </x:c>
      <x:c r="F1376" s="37" t="n">
        <x:v>7674495.755580013</x:v>
      </x:c>
      <x:c r="G1376" s="37" t="n">
        <x:v>4084292.85394365</x:v>
      </x:c>
      <x:c r="H1376" s="37" t="n">
        <x:v>20636.448956509426</x:v>
      </x:c>
      <x:c r="I1376" s="37" t="n">
        <x:v>4063656.4049871406</x:v>
      </x:c>
      <x:c r="J1376" s="37" t="n">
        <x:v>10665558.956461998</x:v>
      </x:c>
      <x:c r="K1376" s="37" t="n">
        <x:v>6581266.102518348</x:v>
      </x:c>
      <x:c r="L1376" s="37" t="n">
        <x:v>11758788.609523663</x:v>
      </x:c>
      <x:c r="M1376" s="37" t="n">
        <x:v>0</x:v>
      </x:c>
      <x:c r="N1376" s="37" t="n">
        <x:v>0</x:v>
      </x:c>
      <x:c r="O1376" s="37" t="n">
        <x:v>420.49727442860603</x:v>
      </x:c>
      <x:c r="P1376" s="37" t="n">
        <x:v>0</x:v>
      </x:c>
      <x:c r="Q1376" s="37" t="n">
        <x:v>0</x:v>
      </x:c>
      <x:c r="R1376" s="37" t="n">
        <x:v>0</x:v>
      </x:c>
      <x:c r="S1376" s="37" t="n">
        <x:v>0</x:v>
      </x:c>
      <x:c r="T1376" s="37" t="n">
        <x:v>0</x:v>
      </x:c>
      <x:c r="U1376" s="37" t="n">
        <x:v>9917.381478397001</x:v>
      </x:c>
      <x:c r="V1376" s="37" t="n">
        <x:v>0</x:v>
      </x:c>
      <x:c r="W1376" s="37" t="n">
        <x:v>56644.17146044597</x:v>
      </x:c>
      <x:c r="X1376" s="37" t="n">
        <x:v>0</x:v>
      </x:c>
      <x:c r="Y1376" s="37" t="n">
        <x:v>1725.2611256883708</x:v>
      </x:c>
      <x:c r="Z1376" s="37" t="n">
        <x:v>6712891.4245687155</x:v>
      </x:c>
      <x:c r="AA1376" s="37" t="n">
        <x:v>0</x:v>
      </x:c>
      <x:c r="AB1376" s="37" t="n">
        <x:v>6712891.4245687155</x:v>
      </x:c>
      <x:c r="AC1376" s="37" t="n">
        <x:v>961604.3310112972</x:v>
      </x:c>
      <x:c r="AD1376" s="37" t="n">
        <x:v>0</x:v>
      </x:c>
      <x:c r="AE1376" s="37" t="n">
        <x:v>0</x:v>
      </x:c>
      <x:c r="AF1376" s="47" t="b">
        <x:v>0</x:v>
      </x:c>
      <x:c r="AG1376" s="47" t="b">
        <x:v>0</x:v>
      </x:c>
      <x:c r="AH1376" s="48" t="n">
        <x:v>0</x:v>
      </x:c>
      <x:c r="AI1376" s="48" t="n">
        <x:v>5.960464477539063e-8</x:v>
      </x:c>
      <x:c r="AJ1376" s="37" t="str">
        <x:v>passed</x:v>
      </x:c>
    </x:row>
    <x:row r="1377" ht="21" customHeight="1">
      <x:c r="A1377" s="2"/>
      <x:c r="B1377" s="2"/>
      <x:c r="C1377" s="2" t="str">
        <x:v>2023</x:v>
      </x:c>
      <x:c r="D1377" s="5" t="n">
        <x:v>45062</x:v>
      </x:c>
      <x:c r="E1377" s="2" t="str">
        <x:v>unweighted</x:v>
      </x:c>
      <x:c r="F1377" s="37" t="n">
        <x:v>11562097.81727333</x:v>
      </x:c>
      <x:c r="G1377" s="37" t="n">
        <x:v>157495.56013530327</x:v>
      </x:c>
      <x:c r="H1377" s="37" t="n">
        <x:v>-6814.897822255185</x:v>
      </x:c>
      <x:c r="I1377" s="37" t="n">
        <x:v>164310.45795755845</x:v>
      </x:c>
      <x:c r="J1377" s="37" t="n">
        <x:v>10729310.116884835</x:v>
      </x:c>
      <x:c r="K1377" s="37" t="n">
        <x:v>10571814.556749532</x:v>
      </x:c>
      <x:c r="L1377" s="37" t="n">
        <x:v>11719593.377408633</x:v>
      </x:c>
      <x:c r="M1377" s="37" t="n">
        <x:v>0</x:v>
      </x:c>
      <x:c r="N1377" s="37" t="n">
        <x:v>0</x:v>
      </x:c>
      <x:c r="O1377" s="37" t="n">
        <x:v>633.5048938300461</x:v>
      </x:c>
      <x:c r="P1377" s="37" t="n">
        <x:v>0</x:v>
      </x:c>
      <x:c r="Q1377" s="37" t="n">
        <x:v>0</x:v>
      </x:c>
      <x:c r="R1377" s="37" t="n">
        <x:v>0</x:v>
      </x:c>
      <x:c r="S1377" s="37" t="n">
        <x:v>0</x:v>
      </x:c>
      <x:c r="T1377" s="37" t="n">
        <x:v>0</x:v>
      </x:c>
      <x:c r="U1377" s="37" t="n">
        <x:v>24308.075935467685</x:v>
      </x:c>
      <x:c r="V1377" s="37" t="n">
        <x:v>0</x:v>
      </x:c>
      <x:c r="W1377" s="37" t="n">
        <x:v>81551.09198666923</x:v>
      </x:c>
      <x:c r="X1377" s="37" t="n">
        <x:v>0</x:v>
      </x:c>
      <x:c r="Y1377" s="37" t="n">
        <x:v>2081.5450520466143</x:v>
      </x:c>
      <x:c r="Z1377" s="37" t="n">
        <x:v>10783250.847884523</x:v>
      </x:c>
      <x:c r="AA1377" s="37" t="n">
        <x:v>0</x:v>
      </x:c>
      <x:c r="AB1377" s="37" t="n">
        <x:v>10783250.847884523</x:v>
      </x:c>
      <x:c r="AC1377" s="37" t="n">
        <x:v>778846.9693888072</x:v>
      </x:c>
      <x:c r="AD1377" s="37" t="n">
        <x:v>0</x:v>
      </x:c>
      <x:c r="AE1377" s="37" t="n">
        <x:v>0</x:v>
      </x:c>
      <x:c r="AF1377" s="47" t="b">
        <x:v>0</x:v>
      </x:c>
      <x:c r="AG1377" s="47" t="b">
        <x:v>0</x:v>
      </x:c>
      <x:c r="AH1377" s="48" t="n">
        <x:v>0</x:v>
      </x:c>
      <x:c r="AI1377" s="48" t="n">
        <x:v>1.1920928955078125e-7</x:v>
      </x:c>
      <x:c r="AJ1377" s="37" t="str">
        <x:v>passed</x:v>
      </x:c>
    </x:row>
    <x:row r="1378" ht="21" customHeight="1">
      <x:c r="A1378" s="2"/>
      <x:c r="B1378" s="2"/>
      <x:c r="C1378" s="2" t="str">
        <x:v>2023</x:v>
      </x:c>
      <x:c r="D1378" s="5" t="n">
        <x:v>45062</x:v>
      </x:c>
      <x:c r="E1378" s="2" t="str">
        <x:v>constrained</x:v>
      </x:c>
      <x:c r="F1378" s="37" t="n">
        <x:v>11864410.793746125</x:v>
      </x:c>
      <x:c r="G1378" s="37" t="n">
        <x:v>-152158.3904453078</x:v>
      </x:c>
      <x:c r="H1378" s="37" t="n">
        <x:v>-7968.184239980469</x:v>
      </x:c>
      <x:c r="I1378" s="37" t="n">
        <x:v>-144190.20620532733</x:v>
      </x:c>
      <x:c r="J1378" s="37" t="n">
        <x:v>10732777.4258755</x:v>
      </x:c>
      <x:c r="K1378" s="37" t="n">
        <x:v>10884935.816320809</x:v>
      </x:c>
      <x:c r="L1378" s="37" t="n">
        <x:v>11712252.403300818</x:v>
      </x:c>
      <x:c r="M1378" s="37" t="n">
        <x:v>0</x:v>
      </x:c>
      <x:c r="N1378" s="37" t="n">
        <x:v>0</x:v>
      </x:c>
      <x:c r="O1378" s="37" t="n">
        <x:v>650.0690808035433</x:v>
      </x:c>
      <x:c r="P1378" s="37" t="n">
        <x:v>0</x:v>
      </x:c>
      <x:c r="Q1378" s="37" t="n">
        <x:v>0</x:v>
      </x:c>
      <x:c r="R1378" s="37" t="n">
        <x:v>0</x:v>
      </x:c>
      <x:c r="S1378" s="37" t="n">
        <x:v>0</x:v>
      </x:c>
      <x:c r="T1378" s="37" t="n">
        <x:v>0</x:v>
      </x:c>
      <x:c r="U1378" s="37" t="n">
        <x:v>24480.61402984721</x:v>
      </x:c>
      <x:c r="V1378" s="37" t="n">
        <x:v>0</x:v>
      </x:c>
      <x:c r="W1378" s="37" t="n">
        <x:v>85664.40905806981</x:v>
      </x:c>
      <x:c r="X1378" s="37" t="n">
        <x:v>0</x:v>
      </x:c>
      <x:c r="Y1378" s="37" t="n">
        <x:v>2134.1142062319523</x:v>
      </x:c>
      <x:c r="Z1378" s="37" t="n">
        <x:v>11102634.532647224</x:v>
      </x:c>
      <x:c r="AA1378" s="37" t="n">
        <x:v>0</x:v>
      </x:c>
      <x:c r="AB1378" s="37" t="n">
        <x:v>11102634.532647224</x:v>
      </x:c>
      <x:c r="AC1378" s="37" t="n">
        <x:v>761776.2610989008</x:v>
      </x:c>
      <x:c r="AD1378" s="37" t="n">
        <x:v>0</x:v>
      </x:c>
      <x:c r="AE1378" s="37" t="n">
        <x:v>0</x:v>
      </x:c>
      <x:c r="AF1378" s="47" t="b">
        <x:v>0</x:v>
      </x:c>
      <x:c r="AG1378" s="47" t="b">
        <x:v>0</x:v>
      </x:c>
      <x:c r="AH1378" s="48" t="n">
        <x:v>0</x:v>
      </x:c>
      <x:c r="AI1378" s="48" t="n">
        <x:v>1.1920928955078125e-7</x:v>
      </x:c>
      <x:c r="AJ1378" s="37" t="str">
        <x:v>passed</x:v>
      </x:c>
    </x:row>
    <x:row r="1379" ht="21" customHeight="1">
      <x:c r="A1379" s="2"/>
      <x:c r="B1379" s="2"/>
      <x:c r="C1379" s="2" t="str">
        <x:v>2023</x:v>
      </x:c>
      <x:c r="D1379" s="5" t="n">
        <x:v>45063</x:v>
      </x:c>
      <x:c r="E1379" s="2" t="str">
        <x:v>unhedged</x:v>
      </x:c>
      <x:c r="F1379" s="37" t="n">
        <x:v>1271753.058863555</x:v>
      </x:c>
      <x:c r="G1379" s="37" t="n">
        <x:v>10644381.42989502</x:v>
      </x:c>
      <x:c r="H1379" s="37" t="n">
        <x:v>21278.86289935143</x:v>
      </x:c>
      <x:c r="I1379" s="37" t="n">
        <x:v>10623102.566995667</x:v>
      </x:c>
      <x:c r="J1379" s="37" t="n">
        <x:v>10644381.42989502</x:v>
      </x:c>
      <x:c r="K1379" s="37" t="n">
        <x:v>0</x:v>
      </x:c>
      <x:c r="L1379" s="37" t="n">
        <x:v>11916134.488758575</x:v>
      </x:c>
      <x:c r="M1379" s="37" t="n">
        <x:v>0</x:v>
      </x:c>
      <x:c r="N1379" s="37" t="n">
        <x:v>0</x:v>
      </x:c>
      <x:c r="O1379" s="37" t="n">
        <x:v>69.6812809635885</x:v>
      </x:c>
      <x:c r="P1379" s="37" t="n">
        <x:v>0</x:v>
      </x:c>
      <x:c r="Q1379" s="37" t="n">
        <x:v>0</x:v>
      </x:c>
      <x:c r="R1379" s="37" t="n">
        <x:v>0</x:v>
      </x:c>
      <x:c r="S1379" s="37" t="n">
        <x:v>0</x:v>
      </x:c>
      <x:c r="T1379" s="37" t="n">
        <x:v>0</x:v>
      </x:c>
      <x:c r="U1379" s="37" t="n">
        <x:v>63750</x:v>
      </x:c>
      <x:c r="V1379" s="37" t="n">
        <x:v>0</x:v>
      </x:c>
      <x:c r="W1379" s="37" t="n">
        <x:v>9045.928205677308</x:v>
      </x:c>
      <x:c r="X1379" s="37" t="n">
        <x:v>0</x:v>
      </x:c>
      <x:c r="Y1379" s="37" t="n">
        <x:v>1042.869342122179</x:v>
      </x:c>
      <x:c r="Z1379" s="37" t="n">
        <x:v>0</x:v>
      </x:c>
      <x:c r="AA1379" s="37" t="n">
        <x:v>0</x:v>
      </x:c>
      <x:c r="AB1379" s="37" t="n">
        <x:v>0</x:v>
      </x:c>
      <x:c r="AC1379" s="37" t="n">
        <x:v>1271753.058863555</x:v>
      </x:c>
      <x:c r="AD1379" s="37" t="n">
        <x:v>0</x:v>
      </x:c>
      <x:c r="AE1379" s="37" t="n">
        <x:v>0</x:v>
      </x:c>
      <x:c r="AF1379" s="47" t="b">
        <x:v>0</x:v>
      </x:c>
      <x:c r="AG1379" s="47" t="b">
        <x:v>0</x:v>
      </x:c>
      <x:c r="AH1379" s="48" t="n">
        <x:v>0</x:v>
      </x:c>
      <x:c r="AI1379" s="48" t="n">
        <x:v>1.1920928955078125e-7</x:v>
      </x:c>
      <x:c r="AJ1379" s="37" t="str">
        <x:v>passed</x:v>
      </x:c>
    </x:row>
    <x:row r="1380" ht="21" customHeight="1">
      <x:c r="A1380" s="2"/>
      <x:c r="B1380" s="2"/>
      <x:c r="C1380" s="2" t="str">
        <x:v>2023</x:v>
      </x:c>
      <x:c r="D1380" s="5" t="n">
        <x:v>45063</x:v>
      </x:c>
      <x:c r="E1380" s="2" t="str">
        <x:v>duration</x:v>
      </x:c>
      <x:c r="F1380" s="37" t="n">
        <x:v>7674916.275895387</x:v>
      </x:c>
      <x:c r="G1380" s="37" t="n">
        <x:v>4079308.699021154</x:v>
      </x:c>
      <x:c r="H1380" s="37" t="n">
        <x:v>20693.725741507915</x:v>
      </x:c>
      <x:c r="I1380" s="37" t="n">
        <x:v>4058614.973279646</x:v>
      </x:c>
      <x:c r="J1380" s="37" t="n">
        <x:v>10644381.42989502</x:v>
      </x:c>
      <x:c r="K1380" s="37" t="n">
        <x:v>6565072.730873865</x:v>
      </x:c>
      <x:c r="L1380" s="37" t="n">
        <x:v>11754224.97491654</x:v>
      </x:c>
      <x:c r="M1380" s="37" t="n">
        <x:v>0</x:v>
      </x:c>
      <x:c r="N1380" s="37" t="n">
        <x:v>0</x:v>
      </x:c>
      <x:c r="O1380" s="37" t="n">
        <x:v>420.52031537424773</x:v>
      </x:c>
      <x:c r="P1380" s="37" t="n">
        <x:v>0</x:v>
      </x:c>
      <x:c r="Q1380" s="37" t="n">
        <x:v>0</x:v>
      </x:c>
      <x:c r="R1380" s="37" t="n">
        <x:v>0</x:v>
      </x:c>
      <x:c r="S1380" s="37" t="n">
        <x:v>0</x:v>
      </x:c>
      <x:c r="T1380" s="37" t="n">
        <x:v>0</x:v>
      </x:c>
      <x:c r="U1380" s="37" t="n">
        <x:v>9917.381478397001</x:v>
      </x:c>
      <x:c r="V1380" s="37" t="n">
        <x:v>0</x:v>
      </x:c>
      <x:c r="W1380" s="37" t="n">
        <x:v>57064.69177582022</x:v>
      </x:c>
      <x:c r="X1380" s="37" t="n">
        <x:v>0</x:v>
      </x:c>
      <x:c r="Y1380" s="37" t="n">
        <x:v>1725.2611256883708</x:v>
      </x:c>
      <x:c r="Z1380" s="37" t="n">
        <x:v>6696374.185491342</x:v>
      </x:c>
      <x:c r="AA1380" s="37" t="n">
        <x:v>0</x:v>
      </x:c>
      <x:c r="AB1380" s="37" t="n">
        <x:v>6696374.185491342</x:v>
      </x:c>
      <x:c r="AC1380" s="37" t="n">
        <x:v>978542.0904040448</x:v>
      </x:c>
      <x:c r="AD1380" s="37" t="n">
        <x:v>0</x:v>
      </x:c>
      <x:c r="AE1380" s="37" t="n">
        <x:v>0</x:v>
      </x:c>
      <x:c r="AF1380" s="47" t="b">
        <x:v>0</x:v>
      </x:c>
      <x:c r="AG1380" s="47" t="b">
        <x:v>0</x:v>
      </x:c>
      <x:c r="AH1380" s="48" t="n">
        <x:v>0</x:v>
      </x:c>
      <x:c r="AI1380" s="48" t="n">
        <x:v>5.960464477539063e-8</x:v>
      </x:c>
      <x:c r="AJ1380" s="37" t="str">
        <x:v>passed</x:v>
      </x:c>
    </x:row>
    <x:row r="1381" ht="21" customHeight="1">
      <x:c r="A1381" s="2"/>
      <x:c r="B1381" s="2"/>
      <x:c r="C1381" s="2" t="str">
        <x:v>2023</x:v>
      </x:c>
      <x:c r="D1381" s="5" t="n">
        <x:v>45063</x:v>
      </x:c>
      <x:c r="E1381" s="2" t="str">
        <x:v>unweighted</x:v>
      </x:c>
      <x:c r="F1381" s="37" t="n">
        <x:v>11562731.356879756</x:v>
      </x:c>
      <x:c r="G1381" s="37" t="n">
        <x:v>157211.41363786542</x:v>
      </x:c>
      <x:c r="H1381" s="37" t="n">
        <x:v>-6844.2583884484075</x:v>
      </x:c>
      <x:c r="I1381" s="37" t="n">
        <x:v>164055.67202631384</x:v>
      </x:c>
      <x:c r="J1381" s="37" t="n">
        <x:v>10707880.14047222</x:v>
      </x:c>
      <x:c r="K1381" s="37" t="n">
        <x:v>10550668.726834355</x:v>
      </x:c>
      <x:c r="L1381" s="37" t="n">
        <x:v>11719942.770517621</x:v>
      </x:c>
      <x:c r="M1381" s="37" t="n">
        <x:v>0</x:v>
      </x:c>
      <x:c r="N1381" s="37" t="n">
        <x:v>0</x:v>
      </x:c>
      <x:c r="O1381" s="37" t="n">
        <x:v>633.5396064259112</x:v>
      </x:c>
      <x:c r="P1381" s="37" t="n">
        <x:v>0</x:v>
      </x:c>
      <x:c r="Q1381" s="37" t="n">
        <x:v>0</x:v>
      </x:c>
      <x:c r="R1381" s="37" t="n">
        <x:v>0</x:v>
      </x:c>
      <x:c r="S1381" s="37" t="n">
        <x:v>0</x:v>
      </x:c>
      <x:c r="T1381" s="37" t="n">
        <x:v>0</x:v>
      </x:c>
      <x:c r="U1381" s="37" t="n">
        <x:v>24308.075935467685</x:v>
      </x:c>
      <x:c r="V1381" s="37" t="n">
        <x:v>0</x:v>
      </x:c>
      <x:c r="W1381" s="37" t="n">
        <x:v>82184.63159309514</x:v>
      </x:c>
      <x:c r="X1381" s="37" t="n">
        <x:v>0</x:v>
      </x:c>
      <x:c r="Y1381" s="37" t="n">
        <x:v>2081.5450520466143</x:v>
      </x:c>
      <x:c r="Z1381" s="37" t="n">
        <x:v>10761682.101371042</x:v>
      </x:c>
      <x:c r="AA1381" s="37" t="n">
        <x:v>0</x:v>
      </x:c>
      <x:c r="AB1381" s="37" t="n">
        <x:v>10761682.101371042</x:v>
      </x:c>
      <x:c r="AC1381" s="37" t="n">
        <x:v>801049.2555087134</x:v>
      </x:c>
      <x:c r="AD1381" s="37" t="n">
        <x:v>0</x:v>
      </x:c>
      <x:c r="AE1381" s="37" t="n">
        <x:v>0</x:v>
      </x:c>
      <x:c r="AF1381" s="47" t="b">
        <x:v>0</x:v>
      </x:c>
      <x:c r="AG1381" s="47" t="b">
        <x:v>0</x:v>
      </x:c>
      <x:c r="AH1381" s="48" t="n">
        <x:v>0</x:v>
      </x:c>
      <x:c r="AI1381" s="48" t="n">
        <x:v>1.1920928955078125e-7</x:v>
      </x:c>
      <x:c r="AJ1381" s="37" t="str">
        <x:v>passed</x:v>
      </x:c>
    </x:row>
    <x:row r="1382" ht="21" customHeight="1">
      <x:c r="A1382" s="2"/>
      <x:c r="B1382" s="2"/>
      <x:c r="C1382" s="2" t="str">
        <x:v>2023</x:v>
      </x:c>
      <x:c r="D1382" s="5" t="n">
        <x:v>45063</x:v>
      </x:c>
      <x:c r="E1382" s="2" t="str">
        <x:v>constrained</x:v>
      </x:c>
      <x:c r="F1382" s="37" t="n">
        <x:v>11865060.898447152</x:v>
      </x:c>
      <x:c r="G1382" s="37" t="n">
        <x:v>-152259.98642706315</x:v>
      </x:c>
      <x:c r="H1382" s="37" t="n">
        <x:v>-8003.518620844171</x:v>
      </x:c>
      <x:c r="I1382" s="37" t="n">
        <x:v>-144256.46780621898</x:v>
      </x:c>
      <x:c r="J1382" s="37" t="n">
        <x:v>10711333.719177606</x:v>
      </x:c>
      <x:c r="K1382" s="37" t="n">
        <x:v>10863593.705604669</x:v>
      </x:c>
      <x:c r="L1382" s="37" t="n">
        <x:v>11712800.91202009</x:v>
      </x:c>
      <x:c r="M1382" s="37" t="n">
        <x:v>0</x:v>
      </x:c>
      <x:c r="N1382" s="37" t="n">
        <x:v>0</x:v>
      </x:c>
      <x:c r="O1382" s="37" t="n">
        <x:v>650.1047010272741</x:v>
      </x:c>
      <x:c r="P1382" s="37" t="n">
        <x:v>0</x:v>
      </x:c>
      <x:c r="Q1382" s="37" t="n">
        <x:v>0</x:v>
      </x:c>
      <x:c r="R1382" s="37" t="n">
        <x:v>0</x:v>
      </x:c>
      <x:c r="S1382" s="37" t="n">
        <x:v>0</x:v>
      </x:c>
      <x:c r="T1382" s="37" t="n">
        <x:v>0</x:v>
      </x:c>
      <x:c r="U1382" s="37" t="n">
        <x:v>24480.61402984721</x:v>
      </x:c>
      <x:c r="V1382" s="37" t="n">
        <x:v>0</x:v>
      </x:c>
      <x:c r="W1382" s="37" t="n">
        <x:v>86314.51375909708</x:v>
      </x:c>
      <x:c r="X1382" s="37" t="n">
        <x:v>0</x:v>
      </x:c>
      <x:c r="Y1382" s="37" t="n">
        <x:v>2134.1142062319523</x:v>
      </x:c>
      <x:c r="Z1382" s="37" t="n">
        <x:v>11080865.579716763</x:v>
      </x:c>
      <x:c r="AA1382" s="37" t="n">
        <x:v>0</x:v>
      </x:c>
      <x:c r="AB1382" s="37" t="n">
        <x:v>11080865.579716763</x:v>
      </x:c>
      <x:c r="AC1382" s="37" t="n">
        <x:v>784195.3187303897</x:v>
      </x:c>
      <x:c r="AD1382" s="37" t="n">
        <x:v>0</x:v>
      </x:c>
      <x:c r="AE1382" s="37" t="n">
        <x:v>0</x:v>
      </x:c>
      <x:c r="AF1382" s="47" t="b">
        <x:v>0</x:v>
      </x:c>
      <x:c r="AG1382" s="47" t="b">
        <x:v>0</x:v>
      </x:c>
      <x:c r="AH1382" s="48" t="n">
        <x:v>0</x:v>
      </x:c>
      <x:c r="AI1382" s="48" t="n">
        <x:v>1.1920928955078125e-7</x:v>
      </x:c>
      <x:c r="AJ1382" s="37" t="str">
        <x:v>passed</x:v>
      </x:c>
    </x:row>
    <x:row r="1383" ht="21" customHeight="1">
      <x:c r="A1383" s="2"/>
      <x:c r="B1383" s="2"/>
      <x:c r="C1383" s="2" t="str">
        <x:v>2023</x:v>
      </x:c>
      <x:c r="D1383" s="5" t="n">
        <x:v>45064</x:v>
      </x:c>
      <x:c r="E1383" s="2" t="str">
        <x:v>unhedged</x:v>
      </x:c>
      <x:c r="F1383" s="37" t="n">
        <x:v>1271822.743962671</x:v>
      </x:c>
      <x:c r="G1383" s="37" t="n">
        <x:v>10595196.418857124</x:v>
      </x:c>
      <x:c r="H1383" s="37" t="n">
        <x:v>21628.70826327168</x:v>
      </x:c>
      <x:c r="I1383" s="37" t="n">
        <x:v>10573567.710593851</x:v>
      </x:c>
      <x:c r="J1383" s="37" t="n">
        <x:v>10595196.418857124</x:v>
      </x:c>
      <x:c r="K1383" s="37" t="n">
        <x:v>0</x:v>
      </x:c>
      <x:c r="L1383" s="37" t="n">
        <x:v>11867019.162819795</x:v>
      </x:c>
      <x:c r="M1383" s="37" t="n">
        <x:v>0</x:v>
      </x:c>
      <x:c r="N1383" s="37" t="n">
        <x:v>0</x:v>
      </x:c>
      <x:c r="O1383" s="37" t="n">
        <x:v>69.68509911582805</x:v>
      </x:c>
      <x:c r="P1383" s="37" t="n">
        <x:v>0</x:v>
      </x:c>
      <x:c r="Q1383" s="37" t="n">
        <x:v>0</x:v>
      </x:c>
      <x:c r="R1383" s="37" t="n">
        <x:v>0</x:v>
      </x:c>
      <x:c r="S1383" s="37" t="n">
        <x:v>0</x:v>
      </x:c>
      <x:c r="T1383" s="37" t="n">
        <x:v>0</x:v>
      </x:c>
      <x:c r="U1383" s="37" t="n">
        <x:v>63750</x:v>
      </x:c>
      <x:c r="V1383" s="37" t="n">
        <x:v>0</x:v>
      </x:c>
      <x:c r="W1383" s="37" t="n">
        <x:v>9115.613304793136</x:v>
      </x:c>
      <x:c r="X1383" s="37" t="n">
        <x:v>0</x:v>
      </x:c>
      <x:c r="Y1383" s="37" t="n">
        <x:v>1042.869342122179</x:v>
      </x:c>
      <x:c r="Z1383" s="37" t="n">
        <x:v>0</x:v>
      </x:c>
      <x:c r="AA1383" s="37" t="n">
        <x:v>0</x:v>
      </x:c>
      <x:c r="AB1383" s="37" t="n">
        <x:v>0</x:v>
      </x:c>
      <x:c r="AC1383" s="37" t="n">
        <x:v>1271822.743962671</x:v>
      </x:c>
      <x:c r="AD1383" s="37" t="n">
        <x:v>0</x:v>
      </x:c>
      <x:c r="AE1383" s="37" t="n">
        <x:v>0</x:v>
      </x:c>
      <x:c r="AF1383" s="47" t="b">
        <x:v>0</x:v>
      </x:c>
      <x:c r="AG1383" s="47" t="b">
        <x:v>0</x:v>
      </x:c>
      <x:c r="AH1383" s="48" t="n">
        <x:v>0</x:v>
      </x:c>
      <x:c r="AI1383" s="48" t="n">
        <x:v>1.1920928955078125e-7</x:v>
      </x:c>
      <x:c r="AJ1383" s="37" t="str">
        <x:v>passed</x:v>
      </x:c>
    </x:row>
    <x:row r="1384" ht="21" customHeight="1">
      <x:c r="A1384" s="2"/>
      <x:c r="B1384" s="2"/>
      <x:c r="C1384" s="2" t="str">
        <x:v>2023</x:v>
      </x:c>
      <x:c r="D1384" s="5" t="n">
        <x:v>45064</x:v>
      </x:c>
      <x:c r="E1384" s="2" t="str">
        <x:v>duration</x:v>
      </x:c>
      <x:c r="F1384" s="37" t="n">
        <x:v>7675336.819252972</x:v>
      </x:c>
      <x:c r="G1384" s="37" t="n">
        <x:v>4075605.856086977</x:v>
      </x:c>
      <x:c r="H1384" s="37" t="n">
        <x:v>20751.002526506414</x:v>
      </x:c>
      <x:c r="I1384" s="37" t="n">
        <x:v>4054854.8535604705</x:v>
      </x:c>
      <x:c r="J1384" s="37" t="n">
        <x:v>10595196.418857124</x:v>
      </x:c>
      <x:c r="K1384" s="37" t="n">
        <x:v>6519590.562770146</x:v>
      </x:c>
      <x:c r="L1384" s="37" t="n">
        <x:v>11750942.675339948</x:v>
      </x:c>
      <x:c r="M1384" s="37" t="n">
        <x:v>0</x:v>
      </x:c>
      <x:c r="N1384" s="37" t="n">
        <x:v>0</x:v>
      </x:c>
      <x:c r="O1384" s="37" t="n">
        <x:v>420.5433575846255</x:v>
      </x:c>
      <x:c r="P1384" s="37" t="n">
        <x:v>0</x:v>
      </x:c>
      <x:c r="Q1384" s="37" t="n">
        <x:v>0</x:v>
      </x:c>
      <x:c r="R1384" s="37" t="n">
        <x:v>0</x:v>
      </x:c>
      <x:c r="S1384" s="37" t="n">
        <x:v>0</x:v>
      </x:c>
      <x:c r="T1384" s="37" t="n">
        <x:v>0</x:v>
      </x:c>
      <x:c r="U1384" s="37" t="n">
        <x:v>9917.381478397001</x:v>
      </x:c>
      <x:c r="V1384" s="37" t="n">
        <x:v>0</x:v>
      </x:c>
      <x:c r="W1384" s="37" t="n">
        <x:v>57485.23513340484</x:v>
      </x:c>
      <x:c r="X1384" s="37" t="n">
        <x:v>0</x:v>
      </x:c>
      <x:c r="Y1384" s="37" t="n">
        <x:v>1725.2611256883708</x:v>
      </x:c>
      <x:c r="Z1384" s="37" t="n">
        <x:v>6649982.374025549</x:v>
      </x:c>
      <x:c r="AA1384" s="37" t="n">
        <x:v>0</x:v>
      </x:c>
      <x:c r="AB1384" s="37" t="n">
        <x:v>6649982.374025549</x:v>
      </x:c>
      <x:c r="AC1384" s="37" t="n">
        <x:v>1025354.4452274228</x:v>
      </x:c>
      <x:c r="AD1384" s="37" t="n">
        <x:v>0</x:v>
      </x:c>
      <x:c r="AE1384" s="37" t="n">
        <x:v>0</x:v>
      </x:c>
      <x:c r="AF1384" s="47" t="b">
        <x:v>0</x:v>
      </x:c>
      <x:c r="AG1384" s="47" t="b">
        <x:v>0</x:v>
      </x:c>
      <x:c r="AH1384" s="48" t="n">
        <x:v>0</x:v>
      </x:c>
      <x:c r="AI1384" s="48" t="n">
        <x:v>5.960464477539063e-8</x:v>
      </x:c>
      <x:c r="AJ1384" s="37" t="str">
        <x:v>passed</x:v>
      </x:c>
    </x:row>
    <x:row r="1385" ht="21" customHeight="1">
      <x:c r="A1385" s="2"/>
      <x:c r="B1385" s="2"/>
      <x:c r="C1385" s="2" t="str">
        <x:v>2023</x:v>
      </x:c>
      <x:c r="D1385" s="5" t="n">
        <x:v>45064</x:v>
      </x:c>
      <x:c r="E1385" s="2" t="str">
        <x:v>unweighted</x:v>
      </x:c>
      <x:c r="F1385" s="37" t="n">
        <x:v>11563364.931200683</x:v>
      </x:c>
      <x:c r="G1385" s="37" t="n">
        <x:v>156888.95853011624</x:v>
      </x:c>
      <x:c r="H1385" s="37" t="n">
        <x:v>-6873.618954641625</x:v>
      </x:c>
      <x:c r="I1385" s="37" t="n">
        <x:v>163762.57748475787</x:v>
      </x:c>
      <x:c r="J1385" s="37" t="n">
        <x:v>10658162.526072523</x:v>
      </x:c>
      <x:c r="K1385" s="37" t="n">
        <x:v>10501273.567542406</x:v>
      </x:c>
      <x:c r="L1385" s="37" t="n">
        <x:v>11720253.8897308</x:v>
      </x:c>
      <x:c r="M1385" s="37" t="n">
        <x:v>0</x:v>
      </x:c>
      <x:c r="N1385" s="37" t="n">
        <x:v>0</x:v>
      </x:c>
      <x:c r="O1385" s="37" t="n">
        <x:v>633.5743209272623</x:v>
      </x:c>
      <x:c r="P1385" s="37" t="n">
        <x:v>0</x:v>
      </x:c>
      <x:c r="Q1385" s="37" t="n">
        <x:v>0</x:v>
      </x:c>
      <x:c r="R1385" s="37" t="n">
        <x:v>0</x:v>
      </x:c>
      <x:c r="S1385" s="37" t="n">
        <x:v>0</x:v>
      </x:c>
      <x:c r="T1385" s="37" t="n">
        <x:v>0</x:v>
      </x:c>
      <x:c r="U1385" s="37" t="n">
        <x:v>24308.075935467685</x:v>
      </x:c>
      <x:c r="V1385" s="37" t="n">
        <x:v>0</x:v>
      </x:c>
      <x:c r="W1385" s="37" t="n">
        <x:v>82818.2059140224</x:v>
      </x:c>
      <x:c r="X1385" s="37" t="n">
        <x:v>0</x:v>
      </x:c>
      <x:c r="Y1385" s="37" t="n">
        <x:v>2081.5450520466143</x:v>
      </x:c>
      <x:c r="Z1385" s="37" t="n">
        <x:v>10711299.038893254</x:v>
      </x:c>
      <x:c r="AA1385" s="37" t="n">
        <x:v>0</x:v>
      </x:c>
      <x:c r="AB1385" s="37" t="n">
        <x:v>10711299.038893254</x:v>
      </x:c>
      <x:c r="AC1385" s="37" t="n">
        <x:v>852065.8923074286</x:v>
      </x:c>
      <x:c r="AD1385" s="37" t="n">
        <x:v>0</x:v>
      </x:c>
      <x:c r="AE1385" s="37" t="n">
        <x:v>0</x:v>
      </x:c>
      <x:c r="AF1385" s="47" t="b">
        <x:v>0</x:v>
      </x:c>
      <x:c r="AG1385" s="47" t="b">
        <x:v>0</x:v>
      </x:c>
      <x:c r="AH1385" s="48" t="n">
        <x:v>0</x:v>
      </x:c>
      <x:c r="AI1385" s="48" t="n">
        <x:v>1.1920928955078125e-7</x:v>
      </x:c>
      <x:c r="AJ1385" s="37" t="str">
        <x:v>passed</x:v>
      </x:c>
    </x:row>
    <x:row r="1386" ht="21" customHeight="1">
      <x:c r="A1386" s="2"/>
      <x:c r="B1386" s="2"/>
      <x:c r="C1386" s="2" t="str">
        <x:v>2023</x:v>
      </x:c>
      <x:c r="D1386" s="5" t="n">
        <x:v>45064</x:v>
      </x:c>
      <x:c r="E1386" s="2" t="str">
        <x:v>constrained</x:v>
      </x:c>
      <x:c r="F1386" s="37" t="n">
        <x:v>11865711.038770357</x:v>
      </x:c>
      <x:c r="G1386" s="37" t="n">
        <x:v>-152263.44364565698</x:v>
      </x:c>
      <x:c r="H1386" s="37" t="n">
        <x:v>-8038.853001707868</x:v>
      </x:c>
      <x:c r="I1386" s="37" t="n">
        <x:v>-144224.5906439491</x:v>
      </x:c>
      <x:c r="J1386" s="37" t="n">
        <x:v>10661587.13745539</x:v>
      </x:c>
      <x:c r="K1386" s="37" t="n">
        <x:v>10813850.581101049</x:v>
      </x:c>
      <x:c r="L1386" s="37" t="n">
        <x:v>11713447.595124701</x:v>
      </x:c>
      <x:c r="M1386" s="37" t="n">
        <x:v>0</x:v>
      </x:c>
      <x:c r="N1386" s="37" t="n">
        <x:v>0</x:v>
      </x:c>
      <x:c r="O1386" s="37" t="n">
        <x:v>650.1403232049197</x:v>
      </x:c>
      <x:c r="P1386" s="37" t="n">
        <x:v>0</x:v>
      </x:c>
      <x:c r="Q1386" s="37" t="n">
        <x:v>0</x:v>
      </x:c>
      <x:c r="R1386" s="37" t="n">
        <x:v>0</x:v>
      </x:c>
      <x:c r="S1386" s="37" t="n">
        <x:v>0</x:v>
      </x:c>
      <x:c r="T1386" s="37" t="n">
        <x:v>0</x:v>
      </x:c>
      <x:c r="U1386" s="37" t="n">
        <x:v>24480.61402984721</x:v>
      </x:c>
      <x:c r="V1386" s="37" t="n">
        <x:v>0</x:v>
      </x:c>
      <x:c r="W1386" s="37" t="n">
        <x:v>86964.654082302</x:v>
      </x:c>
      <x:c r="X1386" s="37" t="n">
        <x:v>0</x:v>
      </x:c>
      <x:c r="Y1386" s="37" t="n">
        <x:v>2134.1142062319523</x:v>
      </x:c>
      <x:c r="Z1386" s="37" t="n">
        <x:v>11030127.59272307</x:v>
      </x:c>
      <x:c r="AA1386" s="37" t="n">
        <x:v>0</x:v>
      </x:c>
      <x:c r="AB1386" s="37" t="n">
        <x:v>11030127.59272307</x:v>
      </x:c>
      <x:c r="AC1386" s="37" t="n">
        <x:v>835583.4460472874</x:v>
      </x:c>
      <x:c r="AD1386" s="37" t="n">
        <x:v>0</x:v>
      </x:c>
      <x:c r="AE1386" s="37" t="n">
        <x:v>0</x:v>
      </x:c>
      <x:c r="AF1386" s="47" t="b">
        <x:v>0</x:v>
      </x:c>
      <x:c r="AG1386" s="47" t="b">
        <x:v>0</x:v>
      </x:c>
      <x:c r="AH1386" s="48" t="n">
        <x:v>0</x:v>
      </x:c>
      <x:c r="AI1386" s="48" t="n">
        <x:v>1.1920928955078125e-7</x:v>
      </x:c>
      <x:c r="AJ1386" s="37" t="str">
        <x:v>passed</x:v>
      </x:c>
    </x:row>
    <x:row r="1387" ht="21" customHeight="1">
      <x:c r="A1387" s="2"/>
      <x:c r="B1387" s="2"/>
      <x:c r="C1387" s="2" t="str">
        <x:v>2023</x:v>
      </x:c>
      <x:c r="D1387" s="5" t="n">
        <x:v>45065</x:v>
      </x:c>
      <x:c r="E1387" s="2" t="str">
        <x:v>unhedged</x:v>
      </x:c>
      <x:c r="F1387" s="37" t="n">
        <x:v>1271892.4328801485</x:v>
      </x:c>
      <x:c r="G1387" s="37" t="n">
        <x:v>10567944.404155472</x:v>
      </x:c>
      <x:c r="H1387" s="37" t="n">
        <x:v>21978.55362719193</x:v>
      </x:c>
      <x:c r="I1387" s="37" t="n">
        <x:v>10545965.850528281</x:v>
      </x:c>
      <x:c r="J1387" s="37" t="n">
        <x:v>10567944.404155472</x:v>
      </x:c>
      <x:c r="K1387" s="37" t="n">
        <x:v>0</x:v>
      </x:c>
      <x:c r="L1387" s="37" t="n">
        <x:v>11839836.83703562</x:v>
      </x:c>
      <x:c r="M1387" s="37" t="n">
        <x:v>0</x:v>
      </x:c>
      <x:c r="N1387" s="37" t="n">
        <x:v>0</x:v>
      </x:c>
      <x:c r="O1387" s="37" t="n">
        <x:v>69.68891747761518</x:v>
      </x:c>
      <x:c r="P1387" s="37" t="n">
        <x:v>0</x:v>
      </x:c>
      <x:c r="Q1387" s="37" t="n">
        <x:v>0</x:v>
      </x:c>
      <x:c r="R1387" s="37" t="n">
        <x:v>0</x:v>
      </x:c>
      <x:c r="S1387" s="37" t="n">
        <x:v>0</x:v>
      </x:c>
      <x:c r="T1387" s="37" t="n">
        <x:v>0</x:v>
      </x:c>
      <x:c r="U1387" s="37" t="n">
        <x:v>63750</x:v>
      </x:c>
      <x:c r="V1387" s="37" t="n">
        <x:v>0</x:v>
      </x:c>
      <x:c r="W1387" s="37" t="n">
        <x:v>9185.302222270751</x:v>
      </x:c>
      <x:c r="X1387" s="37" t="n">
        <x:v>0</x:v>
      </x:c>
      <x:c r="Y1387" s="37" t="n">
        <x:v>1042.869342122179</x:v>
      </x:c>
      <x:c r="Z1387" s="37" t="n">
        <x:v>0</x:v>
      </x:c>
      <x:c r="AA1387" s="37" t="n">
        <x:v>0</x:v>
      </x:c>
      <x:c r="AB1387" s="37" t="n">
        <x:v>0</x:v>
      </x:c>
      <x:c r="AC1387" s="37" t="n">
        <x:v>1271892.4328801485</x:v>
      </x:c>
      <x:c r="AD1387" s="37" t="n">
        <x:v>0</x:v>
      </x:c>
      <x:c r="AE1387" s="37" t="n">
        <x:v>0</x:v>
      </x:c>
      <x:c r="AF1387" s="47" t="b">
        <x:v>0</x:v>
      </x:c>
      <x:c r="AG1387" s="47" t="b">
        <x:v>0</x:v>
      </x:c>
      <x:c r="AH1387" s="48" t="n">
        <x:v>0</x:v>
      </x:c>
      <x:c r="AI1387" s="48" t="n">
        <x:v>1.1920928955078125e-7</x:v>
      </x:c>
      <x:c r="AJ1387" s="37" t="str">
        <x:v>passed</x:v>
      </x:c>
    </x:row>
    <x:row r="1388" ht="21" customHeight="1">
      <x:c r="A1388" s="2"/>
      <x:c r="B1388" s="2"/>
      <x:c r="C1388" s="2" t="str">
        <x:v>2023</x:v>
      </x:c>
      <x:c r="D1388" s="5" t="n">
        <x:v>45065</x:v>
      </x:c>
      <x:c r="E1388" s="2" t="str">
        <x:v>duration</x:v>
      </x:c>
      <x:c r="F1388" s="37" t="n">
        <x:v>7675757.385654027</x:v>
      </x:c>
      <x:c r="G1388" s="37" t="n">
        <x:v>4077719.9408895723</x:v>
      </x:c>
      <x:c r="H1388" s="37" t="n">
        <x:v>20808.27931150491</x:v>
      </x:c>
      <x:c r="I1388" s="37" t="n">
        <x:v>4056911.6615780676</x:v>
      </x:c>
      <x:c r="J1388" s="37" t="n">
        <x:v>10567944.404155472</x:v>
      </x:c>
      <x:c r="K1388" s="37" t="n">
        <x:v>6490224.4632659005</x:v>
      </x:c>
      <x:c r="L1388" s="37" t="n">
        <x:v>11753477.3265436</x:v>
      </x:c>
      <x:c r="M1388" s="37" t="n">
        <x:v>0</x:v>
      </x:c>
      <x:c r="N1388" s="37" t="n">
        <x:v>0</x:v>
      </x:c>
      <x:c r="O1388" s="37" t="n">
        <x:v>420.5664010550827</x:v>
      </x:c>
      <x:c r="P1388" s="37" t="n">
        <x:v>0</x:v>
      </x:c>
      <x:c r="Q1388" s="37" t="n">
        <x:v>0</x:v>
      </x:c>
      <x:c r="R1388" s="37" t="n">
        <x:v>0</x:v>
      </x:c>
      <x:c r="S1388" s="37" t="n">
        <x:v>0</x:v>
      </x:c>
      <x:c r="T1388" s="37" t="n">
        <x:v>0</x:v>
      </x:c>
      <x:c r="U1388" s="37" t="n">
        <x:v>9917.381478397001</x:v>
      </x:c>
      <x:c r="V1388" s="37" t="n">
        <x:v>0</x:v>
      </x:c>
      <x:c r="W1388" s="37" t="n">
        <x:v>57905.801534459926</x:v>
      </x:c>
      <x:c r="X1388" s="37" t="n">
        <x:v>0</x:v>
      </x:c>
      <x:c r="Y1388" s="37" t="n">
        <x:v>1725.2611256883708</x:v>
      </x:c>
      <x:c r="Z1388" s="37" t="n">
        <x:v>6620028.9525312185</x:v>
      </x:c>
      <x:c r="AA1388" s="37" t="n">
        <x:v>0</x:v>
      </x:c>
      <x:c r="AB1388" s="37" t="n">
        <x:v>6620028.9525312185</x:v>
      </x:c>
      <x:c r="AC1388" s="37" t="n">
        <x:v>1055728.433122808</x:v>
      </x:c>
      <x:c r="AD1388" s="37" t="n">
        <x:v>0</x:v>
      </x:c>
      <x:c r="AE1388" s="37" t="n">
        <x:v>0</x:v>
      </x:c>
      <x:c r="AF1388" s="47" t="b">
        <x:v>0</x:v>
      </x:c>
      <x:c r="AG1388" s="47" t="b">
        <x:v>0</x:v>
      </x:c>
      <x:c r="AH1388" s="48" t="n">
        <x:v>0</x:v>
      </x:c>
      <x:c r="AI1388" s="48" t="n">
        <x:v>5.960464477539063e-8</x:v>
      </x:c>
      <x:c r="AJ1388" s="37" t="str">
        <x:v>passed</x:v>
      </x:c>
    </x:row>
    <x:row r="1389" ht="21" customHeight="1">
      <x:c r="A1389" s="2"/>
      <x:c r="B1389" s="2"/>
      <x:c r="C1389" s="2" t="str">
        <x:v>2023</x:v>
      </x:c>
      <x:c r="D1389" s="5" t="n">
        <x:v>45065</x:v>
      </x:c>
      <x:c r="E1389" s="2" t="str">
        <x:v>unweighted</x:v>
      </x:c>
      <x:c r="F1389" s="37" t="n">
        <x:v>11563998.54023801</x:v>
      </x:c>
      <x:c r="G1389" s="37" t="n">
        <x:v>156710.2282863633</x:v>
      </x:c>
      <x:c r="H1389" s="37" t="n">
        <x:v>-6902.979520834842</x:v>
      </x:c>
      <x:c r="I1389" s="37" t="n">
        <x:v>163613.20780719814</x:v>
      </x:c>
      <x:c r="J1389" s="37" t="n">
        <x:v>10630520.925564699</x:v>
      </x:c>
      <x:c r="K1389" s="37" t="n">
        <x:v>10473810.697278334</x:v>
      </x:c>
      <x:c r="L1389" s="37" t="n">
        <x:v>11720708.768524373</x:v>
      </x:c>
      <x:c r="M1389" s="37" t="n">
        <x:v>0</x:v>
      </x:c>
      <x:c r="N1389" s="37" t="n">
        <x:v>0</x:v>
      </x:c>
      <x:c r="O1389" s="37" t="n">
        <x:v>633.6090373266488</x:v>
      </x:c>
      <x:c r="P1389" s="37" t="n">
        <x:v>0</x:v>
      </x:c>
      <x:c r="Q1389" s="37" t="n">
        <x:v>0</x:v>
      </x:c>
      <x:c r="R1389" s="37" t="n">
        <x:v>0</x:v>
      </x:c>
      <x:c r="S1389" s="37" t="n">
        <x:v>0</x:v>
      </x:c>
      <x:c r="T1389" s="37" t="n">
        <x:v>0</x:v>
      </x:c>
      <x:c r="U1389" s="37" t="n">
        <x:v>24308.075935467685</x:v>
      </x:c>
      <x:c r="V1389" s="37" t="n">
        <x:v>0</x:v>
      </x:c>
      <x:c r="W1389" s="37" t="n">
        <x:v>83451.81495134905</x:v>
      </x:c>
      <x:c r="X1389" s="37" t="n">
        <x:v>0</x:v>
      </x:c>
      <x:c r="Y1389" s="37" t="n">
        <x:v>2081.5450520466143</x:v>
      </x:c>
      <x:c r="Z1389" s="37" t="n">
        <x:v>10683286.911223901</x:v>
      </x:c>
      <x:c r="AA1389" s="37" t="n">
        <x:v>0</x:v>
      </x:c>
      <x:c r="AB1389" s="37" t="n">
        <x:v>10683286.911223901</x:v>
      </x:c>
      <x:c r="AC1389" s="37" t="n">
        <x:v>880711.6290141083</x:v>
      </x:c>
      <x:c r="AD1389" s="37" t="n">
        <x:v>0</x:v>
      </x:c>
      <x:c r="AE1389" s="37" t="n">
        <x:v>0</x:v>
      </x:c>
      <x:c r="AF1389" s="47" t="b">
        <x:v>0</x:v>
      </x:c>
      <x:c r="AG1389" s="47" t="b">
        <x:v>0</x:v>
      </x:c>
      <x:c r="AH1389" s="48" t="n">
        <x:v>0</x:v>
      </x:c>
      <x:c r="AI1389" s="48" t="n">
        <x:v>1.1920928955078125e-7</x:v>
      </x:c>
      <x:c r="AJ1389" s="37" t="str">
        <x:v>passed</x:v>
      </x:c>
    </x:row>
    <x:row r="1390" ht="21" customHeight="1">
      <x:c r="A1390" s="2"/>
      <x:c r="B1390" s="2"/>
      <x:c r="C1390" s="2" t="str">
        <x:v>2023</x:v>
      </x:c>
      <x:c r="D1390" s="5" t="n">
        <x:v>45065</x:v>
      </x:c>
      <x:c r="E1390" s="2" t="str">
        <x:v>constrained</x:v>
      </x:c>
      <x:c r="F1390" s="37" t="n">
        <x:v>11866361.214717688</x:v>
      </x:c>
      <x:c r="G1390" s="37" t="n">
        <x:v>-152403.109049582</x:v>
      </x:c>
      <x:c r="H1390" s="37" t="n">
        <x:v>-8074.187382571563</x:v>
      </x:c>
      <x:c r="I1390" s="37" t="n">
        <x:v>-144328.92166701044</x:v>
      </x:c>
      <x:c r="J1390" s="37" t="n">
        <x:v>10633924.348088266</x:v>
      </x:c>
      <x:c r="K1390" s="37" t="n">
        <x:v>10786327.45713785</x:v>
      </x:c>
      <x:c r="L1390" s="37" t="n">
        <x:v>11713958.105668105</x:v>
      </x:c>
      <x:c r="M1390" s="37" t="n">
        <x:v>0</x:v>
      </x:c>
      <x:c r="N1390" s="37" t="n">
        <x:v>0</x:v>
      </x:c>
      <x:c r="O1390" s="37" t="n">
        <x:v>650.1759473308921</x:v>
      </x:c>
      <x:c r="P1390" s="37" t="n">
        <x:v>0</x:v>
      </x:c>
      <x:c r="Q1390" s="37" t="n">
        <x:v>0</x:v>
      </x:c>
      <x:c r="R1390" s="37" t="n">
        <x:v>0</x:v>
      </x:c>
      <x:c r="S1390" s="37" t="n">
        <x:v>0</x:v>
      </x:c>
      <x:c r="T1390" s="37" t="n">
        <x:v>0</x:v>
      </x:c>
      <x:c r="U1390" s="37" t="n">
        <x:v>24480.61402984721</x:v>
      </x:c>
      <x:c r="V1390" s="37" t="n">
        <x:v>0</x:v>
      </x:c>
      <x:c r="W1390" s="37" t="n">
        <x:v>87614.8300296329</x:v>
      </x:c>
      <x:c r="X1390" s="37" t="n">
        <x:v>0</x:v>
      </x:c>
      <x:c r="Y1390" s="37" t="n">
        <x:v>2134.1142062319523</x:v>
      </x:c>
      <x:c r="Z1390" s="37" t="n">
        <x:v>11002054.006280607</x:v>
      </x:c>
      <x:c r="AA1390" s="37" t="n">
        <x:v>0</x:v>
      </x:c>
      <x:c r="AB1390" s="37" t="n">
        <x:v>11002054.006280607</x:v>
      </x:c>
      <x:c r="AC1390" s="37" t="n">
        <x:v>864307.2084370814</x:v>
      </x:c>
      <x:c r="AD1390" s="37" t="n">
        <x:v>0</x:v>
      </x:c>
      <x:c r="AE1390" s="37" t="n">
        <x:v>0</x:v>
      </x:c>
      <x:c r="AF1390" s="47" t="b">
        <x:v>0</x:v>
      </x:c>
      <x:c r="AG1390" s="47" t="b">
        <x:v>0</x:v>
      </x:c>
      <x:c r="AH1390" s="48" t="n">
        <x:v>0</x:v>
      </x:c>
      <x:c r="AI1390" s="48" t="n">
        <x:v>1.1920928955078125e-7</x:v>
      </x:c>
      <x:c r="AJ1390" s="37" t="str">
        <x:v>passed</x:v>
      </x:c>
    </x:row>
    <x:row r="1391" ht="21" customHeight="1">
      <x:c r="A1391" s="2"/>
      <x:c r="B1391" s="2"/>
      <x:c r="C1391" s="2" t="str">
        <x:v>2023</x:v>
      </x:c>
      <x:c r="D1391" s="5" t="n">
        <x:v>45068</x:v>
      </x:c>
      <x:c r="E1391" s="2" t="str">
        <x:v>unhedged</x:v>
      </x:c>
      <x:c r="F1391" s="37" t="n">
        <x:v>1272101.522544843</x:v>
      </x:c>
      <x:c r="G1391" s="37" t="n">
        <x:v>10563769.482333608</x:v>
      </x:c>
      <x:c r="H1391" s="37" t="n">
        <x:v>23028.089718952677</x:v>
      </x:c>
      <x:c r="I1391" s="37" t="n">
        <x:v>10540741.392614655</x:v>
      </x:c>
      <x:c r="J1391" s="37" t="n">
        <x:v>10563769.482333608</x:v>
      </x:c>
      <x:c r="K1391" s="37" t="n">
        <x:v>0</x:v>
      </x:c>
      <x:c r="L1391" s="37" t="n">
        <x:v>11835871.00487845</x:v>
      </x:c>
      <x:c r="M1391" s="37" t="n">
        <x:v>0</x:v>
      </x:c>
      <x:c r="N1391" s="37" t="n">
        <x:v>0</x:v>
      </x:c>
      <x:c r="O1391" s="37" t="n">
        <x:v>209.08966469438747</x:v>
      </x:c>
      <x:c r="P1391" s="37" t="n">
        <x:v>0</x:v>
      </x:c>
      <x:c r="Q1391" s="37" t="n">
        <x:v>0</x:v>
      </x:c>
      <x:c r="R1391" s="37" t="n">
        <x:v>0</x:v>
      </x:c>
      <x:c r="S1391" s="37" t="n">
        <x:v>0</x:v>
      </x:c>
      <x:c r="T1391" s="37" t="n">
        <x:v>0</x:v>
      </x:c>
      <x:c r="U1391" s="37" t="n">
        <x:v>63750</x:v>
      </x:c>
      <x:c r="V1391" s="37" t="n">
        <x:v>0</x:v>
      </x:c>
      <x:c r="W1391" s="37" t="n">
        <x:v>9394.391886965139</x:v>
      </x:c>
      <x:c r="X1391" s="37" t="n">
        <x:v>0</x:v>
      </x:c>
      <x:c r="Y1391" s="37" t="n">
        <x:v>1042.869342122179</x:v>
      </x:c>
      <x:c r="Z1391" s="37" t="n">
        <x:v>0</x:v>
      </x:c>
      <x:c r="AA1391" s="37" t="n">
        <x:v>0</x:v>
      </x:c>
      <x:c r="AB1391" s="37" t="n">
        <x:v>0</x:v>
      </x:c>
      <x:c r="AC1391" s="37" t="n">
        <x:v>1272101.522544843</x:v>
      </x:c>
      <x:c r="AD1391" s="37" t="n">
        <x:v>0</x:v>
      </x:c>
      <x:c r="AE1391" s="37" t="n">
        <x:v>0</x:v>
      </x:c>
      <x:c r="AF1391" s="47" t="b">
        <x:v>0</x:v>
      </x:c>
      <x:c r="AG1391" s="47" t="b">
        <x:v>0</x:v>
      </x:c>
      <x:c r="AH1391" s="48" t="n">
        <x:v>0</x:v>
      </x:c>
      <x:c r="AI1391" s="48" t="n">
        <x:v>1.1920928955078125e-7</x:v>
      </x:c>
      <x:c r="AJ1391" s="37" t="str">
        <x:v>passed</x:v>
      </x:c>
    </x:row>
    <x:row r="1392" ht="21" customHeight="1">
      <x:c r="A1392" s="2"/>
      <x:c r="B1392" s="2"/>
      <x:c r="C1392" s="2" t="str">
        <x:v>2023</x:v>
      </x:c>
      <x:c r="D1392" s="5" t="n">
        <x:v>45068</x:v>
      </x:c>
      <x:c r="E1392" s="2" t="str">
        <x:v>duration</x:v>
      </x:c>
      <x:c r="F1392" s="37" t="n">
        <x:v>7677019.223130651</x:v>
      </x:c>
      <x:c r="G1392" s="37" t="n">
        <x:v>4079853.9031297695</x:v>
      </x:c>
      <x:c r="H1392" s="37" t="n">
        <x:v>20980.109666500386</x:v>
      </x:c>
      <x:c r="I1392" s="37" t="n">
        <x:v>4058873.7934632692</x:v>
      </x:c>
      <x:c r="J1392" s="37" t="n">
        <x:v>10563769.482333608</x:v>
      </x:c>
      <x:c r="K1392" s="37" t="n">
        <x:v>6483915.5792038385</x:v>
      </x:c>
      <x:c r="L1392" s="37" t="n">
        <x:v>11756873.12626042</x:v>
      </x:c>
      <x:c r="M1392" s="37" t="n">
        <x:v>0</x:v>
      </x:c>
      <x:c r="N1392" s="37" t="n">
        <x:v>0</x:v>
      </x:c>
      <x:c r="O1392" s="37" t="n">
        <x:v>1261.837476624176</x:v>
      </x:c>
      <x:c r="P1392" s="37" t="n">
        <x:v>0</x:v>
      </x:c>
      <x:c r="Q1392" s="37" t="n">
        <x:v>0</x:v>
      </x:c>
      <x:c r="R1392" s="37" t="n">
        <x:v>0</x:v>
      </x:c>
      <x:c r="S1392" s="37" t="n">
        <x:v>0</x:v>
      </x:c>
      <x:c r="T1392" s="37" t="n">
        <x:v>0</x:v>
      </x:c>
      <x:c r="U1392" s="37" t="n">
        <x:v>9917.381478397001</x:v>
      </x:c>
      <x:c r="V1392" s="37" t="n">
        <x:v>0</x:v>
      </x:c>
      <x:c r="W1392" s="37" t="n">
        <x:v>59167.6390110841</x:v>
      </x:c>
      <x:c r="X1392" s="37" t="n">
        <x:v>0</x:v>
      </x:c>
      <x:c r="Y1392" s="37" t="n">
        <x:v>1725.2611256883708</x:v>
      </x:c>
      <x:c r="Z1392" s="37" t="n">
        <x:v>6613593.890787915</x:v>
      </x:c>
      <x:c r="AA1392" s="37" t="n">
        <x:v>0</x:v>
      </x:c>
      <x:c r="AB1392" s="37" t="n">
        <x:v>6613593.890787915</x:v>
      </x:c>
      <x:c r="AC1392" s="37" t="n">
        <x:v>1063425.3323427355</x:v>
      </x:c>
      <x:c r="AD1392" s="37" t="n">
        <x:v>0</x:v>
      </x:c>
      <x:c r="AE1392" s="37" t="n">
        <x:v>0</x:v>
      </x:c>
      <x:c r="AF1392" s="47" t="b">
        <x:v>0</x:v>
      </x:c>
      <x:c r="AG1392" s="47" t="b">
        <x:v>0</x:v>
      </x:c>
      <x:c r="AH1392" s="48" t="n">
        <x:v>0</x:v>
      </x:c>
      <x:c r="AI1392" s="48" t="n">
        <x:v>5.960464477539063e-8</x:v>
      </x:c>
      <x:c r="AJ1392" s="37" t="str">
        <x:v>passed</x:v>
      </x:c>
    </x:row>
    <x:row r="1393" ht="21" customHeight="1">
      <x:c r="A1393" s="2"/>
      <x:c r="B1393" s="2"/>
      <x:c r="C1393" s="2" t="str">
        <x:v>2023</x:v>
      </x:c>
      <x:c r="D1393" s="5" t="n">
        <x:v>45068</x:v>
      </x:c>
      <x:c r="E1393" s="2" t="str">
        <x:v>unweighted</x:v>
      </x:c>
      <x:c r="F1393" s="37" t="n">
        <x:v>11565899.57566742</x:v>
      </x:c>
      <x:c r="G1393" s="37" t="n">
        <x:v>156847.2330492462</x:v>
      </x:c>
      <x:c r="H1393" s="37" t="n">
        <x:v>-6991.061219414503</x:v>
      </x:c>
      <x:c r="I1393" s="37" t="n">
        <x:v>163838.29426866068</x:v>
      </x:c>
      <x:c r="J1393" s="37" t="n">
        <x:v>10626136.092763744</x:v>
      </x:c>
      <x:c r="K1393" s="37" t="n">
        <x:v>10469288.859714499</x:v>
      </x:c>
      <x:c r="L1393" s="37" t="n">
        <x:v>11722746.808716666</x:v>
      </x:c>
      <x:c r="M1393" s="37" t="n">
        <x:v>0</x:v>
      </x:c>
      <x:c r="N1393" s="37" t="n">
        <x:v>0</x:v>
      </x:c>
      <x:c r="O1393" s="37" t="n">
        <x:v>1901.0354294106364</x:v>
      </x:c>
      <x:c r="P1393" s="37" t="n">
        <x:v>0</x:v>
      </x:c>
      <x:c r="Q1393" s="37" t="n">
        <x:v>0</x:v>
      </x:c>
      <x:c r="R1393" s="37" t="n">
        <x:v>0</x:v>
      </x:c>
      <x:c r="S1393" s="37" t="n">
        <x:v>0</x:v>
      </x:c>
      <x:c r="T1393" s="37" t="n">
        <x:v>0</x:v>
      </x:c>
      <x:c r="U1393" s="37" t="n">
        <x:v>24308.075935467685</x:v>
      </x:c>
      <x:c r="V1393" s="37" t="n">
        <x:v>0</x:v>
      </x:c>
      <x:c r="W1393" s="37" t="n">
        <x:v>85352.85038075969</x:v>
      </x:c>
      <x:c r="X1393" s="37" t="n">
        <x:v>0</x:v>
      </x:c>
      <x:c r="Y1393" s="37" t="n">
        <x:v>2081.5450520466143</x:v>
      </x:c>
      <x:c r="Z1393" s="37" t="n">
        <x:v>10678674.636908788</x:v>
      </x:c>
      <x:c r="AA1393" s="37" t="n">
        <x:v>0</x:v>
      </x:c>
      <x:c r="AB1393" s="37" t="n">
        <x:v>10678674.636908788</x:v>
      </x:c>
      <x:c r="AC1393" s="37" t="n">
        <x:v>887224.9387586322</x:v>
      </x:c>
      <x:c r="AD1393" s="37" t="n">
        <x:v>0</x:v>
      </x:c>
      <x:c r="AE1393" s="37" t="n">
        <x:v>0</x:v>
      </x:c>
      <x:c r="AF1393" s="47" t="b">
        <x:v>0</x:v>
      </x:c>
      <x:c r="AG1393" s="47" t="b">
        <x:v>0</x:v>
      </x:c>
      <x:c r="AH1393" s="48" t="n">
        <x:v>0</x:v>
      </x:c>
      <x:c r="AI1393" s="48" t="n">
        <x:v>1.1920928955078125e-7</x:v>
      </x:c>
      <x:c r="AJ1393" s="37" t="str">
        <x:v>passed</x:v>
      </x:c>
    </x:row>
    <x:row r="1394" ht="21" customHeight="1">
      <x:c r="A1394" s="2"/>
      <x:c r="B1394" s="2"/>
      <x:c r="C1394" s="2" t="str">
        <x:v>2023</x:v>
      </x:c>
      <x:c r="D1394" s="5" t="n">
        <x:v>45068</x:v>
      </x:c>
      <x:c r="E1394" s="2" t="str">
        <x:v>constrained</x:v>
      </x:c>
      <x:c r="F1394" s="37" t="n">
        <x:v>11868311.956323966</x:v>
      </x:c>
      <x:c r="G1394" s="37" t="n">
        <x:v>-152320.2225124807</x:v>
      </x:c>
      <x:c r="H1394" s="37" t="n">
        <x:v>-8180.190525162658</x:v>
      </x:c>
      <x:c r="I1394" s="37" t="n">
        <x:v>-144140.03198731804</x:v>
      </x:c>
      <x:c r="J1394" s="37" t="n">
        <x:v>10629528.098613165</x:v>
      </x:c>
      <x:c r="K1394" s="37" t="n">
        <x:v>10781848.321125647</x:v>
      </x:c>
      <x:c r="L1394" s="37" t="n">
        <x:v>11715991.733811487</x:v>
      </x:c>
      <x:c r="M1394" s="37" t="n">
        <x:v>0</x:v>
      </x:c>
      <x:c r="N1394" s="37" t="n">
        <x:v>0</x:v>
      </x:c>
      <x:c r="O1394" s="37" t="n">
        <x:v>1950.741606278345</x:v>
      </x:c>
      <x:c r="P1394" s="37" t="n">
        <x:v>0</x:v>
      </x:c>
      <x:c r="Q1394" s="37" t="n">
        <x:v>0</x:v>
      </x:c>
      <x:c r="R1394" s="37" t="n">
        <x:v>0</x:v>
      </x:c>
      <x:c r="S1394" s="37" t="n">
        <x:v>0</x:v>
      </x:c>
      <x:c r="T1394" s="37" t="n">
        <x:v>0</x:v>
      </x:c>
      <x:c r="U1394" s="37" t="n">
        <x:v>24480.61402984721</x:v>
      </x:c>
      <x:c r="V1394" s="37" t="n">
        <x:v>0</x:v>
      </x:c>
      <x:c r="W1394" s="37" t="n">
        <x:v>89565.57163591124</x:v>
      </x:c>
      <x:c r="X1394" s="37" t="n">
        <x:v>0</x:v>
      </x:c>
      <x:c r="Y1394" s="37" t="n">
        <x:v>2134.1142062319523</x:v>
      </x:c>
      <x:c r="Z1394" s="37" t="n">
        <x:v>10997485.28754816</x:v>
      </x:c>
      <x:c r="AA1394" s="37" t="n">
        <x:v>0</x:v>
      </x:c>
      <x:c r="AB1394" s="37" t="n">
        <x:v>10997485.28754816</x:v>
      </x:c>
      <x:c r="AC1394" s="37" t="n">
        <x:v>870826.6687758062</x:v>
      </x:c>
      <x:c r="AD1394" s="37" t="n">
        <x:v>0</x:v>
      </x:c>
      <x:c r="AE1394" s="37" t="n">
        <x:v>0</x:v>
      </x:c>
      <x:c r="AF1394" s="47" t="b">
        <x:v>0</x:v>
      </x:c>
      <x:c r="AG1394" s="47" t="b">
        <x:v>0</x:v>
      </x:c>
      <x:c r="AH1394" s="48" t="n">
        <x:v>0</x:v>
      </x:c>
      <x:c r="AI1394" s="48" t="n">
        <x:v>1.1920928955078125e-7</x:v>
      </x:c>
      <x:c r="AJ1394" s="37" t="str">
        <x:v>passed</x:v>
      </x:c>
    </x:row>
    <x:row r="1395" ht="21" customHeight="1">
      <x:c r="A1395" s="2"/>
      <x:c r="B1395" s="2"/>
      <x:c r="C1395" s="2" t="str">
        <x:v>2023</x:v>
      </x:c>
      <x:c r="D1395" s="5" t="n">
        <x:v>45069</x:v>
      </x:c>
      <x:c r="E1395" s="2" t="str">
        <x:v>unhedged</x:v>
      </x:c>
      <x:c r="F1395" s="37" t="n">
        <x:v>1272171.226737859</x:v>
      </x:c>
      <x:c r="G1395" s="37" t="n">
        <x:v>10571617.434712717</x:v>
      </x:c>
      <x:c r="H1395" s="37" t="n">
        <x:v>23377.93508287293</x:v>
      </x:c>
      <x:c r="I1395" s="37" t="n">
        <x:v>10548239.499629844</x:v>
      </x:c>
      <x:c r="J1395" s="37" t="n">
        <x:v>10571617.434712717</x:v>
      </x:c>
      <x:c r="K1395" s="37" t="n">
        <x:v>0</x:v>
      </x:c>
      <x:c r="L1395" s="37" t="n">
        <x:v>11843788.661450576</x:v>
      </x:c>
      <x:c r="M1395" s="37" t="n">
        <x:v>0</x:v>
      </x:c>
      <x:c r="N1395" s="37" t="n">
        <x:v>0</x:v>
      </x:c>
      <x:c r="O1395" s="37" t="n">
        <x:v>69.70419301604852</x:v>
      </x:c>
      <x:c r="P1395" s="37" t="n">
        <x:v>0</x:v>
      </x:c>
      <x:c r="Q1395" s="37" t="n">
        <x:v>0</x:v>
      </x:c>
      <x:c r="R1395" s="37" t="n">
        <x:v>0</x:v>
      </x:c>
      <x:c r="S1395" s="37" t="n">
        <x:v>0</x:v>
      </x:c>
      <x:c r="T1395" s="37" t="n">
        <x:v>0</x:v>
      </x:c>
      <x:c r="U1395" s="37" t="n">
        <x:v>63750</x:v>
      </x:c>
      <x:c r="V1395" s="37" t="n">
        <x:v>0</x:v>
      </x:c>
      <x:c r="W1395" s="37" t="n">
        <x:v>9464.096079981187</x:v>
      </x:c>
      <x:c r="X1395" s="37" t="n">
        <x:v>0</x:v>
      </x:c>
      <x:c r="Y1395" s="37" t="n">
        <x:v>1042.869342122179</x:v>
      </x:c>
      <x:c r="Z1395" s="37" t="n">
        <x:v>0</x:v>
      </x:c>
      <x:c r="AA1395" s="37" t="n">
        <x:v>0</x:v>
      </x:c>
      <x:c r="AB1395" s="37" t="n">
        <x:v>0</x:v>
      </x:c>
      <x:c r="AC1395" s="37" t="n">
        <x:v>1272171.226737859</x:v>
      </x:c>
      <x:c r="AD1395" s="37" t="n">
        <x:v>0</x:v>
      </x:c>
      <x:c r="AE1395" s="37" t="n">
        <x:v>0</x:v>
      </x:c>
      <x:c r="AF1395" s="47" t="b">
        <x:v>0</x:v>
      </x:c>
      <x:c r="AG1395" s="47" t="b">
        <x:v>0</x:v>
      </x:c>
      <x:c r="AH1395" s="48" t="n">
        <x:v>0</x:v>
      </x:c>
      <x:c r="AI1395" s="48" t="n">
        <x:v>1.1920928955078125e-7</x:v>
      </x:c>
      <x:c r="AJ1395" s="37" t="str">
        <x:v>passed</x:v>
      </x:c>
    </x:row>
    <x:row r="1396" ht="21" customHeight="1">
      <x:c r="A1396" s="2"/>
      <x:c r="B1396" s="2"/>
      <x:c r="C1396" s="2" t="str">
        <x:v>2023</x:v>
      </x:c>
      <x:c r="D1396" s="5" t="n">
        <x:v>45069</x:v>
      </x:c>
      <x:c r="E1396" s="2" t="str">
        <x:v>duration</x:v>
      </x:c>
      <x:c r="F1396" s="37" t="n">
        <x:v>7677439.88171822</x:v>
      </x:c>
      <x:c r="G1396" s="37" t="n">
        <x:v>4077025.746985752</x:v>
      </x:c>
      <x:c r="H1396" s="37" t="n">
        <x:v>21037.386451498885</x:v>
      </x:c>
      <x:c r="I1396" s="37" t="n">
        <x:v>4055988.360534253</x:v>
      </x:c>
      <x:c r="J1396" s="37" t="n">
        <x:v>10571617.434712717</x:v>
      </x:c>
      <x:c r="K1396" s="37" t="n">
        <x:v>6494591.687726966</x:v>
      </x:c>
      <x:c r="L1396" s="37" t="n">
        <x:v>11754465.628703972</x:v>
      </x:c>
      <x:c r="M1396" s="37" t="n">
        <x:v>0</x:v>
      </x:c>
      <x:c r="N1396" s="37" t="n">
        <x:v>0</x:v>
      </x:c>
      <x:c r="O1396" s="37" t="n">
        <x:v>420.65858756937087</x:v>
      </x:c>
      <x:c r="P1396" s="37" t="n">
        <x:v>0</x:v>
      </x:c>
      <x:c r="Q1396" s="37" t="n">
        <x:v>0</x:v>
      </x:c>
      <x:c r="R1396" s="37" t="n">
        <x:v>0</x:v>
      </x:c>
      <x:c r="S1396" s="37" t="n">
        <x:v>0</x:v>
      </x:c>
      <x:c r="T1396" s="37" t="n">
        <x:v>0</x:v>
      </x:c>
      <x:c r="U1396" s="37" t="n">
        <x:v>9917.381478397001</x:v>
      </x:c>
      <x:c r="V1396" s="37" t="n">
        <x:v>0</x:v>
      </x:c>
      <x:c r="W1396" s="37" t="n">
        <x:v>59588.29759865347</x:v>
      </x:c>
      <x:c r="X1396" s="37" t="n">
        <x:v>0</x:v>
      </x:c>
      <x:c r="Y1396" s="37" t="n">
        <x:v>1725.2611256883708</x:v>
      </x:c>
      <x:c r="Z1396" s="37" t="n">
        <x:v>6624483.521481506</x:v>
      </x:c>
      <x:c r="AA1396" s="37" t="n">
        <x:v>0</x:v>
      </x:c>
      <x:c r="AB1396" s="37" t="n">
        <x:v>6624483.521481506</x:v>
      </x:c>
      <x:c r="AC1396" s="37" t="n">
        <x:v>1052956.3602367146</x:v>
      </x:c>
      <x:c r="AD1396" s="37" t="n">
        <x:v>0</x:v>
      </x:c>
      <x:c r="AE1396" s="37" t="n">
        <x:v>0</x:v>
      </x:c>
      <x:c r="AF1396" s="47" t="b">
        <x:v>0</x:v>
      </x:c>
      <x:c r="AG1396" s="47" t="b">
        <x:v>0</x:v>
      </x:c>
      <x:c r="AH1396" s="48" t="n">
        <x:v>0</x:v>
      </x:c>
      <x:c r="AI1396" s="48" t="n">
        <x:v>5.960464477539063e-8</x:v>
      </x:c>
      <x:c r="AJ1396" s="37" t="str">
        <x:v>passed</x:v>
      </x:c>
    </x:row>
    <x:row r="1397" ht="21" customHeight="1">
      <x:c r="A1397" s="2"/>
      <x:c r="B1397" s="2"/>
      <x:c r="C1397" s="2" t="str">
        <x:v>2023</x:v>
      </x:c>
      <x:c r="D1397" s="5" t="n">
        <x:v>45069</x:v>
      </x:c>
      <x:c r="E1397" s="2" t="str">
        <x:v>unweighted</x:v>
      </x:c>
      <x:c r="F1397" s="37" t="n">
        <x:v>11566533.323589375</x:v>
      </x:c>
      <x:c r="G1397" s="37" t="n">
        <x:v>156891.46721329694</x:v>
      </x:c>
      <x:c r="H1397" s="37" t="n">
        <x:v>-7020.421785607717</x:v>
      </x:c>
      <x:c r="I1397" s="37" t="n">
        <x:v>163911.88899890467</x:v>
      </x:c>
      <x:c r="J1397" s="37" t="n">
        <x:v>10634064.648918392</x:v>
      </x:c>
      <x:c r="K1397" s="37" t="n">
        <x:v>10477173.181705095</x:v>
      </x:c>
      <x:c r="L1397" s="37" t="n">
        <x:v>11723424.790802673</x:v>
      </x:c>
      <x:c r="M1397" s="37" t="n">
        <x:v>0</x:v>
      </x:c>
      <x:c r="N1397" s="37" t="n">
        <x:v>0</x:v>
      </x:c>
      <x:c r="O1397" s="37" t="n">
        <x:v>633.7479219548404</x:v>
      </x:c>
      <x:c r="P1397" s="37" t="n">
        <x:v>0</x:v>
      </x:c>
      <x:c r="Q1397" s="37" t="n">
        <x:v>0</x:v>
      </x:c>
      <x:c r="R1397" s="37" t="n">
        <x:v>0</x:v>
      </x:c>
      <x:c r="S1397" s="37" t="n">
        <x:v>0</x:v>
      </x:c>
      <x:c r="T1397" s="37" t="n">
        <x:v>0</x:v>
      </x:c>
      <x:c r="U1397" s="37" t="n">
        <x:v>24308.075935467685</x:v>
      </x:c>
      <x:c r="V1397" s="37" t="n">
        <x:v>0</x:v>
      </x:c>
      <x:c r="W1397" s="37" t="n">
        <x:v>85986.59830271453</x:v>
      </x:c>
      <x:c r="X1397" s="37" t="n">
        <x:v>0</x:v>
      </x:c>
      <x:c r="Y1397" s="37" t="n">
        <x:v>2081.5450520466143</x:v>
      </x:c>
      <x:c r="Z1397" s="37" t="n">
        <x:v>10686716.645339197</x:v>
      </x:c>
      <x:c r="AA1397" s="37" t="n">
        <x:v>0</x:v>
      </x:c>
      <x:c r="AB1397" s="37" t="n">
        <x:v>10686716.645339197</x:v>
      </x:c>
      <x:c r="AC1397" s="37" t="n">
        <x:v>879816.6782501787</x:v>
      </x:c>
      <x:c r="AD1397" s="37" t="n">
        <x:v>0</x:v>
      </x:c>
      <x:c r="AE1397" s="37" t="n">
        <x:v>0</x:v>
      </x:c>
      <x:c r="AF1397" s="47" t="b">
        <x:v>0</x:v>
      </x:c>
      <x:c r="AG1397" s="47" t="b">
        <x:v>0</x:v>
      </x:c>
      <x:c r="AH1397" s="48" t="n">
        <x:v>0</x:v>
      </x:c>
      <x:c r="AI1397" s="48" t="n">
        <x:v>1.1920928955078125e-7</x:v>
      </x:c>
      <x:c r="AJ1397" s="37" t="str">
        <x:v>passed</x:v>
      </x:c>
    </x:row>
    <x:row r="1398" ht="21" customHeight="1">
      <x:c r="A1398" s="2"/>
      <x:c r="B1398" s="2"/>
      <x:c r="C1398" s="2" t="str">
        <x:v>2023</x:v>
      </x:c>
      <x:c r="D1398" s="5" t="n">
        <x:v>45069</x:v>
      </x:c>
      <x:c r="E1398" s="2" t="str">
        <x:v>constrained</x:v>
      </x:c>
      <x:c r="F1398" s="37" t="n">
        <x:v>11868962.274787327</x:v>
      </x:c>
      <x:c r="G1398" s="37" t="n">
        <x:v>-152261.40799795135</x:v>
      </x:c>
      <x:c r="H1398" s="37" t="n">
        <x:v>-8215.524906026349</x:v>
      </x:c>
      <x:c r="I1398" s="37" t="n">
        <x:v>-144045.883091925</x:v>
      </x:c>
      <x:c r="J1398" s="37" t="n">
        <x:v>10637461.03865971</x:v>
      </x:c>
      <x:c r="K1398" s="37" t="n">
        <x:v>10789722.446657663</x:v>
      </x:c>
      <x:c r="L1398" s="37" t="n">
        <x:v>11716700.866789376</x:v>
      </x:c>
      <x:c r="M1398" s="37" t="n">
        <x:v>0</x:v>
      </x:c>
      <x:c r="N1398" s="37" t="n">
        <x:v>0</x:v>
      </x:c>
      <x:c r="O1398" s="37" t="n">
        <x:v>650.3184633608907</x:v>
      </x:c>
      <x:c r="P1398" s="37" t="n">
        <x:v>0</x:v>
      </x:c>
      <x:c r="Q1398" s="37" t="n">
        <x:v>0</x:v>
      </x:c>
      <x:c r="R1398" s="37" t="n">
        <x:v>0</x:v>
      </x:c>
      <x:c r="S1398" s="37" t="n">
        <x:v>0</x:v>
      </x:c>
      <x:c r="T1398" s="37" t="n">
        <x:v>0</x:v>
      </x:c>
      <x:c r="U1398" s="37" t="n">
        <x:v>24480.61402984721</x:v>
      </x:c>
      <x:c r="V1398" s="37" t="n">
        <x:v>0</x:v>
      </x:c>
      <x:c r="W1398" s="37" t="n">
        <x:v>90215.89009927213</x:v>
      </x:c>
      <x:c r="X1398" s="37" t="n">
        <x:v>0</x:v>
      </x:c>
      <x:c r="Y1398" s="37" t="n">
        <x:v>2134.1142062319523</x:v>
      </x:c>
      <x:c r="Z1398" s="37" t="n">
        <x:v>11005516.895590818</x:v>
      </x:c>
      <x:c r="AA1398" s="37" t="n">
        <x:v>0</x:v>
      </x:c>
      <x:c r="AB1398" s="37" t="n">
        <x:v>11005516.895590818</x:v>
      </x:c>
      <x:c r="AC1398" s="37" t="n">
        <x:v>863445.3791965097</x:v>
      </x:c>
      <x:c r="AD1398" s="37" t="n">
        <x:v>0</x:v>
      </x:c>
      <x:c r="AE1398" s="37" t="n">
        <x:v>0</x:v>
      </x:c>
      <x:c r="AF1398" s="47" t="b">
        <x:v>0</x:v>
      </x:c>
      <x:c r="AG1398" s="47" t="b">
        <x:v>0</x:v>
      </x:c>
      <x:c r="AH1398" s="48" t="n">
        <x:v>0</x:v>
      </x:c>
      <x:c r="AI1398" s="48" t="n">
        <x:v>1.1920928955078125e-7</x:v>
      </x:c>
      <x:c r="AJ1398" s="37" t="str">
        <x:v>passed</x:v>
      </x:c>
    </x:row>
    <x:row r="1399" ht="21" customHeight="1">
      <x:c r="A1399" s="2"/>
      <x:c r="B1399" s="2"/>
      <x:c r="C1399" s="2" t="str">
        <x:v>2023</x:v>
      </x:c>
      <x:c r="D1399" s="5" t="n">
        <x:v>45070</x:v>
      </x:c>
      <x:c r="E1399" s="2" t="str">
        <x:v>unhedged</x:v>
      </x:c>
      <x:c r="F1399" s="37" t="n">
        <x:v>1272240.9347502834</x:v>
      </x:c>
      <x:c r="G1399" s="37" t="n">
        <x:v>10557519.965937264</x:v>
      </x:c>
      <x:c r="H1399" s="37" t="n">
        <x:v>23727.78044679318</x:v>
      </x:c>
      <x:c r="I1399" s="37" t="n">
        <x:v>10533792.18549047</x:v>
      </x:c>
      <x:c r="J1399" s="37" t="n">
        <x:v>10557519.965937264</x:v>
      </x:c>
      <x:c r="K1399" s="37" t="n">
        <x:v>0</x:v>
      </x:c>
      <x:c r="L1399" s="37" t="n">
        <x:v>11829760.900687547</x:v>
      </x:c>
      <x:c r="M1399" s="37" t="n">
        <x:v>0</x:v>
      </x:c>
      <x:c r="N1399" s="37" t="n">
        <x:v>0</x:v>
      </x:c>
      <x:c r="O1399" s="37" t="n">
        <x:v>69.70801242440939</x:v>
      </x:c>
      <x:c r="P1399" s="37" t="n">
        <x:v>0</x:v>
      </x:c>
      <x:c r="Q1399" s="37" t="n">
        <x:v>0</x:v>
      </x:c>
      <x:c r="R1399" s="37" t="n">
        <x:v>0</x:v>
      </x:c>
      <x:c r="S1399" s="37" t="n">
        <x:v>0</x:v>
      </x:c>
      <x:c r="T1399" s="37" t="n">
        <x:v>0</x:v>
      </x:c>
      <x:c r="U1399" s="37" t="n">
        <x:v>63750</x:v>
      </x:c>
      <x:c r="V1399" s="37" t="n">
        <x:v>0</x:v>
      </x:c>
      <x:c r="W1399" s="37" t="n">
        <x:v>9533.804092405597</x:v>
      </x:c>
      <x:c r="X1399" s="37" t="n">
        <x:v>0</x:v>
      </x:c>
      <x:c r="Y1399" s="37" t="n">
        <x:v>1042.869342122179</x:v>
      </x:c>
      <x:c r="Z1399" s="37" t="n">
        <x:v>0</x:v>
      </x:c>
      <x:c r="AA1399" s="37" t="n">
        <x:v>0</x:v>
      </x:c>
      <x:c r="AB1399" s="37" t="n">
        <x:v>0</x:v>
      </x:c>
      <x:c r="AC1399" s="37" t="n">
        <x:v>1272240.9347502834</x:v>
      </x:c>
      <x:c r="AD1399" s="37" t="n">
        <x:v>0</x:v>
      </x:c>
      <x:c r="AE1399" s="37" t="n">
        <x:v>0</x:v>
      </x:c>
      <x:c r="AF1399" s="47" t="b">
        <x:v>0</x:v>
      </x:c>
      <x:c r="AG1399" s="47" t="b">
        <x:v>0</x:v>
      </x:c>
      <x:c r="AH1399" s="48" t="n">
        <x:v>0</x:v>
      </x:c>
      <x:c r="AI1399" s="48" t="n">
        <x:v>1.1920928955078125e-7</x:v>
      </x:c>
      <x:c r="AJ1399" s="37" t="str">
        <x:v>passed</x:v>
      </x:c>
    </x:row>
    <x:row r="1400" ht="21" customHeight="1">
      <x:c r="A1400" s="2"/>
      <x:c r="B1400" s="2"/>
      <x:c r="C1400" s="2" t="str">
        <x:v>2023</x:v>
      </x:c>
      <x:c r="D1400" s="5" t="n">
        <x:v>45070</x:v>
      </x:c>
      <x:c r="E1400" s="2" t="str">
        <x:v>duration</x:v>
      </x:c>
      <x:c r="F1400" s="37" t="n">
        <x:v>7677860.563355573</x:v>
      </x:c>
      <x:c r="G1400" s="37" t="n">
        <x:v>4074734.9389017588</x:v>
      </x:c>
      <x:c r="H1400" s="37" t="n">
        <x:v>21094.66323649738</x:v>
      </x:c>
      <x:c r="I1400" s="37" t="n">
        <x:v>4053640.2756652613</x:v>
      </x:c>
      <x:c r="J1400" s="37" t="n">
        <x:v>10557519.965937264</x:v>
      </x:c>
      <x:c r="K1400" s="37" t="n">
        <x:v>6482785.0270355055</x:v>
      </x:c>
      <x:c r="L1400" s="37" t="n">
        <x:v>11752595.502257332</x:v>
      </x:c>
      <x:c r="M1400" s="37" t="n">
        <x:v>0</x:v>
      </x:c>
      <x:c r="N1400" s="37" t="n">
        <x:v>0</x:v>
      </x:c>
      <x:c r="O1400" s="37" t="n">
        <x:v>420.6816373532638</x:v>
      </x:c>
      <x:c r="P1400" s="37" t="n">
        <x:v>0</x:v>
      </x:c>
      <x:c r="Q1400" s="37" t="n">
        <x:v>0</x:v>
      </x:c>
      <x:c r="R1400" s="37" t="n">
        <x:v>0</x:v>
      </x:c>
      <x:c r="S1400" s="37" t="n">
        <x:v>0</x:v>
      </x:c>
      <x:c r="T1400" s="37" t="n">
        <x:v>0</x:v>
      </x:c>
      <x:c r="U1400" s="37" t="n">
        <x:v>9917.381478397001</x:v>
      </x:c>
      <x:c r="V1400" s="37" t="n">
        <x:v>0</x:v>
      </x:c>
      <x:c r="W1400" s="37" t="n">
        <x:v>60008.97923600674</x:v>
      </x:c>
      <x:c r="X1400" s="37" t="n">
        <x:v>0</x:v>
      </x:c>
      <x:c r="Y1400" s="37" t="n">
        <x:v>1725.2611256883708</x:v>
      </x:c>
      <x:c r="Z1400" s="37" t="n">
        <x:v>6612440.727576216</x:v>
      </x:c>
      <x:c r="AA1400" s="37" t="n">
        <x:v>0</x:v>
      </x:c>
      <x:c r="AB1400" s="37" t="n">
        <x:v>6612440.727576216</x:v>
      </x:c>
      <x:c r="AC1400" s="37" t="n">
        <x:v>1065419.8357793577</x:v>
      </x:c>
      <x:c r="AD1400" s="37" t="n">
        <x:v>0</x:v>
      </x:c>
      <x:c r="AE1400" s="37" t="n">
        <x:v>0</x:v>
      </x:c>
      <x:c r="AF1400" s="47" t="b">
        <x:v>0</x:v>
      </x:c>
      <x:c r="AG1400" s="47" t="b">
        <x:v>0</x:v>
      </x:c>
      <x:c r="AH1400" s="48" t="n">
        <x:v>0</x:v>
      </x:c>
      <x:c r="AI1400" s="48" t="n">
        <x:v>5.960464477539063e-8</x:v>
      </x:c>
      <x:c r="AJ1400" s="37" t="str">
        <x:v>passed</x:v>
      </x:c>
    </x:row>
    <x:row r="1401" ht="21" customHeight="1">
      <x:c r="A1401" s="2"/>
      <x:c r="B1401" s="2"/>
      <x:c r="C1401" s="2" t="str">
        <x:v>2023</x:v>
      </x:c>
      <x:c r="D1401" s="5" t="n">
        <x:v>45070</x:v>
      </x:c>
      <x:c r="E1401" s="2" t="str">
        <x:v>unweighted</x:v>
      </x:c>
      <x:c r="F1401" s="37" t="n">
        <x:v>11567167.106237244</x:v>
      </x:c>
      <x:c r="G1401" s="37" t="n">
        <x:v>156841.23535649336</x:v>
      </x:c>
      <x:c r="H1401" s="37" t="n">
        <x:v>-7049.782351800934</x:v>
      </x:c>
      <x:c r="I1401" s="37" t="n">
        <x:v>163891.0177082943</x:v>
      </x:c>
      <x:c r="J1401" s="37" t="n">
        <x:v>10619773.680042353</x:v>
      </x:c>
      <x:c r="K1401" s="37" t="n">
        <x:v>10462932.444685858</x:v>
      </x:c>
      <x:c r="L1401" s="37" t="n">
        <x:v>11724008.341593737</x:v>
      </x:c>
      <x:c r="M1401" s="37" t="n">
        <x:v>0</x:v>
      </x:c>
      <x:c r="N1401" s="37" t="n">
        <x:v>0</x:v>
      </x:c>
      <x:c r="O1401" s="37" t="n">
        <x:v>633.7826478686184</x:v>
      </x:c>
      <x:c r="P1401" s="37" t="n">
        <x:v>0</x:v>
      </x:c>
      <x:c r="Q1401" s="37" t="n">
        <x:v>0</x:v>
      </x:c>
      <x:c r="R1401" s="37" t="n">
        <x:v>0</x:v>
      </x:c>
      <x:c r="S1401" s="37" t="n">
        <x:v>0</x:v>
      </x:c>
      <x:c r="T1401" s="37" t="n">
        <x:v>0</x:v>
      </x:c>
      <x:c r="U1401" s="37" t="n">
        <x:v>24308.075935467685</x:v>
      </x:c>
      <x:c r="V1401" s="37" t="n">
        <x:v>0</x:v>
      </x:c>
      <x:c r="W1401" s="37" t="n">
        <x:v>86620.38095058315</x:v>
      </x:c>
      <x:c r="X1401" s="37" t="n">
        <x:v>0</x:v>
      </x:c>
      <x:c r="Y1401" s="37" t="n">
        <x:v>2081.5450520466143</x:v>
      </x:c>
      <x:c r="Z1401" s="37" t="n">
        <x:v>10672191.093579575</x:v>
      </x:c>
      <x:c r="AA1401" s="37" t="n">
        <x:v>0</x:v>
      </x:c>
      <x:c r="AB1401" s="37" t="n">
        <x:v>10672191.093579575</x:v>
      </x:c>
      <x:c r="AC1401" s="37" t="n">
        <x:v>894976.0126576684</x:v>
      </x:c>
      <x:c r="AD1401" s="37" t="n">
        <x:v>0</x:v>
      </x:c>
      <x:c r="AE1401" s="37" t="n">
        <x:v>0</x:v>
      </x:c>
      <x:c r="AF1401" s="47" t="b">
        <x:v>0</x:v>
      </x:c>
      <x:c r="AG1401" s="47" t="b">
        <x:v>0</x:v>
      </x:c>
      <x:c r="AH1401" s="48" t="n">
        <x:v>0</x:v>
      </x:c>
      <x:c r="AI1401" s="48" t="n">
        <x:v>1.1920928955078125e-7</x:v>
      </x:c>
      <x:c r="AJ1401" s="37" t="str">
        <x:v>passed</x:v>
      </x:c>
    </x:row>
    <x:row r="1402" ht="21" customHeight="1">
      <x:c r="A1402" s="2"/>
      <x:c r="B1402" s="2"/>
      <x:c r="C1402" s="2" t="str">
        <x:v>2023</x:v>
      </x:c>
      <x:c r="D1402" s="5" t="n">
        <x:v>45070</x:v>
      </x:c>
      <x:c r="E1402" s="2" t="str">
        <x:v>constrained</x:v>
      </x:c>
      <x:c r="F1402" s="37" t="n">
        <x:v>11869612.628884574</x:v>
      </x:c>
      <x:c r="G1402" s="37" t="n">
        <x:v>-152165.05110589002</x:v>
      </x:c>
      <x:c r="H1402" s="37" t="n">
        <x:v>-8250.859286890045</x:v>
      </x:c>
      <x:c r="I1402" s="37" t="n">
        <x:v>-143914.19181899997</x:v>
      </x:c>
      <x:c r="J1402" s="37" t="n">
        <x:v>10623159.545667185</x:v>
      </x:c>
      <x:c r="K1402" s="37" t="n">
        <x:v>10775324.596773073</x:v>
      </x:c>
      <x:c r="L1402" s="37" t="n">
        <x:v>11717447.577778684</x:v>
      </x:c>
      <x:c r="M1402" s="37" t="n">
        <x:v>0</x:v>
      </x:c>
      <x:c r="N1402" s="37" t="n">
        <x:v>0</x:v>
      </x:c>
      <x:c r="O1402" s="37" t="n">
        <x:v>650.3540972471237</x:v>
      </x:c>
      <x:c r="P1402" s="37" t="n">
        <x:v>0</x:v>
      </x:c>
      <x:c r="Q1402" s="37" t="n">
        <x:v>0</x:v>
      </x:c>
      <x:c r="R1402" s="37" t="n">
        <x:v>0</x:v>
      </x:c>
      <x:c r="S1402" s="37" t="n">
        <x:v>0</x:v>
      </x:c>
      <x:c r="T1402" s="37" t="n">
        <x:v>0</x:v>
      </x:c>
      <x:c r="U1402" s="37" t="n">
        <x:v>24480.61402984721</x:v>
      </x:c>
      <x:c r="V1402" s="37" t="n">
        <x:v>0</x:v>
      </x:c>
      <x:c r="W1402" s="37" t="n">
        <x:v>90866.24419651926</x:v>
      </x:c>
      <x:c r="X1402" s="37" t="n">
        <x:v>0</x:v>
      </x:c>
      <x:c r="Y1402" s="37" t="n">
        <x:v>2134.1142062319523</x:v>
      </x:c>
      <x:c r="Z1402" s="37" t="n">
        <x:v>10990831.088708535</x:v>
      </x:c>
      <x:c r="AA1402" s="37" t="n">
        <x:v>0</x:v>
      </x:c>
      <x:c r="AB1402" s="37" t="n">
        <x:v>10990831.088708535</x:v>
      </x:c>
      <x:c r="AC1402" s="37" t="n">
        <x:v>878781.5401760396</x:v>
      </x:c>
      <x:c r="AD1402" s="37" t="n">
        <x:v>0</x:v>
      </x:c>
      <x:c r="AE1402" s="37" t="n">
        <x:v>0</x:v>
      </x:c>
      <x:c r="AF1402" s="47" t="b">
        <x:v>0</x:v>
      </x:c>
      <x:c r="AG1402" s="47" t="b">
        <x:v>0</x:v>
      </x:c>
      <x:c r="AH1402" s="48" t="n">
        <x:v>0</x:v>
      </x:c>
      <x:c r="AI1402" s="48" t="n">
        <x:v>1.1920928955078125e-7</x:v>
      </x:c>
      <x:c r="AJ1402" s="37" t="str">
        <x:v>passed</x:v>
      </x:c>
    </x:row>
    <x:row r="1403" ht="21" customHeight="1">
      <x:c r="A1403" s="2"/>
      <x:c r="B1403" s="2"/>
      <x:c r="C1403" s="2" t="str">
        <x:v>2023</x:v>
      </x:c>
      <x:c r="D1403" s="5" t="n">
        <x:v>45071</x:v>
      </x:c>
      <x:c r="E1403" s="2" t="str">
        <x:v>unhedged</x:v>
      </x:c>
      <x:c r="F1403" s="37" t="n">
        <x:v>1272310.6465823245</x:v>
      </x:c>
      <x:c r="G1403" s="37" t="n">
        <x:v>10498733.254030755</x:v>
      </x:c>
      <x:c r="H1403" s="37" t="n">
        <x:v>24077.625810713424</x:v>
      </x:c>
      <x:c r="I1403" s="37" t="n">
        <x:v>10474655.628220042</x:v>
      </x:c>
      <x:c r="J1403" s="37" t="n">
        <x:v>10498733.254030755</x:v>
      </x:c>
      <x:c r="K1403" s="37" t="n">
        <x:v>0</x:v>
      </x:c>
      <x:c r="L1403" s="37" t="n">
        <x:v>11771043.900613079</x:v>
      </x:c>
      <x:c r="M1403" s="37" t="n">
        <x:v>0</x:v>
      </x:c>
      <x:c r="N1403" s="37" t="n">
        <x:v>0</x:v>
      </x:c>
      <x:c r="O1403" s="37" t="n">
        <x:v>69.71183204115368</x:v>
      </x:c>
      <x:c r="P1403" s="37" t="n">
        <x:v>0</x:v>
      </x:c>
      <x:c r="Q1403" s="37" t="n">
        <x:v>0</x:v>
      </x:c>
      <x:c r="R1403" s="37" t="n">
        <x:v>0</x:v>
      </x:c>
      <x:c r="S1403" s="37" t="n">
        <x:v>0</x:v>
      </x:c>
      <x:c r="T1403" s="37" t="n">
        <x:v>0</x:v>
      </x:c>
      <x:c r="U1403" s="37" t="n">
        <x:v>63750</x:v>
      </x:c>
      <x:c r="V1403" s="37" t="n">
        <x:v>0</x:v>
      </x:c>
      <x:c r="W1403" s="37" t="n">
        <x:v>9603.51592444675</x:v>
      </x:c>
      <x:c r="X1403" s="37" t="n">
        <x:v>0</x:v>
      </x:c>
      <x:c r="Y1403" s="37" t="n">
        <x:v>1042.869342122179</x:v>
      </x:c>
      <x:c r="Z1403" s="37" t="n">
        <x:v>0</x:v>
      </x:c>
      <x:c r="AA1403" s="37" t="n">
        <x:v>0</x:v>
      </x:c>
      <x:c r="AB1403" s="37" t="n">
        <x:v>0</x:v>
      </x:c>
      <x:c r="AC1403" s="37" t="n">
        <x:v>1272310.6465823245</x:v>
      </x:c>
      <x:c r="AD1403" s="37" t="n">
        <x:v>0</x:v>
      </x:c>
      <x:c r="AE1403" s="37" t="n">
        <x:v>0</x:v>
      </x:c>
      <x:c r="AF1403" s="47" t="b">
        <x:v>0</x:v>
      </x:c>
      <x:c r="AG1403" s="47" t="b">
        <x:v>0</x:v>
      </x:c>
      <x:c r="AH1403" s="48" t="n">
        <x:v>0</x:v>
      </x:c>
      <x:c r="AI1403" s="48" t="n">
        <x:v>1.1920928955078125e-7</x:v>
      </x:c>
      <x:c r="AJ1403" s="37" t="str">
        <x:v>passed</x:v>
      </x:c>
    </x:row>
    <x:row r="1404" ht="21" customHeight="1">
      <x:c r="A1404" s="2"/>
      <x:c r="B1404" s="2"/>
      <x:c r="C1404" s="2" t="str">
        <x:v>2023</x:v>
      </x:c>
      <x:c r="D1404" s="5" t="n">
        <x:v>45071</x:v>
      </x:c>
      <x:c r="E1404" s="2" t="str">
        <x:v>duration</x:v>
      </x:c>
      <x:c r="F1404" s="37" t="n">
        <x:v>7678281.268043978</x:v>
      </x:c>
      <x:c r="G1404" s="37" t="n">
        <x:v>4066719.110206428</x:v>
      </x:c>
      <x:c r="H1404" s="37" t="n">
        <x:v>21151.94002149587</x:v>
      </x:c>
      <x:c r="I1404" s="37" t="n">
        <x:v>4045567.170184932</x:v>
      </x:c>
      <x:c r="J1404" s="37" t="n">
        <x:v>10498733.254030755</x:v>
      </x:c>
      <x:c r="K1404" s="37" t="n">
        <x:v>6432014.143824327</x:v>
      </x:c>
      <x:c r="L1404" s="37" t="n">
        <x:v>11745000.378250405</x:v>
      </x:c>
      <x:c r="M1404" s="37" t="n">
        <x:v>0</x:v>
      </x:c>
      <x:c r="N1404" s="37" t="n">
        <x:v>0</x:v>
      </x:c>
      <x:c r="O1404" s="37" t="n">
        <x:v>420.70468840468675</x:v>
      </x:c>
      <x:c r="P1404" s="37" t="n">
        <x:v>0</x:v>
      </x:c>
      <x:c r="Q1404" s="37" t="n">
        <x:v>0</x:v>
      </x:c>
      <x:c r="R1404" s="37" t="n">
        <x:v>0</x:v>
      </x:c>
      <x:c r="S1404" s="37" t="n">
        <x:v>0</x:v>
      </x:c>
      <x:c r="T1404" s="37" t="n">
        <x:v>0</x:v>
      </x:c>
      <x:c r="U1404" s="37" t="n">
        <x:v>9917.381478397001</x:v>
      </x:c>
      <x:c r="V1404" s="37" t="n">
        <x:v>0</x:v>
      </x:c>
      <x:c r="W1404" s="37" t="n">
        <x:v>60429.68392441142</x:v>
      </x:c>
      <x:c r="X1404" s="37" t="n">
        <x:v>0</x:v>
      </x:c>
      <x:c r="Y1404" s="37" t="n">
        <x:v>1725.2611256883708</x:v>
      </x:c>
      <x:c r="Z1404" s="37" t="n">
        <x:v>6560654.426700814</x:v>
      </x:c>
      <x:c r="AA1404" s="37" t="n">
        <x:v>0</x:v>
      </x:c>
      <x:c r="AB1404" s="37" t="n">
        <x:v>6560654.426700814</x:v>
      </x:c>
      <x:c r="AC1404" s="37" t="n">
        <x:v>1117626.8413431644</x:v>
      </x:c>
      <x:c r="AD1404" s="37" t="n">
        <x:v>0</x:v>
      </x:c>
      <x:c r="AE1404" s="37" t="n">
        <x:v>0</x:v>
      </x:c>
      <x:c r="AF1404" s="47" t="b">
        <x:v>0</x:v>
      </x:c>
      <x:c r="AG1404" s="47" t="b">
        <x:v>0</x:v>
      </x:c>
      <x:c r="AH1404" s="48" t="n">
        <x:v>0</x:v>
      </x:c>
      <x:c r="AI1404" s="48" t="n">
        <x:v>5.960464477539063e-8</x:v>
      </x:c>
      <x:c r="AJ1404" s="37" t="str">
        <x:v>passed</x:v>
      </x:c>
    </x:row>
    <x:row r="1405" ht="21" customHeight="1">
      <x:c r="A1405" s="2"/>
      <x:c r="B1405" s="2"/>
      <x:c r="C1405" s="2" t="str">
        <x:v>2023</x:v>
      </x:c>
      <x:c r="D1405" s="5" t="n">
        <x:v>45071</x:v>
      </x:c>
      <x:c r="E1405" s="2" t="str">
        <x:v>unweighted</x:v>
      </x:c>
      <x:c r="F1405" s="37" t="n">
        <x:v>11567800.92361293</x:v>
      </x:c>
      <x:c r="G1405" s="37" t="n">
        <x:v>156281.52525536384</x:v>
      </x:c>
      <x:c r="H1405" s="37" t="n">
        <x:v>-7079.142917994156</x:v>
      </x:c>
      <x:c r="I1405" s="37" t="n">
        <x:v>163360.668173358</x:v>
      </x:c>
      <x:c r="J1405" s="37" t="n">
        <x:v>10560413.632573223</x:v>
      </x:c>
      <x:c r="K1405" s="37" t="n">
        <x:v>10404132.10731786</x:v>
      </x:c>
      <x:c r="L1405" s="37" t="n">
        <x:v>11724082.448868293</x:v>
      </x:c>
      <x:c r="M1405" s="37" t="n">
        <x:v>0</x:v>
      </x:c>
      <x:c r="N1405" s="37" t="n">
        <x:v>0</x:v>
      </x:c>
      <x:c r="O1405" s="37" t="n">
        <x:v>633.8173756860197</x:v>
      </x:c>
      <x:c r="P1405" s="37" t="n">
        <x:v>0</x:v>
      </x:c>
      <x:c r="Q1405" s="37" t="n">
        <x:v>0</x:v>
      </x:c>
      <x:c r="R1405" s="37" t="n">
        <x:v>0</x:v>
      </x:c>
      <x:c r="S1405" s="37" t="n">
        <x:v>0</x:v>
      </x:c>
      <x:c r="T1405" s="37" t="n">
        <x:v>0</x:v>
      </x:c>
      <x:c r="U1405" s="37" t="n">
        <x:v>24308.075935467685</x:v>
      </x:c>
      <x:c r="V1405" s="37" t="n">
        <x:v>0</x:v>
      </x:c>
      <x:c r="W1405" s="37" t="n">
        <x:v>87254.19832626916</x:v>
      </x:c>
      <x:c r="X1405" s="37" t="n">
        <x:v>0</x:v>
      </x:c>
      <x:c r="Y1405" s="37" t="n">
        <x:v>2081.5450520466143</x:v>
      </x:c>
      <x:c r="Z1405" s="37" t="n">
        <x:v>10612214.749464218</x:v>
      </x:c>
      <x:c r="AA1405" s="37" t="n">
        <x:v>0</x:v>
      </x:c>
      <x:c r="AB1405" s="37" t="n">
        <x:v>10612214.749464218</x:v>
      </x:c>
      <x:c r="AC1405" s="37" t="n">
        <x:v>955586.1741487123</x:v>
      </x:c>
      <x:c r="AD1405" s="37" t="n">
        <x:v>0</x:v>
      </x:c>
      <x:c r="AE1405" s="37" t="n">
        <x:v>0</x:v>
      </x:c>
      <x:c r="AF1405" s="47" t="b">
        <x:v>0</x:v>
      </x:c>
      <x:c r="AG1405" s="47" t="b">
        <x:v>0</x:v>
      </x:c>
      <x:c r="AH1405" s="48" t="n">
        <x:v>0</x:v>
      </x:c>
      <x:c r="AI1405" s="48" t="n">
        <x:v>1.1920928955078125e-7</x:v>
      </x:c>
      <x:c r="AJ1405" s="37" t="str">
        <x:v>passed</x:v>
      </x:c>
    </x:row>
    <x:row r="1406" ht="21" customHeight="1">
      <x:c r="A1406" s="2"/>
      <x:c r="B1406" s="2"/>
      <x:c r="C1406" s="2" t="str">
        <x:v>2023</x:v>
      </x:c>
      <x:c r="D1406" s="5" t="n">
        <x:v>45071</x:v>
      </x:c>
      <x:c r="E1406" s="2" t="str">
        <x:v>constrained</x:v>
      </x:c>
      <x:c r="F1406" s="37" t="n">
        <x:v>11870263.018617665</x:v>
      </x:c>
      <x:c r="G1406" s="37" t="n">
        <x:v>-152298.10625217418</x:v>
      </x:c>
      <x:c r="H1406" s="37" t="n">
        <x:v>-8286.193667753743</x:v>
      </x:c>
      <x:c r="I1406" s="37" t="n">
        <x:v>-144011.91258442044</x:v>
      </x:c>
      <x:c r="J1406" s="37" t="n">
        <x:v>10563768.31552565</x:v>
      </x:c>
      <x:c r="K1406" s="37" t="n">
        <x:v>10716066.421777824</x:v>
      </x:c>
      <x:c r="L1406" s="37" t="n">
        <x:v>11717964.91236549</x:v>
      </x:c>
      <x:c r="M1406" s="37" t="n">
        <x:v>0</x:v>
      </x:c>
      <x:c r="N1406" s="37" t="n">
        <x:v>0</x:v>
      </x:c>
      <x:c r="O1406" s="37" t="n">
        <x:v>650.3897330909967</x:v>
      </x:c>
      <x:c r="P1406" s="37" t="n">
        <x:v>0</x:v>
      </x:c>
      <x:c r="Q1406" s="37" t="n">
        <x:v>0</x:v>
      </x:c>
      <x:c r="R1406" s="37" t="n">
        <x:v>0</x:v>
      </x:c>
      <x:c r="S1406" s="37" t="n">
        <x:v>0</x:v>
      </x:c>
      <x:c r="T1406" s="37" t="n">
        <x:v>0</x:v>
      </x:c>
      <x:c r="U1406" s="37" t="n">
        <x:v>24480.61402984721</x:v>
      </x:c>
      <x:c r="V1406" s="37" t="n">
        <x:v>0</x:v>
      </x:c>
      <x:c r="W1406" s="37" t="n">
        <x:v>91516.63392961025</x:v>
      </x:c>
      <x:c r="X1406" s="37" t="n">
        <x:v>0</x:v>
      </x:c>
      <x:c r="Y1406" s="37" t="n">
        <x:v>2134.1142062319523</x:v>
      </x:c>
      <x:c r="Z1406" s="37" t="n">
        <x:v>10930387.75021338</x:v>
      </x:c>
      <x:c r="AA1406" s="37" t="n">
        <x:v>0</x:v>
      </x:c>
      <x:c r="AB1406" s="37" t="n">
        <x:v>10930387.75021338</x:v>
      </x:c>
      <x:c r="AC1406" s="37" t="n">
        <x:v>939875.2684042845</x:v>
      </x:c>
      <x:c r="AD1406" s="37" t="n">
        <x:v>0</x:v>
      </x:c>
      <x:c r="AE1406" s="37" t="n">
        <x:v>0</x:v>
      </x:c>
      <x:c r="AF1406" s="47" t="b">
        <x:v>0</x:v>
      </x:c>
      <x:c r="AG1406" s="47" t="b">
        <x:v>0</x:v>
      </x:c>
      <x:c r="AH1406" s="48" t="n">
        <x:v>0</x:v>
      </x:c>
      <x:c r="AI1406" s="48" t="n">
        <x:v>1.1920928955078125e-7</x:v>
      </x:c>
      <x:c r="AJ1406" s="37" t="str">
        <x:v>passed</x:v>
      </x:c>
    </x:row>
    <x:row r="1407" ht="21" customHeight="1">
      <x:c r="A1407" s="2"/>
      <x:c r="B1407" s="2"/>
      <x:c r="C1407" s="2" t="str">
        <x:v>2023</x:v>
      </x:c>
      <x:c r="D1407" s="5" t="n">
        <x:v>45072</x:v>
      </x:c>
      <x:c r="E1407" s="2" t="str">
        <x:v>unhedged</x:v>
      </x:c>
      <x:c r="F1407" s="37" t="n">
        <x:v>1272380.362234192</x:v>
      </x:c>
      <x:c r="G1407" s="37" t="n">
        <x:v>10499832.002045048</x:v>
      </x:c>
      <x:c r="H1407" s="37" t="n">
        <x:v>24427.47117463368</x:v>
      </x:c>
      <x:c r="I1407" s="37" t="n">
        <x:v>10475404.530870415</x:v>
      </x:c>
      <x:c r="J1407" s="37" t="n">
        <x:v>10499832.002045048</x:v>
      </x:c>
      <x:c r="K1407" s="37" t="n">
        <x:v>0</x:v>
      </x:c>
      <x:c r="L1407" s="37" t="n">
        <x:v>11772212.36427924</x:v>
      </x:c>
      <x:c r="M1407" s="37" t="n">
        <x:v>0</x:v>
      </x:c>
      <x:c r="N1407" s="37" t="n">
        <x:v>0</x:v>
      </x:c>
      <x:c r="O1407" s="37" t="n">
        <x:v>69.71565186744556</x:v>
      </x:c>
      <x:c r="P1407" s="37" t="n">
        <x:v>0</x:v>
      </x:c>
      <x:c r="Q1407" s="37" t="n">
        <x:v>0</x:v>
      </x:c>
      <x:c r="R1407" s="37" t="n">
        <x:v>0</x:v>
      </x:c>
      <x:c r="S1407" s="37" t="n">
        <x:v>0</x:v>
      </x:c>
      <x:c r="T1407" s="37" t="n">
        <x:v>0</x:v>
      </x:c>
      <x:c r="U1407" s="37" t="n">
        <x:v>63750</x:v>
      </x:c>
      <x:c r="V1407" s="37" t="n">
        <x:v>0</x:v>
      </x:c>
      <x:c r="W1407" s="37" t="n">
        <x:v>9673.231576314196</x:v>
      </x:c>
      <x:c r="X1407" s="37" t="n">
        <x:v>0</x:v>
      </x:c>
      <x:c r="Y1407" s="37" t="n">
        <x:v>1042.869342122179</x:v>
      </x:c>
      <x:c r="Z1407" s="37" t="n">
        <x:v>0</x:v>
      </x:c>
      <x:c r="AA1407" s="37" t="n">
        <x:v>0</x:v>
      </x:c>
      <x:c r="AB1407" s="37" t="n">
        <x:v>0</x:v>
      </x:c>
      <x:c r="AC1407" s="37" t="n">
        <x:v>1272380.362234192</x:v>
      </x:c>
      <x:c r="AD1407" s="37" t="n">
        <x:v>0</x:v>
      </x:c>
      <x:c r="AE1407" s="37" t="n">
        <x:v>0</x:v>
      </x:c>
      <x:c r="AF1407" s="47" t="b">
        <x:v>0</x:v>
      </x:c>
      <x:c r="AG1407" s="47" t="b">
        <x:v>0</x:v>
      </x:c>
      <x:c r="AH1407" s="48" t="n">
        <x:v>0</x:v>
      </x:c>
      <x:c r="AI1407" s="48" t="n">
        <x:v>1.1920928955078125e-7</x:v>
      </x:c>
      <x:c r="AJ1407" s="37" t="str">
        <x:v>passed</x:v>
      </x:c>
    </x:row>
    <x:row r="1408" ht="21" customHeight="1">
      <x:c r="A1408" s="2"/>
      <x:c r="B1408" s="2"/>
      <x:c r="C1408" s="2" t="str">
        <x:v>2023</x:v>
      </x:c>
      <x:c r="D1408" s="5" t="n">
        <x:v>45072</x:v>
      </x:c>
      <x:c r="E1408" s="2" t="str">
        <x:v>duration</x:v>
      </x:c>
      <x:c r="F1408" s="37" t="n">
        <x:v>7678701.9957846925</x:v>
      </x:c>
      <x:c r="G1408" s="37" t="n">
        <x:v>4060956.432171663</x:v>
      </x:c>
      <x:c r="H1408" s="37" t="n">
        <x:v>21209.21680649437</x:v>
      </x:c>
      <x:c r="I1408" s="37" t="n">
        <x:v>4039747.2153651686</x:v>
      </x:c>
      <x:c r="J1408" s="37" t="n">
        <x:v>10499832.002045048</x:v>
      </x:c>
      <x:c r="K1408" s="37" t="n">
        <x:v>6438875.569873385</x:v>
      </x:c>
      <x:c r="L1408" s="37" t="n">
        <x:v>11739658.427956356</x:v>
      </x:c>
      <x:c r="M1408" s="37" t="n">
        <x:v>0</x:v>
      </x:c>
      <x:c r="N1408" s="37" t="n">
        <x:v>0</x:v>
      </x:c>
      <x:c r="O1408" s="37" t="n">
        <x:v>420.7277407143265</x:v>
      </x:c>
      <x:c r="P1408" s="37" t="n">
        <x:v>0</x:v>
      </x:c>
      <x:c r="Q1408" s="37" t="n">
        <x:v>0</x:v>
      </x:c>
      <x:c r="R1408" s="37" t="n">
        <x:v>0</x:v>
      </x:c>
      <x:c r="S1408" s="37" t="n">
        <x:v>0</x:v>
      </x:c>
      <x:c r="T1408" s="37" t="n">
        <x:v>0</x:v>
      </x:c>
      <x:c r="U1408" s="37" t="n">
        <x:v>9917.381478397001</x:v>
      </x:c>
      <x:c r="V1408" s="37" t="n">
        <x:v>0</x:v>
      </x:c>
      <x:c r="W1408" s="37" t="n">
        <x:v>60850.41166512575</x:v>
      </x:c>
      <x:c r="X1408" s="37" t="n">
        <x:v>0</x:v>
      </x:c>
      <x:c r="Y1408" s="37" t="n">
        <x:v>1725.2611256883708</x:v>
      </x:c>
      <x:c r="Z1408" s="37" t="n">
        <x:v>6567653.081270853</x:v>
      </x:c>
      <x:c r="AA1408" s="37" t="n">
        <x:v>0</x:v>
      </x:c>
      <x:c r="AB1408" s="37" t="n">
        <x:v>6567653.081270853</x:v>
      </x:c>
      <x:c r="AC1408" s="37" t="n">
        <x:v>1111048.9145138394</x:v>
      </x:c>
      <x:c r="AD1408" s="37" t="n">
        <x:v>0</x:v>
      </x:c>
      <x:c r="AE1408" s="37" t="n">
        <x:v>0</x:v>
      </x:c>
      <x:c r="AF1408" s="47" t="b">
        <x:v>0</x:v>
      </x:c>
      <x:c r="AG1408" s="47" t="b">
        <x:v>0</x:v>
      </x:c>
      <x:c r="AH1408" s="48" t="n">
        <x:v>0</x:v>
      </x:c>
      <x:c r="AI1408" s="48" t="n">
        <x:v>5.960464477539063e-8</x:v>
      </x:c>
      <x:c r="AJ1408" s="37" t="str">
        <x:v>passed</x:v>
      </x:c>
    </x:row>
    <x:row r="1409" ht="21" customHeight="1">
      <x:c r="A1409" s="2"/>
      <x:c r="B1409" s="2"/>
      <x:c r="C1409" s="2" t="str">
        <x:v>2023</x:v>
      </x:c>
      <x:c r="D1409" s="5" t="n">
        <x:v>45072</x:v>
      </x:c>
      <x:c r="E1409" s="2" t="str">
        <x:v>unweighted</x:v>
      </x:c>
      <x:c r="F1409" s="37" t="n">
        <x:v>11568434.775718331</x:v>
      </x:c>
      <x:c r="G1409" s="37" t="n">
        <x:v>156133.67777148425</x:v>
      </x:c>
      <x:c r="H1409" s="37" t="n">
        <x:v>-7108.503484187369</x:v>
      </x:c>
      <x:c r="I1409" s="37" t="n">
        <x:v>163242.1812556716</x:v>
      </x:c>
      <x:c r="J1409" s="37" t="n">
        <x:v>10561827.26173566</x:v>
      </x:c>
      <x:c r="K1409" s="37" t="n">
        <x:v>10405693.583964175</x:v>
      </x:c>
      <x:c r="L1409" s="37" t="n">
        <x:v>11724568.453489816</x:v>
      </x:c>
      <x:c r="M1409" s="37" t="n">
        <x:v>0</x:v>
      </x:c>
      <x:c r="N1409" s="37" t="n">
        <x:v>0</x:v>
      </x:c>
      <x:c r="O1409" s="37" t="n">
        <x:v>633.8521054014564</x:v>
      </x:c>
      <x:c r="P1409" s="37" t="n">
        <x:v>0</x:v>
      </x:c>
      <x:c r="Q1409" s="37" t="n">
        <x:v>0</x:v>
      </x:c>
      <x:c r="R1409" s="37" t="n">
        <x:v>0</x:v>
      </x:c>
      <x:c r="S1409" s="37" t="n">
        <x:v>0</x:v>
      </x:c>
      <x:c r="T1409" s="37" t="n">
        <x:v>0</x:v>
      </x:c>
      <x:c r="U1409" s="37" t="n">
        <x:v>24308.075935467685</x:v>
      </x:c>
      <x:c r="V1409" s="37" t="n">
        <x:v>0</x:v>
      </x:c>
      <x:c r="W1409" s="37" t="n">
        <x:v>87888.05043167062</x:v>
      </x:c>
      <x:c r="X1409" s="37" t="n">
        <x:v>0</x:v>
      </x:c>
      <x:c r="Y1409" s="37" t="n">
        <x:v>2081.5450520466143</x:v>
      </x:c>
      <x:c r="Z1409" s="37" t="n">
        <x:v>10613807.455643458</x:v>
      </x:c>
      <x:c r="AA1409" s="37" t="n">
        <x:v>0</x:v>
      </x:c>
      <x:c r="AB1409" s="37" t="n">
        <x:v>10613807.455643458</x:v>
      </x:c>
      <x:c r="AC1409" s="37" t="n">
        <x:v>954627.320074873</x:v>
      </x:c>
      <x:c r="AD1409" s="37" t="n">
        <x:v>0</x:v>
      </x:c>
      <x:c r="AE1409" s="37" t="n">
        <x:v>0</x:v>
      </x:c>
      <x:c r="AF1409" s="47" t="b">
        <x:v>0</x:v>
      </x:c>
      <x:c r="AG1409" s="47" t="b">
        <x:v>0</x:v>
      </x:c>
      <x:c r="AH1409" s="48" t="n">
        <x:v>0</x:v>
      </x:c>
      <x:c r="AI1409" s="48" t="n">
        <x:v>1.1920928955078125e-7</x:v>
      </x:c>
      <x:c r="AJ1409" s="37" t="str">
        <x:v>passed</x:v>
      </x:c>
    </x:row>
    <x:row r="1410" ht="21" customHeight="1">
      <x:c r="A1410" s="2"/>
      <x:c r="B1410" s="2"/>
      <x:c r="C1410" s="2" t="str">
        <x:v>2023</x:v>
      </x:c>
      <x:c r="D1410" s="5" t="n">
        <x:v>45072</x:v>
      </x:c>
      <x:c r="E1410" s="2" t="str">
        <x:v>constrained</x:v>
      </x:c>
      <x:c r="F1410" s="37" t="n">
        <x:v>11870913.443988549</x:v>
      </x:c>
      <x:c r="G1410" s="37" t="n">
        <x:v>-152328.01270406807</x:v>
      </x:c>
      <x:c r="H1410" s="37" t="n">
        <x:v>-8321.528048617438</x:v>
      </x:c>
      <x:c r="I1410" s="37" t="n">
        <x:v>-144006.48465545062</x:v>
      </x:c>
      <x:c r="J1410" s="37" t="n">
        <x:v>10565199.070497697</x:v>
      </x:c>
      <x:c r="K1410" s="37" t="n">
        <x:v>10717527.083201764</x:v>
      </x:c>
      <x:c r="L1410" s="37" t="n">
        <x:v>11718585.43128448</x:v>
      </x:c>
      <x:c r="M1410" s="37" t="n">
        <x:v>0</x:v>
      </x:c>
      <x:c r="N1410" s="37" t="n">
        <x:v>0</x:v>
      </x:c>
      <x:c r="O1410" s="37" t="n">
        <x:v>650.4253708831966</x:v>
      </x:c>
      <x:c r="P1410" s="37" t="n">
        <x:v>0</x:v>
      </x:c>
      <x:c r="Q1410" s="37" t="n">
        <x:v>0</x:v>
      </x:c>
      <x:c r="R1410" s="37" t="n">
        <x:v>0</x:v>
      </x:c>
      <x:c r="S1410" s="37" t="n">
        <x:v>0</x:v>
      </x:c>
      <x:c r="T1410" s="37" t="n">
        <x:v>0</x:v>
      </x:c>
      <x:c r="U1410" s="37" t="n">
        <x:v>24480.61402984721</x:v>
      </x:c>
      <x:c r="V1410" s="37" t="n">
        <x:v>0</x:v>
      </x:c>
      <x:c r="W1410" s="37" t="n">
        <x:v>92167.05930049345</x:v>
      </x:c>
      <x:c r="X1410" s="37" t="n">
        <x:v>0</x:v>
      </x:c>
      <x:c r="Y1410" s="37" t="n">
        <x:v>2134.1142062319523</x:v>
      </x:c>
      <x:c r="Z1410" s="37" t="n">
        <x:v>10931877.6248658</x:v>
      </x:c>
      <x:c r="AA1410" s="37" t="n">
        <x:v>0</x:v>
      </x:c>
      <x:c r="AB1410" s="37" t="n">
        <x:v>10931877.6248658</x:v>
      </x:c>
      <x:c r="AC1410" s="37" t="n">
        <x:v>939035.8191227484</x:v>
      </x:c>
      <x:c r="AD1410" s="37" t="n">
        <x:v>0</x:v>
      </x:c>
      <x:c r="AE1410" s="37" t="n">
        <x:v>0</x:v>
      </x:c>
      <x:c r="AF1410" s="47" t="b">
        <x:v>0</x:v>
      </x:c>
      <x:c r="AG1410" s="47" t="b">
        <x:v>0</x:v>
      </x:c>
      <x:c r="AH1410" s="48" t="n">
        <x:v>0</x:v>
      </x:c>
      <x:c r="AI1410" s="48" t="n">
        <x:v>1.1920928955078125e-7</x:v>
      </x:c>
      <x:c r="AJ1410" s="37" t="str">
        <x:v>passed</x:v>
      </x:c>
    </x:row>
    <x:row r="1411" ht="21" customHeight="1">
      <x:c r="A1411" s="2"/>
      <x:c r="B1411" s="2"/>
      <x:c r="C1411" s="2" t="str">
        <x:v>2023</x:v>
      </x:c>
      <x:c r="D1411" s="5" t="n">
        <x:v>45076</x:v>
      </x:c>
      <x:c r="E1411" s="2" t="str">
        <x:v>unhedged</x:v>
      </x:c>
      <x:c r="F1411" s="37" t="n">
        <x:v>1272659.2630441128</x:v>
      </x:c>
      <x:c r="G1411" s="37" t="n">
        <x:v>10557778.929028973</x:v>
      </x:c>
      <x:c r="H1411" s="37" t="n">
        <x:v>25826.85263031468</x:v>
      </x:c>
      <x:c r="I1411" s="37" t="n">
        <x:v>10531952.076398658</x:v>
      </x:c>
      <x:c r="J1411" s="37" t="n">
        <x:v>10557778.929028973</x:v>
      </x:c>
      <x:c r="K1411" s="37" t="n">
        <x:v>0</x:v>
      </x:c>
      <x:c r="L1411" s="37" t="n">
        <x:v>11830438.192073086</x:v>
      </x:c>
      <x:c r="M1411" s="37" t="n">
        <x:v>0</x:v>
      </x:c>
      <x:c r="N1411" s="37" t="n">
        <x:v>0</x:v>
      </x:c>
      <x:c r="O1411" s="37" t="n">
        <x:v>278.9008099208586</x:v>
      </x:c>
      <x:c r="P1411" s="37" t="n">
        <x:v>0</x:v>
      </x:c>
      <x:c r="Q1411" s="37" t="n">
        <x:v>0</x:v>
      </x:c>
      <x:c r="R1411" s="37" t="n">
        <x:v>0</x:v>
      </x:c>
      <x:c r="S1411" s="37" t="n">
        <x:v>0</x:v>
      </x:c>
      <x:c r="T1411" s="37" t="n">
        <x:v>0</x:v>
      </x:c>
      <x:c r="U1411" s="37" t="n">
        <x:v>63750</x:v>
      </x:c>
      <x:c r="V1411" s="37" t="n">
        <x:v>0</x:v>
      </x:c>
      <x:c r="W1411" s="37" t="n">
        <x:v>9952.132386235055</x:v>
      </x:c>
      <x:c r="X1411" s="37" t="n">
        <x:v>0</x:v>
      </x:c>
      <x:c r="Y1411" s="37" t="n">
        <x:v>1042.869342122179</x:v>
      </x:c>
      <x:c r="Z1411" s="37" t="n">
        <x:v>0</x:v>
      </x:c>
      <x:c r="AA1411" s="37" t="n">
        <x:v>0</x:v>
      </x:c>
      <x:c r="AB1411" s="37" t="n">
        <x:v>0</x:v>
      </x:c>
      <x:c r="AC1411" s="37" t="n">
        <x:v>1272659.2630441128</x:v>
      </x:c>
      <x:c r="AD1411" s="37" t="n">
        <x:v>0</x:v>
      </x:c>
      <x:c r="AE1411" s="37" t="n">
        <x:v>0</x:v>
      </x:c>
      <x:c r="AF1411" s="47" t="b">
        <x:v>0</x:v>
      </x:c>
      <x:c r="AG1411" s="47" t="b">
        <x:v>0</x:v>
      </x:c>
      <x:c r="AH1411" s="48" t="n">
        <x:v>0</x:v>
      </x:c>
      <x:c r="AI1411" s="48" t="n">
        <x:v>1.1920928955078125e-7</x:v>
      </x:c>
      <x:c r="AJ1411" s="37" t="str">
        <x:v>passed</x:v>
      </x:c>
    </x:row>
    <x:row r="1412" ht="21" customHeight="1">
      <x:c r="A1412" s="2"/>
      <x:c r="B1412" s="2"/>
      <x:c r="C1412" s="2" t="str">
        <x:v>2023</x:v>
      </x:c>
      <x:c r="D1412" s="5" t="n">
        <x:v>45076</x:v>
      </x:c>
      <x:c r="E1412" s="2" t="str">
        <x:v>duration</x:v>
      </x:c>
      <x:c r="F1412" s="37" t="n">
        <x:v>7680385.137295935</x:v>
      </x:c>
      <x:c r="G1412" s="37" t="n">
        <x:v>4065603.701656397</x:v>
      </x:c>
      <x:c r="H1412" s="37" t="n">
        <x:v>21438.323946488348</x:v>
      </x:c>
      <x:c r="I1412" s="37" t="n">
        <x:v>4044165.3777099084</x:v>
      </x:c>
      <x:c r="J1412" s="37" t="n">
        <x:v>10557778.929028973</x:v>
      </x:c>
      <x:c r="K1412" s="37" t="n">
        <x:v>6492175.2273725765</x:v>
      </x:c>
      <x:c r="L1412" s="37" t="n">
        <x:v>11745988.838952333</x:v>
      </x:c>
      <x:c r="M1412" s="37" t="n">
        <x:v>0</x:v>
      </x:c>
      <x:c r="N1412" s="37" t="n">
        <x:v>0</x:v>
      </x:c>
      <x:c r="O1412" s="37" t="n">
        <x:v>1683.1415112428367</x:v>
      </x:c>
      <x:c r="P1412" s="37" t="n">
        <x:v>0</x:v>
      </x:c>
      <x:c r="Q1412" s="37" t="n">
        <x:v>0</x:v>
      </x:c>
      <x:c r="R1412" s="37" t="n">
        <x:v>0</x:v>
      </x:c>
      <x:c r="S1412" s="37" t="n">
        <x:v>0</x:v>
      </x:c>
      <x:c r="T1412" s="37" t="n">
        <x:v>0</x:v>
      </x:c>
      <x:c r="U1412" s="37" t="n">
        <x:v>9917.381478397001</x:v>
      </x:c>
      <x:c r="V1412" s="37" t="n">
        <x:v>0</x:v>
      </x:c>
      <x:c r="W1412" s="37" t="n">
        <x:v>62533.55317636859</x:v>
      </x:c>
      <x:c r="X1412" s="37" t="n">
        <x:v>0</x:v>
      </x:c>
      <x:c r="Y1412" s="37" t="n">
        <x:v>1725.2611256883708</x:v>
      </x:c>
      <x:c r="Z1412" s="37" t="n">
        <x:v>6622018.731920028</x:v>
      </x:c>
      <x:c r="AA1412" s="37" t="n">
        <x:v>0</x:v>
      </x:c>
      <x:c r="AB1412" s="37" t="n">
        <x:v>6622018.731920028</x:v>
      </x:c>
      <x:c r="AC1412" s="37" t="n">
        <x:v>1058366.4053759072</x:v>
      </x:c>
      <x:c r="AD1412" s="37" t="n">
        <x:v>0</x:v>
      </x:c>
      <x:c r="AE1412" s="37" t="n">
        <x:v>0</x:v>
      </x:c>
      <x:c r="AF1412" s="47" t="b">
        <x:v>0</x:v>
      </x:c>
      <x:c r="AG1412" s="47" t="b">
        <x:v>0</x:v>
      </x:c>
      <x:c r="AH1412" s="48" t="n">
        <x:v>0</x:v>
      </x:c>
      <x:c r="AI1412" s="48" t="n">
        <x:v>5.960464477539063e-8</x:v>
      </x:c>
      <x:c r="AJ1412" s="37" t="str">
        <x:v>passed</x:v>
      </x:c>
    </x:row>
    <x:row r="1413" ht="21" customHeight="1">
      <x:c r="A1413" s="2"/>
      <x:c r="B1413" s="2"/>
      <x:c r="C1413" s="2" t="str">
        <x:v>2023</x:v>
      </x:c>
      <x:c r="D1413" s="5" t="n">
        <x:v>45076</x:v>
      </x:c>
      <x:c r="E1413" s="2" t="str">
        <x:v>unweighted</x:v>
      </x:c>
      <x:c r="F1413" s="37" t="n">
        <x:v>11570970.531475205</x:v>
      </x:c>
      <x:c r="G1413" s="37" t="n">
        <x:v>156657.64394326715</x:v>
      </x:c>
      <x:c r="H1413" s="37" t="n">
        <x:v>-7225.945748960246</x:v>
      </x:c>
      <x:c r="I1413" s="37" t="n">
        <x:v>163883.5896922274</x:v>
      </x:c>
      <x:c r="J1413" s="37" t="n">
        <x:v>10620594.65479424</x:v>
      </x:c>
      <x:c r="K1413" s="37" t="n">
        <x:v>10463937.010850973</x:v>
      </x:c>
      <x:c r="L1413" s="37" t="n">
        <x:v>11727628.175418472</x:v>
      </x:c>
      <x:c r="M1413" s="37" t="n">
        <x:v>0</x:v>
      </x:c>
      <x:c r="N1413" s="37" t="n">
        <x:v>0</x:v>
      </x:c>
      <x:c r="O1413" s="37" t="n">
        <x:v>2535.7557568736374</x:v>
      </x:c>
      <x:c r="P1413" s="37" t="n">
        <x:v>0</x:v>
      </x:c>
      <x:c r="Q1413" s="37" t="n">
        <x:v>0</x:v>
      </x:c>
      <x:c r="R1413" s="37" t="n">
        <x:v>0</x:v>
      </x:c>
      <x:c r="S1413" s="37" t="n">
        <x:v>0</x:v>
      </x:c>
      <x:c r="T1413" s="37" t="n">
        <x:v>0</x:v>
      </x:c>
      <x:c r="U1413" s="37" t="n">
        <x:v>24308.075935467685</x:v>
      </x:c>
      <x:c r="V1413" s="37" t="n">
        <x:v>0</x:v>
      </x:c>
      <x:c r="W1413" s="37" t="n">
        <x:v>90423.80618854426</x:v>
      </x:c>
      <x:c r="X1413" s="37" t="n">
        <x:v>0</x:v>
      </x:c>
      <x:c r="Y1413" s="37" t="n">
        <x:v>2081.5450520466143</x:v>
      </x:c>
      <x:c r="Z1413" s="37" t="n">
        <x:v>10673215.751067992</x:v>
      </x:c>
      <x:c r="AA1413" s="37" t="n">
        <x:v>0</x:v>
      </x:c>
      <x:c r="AB1413" s="37" t="n">
        <x:v>10673215.751067992</x:v>
      </x:c>
      <x:c r="AC1413" s="37" t="n">
        <x:v>897754.7804072127</x:v>
      </x:c>
      <x:c r="AD1413" s="37" t="n">
        <x:v>0</x:v>
      </x:c>
      <x:c r="AE1413" s="37" t="n">
        <x:v>0</x:v>
      </x:c>
      <x:c r="AF1413" s="47" t="b">
        <x:v>0</x:v>
      </x:c>
      <x:c r="AG1413" s="47" t="b">
        <x:v>0</x:v>
      </x:c>
      <x:c r="AH1413" s="48" t="n">
        <x:v>0</x:v>
      </x:c>
      <x:c r="AI1413" s="48" t="n">
        <x:v>1.1920928955078125e-7</x:v>
      </x:c>
      <x:c r="AJ1413" s="37" t="str">
        <x:v>passed</x:v>
      </x:c>
    </x:row>
    <x:row r="1414" ht="21" customHeight="1">
      <x:c r="A1414" s="2"/>
      <x:c r="B1414" s="2"/>
      <x:c r="C1414" s="2" t="str">
        <x:v>2023</x:v>
      </x:c>
      <x:c r="D1414" s="5" t="n">
        <x:v>45076</x:v>
      </x:c>
      <x:c r="E1414" s="2" t="str">
        <x:v>constrained</x:v>
      </x:c>
      <x:c r="F1414" s="37" t="n">
        <x:v>11873515.50188908</x:v>
      </x:c>
      <x:c r="G1414" s="37" t="n">
        <x:v>-152204.1985771619</x:v>
      </x:c>
      <x:c r="H1414" s="37" t="n">
        <x:v>-8462.865572072227</x:v>
      </x:c>
      <x:c r="I1414" s="37" t="n">
        <x:v>-143741.3330050897</x:v>
      </x:c>
      <x:c r="J1414" s="37" t="n">
        <x:v>10624011.08720514</x:v>
      </x:c>
      <x:c r="K1414" s="37" t="n">
        <x:v>10776215.285782302</x:v>
      </x:c>
      <x:c r="L1414" s="37" t="n">
        <x:v>11721311.303311918</x:v>
      </x:c>
      <x:c r="M1414" s="37" t="n">
        <x:v>0</x:v>
      </x:c>
      <x:c r="N1414" s="37" t="n">
        <x:v>0</x:v>
      </x:c>
      <x:c r="O1414" s="37" t="n">
        <x:v>2602.0579005312175</x:v>
      </x:c>
      <x:c r="P1414" s="37" t="n">
        <x:v>0</x:v>
      </x:c>
      <x:c r="Q1414" s="37" t="n">
        <x:v>0</x:v>
      </x:c>
      <x:c r="R1414" s="37" t="n">
        <x:v>0</x:v>
      </x:c>
      <x:c r="S1414" s="37" t="n">
        <x:v>0</x:v>
      </x:c>
      <x:c r="T1414" s="37" t="n">
        <x:v>0</x:v>
      </x:c>
      <x:c r="U1414" s="37" t="n">
        <x:v>24480.61402984721</x:v>
      </x:c>
      <x:c r="V1414" s="37" t="n">
        <x:v>0</x:v>
      </x:c>
      <x:c r="W1414" s="37" t="n">
        <x:v>94769.11720102467</x:v>
      </x:c>
      <x:c r="X1414" s="37" t="n">
        <x:v>0</x:v>
      </x:c>
      <x:c r="Y1414" s="37" t="n">
        <x:v>2134.1142062319523</x:v>
      </x:c>
      <x:c r="Z1414" s="37" t="n">
        <x:v>10991739.591497948</x:v>
      </x:c>
      <x:c r="AA1414" s="37" t="n">
        <x:v>0</x:v>
      </x:c>
      <x:c r="AB1414" s="37" t="n">
        <x:v>10991739.591497948</x:v>
      </x:c>
      <x:c r="AC1414" s="37" t="n">
        <x:v>881775.9103911314</x:v>
      </x:c>
      <x:c r="AD1414" s="37" t="n">
        <x:v>0</x:v>
      </x:c>
      <x:c r="AE1414" s="37" t="n">
        <x:v>0</x:v>
      </x:c>
      <x:c r="AF1414" s="47" t="b">
        <x:v>0</x:v>
      </x:c>
      <x:c r="AG1414" s="47" t="b">
        <x:v>0</x:v>
      </x:c>
      <x:c r="AH1414" s="48" t="n">
        <x:v>0</x:v>
      </x:c>
      <x:c r="AI1414" s="48" t="n">
        <x:v>1.1920928955078125e-7</x:v>
      </x:c>
      <x:c r="AJ1414" s="37" t="str">
        <x:v>passed</x:v>
      </x:c>
    </x:row>
    <x:row r="1415" ht="21" customHeight="1">
      <x:c r="A1415" s="2"/>
      <x:c r="B1415" s="2"/>
      <x:c r="C1415" s="2" t="str">
        <x:v>2023</x:v>
      </x:c>
      <x:c r="D1415" s="5" t="n">
        <x:v>45077</x:v>
      </x:c>
      <x:c r="E1415" s="2" t="str">
        <x:v>unhedged</x:v>
      </x:c>
      <x:c r="F1415" s="37" t="n">
        <x:v>1272728.9977982524</x:v>
      </x:c>
      <x:c r="G1415" s="37" t="n">
        <x:v>10591263.527883844</x:v>
      </x:c>
      <x:c r="H1415" s="37" t="n">
        <x:v>26176.697994234928</x:v>
      </x:c>
      <x:c r="I1415" s="37" t="n">
        <x:v>10565086.82988961</x:v>
      </x:c>
      <x:c r="J1415" s="37" t="n">
        <x:v>10591263.527883844</x:v>
      </x:c>
      <x:c r="K1415" s="37" t="n">
        <x:v>0</x:v>
      </x:c>
      <x:c r="L1415" s="37" t="n">
        <x:v>11863992.525682097</x:v>
      </x:c>
      <x:c r="M1415" s="37" t="n">
        <x:v>0</x:v>
      </x:c>
      <x:c r="N1415" s="37" t="n">
        <x:v>0</x:v>
      </x:c>
      <x:c r="O1415" s="37" t="n">
        <x:v>69.73475413955748</x:v>
      </x:c>
      <x:c r="P1415" s="37" t="n">
        <x:v>0</x:v>
      </x:c>
      <x:c r="Q1415" s="37" t="n">
        <x:v>0</x:v>
      </x:c>
      <x:c r="R1415" s="37" t="n">
        <x:v>0</x:v>
      </x:c>
      <x:c r="S1415" s="37" t="n">
        <x:v>0</x:v>
      </x:c>
      <x:c r="T1415" s="37" t="n">
        <x:v>0</x:v>
      </x:c>
      <x:c r="U1415" s="37" t="n">
        <x:v>63750</x:v>
      </x:c>
      <x:c r="V1415" s="37" t="n">
        <x:v>0</x:v>
      </x:c>
      <x:c r="W1415" s="37" t="n">
        <x:v>10021.867140374612</x:v>
      </x:c>
      <x:c r="X1415" s="37" t="n">
        <x:v>0</x:v>
      </x:c>
      <x:c r="Y1415" s="37" t="n">
        <x:v>1042.869342122179</x:v>
      </x:c>
      <x:c r="Z1415" s="37" t="n">
        <x:v>0</x:v>
      </x:c>
      <x:c r="AA1415" s="37" t="n">
        <x:v>0</x:v>
      </x:c>
      <x:c r="AB1415" s="37" t="n">
        <x:v>0</x:v>
      </x:c>
      <x:c r="AC1415" s="37" t="n">
        <x:v>1272728.9977982524</x:v>
      </x:c>
      <x:c r="AD1415" s="37" t="n">
        <x:v>0</x:v>
      </x:c>
      <x:c r="AE1415" s="37" t="n">
        <x:v>0</x:v>
      </x:c>
      <x:c r="AF1415" s="47" t="b">
        <x:v>0</x:v>
      </x:c>
      <x:c r="AG1415" s="47" t="b">
        <x:v>0</x:v>
      </x:c>
      <x:c r="AH1415" s="48" t="n">
        <x:v>0</x:v>
      </x:c>
      <x:c r="AI1415" s="48" t="n">
        <x:v>1.1920928955078125e-7</x:v>
      </x:c>
      <x:c r="AJ1415" s="37" t="str">
        <x:v>passed</x:v>
      </x:c>
    </x:row>
    <x:row r="1416" ht="21" customHeight="1">
      <x:c r="A1416" s="2"/>
      <x:c r="B1416" s="2"/>
      <x:c r="C1416" s="2" t="str">
        <x:v>2023</x:v>
      </x:c>
      <x:c r="D1416" s="5" t="n">
        <x:v>45077</x:v>
      </x:c>
      <x:c r="E1416" s="2" t="str">
        <x:v>duration</x:v>
      </x:c>
      <x:c r="F1416" s="37" t="n">
        <x:v>7680805.980317158</x:v>
      </x:c>
      <x:c r="G1416" s="37" t="n">
        <x:v>4068170.2595980866</x:v>
      </x:c>
      <x:c r="H1416" s="37" t="n">
        <x:v>21495.60073148684</x:v>
      </x:c>
      <x:c r="I1416" s="37" t="n">
        <x:v>4046674.6588665997</x:v>
      </x:c>
      <x:c r="J1416" s="37" t="n">
        <x:v>10591263.527883844</x:v>
      </x:c>
      <x:c r="K1416" s="37" t="n">
        <x:v>6523093.268285758</x:v>
      </x:c>
      <x:c r="L1416" s="37" t="n">
        <x:v>11748976.239915244</x:v>
      </x:c>
      <x:c r="M1416" s="37" t="n">
        <x:v>0</x:v>
      </x:c>
      <x:c r="N1416" s="37" t="n">
        <x:v>0</x:v>
      </x:c>
      <x:c r="O1416" s="37" t="n">
        <x:v>420.84302122239023</x:v>
      </x:c>
      <x:c r="P1416" s="37" t="n">
        <x:v>0</x:v>
      </x:c>
      <x:c r="Q1416" s="37" t="n">
        <x:v>0</x:v>
      </x:c>
      <x:c r="R1416" s="37" t="n">
        <x:v>0</x:v>
      </x:c>
      <x:c r="S1416" s="37" t="n">
        <x:v>0</x:v>
      </x:c>
      <x:c r="T1416" s="37" t="n">
        <x:v>0</x:v>
      </x:c>
      <x:c r="U1416" s="37" t="n">
        <x:v>9917.381478397001</x:v>
      </x:c>
      <x:c r="V1416" s="37" t="n">
        <x:v>0</x:v>
      </x:c>
      <x:c r="W1416" s="37" t="n">
        <x:v>62954.39619759098</x:v>
      </x:c>
      <x:c r="X1416" s="37" t="n">
        <x:v>0</x:v>
      </x:c>
      <x:c r="Y1416" s="37" t="n">
        <x:v>1725.2611256883708</x:v>
      </x:c>
      <x:c r="Z1416" s="37" t="n">
        <x:v>6653555.133651474</x:v>
      </x:c>
      <x:c r="AA1416" s="37" t="n">
        <x:v>0</x:v>
      </x:c>
      <x:c r="AB1416" s="37" t="n">
        <x:v>6653555.133651474</x:v>
      </x:c>
      <x:c r="AC1416" s="37" t="n">
        <x:v>1027250.8466656841</x:v>
      </x:c>
      <x:c r="AD1416" s="37" t="n">
        <x:v>0</x:v>
      </x:c>
      <x:c r="AE1416" s="37" t="n">
        <x:v>0</x:v>
      </x:c>
      <x:c r="AF1416" s="47" t="b">
        <x:v>0</x:v>
      </x:c>
      <x:c r="AG1416" s="47" t="b">
        <x:v>0</x:v>
      </x:c>
      <x:c r="AH1416" s="48" t="n">
        <x:v>0</x:v>
      </x:c>
      <x:c r="AI1416" s="48" t="n">
        <x:v>5.960464477539063e-8</x:v>
      </x:c>
      <x:c r="AJ1416" s="37" t="str">
        <x:v>passed</x:v>
      </x:c>
    </x:row>
    <x:row r="1417" ht="21" customHeight="1">
      <x:c r="A1417" s="2"/>
      <x:c r="B1417" s="2"/>
      <x:c r="C1417" s="2" t="str">
        <x:v>2023</x:v>
      </x:c>
      <x:c r="D1417" s="5" t="n">
        <x:v>45077</x:v>
      </x:c>
      <x:c r="E1417" s="2" t="str">
        <x:v>unweighted</x:v>
      </x:c>
      <x:c r="F1417" s="37" t="n">
        <x:v>11541602.285475716</x:v>
      </x:c>
      <x:c r="G1417" s="37" t="n">
        <x:v>187001.52896476683</x:v>
      </x:c>
      <x:c r="H1417" s="37" t="n">
        <x:v>22746.965466884292</x:v>
      </x:c>
      <x:c r="I1417" s="37" t="n">
        <x:v>164254.56349788254</x:v>
      </x:c>
      <x:c r="J1417" s="37" t="n">
        <x:v>10654608.685514634</x:v>
      </x:c>
      <x:c r="K1417" s="37" t="n">
        <x:v>10467607.156549867</x:v>
      </x:c>
      <x:c r="L1417" s="37" t="n">
        <x:v>11728603.814440483</x:v>
      </x:c>
      <x:c r="M1417" s="37" t="n">
        <x:v>-30002.271782037755</x:v>
      </x:c>
      <x:c r="N1417" s="37" t="n">
        <x:v>0</x:v>
      </x:c>
      <x:c r="O1417" s="37" t="n">
        <x:v>634.0257825478911</x:v>
      </x:c>
      <x:c r="P1417" s="37" t="n">
        <x:v>0</x:v>
      </x:c>
      <x:c r="Q1417" s="37" t="n">
        <x:v>0</x:v>
      </x:c>
      <x:c r="R1417" s="37" t="n">
        <x:v>0</x:v>
      </x:c>
      <x:c r="S1417" s="37" t="n">
        <x:v>0</x:v>
      </x:c>
      <x:c r="T1417" s="37" t="n">
        <x:v>0</x:v>
      </x:c>
      <x:c r="U1417" s="37" t="n">
        <x:v>-5694.19584657007</x:v>
      </x:c>
      <x:c r="V1417" s="37" t="n">
        <x:v>0</x:v>
      </x:c>
      <x:c r="W1417" s="37" t="n">
        <x:v>91057.83197109215</x:v>
      </x:c>
      <x:c r="X1417" s="37" t="n">
        <x:v>0</x:v>
      </x:c>
      <x:c r="Y1417" s="37" t="n">
        <x:v>2081.5450520466143</x:v>
      </x:c>
      <x:c r="Z1417" s="37" t="n">
        <x:v>10676959.299680864</x:v>
      </x:c>
      <x:c r="AA1417" s="37" t="n">
        <x:v>0</x:v>
      </x:c>
      <x:c r="AB1417" s="37" t="n">
        <x:v>10676959.299680864</x:v>
      </x:c>
      <x:c r="AC1417" s="37" t="n">
        <x:v>864642.9857948516</x:v>
      </x:c>
      <x:c r="AD1417" s="37" t="n">
        <x:v>0</x:v>
      </x:c>
      <x:c r="AE1417" s="37" t="n">
        <x:v>0</x:v>
      </x:c>
      <x:c r="AF1417" s="47" t="b">
        <x:v>0</x:v>
      </x:c>
      <x:c r="AG1417" s="47" t="b">
        <x:v>0</x:v>
      </x:c>
      <x:c r="AH1417" s="48" t="n">
        <x:v>8.840288501232862e-10</x:v>
      </x:c>
      <x:c r="AI1417" s="48" t="n">
        <x:v>1.1920928955078125e-7</x:v>
      </x:c>
      <x:c r="AJ1417" s="37" t="str">
        <x:v>passed</x:v>
      </x:c>
    </x:row>
    <x:row r="1418" ht="21" customHeight="1">
      <x:c r="A1418" s="2"/>
      <x:c r="B1418" s="2"/>
      <x:c r="C1418" s="2" t="str">
        <x:v>2023</x:v>
      </x:c>
      <x:c r="D1418" s="5" t="n">
        <x:v>45077</x:v>
      </x:c>
      <x:c r="E1418" s="2" t="str">
        <x:v>constrained</x:v>
      </x:c>
      <x:c r="F1418" s="37" t="n">
        <x:v>11842905.936745849</x:v>
      </x:c>
      <x:c r="G1418" s="37" t="n">
        <x:v>-120815.31431245463</x:v>
      </x:c>
      <x:c r="H1418" s="37" t="n">
        <x:v>22761.968779439034</x:v>
      </x:c>
      <x:c r="I1418" s="37" t="n">
        <x:v>-143577.28309189365</x:v>
      </x:c>
      <x:c r="J1418" s="37" t="n">
        <x:v>10658053.912756171</x:v>
      </x:c>
      <x:c r="K1418" s="37" t="n">
        <x:v>10778869.227068625</x:v>
      </x:c>
      <x:c r="L1418" s="37" t="n">
        <x:v>11722090.622433394</x:v>
      </x:c>
      <x:c r="M1418" s="37" t="n">
        <x:v>-31260.168732374957</x:v>
      </x:c>
      <x:c r="N1418" s="37" t="n">
        <x:v>0</x:v>
      </x:c>
      <x:c r="O1418" s="37" t="n">
        <x:v>650.603589143604</x:v>
      </x:c>
      <x:c r="P1418" s="37" t="n">
        <x:v>0</x:v>
      </x:c>
      <x:c r="Q1418" s="37" t="n">
        <x:v>0</x:v>
      </x:c>
      <x:c r="R1418" s="37" t="n">
        <x:v>0</x:v>
      </x:c>
      <x:c r="S1418" s="37" t="n">
        <x:v>0</x:v>
      </x:c>
      <x:c r="T1418" s="37" t="n">
        <x:v>0</x:v>
      </x:c>
      <x:c r="U1418" s="37" t="n">
        <x:v>-6779.554702527748</x:v>
      </x:c>
      <x:c r="V1418" s="37" t="n">
        <x:v>0</x:v>
      </x:c>
      <x:c r="W1418" s="37" t="n">
        <x:v>95419.72079016827</x:v>
      </x:c>
      <x:c r="X1418" s="37" t="n">
        <x:v>0</x:v>
      </x:c>
      <x:c r="Y1418" s="37" t="n">
        <x:v>2134.1142062319523</x:v>
      </x:c>
      <x:c r="Z1418" s="37" t="n">
        <x:v>10994446.611609997</x:v>
      </x:c>
      <x:c r="AA1418" s="37" t="n">
        <x:v>0</x:v>
      </x:c>
      <x:c r="AB1418" s="37" t="n">
        <x:v>10994446.611609997</x:v>
      </x:c>
      <x:c r="AC1418" s="37" t="n">
        <x:v>848459.3251358513</x:v>
      </x:c>
      <x:c r="AD1418" s="37" t="n">
        <x:v>0</x:v>
      </x:c>
      <x:c r="AE1418" s="37" t="n">
        <x:v>0</x:v>
      </x:c>
      <x:c r="AF1418" s="47" t="b">
        <x:v>0</x:v>
      </x:c>
      <x:c r="AG1418" s="47" t="b">
        <x:v>0</x:v>
      </x:c>
      <x:c r="AH1418" s="48" t="n">
        <x:v>5.093170329928398e-11</x:v>
      </x:c>
      <x:c r="AI1418" s="48" t="n">
        <x:v>1.1920928955078125e-7</x:v>
      </x:c>
      <x:c r="AJ1418" s="37" t="str">
        <x:v>passed</x:v>
      </x:c>
    </x:row>
    <x:row r="1419" ht="21" customHeight="1">
      <x:c r="A1419" s="2"/>
      <x:c r="B1419" s="2"/>
      <x:c r="C1419" s="2" t="str">
        <x:v>2023</x:v>
      </x:c>
      <x:c r="D1419" s="5" t="n">
        <x:v>45078</x:v>
      </x:c>
      <x:c r="E1419" s="2" t="str">
        <x:v>unhedged</x:v>
      </x:c>
      <x:c r="F1419" s="37" t="n">
        <x:v>1272798.7363734744</x:v>
      </x:c>
      <x:c r="G1419" s="37" t="n">
        <x:v>10611423.417015787</x:v>
      </x:c>
      <x:c r="H1419" s="37" t="n">
        <x:v>26526.543358155177</x:v>
      </x:c>
      <x:c r="I1419" s="37" t="n">
        <x:v>10584896.873657633</x:v>
      </x:c>
      <x:c r="J1419" s="37" t="n">
        <x:v>10611423.417015787</x:v>
      </x:c>
      <x:c r="K1419" s="37" t="n">
        <x:v>0</x:v>
      </x:c>
      <x:c r="L1419" s="37" t="n">
        <x:v>11884222.153389262</x:v>
      </x:c>
      <x:c r="M1419" s="37" t="n">
        <x:v>0</x:v>
      </x:c>
      <x:c r="N1419" s="37" t="n">
        <x:v>0</x:v>
      </x:c>
      <x:c r="O1419" s="37" t="n">
        <x:v>69.73857522197068</x:v>
      </x:c>
      <x:c r="P1419" s="37" t="n">
        <x:v>0</x:v>
      </x:c>
      <x:c r="Q1419" s="37" t="n">
        <x:v>0</x:v>
      </x:c>
      <x:c r="R1419" s="37" t="n">
        <x:v>0</x:v>
      </x:c>
      <x:c r="S1419" s="37" t="n">
        <x:v>0</x:v>
      </x:c>
      <x:c r="T1419" s="37" t="n">
        <x:v>0</x:v>
      </x:c>
      <x:c r="U1419" s="37" t="n">
        <x:v>63750</x:v>
      </x:c>
      <x:c r="V1419" s="37" t="n">
        <x:v>0</x:v>
      </x:c>
      <x:c r="W1419" s="37" t="n">
        <x:v>10091.605715596583</x:v>
      </x:c>
      <x:c r="X1419" s="37" t="n">
        <x:v>0</x:v>
      </x:c>
      <x:c r="Y1419" s="37" t="n">
        <x:v>1042.869342122179</x:v>
      </x:c>
      <x:c r="Z1419" s="37" t="n">
        <x:v>0</x:v>
      </x:c>
      <x:c r="AA1419" s="37" t="n">
        <x:v>0</x:v>
      </x:c>
      <x:c r="AB1419" s="37" t="n">
        <x:v>0</x:v>
      </x:c>
      <x:c r="AC1419" s="37" t="n">
        <x:v>1272798.7363734744</x:v>
      </x:c>
      <x:c r="AD1419" s="37" t="n">
        <x:v>0</x:v>
      </x:c>
      <x:c r="AE1419" s="37" t="n">
        <x:v>0</x:v>
      </x:c>
      <x:c r="AF1419" s="47" t="b">
        <x:v>0</x:v>
      </x:c>
      <x:c r="AG1419" s="47" t="b">
        <x:v>0</x:v>
      </x:c>
      <x:c r="AH1419" s="48" t="n">
        <x:v>0</x:v>
      </x:c>
      <x:c r="AI1419" s="48" t="n">
        <x:v>1.1920928955078125e-7</x:v>
      </x:c>
      <x:c r="AJ1419" s="37" t="str">
        <x:v>passed</x:v>
      </x:c>
    </x:row>
    <x:row r="1420" ht="21" customHeight="1">
      <x:c r="A1420" s="2"/>
      <x:c r="B1420" s="2"/>
      <x:c r="C1420" s="2" t="str">
        <x:v>2023</x:v>
      </x:c>
      <x:c r="D1420" s="5" t="n">
        <x:v>45078</x:v>
      </x:c>
      <x:c r="E1420" s="2" t="str">
        <x:v>duration</x:v>
      </x:c>
      <x:c r="F1420" s="37" t="n">
        <x:v>7654660.797125007</x:v>
      </x:c>
      <x:c r="G1420" s="37" t="n">
        <x:v>4097583.6170113767</x:v>
      </x:c>
      <x:c r="H1420" s="37" t="n">
        <x:v>21573.07771457361</x:v>
      </x:c>
      <x:c r="I1420" s="37" t="n">
        <x:v>4076010.539296803</x:v>
      </x:c>
      <x:c r="J1420" s="37" t="n">
        <x:v>10611423.417015787</x:v>
      </x:c>
      <x:c r="K1420" s="37" t="n">
        <x:v>6513839.80000441</x:v>
      </x:c>
      <x:c r="L1420" s="37" t="n">
        <x:v>11752244.414136384</x:v>
      </x:c>
      <x:c r="M1420" s="37" t="n">
        <x:v>0</x:v>
      </x:c>
      <x:c r="N1420" s="37" t="n">
        <x:v>0</x:v>
      </x:c>
      <x:c r="O1420" s="37" t="n">
        <x:v>420.86608111299574</x:v>
      </x:c>
      <x:c r="P1420" s="37" t="n">
        <x:v>0</x:v>
      </x:c>
      <x:c r="Q1420" s="37" t="n">
        <x:v>2.656339293397005</x:v>
      </x:c>
      <x:c r="R1420" s="37" t="n">
        <x:v>-26563.392933970048</x:v>
      </x:c>
      <x:c r="S1420" s="37" t="n">
        <x:v>26563.392933970048</x:v>
      </x:c>
      <x:c r="T1420" s="37" t="n">
        <x:v>0</x:v>
      </x:c>
      <x:c r="U1420" s="37" t="n">
        <x:v>9917.381478397001</x:v>
      </x:c>
      <x:c r="V1420" s="37" t="n">
        <x:v>0</x:v>
      </x:c>
      <x:c r="W1420" s="37" t="n">
        <x:v>63375.26227870397</x:v>
      </x:c>
      <x:c r="X1420" s="37" t="n">
        <x:v>0</x:v>
      </x:c>
      <x:c r="Y1420" s="37" t="n">
        <x:v>1727.9174649817678</x:v>
      </x:c>
      <x:c r="Z1420" s="37" t="n">
        <x:v>6644116.596004498</x:v>
      </x:c>
      <x:c r="AA1420" s="37" t="n">
        <x:v>0</x:v>
      </x:c>
      <x:c r="AB1420" s="37" t="n">
        <x:v>6644116.596004498</x:v>
      </x:c>
      <x:c r="AC1420" s="37" t="n">
        <x:v>1010544.2011205088</x:v>
      </x:c>
      <x:c r="AD1420" s="37" t="n">
        <x:v>0</x:v>
      </x:c>
      <x:c r="AE1420" s="37" t="n">
        <x:v>0</x:v>
      </x:c>
      <x:c r="AF1420" s="47" t="b">
        <x:v>0</x:v>
      </x:c>
      <x:c r="AG1420" s="47" t="b">
        <x:v>0</x:v>
      </x:c>
      <x:c r="AH1420" s="48" t="n">
        <x:v>-2.18014495345642e-10</x:v>
      </x:c>
      <x:c r="AI1420" s="48" t="n">
        <x:v>5.960464477539063e-8</x:v>
      </x:c>
      <x:c r="AJ1420" s="37" t="str">
        <x:v>passed</x:v>
      </x:c>
    </x:row>
    <x:row r="1421" ht="21" customHeight="1">
      <x:c r="A1421" s="2"/>
      <x:c r="B1421" s="2"/>
      <x:c r="C1421" s="2" t="str">
        <x:v>2023</x:v>
      </x:c>
      <x:c r="D1421" s="5" t="n">
        <x:v>45078</x:v>
      </x:c>
      <x:c r="E1421" s="2" t="str">
        <x:v>unweighted</x:v>
      </x:c>
      <x:c r="F1421" s="37" t="n">
        <x:v>11300742.469483772</x:v>
      </x:c>
      <x:c r="G1421" s="37" t="n">
        <x:v>428649.3330928622</x:v>
      </x:c>
      <x:c r="H1421" s="37" t="n">
        <x:v>22695.546946932907</x:v>
      </x:c>
      <x:c r="I1421" s="37" t="n">
        <x:v>405953.7861459293</x:v>
      </x:c>
      <x:c r="J1421" s="37" t="n">
        <x:v>10685082.377825603</x:v>
      </x:c>
      <x:c r="K1421" s="37" t="n">
        <x:v>10256433.044732742</x:v>
      </x:c>
      <x:c r="L1421" s="37" t="n">
        <x:v>11729391.802576635</x:v>
      </x:c>
      <x:c r="M1421" s="37" t="n">
        <x:v>0</x:v>
      </x:c>
      <x:c r="N1421" s="37" t="n">
        <x:v>0</x:v>
      </x:c>
      <x:c r="O1421" s="37" t="n">
        <x:v>632.4165635891259</x:v>
      </x:c>
      <x:c r="P1421" s="37" t="n">
        <x:v>0</x:v>
      </x:c>
      <x:c r="Q1421" s="37" t="n">
        <x:v>36.195143215763444</x:v>
      </x:c>
      <x:c r="R1421" s="37" t="n">
        <x:v>-241456.03741231657</x:v>
      </x:c>
      <x:c r="S1421" s="37" t="n">
        <x:v>361951.4321576344</x:v>
      </x:c>
      <x:c r="T1421" s="37" t="n">
        <x:v>0</x:v>
      </x:c>
      <x:c r="U1421" s="37" t="n">
        <x:v>-5694.19584657007</x:v>
      </x:c>
      <x:c r="V1421" s="37" t="n">
        <x:v>0</x:v>
      </x:c>
      <x:c r="W1421" s="37" t="n">
        <x:v>91690.24853468128</x:v>
      </x:c>
      <x:c r="X1421" s="37" t="n">
        <x:v>0</x:v>
      </x:c>
      <x:c r="Y1421" s="37" t="n">
        <x:v>2117.7401952623777</x:v>
      </x:c>
      <x:c r="Z1421" s="37" t="n">
        <x:v>10461561.705627397</x:v>
      </x:c>
      <x:c r="AA1421" s="37" t="n">
        <x:v>0</x:v>
      </x:c>
      <x:c r="AB1421" s="37" t="n">
        <x:v>10461561.705627397</x:v>
      </x:c>
      <x:c r="AC1421" s="37" t="n">
        <x:v>839180.7638563756</x:v>
      </x:c>
      <x:c r="AD1421" s="37" t="n">
        <x:v>0</x:v>
      </x:c>
      <x:c r="AE1421" s="37" t="n">
        <x:v>0</x:v>
      </x:c>
      <x:c r="AF1421" s="47" t="b">
        <x:v>0</x:v>
      </x:c>
      <x:c r="AG1421" s="47" t="b">
        <x:v>0</x:v>
      </x:c>
      <x:c r="AH1421" s="48" t="n">
        <x:v>-4.970317490915477e-10</x:v>
      </x:c>
      <x:c r="AI1421" s="48" t="n">
        <x:v>1.1920928955078125e-7</x:v>
      </x:c>
      <x:c r="AJ1421" s="37" t="str">
        <x:v>passed</x:v>
      </x:c>
    </x:row>
    <x:row r="1422" ht="21" customHeight="1">
      <x:c r="A1422" s="2"/>
      <x:c r="B1422" s="2"/>
      <x:c r="C1422" s="2" t="str">
        <x:v>2023</x:v>
      </x:c>
      <x:c r="D1422" s="5" t="n">
        <x:v>45078</x:v>
      </x:c>
      <x:c r="E1422" s="2" t="str">
        <x:v>constrained</x:v>
      </x:c>
      <x:c r="F1422" s="37" t="n">
        <x:v>11660442.430899197</x:v>
      </x:c>
      <x:c r="G1422" s="37" t="n">
        <x:v>62272.641992697696</x:v>
      </x:c>
      <x:c r="H1422" s="37" t="n">
        <x:v>22718.367253686898</x:v>
      </x:c>
      <x:c r="I1422" s="37" t="n">
        <x:v>39554.2747390108</x:v>
      </x:c>
      <x:c r="J1422" s="37" t="n">
        <x:v>10693847.102021182</x:v>
      </x:c>
      <x:c r="K1422" s="37" t="n">
        <x:v>10631574.460028484</x:v>
      </x:c>
      <x:c r="L1422" s="37" t="n">
        <x:v>11722715.072891895</x:v>
      </x:c>
      <x:c r="M1422" s="37" t="n">
        <x:v>0</x:v>
      </x:c>
      <x:c r="N1422" s="37" t="n">
        <x:v>0</x:v>
      </x:c>
      <x:c r="O1422" s="37" t="n">
        <x:v>648.9263526983559</x:v>
      </x:c>
      <x:c r="P1422" s="37" t="n">
        <x:v>0</x:v>
      </x:c>
      <x:c r="Q1422" s="37" t="n">
        <x:v>26.880098877427965</x:v>
      </x:c>
      <x:c r="R1422" s="37" t="n">
        <x:v>-183085.5521004726</x:v>
      </x:c>
      <x:c r="S1422" s="37" t="n">
        <x:v>268800.98877427966</x:v>
      </x:c>
      <x:c r="T1422" s="37" t="n">
        <x:v>0</x:v>
      </x:c>
      <x:c r="U1422" s="37" t="n">
        <x:v>-6779.554702527748</x:v>
      </x:c>
      <x:c r="V1422" s="37" t="n">
        <x:v>0</x:v>
      </x:c>
      <x:c r="W1422" s="37" t="n">
        <x:v>96068.64714286663</x:v>
      </x:c>
      <x:c r="X1422" s="37" t="n">
        <x:v>0</x:v>
      </x:c>
      <x:c r="Y1422" s="37" t="n">
        <x:v>2160.99430510938</x:v>
      </x:c>
      <x:c r="Z1422" s="37" t="n">
        <x:v>10844205.949229054</x:v>
      </x:c>
      <x:c r="AA1422" s="37" t="n">
        <x:v>0</x:v>
      </x:c>
      <x:c r="AB1422" s="37" t="n">
        <x:v>10844205.949229054</x:v>
      </x:c>
      <x:c r="AC1422" s="37" t="n">
        <x:v>816236.4816701431</x:v>
      </x:c>
      <x:c r="AD1422" s="37" t="n">
        <x:v>0</x:v>
      </x:c>
      <x:c r="AE1422" s="37" t="n">
        <x:v>0</x:v>
      </x:c>
      <x:c r="AF1422" s="47" t="b">
        <x:v>0</x:v>
      </x:c>
      <x:c r="AG1422" s="47" t="b">
        <x:v>0</x:v>
      </x:c>
      <x:c r="AH1422" s="48" t="n">
        <x:v>3.8985703554317297e-10</x:v>
      </x:c>
      <x:c r="AI1422" s="48" t="n">
        <x:v>1.1920928955078125e-7</x:v>
      </x:c>
      <x:c r="AJ1422" s="37" t="str">
        <x:v>passed</x:v>
      </x:c>
    </x:row>
    <x:row r="1423" ht="21" customHeight="1">
      <x:c r="A1423" s="2"/>
      <x:c r="B1423" s="2"/>
      <x:c r="C1423" s="2" t="str">
        <x:v>2023</x:v>
      </x:c>
      <x:c r="D1423" s="5" t="n">
        <x:v>45079</x:v>
      </x:c>
      <x:c r="E1423" s="2" t="str">
        <x:v>unhedged</x:v>
      </x:c>
      <x:c r="F1423" s="37" t="n">
        <x:v>1272868.4787699878</x:v>
      </x:c>
      <x:c r="G1423" s="37" t="n">
        <x:v>10558401.740484167</x:v>
      </x:c>
      <x:c r="H1423" s="37" t="n">
        <x:v>26876.388722075426</x:v>
      </x:c>
      <x:c r="I1423" s="37" t="n">
        <x:v>10531525.351762092</x:v>
      </x:c>
      <x:c r="J1423" s="37" t="n">
        <x:v>10558401.740484167</x:v>
      </x:c>
      <x:c r="K1423" s="37" t="n">
        <x:v>0</x:v>
      </x:c>
      <x:c r="L1423" s="37" t="n">
        <x:v>11831270.219254155</x:v>
      </x:c>
      <x:c r="M1423" s="37" t="n">
        <x:v>0</x:v>
      </x:c>
      <x:c r="N1423" s="37" t="n">
        <x:v>0</x:v>
      </x:c>
      <x:c r="O1423" s="37" t="n">
        <x:v>69.74239651346579</x:v>
      </x:c>
      <x:c r="P1423" s="37" t="n">
        <x:v>0</x:v>
      </x:c>
      <x:c r="Q1423" s="37" t="n">
        <x:v>0</x:v>
      </x:c>
      <x:c r="R1423" s="37" t="n">
        <x:v>0</x:v>
      </x:c>
      <x:c r="S1423" s="37" t="n">
        <x:v>0</x:v>
      </x:c>
      <x:c r="T1423" s="37" t="n">
        <x:v>0</x:v>
      </x:c>
      <x:c r="U1423" s="37" t="n">
        <x:v>63750</x:v>
      </x:c>
      <x:c r="V1423" s="37" t="n">
        <x:v>0</x:v>
      </x:c>
      <x:c r="W1423" s="37" t="n">
        <x:v>10161.348112110049</x:v>
      </x:c>
      <x:c r="X1423" s="37" t="n">
        <x:v>0</x:v>
      </x:c>
      <x:c r="Y1423" s="37" t="n">
        <x:v>1042.869342122179</x:v>
      </x:c>
      <x:c r="Z1423" s="37" t="n">
        <x:v>0</x:v>
      </x:c>
      <x:c r="AA1423" s="37" t="n">
        <x:v>0</x:v>
      </x:c>
      <x:c r="AB1423" s="37" t="n">
        <x:v>0</x:v>
      </x:c>
      <x:c r="AC1423" s="37" t="n">
        <x:v>1272868.4787699878</x:v>
      </x:c>
      <x:c r="AD1423" s="37" t="n">
        <x:v>0</x:v>
      </x:c>
      <x:c r="AE1423" s="37" t="n">
        <x:v>0</x:v>
      </x:c>
      <x:c r="AF1423" s="47" t="b">
        <x:v>0</x:v>
      </x:c>
      <x:c r="AG1423" s="47" t="b">
        <x:v>0</x:v>
      </x:c>
      <x:c r="AH1423" s="48" t="n">
        <x:v>0</x:v>
      </x:c>
      <x:c r="AI1423" s="48" t="n">
        <x:v>1.1920928955078125e-7</x:v>
      </x:c>
      <x:c r="AJ1423" s="37" t="str">
        <x:v>passed</x:v>
      </x:c>
    </x:row>
    <x:row r="1424" ht="21" customHeight="1">
      <x:c r="A1424" s="2"/>
      <x:c r="B1424" s="2"/>
      <x:c r="C1424" s="2" t="str">
        <x:v>2023</x:v>
      </x:c>
      <x:c r="D1424" s="5" t="n">
        <x:v>45079</x:v>
      </x:c>
      <x:c r="E1424" s="2" t="str">
        <x:v>duration</x:v>
      </x:c>
      <x:c r="F1424" s="37" t="n">
        <x:v>7655080.230593343</x:v>
      </x:c>
      <x:c r="G1424" s="37" t="n">
        <x:v>4089926.8216765877</x:v>
      </x:c>
      <x:c r="H1424" s="37" t="n">
        <x:v>21631.542746518473</x:v>
      </x:c>
      <x:c r="I1424" s="37" t="n">
        <x:v>4068295.2789300694</x:v>
      </x:c>
      <x:c r="J1424" s="37" t="n">
        <x:v>10558401.740484167</x:v>
      </x:c>
      <x:c r="K1424" s="37" t="n">
        <x:v>6468474.918807579</x:v>
      </x:c>
      <x:c r="L1424" s="37" t="n">
        <x:v>11745007.052269932</x:v>
      </x:c>
      <x:c r="M1424" s="37" t="n">
        <x:v>0</x:v>
      </x:c>
      <x:c r="N1424" s="37" t="n">
        <x:v>0</x:v>
      </x:c>
      <x:c r="O1424" s="37" t="n">
        <x:v>419.43346833623946</x:v>
      </x:c>
      <x:c r="P1424" s="37" t="n">
        <x:v>0</x:v>
      </x:c>
      <x:c r="Q1424" s="37" t="n">
        <x:v>0</x:v>
      </x:c>
      <x:c r="R1424" s="37" t="n">
        <x:v>0</x:v>
      </x:c>
      <x:c r="S1424" s="37" t="n">
        <x:v>0</x:v>
      </x:c>
      <x:c r="T1424" s="37" t="n">
        <x:v>0</x:v>
      </x:c>
      <x:c r="U1424" s="37" t="n">
        <x:v>9917.381478397001</x:v>
      </x:c>
      <x:c r="V1424" s="37" t="n">
        <x:v>0</x:v>
      </x:c>
      <x:c r="W1424" s="37" t="n">
        <x:v>63794.69574704021</x:v>
      </x:c>
      <x:c r="X1424" s="37" t="n">
        <x:v>0</x:v>
      </x:c>
      <x:c r="Y1424" s="37" t="n">
        <x:v>1727.9174649817678</x:v>
      </x:c>
      <x:c r="Z1424" s="37" t="n">
        <x:v>6597844.417183731</x:v>
      </x:c>
      <x:c r="AA1424" s="37" t="n">
        <x:v>0</x:v>
      </x:c>
      <x:c r="AB1424" s="37" t="n">
        <x:v>6597844.417183731</x:v>
      </x:c>
      <x:c r="AC1424" s="37" t="n">
        <x:v>1057235.8134096125</x:v>
      </x:c>
      <x:c r="AD1424" s="37" t="n">
        <x:v>0</x:v>
      </x:c>
      <x:c r="AE1424" s="37" t="n">
        <x:v>0</x:v>
      </x:c>
      <x:c r="AF1424" s="47" t="b">
        <x:v>0</x:v>
      </x:c>
      <x:c r="AG1424" s="47" t="b">
        <x:v>0</x:v>
      </x:c>
      <x:c r="AH1424" s="48" t="n">
        <x:v>0</x:v>
      </x:c>
      <x:c r="AI1424" s="48" t="n">
        <x:v>5.960464477539063e-8</x:v>
      </x:c>
      <x:c r="AJ1424" s="37" t="str">
        <x:v>passed</x:v>
      </x:c>
    </x:row>
    <x:row r="1425" ht="21" customHeight="1">
      <x:c r="A1425" s="2"/>
      <x:c r="B1425" s="2"/>
      <x:c r="C1425" s="2" t="str">
        <x:v>2023</x:v>
      </x:c>
      <x:c r="D1425" s="5" t="n">
        <x:v>45079</x:v>
      </x:c>
      <x:c r="E1425" s="2" t="str">
        <x:v>unweighted</x:v>
      </x:c>
      <x:c r="F1425" s="37" t="n">
        <x:v>11301361.688249225</x:v>
      </x:c>
      <x:c r="G1425" s="37" t="n">
        <x:v>428364.81816889934</x:v>
      </x:c>
      <x:c r="H1425" s="37" t="n">
        <x:v>22669.237180779495</x:v>
      </x:c>
      <x:c r="I1425" s="37" t="n">
        <x:v>405695.5809881198</x:v>
      </x:c>
      <x:c r="J1425" s="37" t="n">
        <x:v>10631466.490638645</x:v>
      </x:c>
      <x:c r="K1425" s="37" t="n">
        <x:v>10203101.672469746</x:v>
      </x:c>
      <x:c r="L1425" s="37" t="n">
        <x:v>11729726.506418124</x:v>
      </x:c>
      <x:c r="M1425" s="37" t="n">
        <x:v>0</x:v>
      </x:c>
      <x:c r="N1425" s="37" t="n">
        <x:v>0</x:v>
      </x:c>
      <x:c r="O1425" s="37" t="n">
        <x:v>619.2187654525042</x:v>
      </x:c>
      <x:c r="P1425" s="37" t="n">
        <x:v>0</x:v>
      </x:c>
      <x:c r="Q1425" s="37" t="n">
        <x:v>0</x:v>
      </x:c>
      <x:c r="R1425" s="37" t="n">
        <x:v>0</x:v>
      </x:c>
      <x:c r="S1425" s="37" t="n">
        <x:v>0</x:v>
      </x:c>
      <x:c r="T1425" s="37" t="n">
        <x:v>0</x:v>
      </x:c>
      <x:c r="U1425" s="37" t="n">
        <x:v>-5694.19584657007</x:v>
      </x:c>
      <x:c r="V1425" s="37" t="n">
        <x:v>0</x:v>
      </x:c>
      <x:c r="W1425" s="37" t="n">
        <x:v>92309.46730013378</x:v>
      </x:c>
      <x:c r="X1425" s="37" t="n">
        <x:v>0</x:v>
      </x:c>
      <x:c r="Y1425" s="37" t="n">
        <x:v>2117.7401952623777</x:v>
      </x:c>
      <x:c r="Z1425" s="37" t="n">
        <x:v>10407163.705919141</x:v>
      </x:c>
      <x:c r="AA1425" s="37" t="n">
        <x:v>0</x:v>
      </x:c>
      <x:c r="AB1425" s="37" t="n">
        <x:v>10407163.705919141</x:v>
      </x:c>
      <x:c r="AC1425" s="37" t="n">
        <x:v>894197.9823300838</x:v>
      </x:c>
      <x:c r="AD1425" s="37" t="n">
        <x:v>0</x:v>
      </x:c>
      <x:c r="AE1425" s="37" t="n">
        <x:v>0</x:v>
      </x:c>
      <x:c r="AF1425" s="47" t="b">
        <x:v>0</x:v>
      </x:c>
      <x:c r="AG1425" s="47" t="b">
        <x:v>0</x:v>
      </x:c>
      <x:c r="AH1425" s="48" t="n">
        <x:v>0</x:v>
      </x:c>
      <x:c r="AI1425" s="48" t="n">
        <x:v>1.1920928955078125e-7</x:v>
      </x:c>
      <x:c r="AJ1425" s="37" t="str">
        <x:v>passed</x:v>
      </x:c>
    </x:row>
    <x:row r="1426" ht="21" customHeight="1">
      <x:c r="A1426" s="2"/>
      <x:c r="B1426" s="2"/>
      <x:c r="C1426" s="2" t="str">
        <x:v>2023</x:v>
      </x:c>
      <x:c r="D1426" s="5" t="n">
        <x:v>45079</x:v>
      </x:c>
      <x:c r="E1426" s="2" t="str">
        <x:v>constrained</x:v>
      </x:c>
      <x:c r="F1426" s="37" t="n">
        <x:v>11661081.359251576</x:v>
      </x:c>
      <x:c r="G1426" s="37" t="n">
        <x:v>62212.79704058209</x:v>
      </x:c>
      <x:c r="H1426" s="37" t="n">
        <x:v>22686.102781119625</x:v>
      </x:c>
      <x:c r="I1426" s="37" t="n">
        <x:v>39526.69425946246</x:v>
      </x:c>
      <x:c r="J1426" s="37" t="n">
        <x:v>10640160.509349775</x:v>
      </x:c>
      <x:c r="K1426" s="37" t="n">
        <x:v>10577947.712309191</x:v>
      </x:c>
      <x:c r="L1426" s="37" t="n">
        <x:v>11723294.156292157</x:v>
      </x:c>
      <x:c r="M1426" s="37" t="n">
        <x:v>0</x:v>
      </x:c>
      <x:c r="N1426" s="37" t="n">
        <x:v>0</x:v>
      </x:c>
      <x:c r="O1426" s="37" t="n">
        <x:v>638.9283523783088</x:v>
      </x:c>
      <x:c r="P1426" s="37" t="n">
        <x:v>0</x:v>
      </x:c>
      <x:c r="Q1426" s="37" t="n">
        <x:v>0</x:v>
      </x:c>
      <x:c r="R1426" s="37" t="n">
        <x:v>0</x:v>
      </x:c>
      <x:c r="S1426" s="37" t="n">
        <x:v>0</x:v>
      </x:c>
      <x:c r="T1426" s="37" t="n">
        <x:v>0</x:v>
      </x:c>
      <x:c r="U1426" s="37" t="n">
        <x:v>-6779.554702527748</x:v>
      </x:c>
      <x:c r="V1426" s="37" t="n">
        <x:v>0</x:v>
      </x:c>
      <x:c r="W1426" s="37" t="n">
        <x:v>96707.57549524494</x:v>
      </x:c>
      <x:c r="X1426" s="37" t="n">
        <x:v>0</x:v>
      </x:c>
      <x:c r="Y1426" s="37" t="n">
        <x:v>2160.99430510938</x:v>
      </x:c>
      <x:c r="Z1426" s="37" t="n">
        <x:v>10789506.666555375</x:v>
      </x:c>
      <x:c r="AA1426" s="37" t="n">
        <x:v>0</x:v>
      </x:c>
      <x:c r="AB1426" s="37" t="n">
        <x:v>10789506.666555375</x:v>
      </x:c>
      <x:c r="AC1426" s="37" t="n">
        <x:v>871574.6926962007</x:v>
      </x:c>
      <x:c r="AD1426" s="37" t="n">
        <x:v>0</x:v>
      </x:c>
      <x:c r="AE1426" s="37" t="n">
        <x:v>0</x:v>
      </x:c>
      <x:c r="AF1426" s="47" t="b">
        <x:v>0</x:v>
      </x:c>
      <x:c r="AG1426" s="47" t="b">
        <x:v>0</x:v>
      </x:c>
      <x:c r="AH1426" s="48" t="n">
        <x:v>0</x:v>
      </x:c>
      <x:c r="AI1426" s="48" t="n">
        <x:v>1.1920928955078125e-7</x:v>
      </x:c>
      <x:c r="AJ1426" s="37" t="str">
        <x:v>passed</x:v>
      </x:c>
    </x:row>
    <x:row r="1427" ht="21" customHeight="1">
      <x:c r="A1427" s="2"/>
      <x:c r="B1427" s="2"/>
      <x:c r="C1427" s="2" t="str">
        <x:v>2023</x:v>
      </x:c>
      <x:c r="D1427" s="5" t="n">
        <x:v>45082</x:v>
      </x:c>
      <x:c r="E1427" s="2" t="str">
        <x:v>unhedged</x:v>
      </x:c>
      <x:c r="F1427" s="37" t="n">
        <x:v>1273077.7288893738</x:v>
      </x:c>
      <x:c r="G1427" s="37" t="n">
        <x:v>10567443.623298973</x:v>
      </x:c>
      <x:c r="H1427" s="37" t="n">
        <x:v>27925.924813836176</x:v>
      </x:c>
      <x:c r="I1427" s="37" t="n">
        <x:v>10539517.698485136</x:v>
      </x:c>
      <x:c r="J1427" s="37" t="n">
        <x:v>10567443.623298973</x:v>
      </x:c>
      <x:c r="K1427" s="37" t="n">
        <x:v>0</x:v>
      </x:c>
      <x:c r="L1427" s="37" t="n">
        <x:v>11840521.352188347</x:v>
      </x:c>
      <x:c r="M1427" s="37" t="n">
        <x:v>0</x:v>
      </x:c>
      <x:c r="N1427" s="37" t="n">
        <x:v>0</x:v>
      </x:c>
      <x:c r="O1427" s="37" t="n">
        <x:v>209.250119386008</x:v>
      </x:c>
      <x:c r="P1427" s="37" t="n">
        <x:v>0</x:v>
      </x:c>
      <x:c r="Q1427" s="37" t="n">
        <x:v>0</x:v>
      </x:c>
      <x:c r="R1427" s="37" t="n">
        <x:v>0</x:v>
      </x:c>
      <x:c r="S1427" s="37" t="n">
        <x:v>0</x:v>
      </x:c>
      <x:c r="T1427" s="37" t="n">
        <x:v>0</x:v>
      </x:c>
      <x:c r="U1427" s="37" t="n">
        <x:v>63750</x:v>
      </x:c>
      <x:c r="V1427" s="37" t="n">
        <x:v>0</x:v>
      </x:c>
      <x:c r="W1427" s="37" t="n">
        <x:v>10370.598231496057</x:v>
      </x:c>
      <x:c r="X1427" s="37" t="n">
        <x:v>0</x:v>
      </x:c>
      <x:c r="Y1427" s="37" t="n">
        <x:v>1042.869342122179</x:v>
      </x:c>
      <x:c r="Z1427" s="37" t="n">
        <x:v>0</x:v>
      </x:c>
      <x:c r="AA1427" s="37" t="n">
        <x:v>0</x:v>
      </x:c>
      <x:c r="AB1427" s="37" t="n">
        <x:v>0</x:v>
      </x:c>
      <x:c r="AC1427" s="37" t="n">
        <x:v>1273077.7288893738</x:v>
      </x:c>
      <x:c r="AD1427" s="37" t="n">
        <x:v>0</x:v>
      </x:c>
      <x:c r="AE1427" s="37" t="n">
        <x:v>0</x:v>
      </x:c>
      <x:c r="AF1427" s="47" t="b">
        <x:v>0</x:v>
      </x:c>
      <x:c r="AG1427" s="47" t="b">
        <x:v>0</x:v>
      </x:c>
      <x:c r="AH1427" s="48" t="n">
        <x:v>0</x:v>
      </x:c>
      <x:c r="AI1427" s="48" t="n">
        <x:v>1.1920928955078125e-7</x:v>
      </x:c>
      <x:c r="AJ1427" s="37" t="str">
        <x:v>passed</x:v>
      </x:c>
    </x:row>
    <x:row r="1428" ht="21" customHeight="1">
      <x:c r="A1428" s="2"/>
      <x:c r="B1428" s="2"/>
      <x:c r="C1428" s="2" t="str">
        <x:v>2023</x:v>
      </x:c>
      <x:c r="D1428" s="5" t="n">
        <x:v>45082</x:v>
      </x:c>
      <x:c r="E1428" s="2" t="str">
        <x:v>duration</x:v>
      </x:c>
      <x:c r="F1428" s="37" t="n">
        <x:v>7656338.668899325</x:v>
      </x:c>
      <x:c r="G1428" s="37" t="n">
        <x:v>4093460.144597546</x:v>
      </x:c>
      <x:c r="H1428" s="37" t="n">
        <x:v>21806.937842353065</x:v>
      </x:c>
      <x:c r="I1428" s="37" t="n">
        <x:v>4071653.206755193</x:v>
      </x:c>
      <x:c r="J1428" s="37" t="n">
        <x:v>10567443.623298973</x:v>
      </x:c>
      <x:c r="K1428" s="37" t="n">
        <x:v>6473983.478701427</x:v>
      </x:c>
      <x:c r="L1428" s="37" t="n">
        <x:v>11749798.81349687</x:v>
      </x:c>
      <x:c r="M1428" s="37" t="n">
        <x:v>0</x:v>
      </x:c>
      <x:c r="N1428" s="37" t="n">
        <x:v>0</x:v>
      </x:c>
      <x:c r="O1428" s="37" t="n">
        <x:v>1258.4383059814572</x:v>
      </x:c>
      <x:c r="P1428" s="37" t="n">
        <x:v>0</x:v>
      </x:c>
      <x:c r="Q1428" s="37" t="n">
        <x:v>0</x:v>
      </x:c>
      <x:c r="R1428" s="37" t="n">
        <x:v>0</x:v>
      </x:c>
      <x:c r="S1428" s="37" t="n">
        <x:v>0</x:v>
      </x:c>
      <x:c r="T1428" s="37" t="n">
        <x:v>0</x:v>
      </x:c>
      <x:c r="U1428" s="37" t="n">
        <x:v>9917.381478397001</x:v>
      </x:c>
      <x:c r="V1428" s="37" t="n">
        <x:v>0</x:v>
      </x:c>
      <x:c r="W1428" s="37" t="n">
        <x:v>65053.13405302167</x:v>
      </x:c>
      <x:c r="X1428" s="37" t="n">
        <x:v>0</x:v>
      </x:c>
      <x:c r="Y1428" s="37" t="n">
        <x:v>1727.9174649817678</x:v>
      </x:c>
      <x:c r="Z1428" s="37" t="n">
        <x:v>6603463.148275455</x:v>
      </x:c>
      <x:c r="AA1428" s="37" t="n">
        <x:v>0</x:v>
      </x:c>
      <x:c r="AB1428" s="37" t="n">
        <x:v>6603463.148275455</x:v>
      </x:c>
      <x:c r="AC1428" s="37" t="n">
        <x:v>1052875.5206238693</x:v>
      </x:c>
      <x:c r="AD1428" s="37" t="n">
        <x:v>0</x:v>
      </x:c>
      <x:c r="AE1428" s="37" t="n">
        <x:v>0</x:v>
      </x:c>
      <x:c r="AF1428" s="47" t="b">
        <x:v>0</x:v>
      </x:c>
      <x:c r="AG1428" s="47" t="b">
        <x:v>0</x:v>
      </x:c>
      <x:c r="AH1428" s="48" t="n">
        <x:v>0</x:v>
      </x:c>
      <x:c r="AI1428" s="48" t="n">
        <x:v>5.960464477539063e-8</x:v>
      </x:c>
      <x:c r="AJ1428" s="37" t="str">
        <x:v>passed</x:v>
      </x:c>
    </x:row>
    <x:row r="1429" ht="21" customHeight="1">
      <x:c r="A1429" s="2"/>
      <x:c r="B1429" s="2"/>
      <x:c r="C1429" s="2" t="str">
        <x:v>2023</x:v>
      </x:c>
      <x:c r="D1429" s="5" t="n">
        <x:v>45082</x:v>
      </x:c>
      <x:c r="E1429" s="2" t="str">
        <x:v>unweighted</x:v>
      </x:c>
      <x:c r="F1429" s="37" t="n">
        <x:v>11303219.54813179</x:v>
      </x:c>
      <x:c r="G1429" s="37" t="n">
        <x:v>428616.54334439134</x:v>
      </x:c>
      <x:c r="H1429" s="37" t="n">
        <x:v>22590.307882319266</x:v>
      </x:c>
      <x:c r="I1429" s="37" t="n">
        <x:v>406026.2354620721</x:v>
      </x:c>
      <x:c r="J1429" s="37" t="n">
        <x:v>10640515.787209962</x:v>
      </x:c>
      <x:c r="K1429" s="37" t="n">
        <x:v>10211899.24386557</x:v>
      </x:c>
      <x:c r="L1429" s="37" t="n">
        <x:v>11731836.091476182</x:v>
      </x:c>
      <x:c r="M1429" s="37" t="n">
        <x:v>0</x:v>
      </x:c>
      <x:c r="N1429" s="37" t="n">
        <x:v>0</x:v>
      </x:c>
      <x:c r="O1429" s="37" t="n">
        <x:v>1857.8598825652152</x:v>
      </x:c>
      <x:c r="P1429" s="37" t="n">
        <x:v>0</x:v>
      </x:c>
      <x:c r="Q1429" s="37" t="n">
        <x:v>0</x:v>
      </x:c>
      <x:c r="R1429" s="37" t="n">
        <x:v>0</x:v>
      </x:c>
      <x:c r="S1429" s="37" t="n">
        <x:v>0</x:v>
      </x:c>
      <x:c r="T1429" s="37" t="n">
        <x:v>0</x:v>
      </x:c>
      <x:c r="U1429" s="37" t="n">
        <x:v>-5694.19584657007</x:v>
      </x:c>
      <x:c r="V1429" s="37" t="n">
        <x:v>0</x:v>
      </x:c>
      <x:c r="W1429" s="37" t="n">
        <x:v>94167.327182699</x:v>
      </x:c>
      <x:c r="X1429" s="37" t="n">
        <x:v>0</x:v>
      </x:c>
      <x:c r="Y1429" s="37" t="n">
        <x:v>2117.7401952623777</x:v>
      </x:c>
      <x:c r="Z1429" s="37" t="n">
        <x:v>10416137.22874288</x:v>
      </x:c>
      <x:c r="AA1429" s="37" t="n">
        <x:v>0</x:v>
      </x:c>
      <x:c r="AB1429" s="37" t="n">
        <x:v>10416137.22874288</x:v>
      </x:c>
      <x:c r="AC1429" s="37" t="n">
        <x:v>887082.3193889093</x:v>
      </x:c>
      <x:c r="AD1429" s="37" t="n">
        <x:v>0</x:v>
      </x:c>
      <x:c r="AE1429" s="37" t="n">
        <x:v>0</x:v>
      </x:c>
      <x:c r="AF1429" s="47" t="b">
        <x:v>0</x:v>
      </x:c>
      <x:c r="AG1429" s="47" t="b">
        <x:v>0</x:v>
      </x:c>
      <x:c r="AH1429" s="48" t="n">
        <x:v>0</x:v>
      </x:c>
      <x:c r="AI1429" s="48" t="n">
        <x:v>1.1920928955078125e-7</x:v>
      </x:c>
      <x:c r="AJ1429" s="37" t="str">
        <x:v>passed</x:v>
      </x:c>
    </x:row>
    <x:row r="1430" ht="21" customHeight="1">
      <x:c r="A1430" s="2"/>
      <x:c r="B1430" s="2"/>
      <x:c r="C1430" s="2" t="str">
        <x:v>2023</x:v>
      </x:c>
      <x:c r="D1430" s="5" t="n">
        <x:v>45082</x:v>
      </x:c>
      <x:c r="E1430" s="2" t="str">
        <x:v>constrained</x:v>
      </x:c>
      <x:c r="F1430" s="37" t="n">
        <x:v>11662998.354375023</x:v>
      </x:c>
      <x:c r="G1430" s="37" t="n">
        <x:v>62218.84182435267</x:v>
      </x:c>
      <x:c r="H1430" s="37" t="n">
        <x:v>22589.3093634178</x:v>
      </x:c>
      <x:c r="I1430" s="37" t="n">
        <x:v>39629.53246093487</x:v>
      </x:c>
      <x:c r="J1430" s="37" t="n">
        <x:v>10649210.68808845</x:v>
      </x:c>
      <x:c r="K1430" s="37" t="n">
        <x:v>10586991.846264098</x:v>
      </x:c>
      <x:c r="L1430" s="37" t="n">
        <x:v>11725217.196199376</x:v>
      </x:c>
      <x:c r="M1430" s="37" t="n">
        <x:v>0</x:v>
      </x:c>
      <x:c r="N1430" s="37" t="n">
        <x:v>0</x:v>
      </x:c>
      <x:c r="O1430" s="37" t="n">
        <x:v>1916.9951234478503</x:v>
      </x:c>
      <x:c r="P1430" s="37" t="n">
        <x:v>0</x:v>
      </x:c>
      <x:c r="Q1430" s="37" t="n">
        <x:v>0</x:v>
      </x:c>
      <x:c r="R1430" s="37" t="n">
        <x:v>0</x:v>
      </x:c>
      <x:c r="S1430" s="37" t="n">
        <x:v>0</x:v>
      </x:c>
      <x:c r="T1430" s="37" t="n">
        <x:v>0</x:v>
      </x:c>
      <x:c r="U1430" s="37" t="n">
        <x:v>-6779.554702527748</x:v>
      </x:c>
      <x:c r="V1430" s="37" t="n">
        <x:v>0</x:v>
      </x:c>
      <x:c r="W1430" s="37" t="n">
        <x:v>98624.57061869279</x:v>
      </x:c>
      <x:c r="X1430" s="37" t="n">
        <x:v>0</x:v>
      </x:c>
      <x:c r="Y1430" s="37" t="n">
        <x:v>2160.99430510938</x:v>
      </x:c>
      <x:c r="Z1430" s="37" t="n">
        <x:v>10798731.68318938</x:v>
      </x:c>
      <x:c r="AA1430" s="37" t="n">
        <x:v>0</x:v>
      </x:c>
      <x:c r="AB1430" s="37" t="n">
        <x:v>10798731.68318938</x:v>
      </x:c>
      <x:c r="AC1430" s="37" t="n">
        <x:v>864266.6711856425</x:v>
      </x:c>
      <x:c r="AD1430" s="37" t="n">
        <x:v>0</x:v>
      </x:c>
      <x:c r="AE1430" s="37" t="n">
        <x:v>0</x:v>
      </x:c>
      <x:c r="AF1430" s="47" t="b">
        <x:v>0</x:v>
      </x:c>
      <x:c r="AG1430" s="47" t="b">
        <x:v>0</x:v>
      </x:c>
      <x:c r="AH1430" s="48" t="n">
        <x:v>0</x:v>
      </x:c>
      <x:c r="AI1430" s="48" t="n">
        <x:v>1.1920928955078125e-7</x:v>
      </x:c>
      <x:c r="AJ1430" s="37" t="str">
        <x:v>passed</x:v>
      </x:c>
    </x:row>
    <x:row r="1431" ht="21" customHeight="1">
      <x:c r="A1431" s="2"/>
      <x:c r="B1431" s="2"/>
      <x:c r="C1431" s="2" t="str">
        <x:v>2023</x:v>
      </x:c>
      <x:c r="D1431" s="5" t="n">
        <x:v>45083</x:v>
      </x:c>
      <x:c r="E1431" s="2" t="str">
        <x:v>unhedged</x:v>
      </x:c>
      <x:c r="F1431" s="37" t="n">
        <x:v>1273147.4865731488</x:v>
      </x:c>
      <x:c r="G1431" s="37" t="n">
        <x:v>10563591.156963663</x:v>
      </x:c>
      <x:c r="H1431" s="37" t="n">
        <x:v>28275.770177756425</x:v>
      </x:c>
      <x:c r="I1431" s="37" t="n">
        <x:v>10535315.386785908</x:v>
      </x:c>
      <x:c r="J1431" s="37" t="n">
        <x:v>10563591.156963663</x:v>
      </x:c>
      <x:c r="K1431" s="37" t="n">
        <x:v>0</x:v>
      </x:c>
      <x:c r="L1431" s="37" t="n">
        <x:v>11836738.643536812</x:v>
      </x:c>
      <x:c r="M1431" s="37" t="n">
        <x:v>0</x:v>
      </x:c>
      <x:c r="N1431" s="37" t="n">
        <x:v>0</x:v>
      </x:c>
      <x:c r="O1431" s="37" t="n">
        <x:v>69.75768377492204</x:v>
      </x:c>
      <x:c r="P1431" s="37" t="n">
        <x:v>0</x:v>
      </x:c>
      <x:c r="Q1431" s="37" t="n">
        <x:v>0</x:v>
      </x:c>
      <x:c r="R1431" s="37" t="n">
        <x:v>0</x:v>
      </x:c>
      <x:c r="S1431" s="37" t="n">
        <x:v>0</x:v>
      </x:c>
      <x:c r="T1431" s="37" t="n">
        <x:v>0</x:v>
      </x:c>
      <x:c r="U1431" s="37" t="n">
        <x:v>63750</x:v>
      </x:c>
      <x:c r="V1431" s="37" t="n">
        <x:v>0</x:v>
      </x:c>
      <x:c r="W1431" s="37" t="n">
        <x:v>10440.355915270979</x:v>
      </x:c>
      <x:c r="X1431" s="37" t="n">
        <x:v>0</x:v>
      </x:c>
      <x:c r="Y1431" s="37" t="n">
        <x:v>1042.869342122179</x:v>
      </x:c>
      <x:c r="Z1431" s="37" t="n">
        <x:v>0</x:v>
      </x:c>
      <x:c r="AA1431" s="37" t="n">
        <x:v>0</x:v>
      </x:c>
      <x:c r="AB1431" s="37" t="n">
        <x:v>0</x:v>
      </x:c>
      <x:c r="AC1431" s="37" t="n">
        <x:v>1273147.4865731488</x:v>
      </x:c>
      <x:c r="AD1431" s="37" t="n">
        <x:v>0</x:v>
      </x:c>
      <x:c r="AE1431" s="37" t="n">
        <x:v>0</x:v>
      </x:c>
      <x:c r="AF1431" s="47" t="b">
        <x:v>0</x:v>
      </x:c>
      <x:c r="AG1431" s="47" t="b">
        <x:v>0</x:v>
      </x:c>
      <x:c r="AH1431" s="48" t="n">
        <x:v>0</x:v>
      </x:c>
      <x:c r="AI1431" s="48" t="n">
        <x:v>1.1920928955078125e-7</x:v>
      </x:c>
      <x:c r="AJ1431" s="37" t="str">
        <x:v>passed</x:v>
      </x:c>
    </x:row>
    <x:row r="1432" ht="21" customHeight="1">
      <x:c r="A1432" s="2"/>
      <x:c r="B1432" s="2"/>
      <x:c r="C1432" s="2" t="str">
        <x:v>2023</x:v>
      </x:c>
      <x:c r="D1432" s="5" t="n">
        <x:v>45083</x:v>
      </x:c>
      <x:c r="E1432" s="2" t="str">
        <x:v>duration</x:v>
      </x:c>
      <x:c r="F1432" s="37" t="n">
        <x:v>7656758.19430584</x:v>
      </x:c>
      <x:c r="G1432" s="37" t="n">
        <x:v>4089844.5798298297</x:v>
      </x:c>
      <x:c r="H1432" s="37" t="n">
        <x:v>21865.402874297924</x:v>
      </x:c>
      <x:c r="I1432" s="37" t="n">
        <x:v>4067979.176955532</x:v>
      </x:c>
      <x:c r="J1432" s="37" t="n">
        <x:v>10563591.156963663</x:v>
      </x:c>
      <x:c r="K1432" s="37" t="n">
        <x:v>6473746.577133833</x:v>
      </x:c>
      <x:c r="L1432" s="37" t="n">
        <x:v>11746602.77413567</x:v>
      </x:c>
      <x:c r="M1432" s="37" t="n">
        <x:v>0</x:v>
      </x:c>
      <x:c r="N1432" s="37" t="n">
        <x:v>0</x:v>
      </x:c>
      <x:c r="O1432" s="37" t="n">
        <x:v>419.52540651522577</x:v>
      </x:c>
      <x:c r="P1432" s="37" t="n">
        <x:v>0</x:v>
      </x:c>
      <x:c r="Q1432" s="37" t="n">
        <x:v>0</x:v>
      </x:c>
      <x:c r="R1432" s="37" t="n">
        <x:v>0</x:v>
      </x:c>
      <x:c r="S1432" s="37" t="n">
        <x:v>0</x:v>
      </x:c>
      <x:c r="T1432" s="37" t="n">
        <x:v>0</x:v>
      </x:c>
      <x:c r="U1432" s="37" t="n">
        <x:v>9917.381478397001</x:v>
      </x:c>
      <x:c r="V1432" s="37" t="n">
        <x:v>0</x:v>
      </x:c>
      <x:c r="W1432" s="37" t="n">
        <x:v>65472.659459536895</x:v>
      </x:c>
      <x:c r="X1432" s="37" t="n">
        <x:v>0</x:v>
      </x:c>
      <x:c r="Y1432" s="37" t="n">
        <x:v>1727.9174649817678</x:v>
      </x:c>
      <x:c r="Z1432" s="37" t="n">
        <x:v>6603221.50867651</x:v>
      </x:c>
      <x:c r="AA1432" s="37" t="n">
        <x:v>0</x:v>
      </x:c>
      <x:c r="AB1432" s="37" t="n">
        <x:v>6603221.50867651</x:v>
      </x:c>
      <x:c r="AC1432" s="37" t="n">
        <x:v>1053536.6856293296</x:v>
      </x:c>
      <x:c r="AD1432" s="37" t="n">
        <x:v>0</x:v>
      </x:c>
      <x:c r="AE1432" s="37" t="n">
        <x:v>0</x:v>
      </x:c>
      <x:c r="AF1432" s="47" t="b">
        <x:v>0</x:v>
      </x:c>
      <x:c r="AG1432" s="47" t="b">
        <x:v>0</x:v>
      </x:c>
      <x:c r="AH1432" s="48" t="n">
        <x:v>0</x:v>
      </x:c>
      <x:c r="AI1432" s="48" t="n">
        <x:v>5.960464477539063e-8</x:v>
      </x:c>
      <x:c r="AJ1432" s="37" t="str">
        <x:v>passed</x:v>
      </x:c>
    </x:row>
    <x:row r="1433" ht="21" customHeight="1">
      <x:c r="A1433" s="2"/>
      <x:c r="B1433" s="2"/>
      <x:c r="C1433" s="2" t="str">
        <x:v>2023</x:v>
      </x:c>
      <x:c r="D1433" s="5" t="n">
        <x:v>45083</x:v>
      </x:c>
      <x:c r="E1433" s="2" t="str">
        <x:v>unweighted</x:v>
      </x:c>
      <x:c r="F1433" s="37" t="n">
        <x:v>11303838.902627578</x:v>
      </x:c>
      <x:c r="G1433" s="37" t="n">
        <x:v>428585.14330928173</x:v>
      </x:c>
      <x:c r="H1433" s="37" t="n">
        <x:v>22563.998116165854</x:v>
      </x:c>
      <x:c r="I1433" s="37" t="n">
        <x:v>406021.14519311587</x:v>
      </x:c>
      <x:c r="J1433" s="37" t="n">
        <x:v>10636742.666213604</x:v>
      </x:c>
      <x:c r="K1433" s="37" t="n">
        <x:v>10208157.522904322</x:v>
      </x:c>
      <x:c r="L1433" s="37" t="n">
        <x:v>11732424.04593686</x:v>
      </x:c>
      <x:c r="M1433" s="37" t="n">
        <x:v>0</x:v>
      </x:c>
      <x:c r="N1433" s="37" t="n">
        <x:v>0</x:v>
      </x:c>
      <x:c r="O1433" s="37" t="n">
        <x:v>619.3544957879931</x:v>
      </x:c>
      <x:c r="P1433" s="37" t="n">
        <x:v>0</x:v>
      </x:c>
      <x:c r="Q1433" s="37" t="n">
        <x:v>0</x:v>
      </x:c>
      <x:c r="R1433" s="37" t="n">
        <x:v>0</x:v>
      </x:c>
      <x:c r="S1433" s="37" t="n">
        <x:v>0</x:v>
      </x:c>
      <x:c r="T1433" s="37" t="n">
        <x:v>0</x:v>
      </x:c>
      <x:c r="U1433" s="37" t="n">
        <x:v>-5694.19584657007</x:v>
      </x:c>
      <x:c r="V1433" s="37" t="n">
        <x:v>0</x:v>
      </x:c>
      <x:c r="W1433" s="37" t="n">
        <x:v>94786.68167848699</x:v>
      </x:c>
      <x:c r="X1433" s="37" t="n">
        <x:v>0</x:v>
      </x:c>
      <x:c r="Y1433" s="37" t="n">
        <x:v>2117.7401952623777</x:v>
      </x:c>
      <x:c r="Z1433" s="37" t="n">
        <x:v>10412320.673362408</x:v>
      </x:c>
      <x:c r="AA1433" s="37" t="n">
        <x:v>0</x:v>
      </x:c>
      <x:c r="AB1433" s="37" t="n">
        <x:v>10412320.673362408</x:v>
      </x:c>
      <x:c r="AC1433" s="37" t="n">
        <x:v>891518.2292651702</x:v>
      </x:c>
      <x:c r="AD1433" s="37" t="n">
        <x:v>0</x:v>
      </x:c>
      <x:c r="AE1433" s="37" t="n">
        <x:v>0</x:v>
      </x:c>
      <x:c r="AF1433" s="47" t="b">
        <x:v>0</x:v>
      </x:c>
      <x:c r="AG1433" s="47" t="b">
        <x:v>0</x:v>
      </x:c>
      <x:c r="AH1433" s="48" t="n">
        <x:v>0</x:v>
      </x:c>
      <x:c r="AI1433" s="48" t="n">
        <x:v>1.1920928955078125e-7</x:v>
      </x:c>
      <x:c r="AJ1433" s="37" t="str">
        <x:v>passed</x:v>
      </x:c>
    </x:row>
    <x:row r="1434" ht="21" customHeight="1">
      <x:c r="A1434" s="2"/>
      <x:c r="B1434" s="2"/>
      <x:c r="C1434" s="2" t="str">
        <x:v>2023</x:v>
      </x:c>
      <x:c r="D1434" s="5" t="n">
        <x:v>45083</x:v>
      </x:c>
      <x:c r="E1434" s="2" t="str">
        <x:v>constrained</x:v>
      </x:c>
      <x:c r="F1434" s="37" t="n">
        <x:v>11663637.422778003</x:v>
      </x:c>
      <x:c r="G1434" s="37" t="n">
        <x:v>62230.14076379473</x:v>
      </x:c>
      <x:c r="H1434" s="37" t="n">
        <x:v>22557.044890850528</x:v>
      </x:c>
      <x:c r="I1434" s="37" t="n">
        <x:v>39673.0958729442</x:v>
      </x:c>
      <x:c r="J1434" s="37" t="n">
        <x:v>10645447.008441854</x:v>
      </x:c>
      <x:c r="K1434" s="37" t="n">
        <x:v>10583216.867678061</x:v>
      </x:c>
      <x:c r="L1434" s="37" t="n">
        <x:v>11725867.563541798</x:v>
      </x:c>
      <x:c r="M1434" s="37" t="n">
        <x:v>0</x:v>
      </x:c>
      <x:c r="N1434" s="37" t="n">
        <x:v>0</x:v>
      </x:c>
      <x:c r="O1434" s="37" t="n">
        <x:v>639.068402979523</x:v>
      </x:c>
      <x:c r="P1434" s="37" t="n">
        <x:v>0</x:v>
      </x:c>
      <x:c r="Q1434" s="37" t="n">
        <x:v>0</x:v>
      </x:c>
      <x:c r="R1434" s="37" t="n">
        <x:v>0</x:v>
      </x:c>
      <x:c r="S1434" s="37" t="n">
        <x:v>0</x:v>
      </x:c>
      <x:c r="T1434" s="37" t="n">
        <x:v>0</x:v>
      </x:c>
      <x:c r="U1434" s="37" t="n">
        <x:v>-6779.554702527748</x:v>
      </x:c>
      <x:c r="V1434" s="37" t="n">
        <x:v>0</x:v>
      </x:c>
      <x:c r="W1434" s="37" t="n">
        <x:v>99263.63902167231</x:v>
      </x:c>
      <x:c r="X1434" s="37" t="n">
        <x:v>0</x:v>
      </x:c>
      <x:c r="Y1434" s="37" t="n">
        <x:v>2160.99430510938</x:v>
      </x:c>
      <x:c r="Z1434" s="37" t="n">
        <x:v>10794881.205031622</x:v>
      </x:c>
      <x:c r="AA1434" s="37" t="n">
        <x:v>0</x:v>
      </x:c>
      <x:c r="AB1434" s="37" t="n">
        <x:v>10794881.205031622</x:v>
      </x:c>
      <x:c r="AC1434" s="37" t="n">
        <x:v>868756.2177463807</x:v>
      </x:c>
      <x:c r="AD1434" s="37" t="n">
        <x:v>0</x:v>
      </x:c>
      <x:c r="AE1434" s="37" t="n">
        <x:v>0</x:v>
      </x:c>
      <x:c r="AF1434" s="47" t="b">
        <x:v>0</x:v>
      </x:c>
      <x:c r="AG1434" s="47" t="b">
        <x:v>0</x:v>
      </x:c>
      <x:c r="AH1434" s="48" t="n">
        <x:v>0</x:v>
      </x:c>
      <x:c r="AI1434" s="48" t="n">
        <x:v>1.1920928955078125e-7</x:v>
      </x:c>
      <x:c r="AJ1434" s="37" t="str">
        <x:v>passed</x:v>
      </x:c>
    </x:row>
    <x:row r="1435" ht="21" customHeight="1">
      <x:c r="A1435" s="2"/>
      <x:c r="B1435" s="2"/>
      <x:c r="C1435" s="2" t="str">
        <x:v>2023</x:v>
      </x:c>
      <x:c r="D1435" s="5" t="n">
        <x:v>45084</x:v>
      </x:c>
      <x:c r="E1435" s="2" t="str">
        <x:v>unhedged</x:v>
      </x:c>
      <x:c r="F1435" s="37" t="n">
        <x:v>1273217.2480792622</x:v>
      </x:c>
      <x:c r="G1435" s="37" t="n">
        <x:v>10518345.231881127</x:v>
      </x:c>
      <x:c r="H1435" s="37" t="n">
        <x:v>28625.615541676674</x:v>
      </x:c>
      <x:c r="I1435" s="37" t="n">
        <x:v>10489719.61633945</x:v>
      </x:c>
      <x:c r="J1435" s="37" t="n">
        <x:v>10518345.231881127</x:v>
      </x:c>
      <x:c r="K1435" s="37" t="n">
        <x:v>0</x:v>
      </x:c>
      <x:c r="L1435" s="37" t="n">
        <x:v>11791562.47996039</x:v>
      </x:c>
      <x:c r="M1435" s="37" t="n">
        <x:v>0</x:v>
      </x:c>
      <x:c r="N1435" s="37" t="n">
        <x:v>0</x:v>
      </x:c>
      <x:c r="O1435" s="37" t="n">
        <x:v>69.76150611345656</x:v>
      </x:c>
      <x:c r="P1435" s="37" t="n">
        <x:v>0</x:v>
      </x:c>
      <x:c r="Q1435" s="37" t="n">
        <x:v>0</x:v>
      </x:c>
      <x:c r="R1435" s="37" t="n">
        <x:v>0</x:v>
      </x:c>
      <x:c r="S1435" s="37" t="n">
        <x:v>0</x:v>
      </x:c>
      <x:c r="T1435" s="37" t="n">
        <x:v>0</x:v>
      </x:c>
      <x:c r="U1435" s="37" t="n">
        <x:v>63750</x:v>
      </x:c>
      <x:c r="V1435" s="37" t="n">
        <x:v>0</x:v>
      </x:c>
      <x:c r="W1435" s="37" t="n">
        <x:v>10510.117421384435</x:v>
      </x:c>
      <x:c r="X1435" s="37" t="n">
        <x:v>0</x:v>
      </x:c>
      <x:c r="Y1435" s="37" t="n">
        <x:v>1042.869342122179</x:v>
      </x:c>
      <x:c r="Z1435" s="37" t="n">
        <x:v>0</x:v>
      </x:c>
      <x:c r="AA1435" s="37" t="n">
        <x:v>0</x:v>
      </x:c>
      <x:c r="AB1435" s="37" t="n">
        <x:v>0</x:v>
      </x:c>
      <x:c r="AC1435" s="37" t="n">
        <x:v>1273217.2480792622</x:v>
      </x:c>
      <x:c r="AD1435" s="37" t="n">
        <x:v>0</x:v>
      </x:c>
      <x:c r="AE1435" s="37" t="n">
        <x:v>0</x:v>
      </x:c>
      <x:c r="AF1435" s="47" t="b">
        <x:v>0</x:v>
      </x:c>
      <x:c r="AG1435" s="47" t="b">
        <x:v>0</x:v>
      </x:c>
      <x:c r="AH1435" s="48" t="n">
        <x:v>0</x:v>
      </x:c>
      <x:c r="AI1435" s="48" t="n">
        <x:v>1.1920928955078125e-7</x:v>
      </x:c>
      <x:c r="AJ1435" s="37" t="str">
        <x:v>passed</x:v>
      </x:c>
    </x:row>
    <x:row r="1436" ht="21" customHeight="1">
      <x:c r="A1436" s="2"/>
      <x:c r="B1436" s="2"/>
      <x:c r="C1436" s="2" t="str">
        <x:v>2023</x:v>
      </x:c>
      <x:c r="D1436" s="5" t="n">
        <x:v>45084</x:v>
      </x:c>
      <x:c r="E1436" s="2" t="str">
        <x:v>duration</x:v>
      </x:c>
      <x:c r="F1436" s="37" t="n">
        <x:v>7657177.742700049</x:v>
      </x:c>
      <x:c r="G1436" s="37" t="n">
        <x:v>4095235.490168955</x:v>
      </x:c>
      <x:c r="H1436" s="37" t="n">
        <x:v>21923.86790624279</x:v>
      </x:c>
      <x:c r="I1436" s="37" t="n">
        <x:v>4073311.6222627126</x:v>
      </x:c>
      <x:c r="J1436" s="37" t="n">
        <x:v>10518345.231881127</x:v>
      </x:c>
      <x:c r="K1436" s="37" t="n">
        <x:v>6423109.741712171</x:v>
      </x:c>
      <x:c r="L1436" s="37" t="n">
        <x:v>11752413.232869003</x:v>
      </x:c>
      <x:c r="M1436" s="37" t="n">
        <x:v>0</x:v>
      </x:c>
      <x:c r="N1436" s="37" t="n">
        <x:v>0</x:v>
      </x:c>
      <x:c r="O1436" s="37" t="n">
        <x:v>419.54839420877397</x:v>
      </x:c>
      <x:c r="P1436" s="37" t="n">
        <x:v>0</x:v>
      </x:c>
      <x:c r="Q1436" s="37" t="n">
        <x:v>0</x:v>
      </x:c>
      <x:c r="R1436" s="37" t="n">
        <x:v>0</x:v>
      </x:c>
      <x:c r="S1436" s="37" t="n">
        <x:v>0</x:v>
      </x:c>
      <x:c r="T1436" s="37" t="n">
        <x:v>0</x:v>
      </x:c>
      <x:c r="U1436" s="37" t="n">
        <x:v>9917.381478397001</x:v>
      </x:c>
      <x:c r="V1436" s="37" t="n">
        <x:v>0</x:v>
      </x:c>
      <x:c r="W1436" s="37" t="n">
        <x:v>65892.20785374567</x:v>
      </x:c>
      <x:c r="X1436" s="37" t="n">
        <x:v>0</x:v>
      </x:c>
      <x:c r="Y1436" s="37" t="n">
        <x:v>1727.9174649817678</x:v>
      </x:c>
      <x:c r="Z1436" s="37" t="n">
        <x:v>6551571.936546414</x:v>
      </x:c>
      <x:c r="AA1436" s="37" t="n">
        <x:v>0</x:v>
      </x:c>
      <x:c r="AB1436" s="37" t="n">
        <x:v>6551571.936546414</x:v>
      </x:c>
      <x:c r="AC1436" s="37" t="n">
        <x:v>1105605.8061536346</x:v>
      </x:c>
      <x:c r="AD1436" s="37" t="n">
        <x:v>0</x:v>
      </x:c>
      <x:c r="AE1436" s="37" t="n">
        <x:v>0</x:v>
      </x:c>
      <x:c r="AF1436" s="47" t="b">
        <x:v>0</x:v>
      </x:c>
      <x:c r="AG1436" s="47" t="b">
        <x:v>0</x:v>
      </x:c>
      <x:c r="AH1436" s="48" t="n">
        <x:v>0</x:v>
      </x:c>
      <x:c r="AI1436" s="48" t="n">
        <x:v>5.960464477539063e-8</x:v>
      </x:c>
      <x:c r="AJ1436" s="37" t="str">
        <x:v>passed</x:v>
      </x:c>
    </x:row>
    <x:row r="1437" ht="21" customHeight="1">
      <x:c r="A1437" s="2"/>
      <x:c r="B1437" s="2"/>
      <x:c r="C1437" s="2" t="str">
        <x:v>2023</x:v>
      </x:c>
      <x:c r="D1437" s="5" t="n">
        <x:v>45084</x:v>
      </x:c>
      <x:c r="E1437" s="2" t="str">
        <x:v>unweighted</x:v>
      </x:c>
      <x:c r="F1437" s="37" t="n">
        <x:v>11304458.2910606</x:v>
      </x:c>
      <x:c r="G1437" s="37" t="n">
        <x:v>428788.44401786214</x:v>
      </x:c>
      <x:c r="H1437" s="37" t="n">
        <x:v>22537.688350012446</x:v>
      </x:c>
      <x:c r="I1437" s="37" t="n">
        <x:v>406250.7556678497</x:v>
      </x:c>
      <x:c r="J1437" s="37" t="n">
        <x:v>10590494.908712883</x:v>
      </x:c>
      <x:c r="K1437" s="37" t="n">
        <x:v>10161706.46469502</x:v>
      </x:c>
      <x:c r="L1437" s="37" t="n">
        <x:v>11733246.735078463</x:v>
      </x:c>
      <x:c r="M1437" s="37" t="n">
        <x:v>0</x:v>
      </x:c>
      <x:c r="N1437" s="37" t="n">
        <x:v>0</x:v>
      </x:c>
      <x:c r="O1437" s="37" t="n">
        <x:v>619.3884330224246</x:v>
      </x:c>
      <x:c r="P1437" s="37" t="n">
        <x:v>0</x:v>
      </x:c>
      <x:c r="Q1437" s="37" t="n">
        <x:v>0</x:v>
      </x:c>
      <x:c r="R1437" s="37" t="n">
        <x:v>0</x:v>
      </x:c>
      <x:c r="S1437" s="37" t="n">
        <x:v>0</x:v>
      </x:c>
      <x:c r="T1437" s="37" t="n">
        <x:v>0</x:v>
      </x:c>
      <x:c r="U1437" s="37" t="n">
        <x:v>-5694.19584657007</x:v>
      </x:c>
      <x:c r="V1437" s="37" t="n">
        <x:v>0</x:v>
      </x:c>
      <x:c r="W1437" s="37" t="n">
        <x:v>95406.07011150941</x:v>
      </x:c>
      <x:c r="X1437" s="37" t="n">
        <x:v>0</x:v>
      </x:c>
      <x:c r="Y1437" s="37" t="n">
        <x:v>2117.7401952623777</x:v>
      </x:c>
      <x:c r="Z1437" s="37" t="n">
        <x:v>10364940.59398892</x:v>
      </x:c>
      <x:c r="AA1437" s="37" t="n">
        <x:v>0</x:v>
      </x:c>
      <x:c r="AB1437" s="37" t="n">
        <x:v>10364940.59398892</x:v>
      </x:c>
      <x:c r="AC1437" s="37" t="n">
        <x:v>939517.6970716808</x:v>
      </x:c>
      <x:c r="AD1437" s="37" t="n">
        <x:v>0</x:v>
      </x:c>
      <x:c r="AE1437" s="37" t="n">
        <x:v>0</x:v>
      </x:c>
      <x:c r="AF1437" s="47" t="b">
        <x:v>0</x:v>
      </x:c>
      <x:c r="AG1437" s="47" t="b">
        <x:v>0</x:v>
      </x:c>
      <x:c r="AH1437" s="48" t="n">
        <x:v>0</x:v>
      </x:c>
      <x:c r="AI1437" s="48" t="n">
        <x:v>1.1920928955078125e-7</x:v>
      </x:c>
      <x:c r="AJ1437" s="37" t="str">
        <x:v>passed</x:v>
      </x:c>
    </x:row>
    <x:row r="1438" ht="21" customHeight="1">
      <x:c r="A1438" s="2"/>
      <x:c r="B1438" s="2"/>
      <x:c r="C1438" s="2" t="str">
        <x:v>2023</x:v>
      </x:c>
      <x:c r="D1438" s="5" t="n">
        <x:v>45084</x:v>
      </x:c>
      <x:c r="E1438" s="2" t="str">
        <x:v>constrained</x:v>
      </x:c>
      <x:c r="F1438" s="37" t="n">
        <x:v>11664276.52619843</x:v>
      </x:c>
      <x:c r="G1438" s="37" t="n">
        <x:v>62276.04307763901</x:v>
      </x:c>
      <x:c r="H1438" s="37" t="n">
        <x:v>22524.78041828325</x:v>
      </x:c>
      <x:c r="I1438" s="37" t="n">
        <x:v>39751.262659355765</x:v>
      </x:c>
      <x:c r="J1438" s="37" t="n">
        <x:v>10599080.042297147</x:v>
      </x:c>
      <x:c r="K1438" s="37" t="n">
        <x:v>10536803.999219509</x:v>
      </x:c>
      <x:c r="L1438" s="37" t="n">
        <x:v>11726552.569276068</x:v>
      </x:c>
      <x:c r="M1438" s="37" t="n">
        <x:v>0</x:v>
      </x:c>
      <x:c r="N1438" s="37" t="n">
        <x:v>0</x:v>
      </x:c>
      <x:c r="O1438" s="37" t="n">
        <x:v>639.1034204270691</x:v>
      </x:c>
      <x:c r="P1438" s="37" t="n">
        <x:v>0</x:v>
      </x:c>
      <x:c r="Q1438" s="37" t="n">
        <x:v>0</x:v>
      </x:c>
      <x:c r="R1438" s="37" t="n">
        <x:v>0</x:v>
      </x:c>
      <x:c r="S1438" s="37" t="n">
        <x:v>0</x:v>
      </x:c>
      <x:c r="T1438" s="37" t="n">
        <x:v>0</x:v>
      </x:c>
      <x:c r="U1438" s="37" t="n">
        <x:v>-6779.554702527748</x:v>
      </x:c>
      <x:c r="V1438" s="37" t="n">
        <x:v>0</x:v>
      </x:c>
      <x:c r="W1438" s="37" t="n">
        <x:v>99902.74244209938</x:v>
      </x:c>
      <x:c r="X1438" s="37" t="n">
        <x:v>0</x:v>
      </x:c>
      <x:c r="Y1438" s="37" t="n">
        <x:v>2160.99430510938</x:v>
      </x:c>
      <x:c r="Z1438" s="37" t="n">
        <x:v>10747540.0792039</x:v>
      </x:c>
      <x:c r="AA1438" s="37" t="n">
        <x:v>0</x:v>
      </x:c>
      <x:c r="AB1438" s="37" t="n">
        <x:v>10747540.0792039</x:v>
      </x:c>
      <x:c r="AC1438" s="37" t="n">
        <x:v>916736.44699453</x:v>
      </x:c>
      <x:c r="AD1438" s="37" t="n">
        <x:v>0</x:v>
      </x:c>
      <x:c r="AE1438" s="37" t="n">
        <x:v>0</x:v>
      </x:c>
      <x:c r="AF1438" s="47" t="b">
        <x:v>0</x:v>
      </x:c>
      <x:c r="AG1438" s="47" t="b">
        <x:v>0</x:v>
      </x:c>
      <x:c r="AH1438" s="48" t="n">
        <x:v>0</x:v>
      </x:c>
      <x:c r="AI1438" s="48" t="n">
        <x:v>1.1920928955078125e-7</x:v>
      </x:c>
      <x:c r="AJ1438" s="37" t="str">
        <x:v>passed</x:v>
      </x:c>
    </x:row>
    <x:row r="1439" ht="21" customHeight="1">
      <x:c r="A1439" s="2"/>
      <x:c r="B1439" s="2"/>
      <x:c r="C1439" s="2" t="str">
        <x:v>2023</x:v>
      </x:c>
      <x:c r="D1439" s="5" t="n">
        <x:v>45085</x:v>
      </x:c>
      <x:c r="E1439" s="2" t="str">
        <x:v>unhedged</x:v>
      </x:c>
      <x:c r="F1439" s="37" t="n">
        <x:v>1273287.0134079244</x:v>
      </x:c>
      <x:c r="G1439" s="37" t="n">
        <x:v>10555653.891195234</x:v>
      </x:c>
      <x:c r="H1439" s="37" t="n">
        <x:v>28975.460905596927</x:v>
      </x:c>
      <x:c r="I1439" s="37" t="n">
        <x:v>10526678.430289637</x:v>
      </x:c>
      <x:c r="J1439" s="37" t="n">
        <x:v>10555653.891195234</x:v>
      </x:c>
      <x:c r="K1439" s="37" t="n">
        <x:v>0</x:v>
      </x:c>
      <x:c r="L1439" s="37" t="n">
        <x:v>11828940.904603159</x:v>
      </x:c>
      <x:c r="M1439" s="37" t="n">
        <x:v>0</x:v>
      </x:c>
      <x:c r="N1439" s="37" t="n">
        <x:v>0</x:v>
      </x:c>
      <x:c r="O1439" s="37" t="n">
        <x:v>69.76532866223715</x:v>
      </x:c>
      <x:c r="P1439" s="37" t="n">
        <x:v>0</x:v>
      </x:c>
      <x:c r="Q1439" s="37" t="n">
        <x:v>0</x:v>
      </x:c>
      <x:c r="R1439" s="37" t="n">
        <x:v>0</x:v>
      </x:c>
      <x:c r="S1439" s="37" t="n">
        <x:v>0</x:v>
      </x:c>
      <x:c r="T1439" s="37" t="n">
        <x:v>0</x:v>
      </x:c>
      <x:c r="U1439" s="37" t="n">
        <x:v>63750</x:v>
      </x:c>
      <x:c r="V1439" s="37" t="n">
        <x:v>0</x:v>
      </x:c>
      <x:c r="W1439" s="37" t="n">
        <x:v>10579.882750046672</x:v>
      </x:c>
      <x:c r="X1439" s="37" t="n">
        <x:v>0</x:v>
      </x:c>
      <x:c r="Y1439" s="37" t="n">
        <x:v>1042.869342122179</x:v>
      </x:c>
      <x:c r="Z1439" s="37" t="n">
        <x:v>0</x:v>
      </x:c>
      <x:c r="AA1439" s="37" t="n">
        <x:v>0</x:v>
      </x:c>
      <x:c r="AB1439" s="37" t="n">
        <x:v>0</x:v>
      </x:c>
      <x:c r="AC1439" s="37" t="n">
        <x:v>1273287.0134079244</x:v>
      </x:c>
      <x:c r="AD1439" s="37" t="n">
        <x:v>0</x:v>
      </x:c>
      <x:c r="AE1439" s="37" t="n">
        <x:v>0</x:v>
      </x:c>
      <x:c r="AF1439" s="47" t="b">
        <x:v>0</x:v>
      </x:c>
      <x:c r="AG1439" s="47" t="b">
        <x:v>0</x:v>
      </x:c>
      <x:c r="AH1439" s="48" t="n">
        <x:v>0</x:v>
      </x:c>
      <x:c r="AI1439" s="48" t="n">
        <x:v>1.1920928955078125e-7</x:v>
      </x:c>
      <x:c r="AJ1439" s="37" t="str">
        <x:v>passed</x:v>
      </x:c>
    </x:row>
    <x:row r="1440" ht="21" customHeight="1">
      <x:c r="A1440" s="2"/>
      <x:c r="B1440" s="2"/>
      <x:c r="C1440" s="2" t="str">
        <x:v>2023</x:v>
      </x:c>
      <x:c r="D1440" s="5" t="n">
        <x:v>45085</x:v>
      </x:c>
      <x:c r="E1440" s="2" t="str">
        <x:v>duration</x:v>
      </x:c>
      <x:c r="F1440" s="37" t="n">
        <x:v>7657597.314083211</x:v>
      </x:c>
      <x:c r="G1440" s="37" t="n">
        <x:v>4091192.389345686</x:v>
      </x:c>
      <x:c r="H1440" s="37" t="n">
        <x:v>21982.332938187654</x:v>
      </x:c>
      <x:c r="I1440" s="37" t="n">
        <x:v>4069210.056407498</x:v>
      </x:c>
      <x:c r="J1440" s="37" t="n">
        <x:v>10555653.891195234</x:v>
      </x:c>
      <x:c r="K1440" s="37" t="n">
        <x:v>6464461.501849547</x:v>
      </x:c>
      <x:c r="L1440" s="37" t="n">
        <x:v>11748789.703428898</x:v>
      </x:c>
      <x:c r="M1440" s="37" t="n">
        <x:v>0</x:v>
      </x:c>
      <x:c r="N1440" s="37" t="n">
        <x:v>0</x:v>
      </x:c>
      <x:c r="O1440" s="37" t="n">
        <x:v>419.5713831624016</x:v>
      </x:c>
      <x:c r="P1440" s="37" t="n">
        <x:v>0</x:v>
      </x:c>
      <x:c r="Q1440" s="37" t="n">
        <x:v>0</x:v>
      </x:c>
      <x:c r="R1440" s="37" t="n">
        <x:v>0</x:v>
      </x:c>
      <x:c r="S1440" s="37" t="n">
        <x:v>0</x:v>
      </x:c>
      <x:c r="T1440" s="37" t="n">
        <x:v>0</x:v>
      </x:c>
      <x:c r="U1440" s="37" t="n">
        <x:v>9917.381478397001</x:v>
      </x:c>
      <x:c r="V1440" s="37" t="n">
        <x:v>0</x:v>
      </x:c>
      <x:c r="W1440" s="37" t="n">
        <x:v>66311.77923690807</x:v>
      </x:c>
      <x:c r="X1440" s="37" t="n">
        <x:v>0</x:v>
      </x:c>
      <x:c r="Y1440" s="37" t="n">
        <x:v>1727.9174649817678</x:v>
      </x:c>
      <x:c r="Z1440" s="37" t="n">
        <x:v>6593750.731886538</x:v>
      </x:c>
      <x:c r="AA1440" s="37" t="n">
        <x:v>0</x:v>
      </x:c>
      <x:c r="AB1440" s="37" t="n">
        <x:v>6593750.731886538</x:v>
      </x:c>
      <x:c r="AC1440" s="37" t="n">
        <x:v>1063846.5821966734</x:v>
      </x:c>
      <x:c r="AD1440" s="37" t="n">
        <x:v>0</x:v>
      </x:c>
      <x:c r="AE1440" s="37" t="n">
        <x:v>0</x:v>
      </x:c>
      <x:c r="AF1440" s="47" t="b">
        <x:v>0</x:v>
      </x:c>
      <x:c r="AG1440" s="47" t="b">
        <x:v>0</x:v>
      </x:c>
      <x:c r="AH1440" s="48" t="n">
        <x:v>0</x:v>
      </x:c>
      <x:c r="AI1440" s="48" t="n">
        <x:v>5.960464477539063e-8</x:v>
      </x:c>
      <x:c r="AJ1440" s="37" t="str">
        <x:v>passed</x:v>
      </x:c>
    </x:row>
    <x:row r="1441" ht="21" customHeight="1">
      <x:c r="A1441" s="2"/>
      <x:c r="B1441" s="2"/>
      <x:c r="C1441" s="2" t="str">
        <x:v>2023</x:v>
      </x:c>
      <x:c r="D1441" s="5" t="n">
        <x:v>45085</x:v>
      </x:c>
      <x:c r="E1441" s="2" t="str">
        <x:v>unweighted</x:v>
      </x:c>
      <x:c r="F1441" s="37" t="n">
        <x:v>11305077.713432714</x:v>
      </x:c>
      <x:c r="G1441" s="37" t="n">
        <x:v>428698.4587360214</x:v>
      </x:c>
      <x:c r="H1441" s="37" t="n">
        <x:v>22511.378583859034</x:v>
      </x:c>
      <x:c r="I1441" s="37" t="n">
        <x:v>406187.0801521624</x:v>
      </x:c>
      <x:c r="J1441" s="37" t="n">
        <x:v>10628496.845913347</x:v>
      </x:c>
      <x:c r="K1441" s="37" t="n">
        <x:v>10199798.387177326</x:v>
      </x:c>
      <x:c r="L1441" s="37" t="n">
        <x:v>11733776.172168735</x:v>
      </x:c>
      <x:c r="M1441" s="37" t="n">
        <x:v>0</x:v>
      </x:c>
      <x:c r="N1441" s="37" t="n">
        <x:v>0</x:v>
      </x:c>
      <x:c r="O1441" s="37" t="n">
        <x:v>619.4223721139133</x:v>
      </x:c>
      <x:c r="P1441" s="37" t="n">
        <x:v>0</x:v>
      </x:c>
      <x:c r="Q1441" s="37" t="n">
        <x:v>0</x:v>
      </x:c>
      <x:c r="R1441" s="37" t="n">
        <x:v>0</x:v>
      </x:c>
      <x:c r="S1441" s="37" t="n">
        <x:v>0</x:v>
      </x:c>
      <x:c r="T1441" s="37" t="n">
        <x:v>0</x:v>
      </x:c>
      <x:c r="U1441" s="37" t="n">
        <x:v>-5694.19584657007</x:v>
      </x:c>
      <x:c r="V1441" s="37" t="n">
        <x:v>0</x:v>
      </x:c>
      <x:c r="W1441" s="37" t="n">
        <x:v>96025.49248362333</x:v>
      </x:c>
      <x:c r="X1441" s="37" t="n">
        <x:v>0</x:v>
      </x:c>
      <x:c r="Y1441" s="37" t="n">
        <x:v>2117.7401952623777</x:v>
      </x:c>
      <x:c r="Z1441" s="37" t="n">
        <x:v>10403794.354920872</x:v>
      </x:c>
      <x:c r="AA1441" s="37" t="n">
        <x:v>0</x:v>
      </x:c>
      <x:c r="AB1441" s="37" t="n">
        <x:v>10403794.354920872</x:v>
      </x:c>
      <x:c r="AC1441" s="37" t="n">
        <x:v>901283.3585118428</x:v>
      </x:c>
      <x:c r="AD1441" s="37" t="n">
        <x:v>0</x:v>
      </x:c>
      <x:c r="AE1441" s="37" t="n">
        <x:v>0</x:v>
      </x:c>
      <x:c r="AF1441" s="47" t="b">
        <x:v>0</x:v>
      </x:c>
      <x:c r="AG1441" s="47" t="b">
        <x:v>0</x:v>
      </x:c>
      <x:c r="AH1441" s="48" t="n">
        <x:v>0</x:v>
      </x:c>
      <x:c r="AI1441" s="48" t="n">
        <x:v>1.1920928955078125e-7</x:v>
      </x:c>
      <x:c r="AJ1441" s="37" t="str">
        <x:v>passed</x:v>
      </x:c>
    </x:row>
    <x:row r="1442" ht="21" customHeight="1">
      <x:c r="A1442" s="2"/>
      <x:c r="B1442" s="2"/>
      <x:c r="C1442" s="2" t="str">
        <x:v>2023</x:v>
      </x:c>
      <x:c r="D1442" s="5" t="n">
        <x:v>45085</x:v>
      </x:c>
      <x:c r="E1442" s="2" t="str">
        <x:v>constrained</x:v>
      </x:c>
      <x:c r="F1442" s="37" t="n">
        <x:v>11664915.664638223</x:v>
      </x:c>
      <x:c r="G1442" s="37" t="n">
        <x:v>62169.88692215676</x:v>
      </x:c>
      <x:c r="H1442" s="37" t="n">
        <x:v>22492.51594571598</x:v>
      </x:c>
      <x:c r="I1442" s="37" t="n">
        <x:v>39677.37097644078</x:v>
      </x:c>
      <x:c r="J1442" s="37" t="n">
        <x:v>10637164.473051663</x:v>
      </x:c>
      <x:c r="K1442" s="37" t="n">
        <x:v>10574994.586129505</x:v>
      </x:c>
      <x:c r="L1442" s="37" t="n">
        <x:v>11727085.55156038</x:v>
      </x:c>
      <x:c r="M1442" s="37" t="n">
        <x:v>0</x:v>
      </x:c>
      <x:c r="N1442" s="37" t="n">
        <x:v>0</x:v>
      </x:c>
      <x:c r="O1442" s="37" t="n">
        <x:v>639.1384397931397</x:v>
      </x:c>
      <x:c r="P1442" s="37" t="n">
        <x:v>0</x:v>
      </x:c>
      <x:c r="Q1442" s="37" t="n">
        <x:v>0</x:v>
      </x:c>
      <x:c r="R1442" s="37" t="n">
        <x:v>0</x:v>
      </x:c>
      <x:c r="S1442" s="37" t="n">
        <x:v>0</x:v>
      </x:c>
      <x:c r="T1442" s="37" t="n">
        <x:v>0</x:v>
      </x:c>
      <x:c r="U1442" s="37" t="n">
        <x:v>-6779.554702527748</x:v>
      </x:c>
      <x:c r="V1442" s="37" t="n">
        <x:v>0</x:v>
      </x:c>
      <x:c r="W1442" s="37" t="n">
        <x:v>100541.88088189252</x:v>
      </x:c>
      <x:c r="X1442" s="37" t="n">
        <x:v>0</x:v>
      </x:c>
      <x:c r="Y1442" s="37" t="n">
        <x:v>2160.99430510938</x:v>
      </x:c>
      <x:c r="Z1442" s="37" t="n">
        <x:v>10786494.477852095</x:v>
      </x:c>
      <x:c r="AA1442" s="37" t="n">
        <x:v>0</x:v>
      </x:c>
      <x:c r="AB1442" s="37" t="n">
        <x:v>10786494.477852095</x:v>
      </x:c>
      <x:c r="AC1442" s="37" t="n">
        <x:v>878421.1867861282</x:v>
      </x:c>
      <x:c r="AD1442" s="37" t="n">
        <x:v>0</x:v>
      </x:c>
      <x:c r="AE1442" s="37" t="n">
        <x:v>0</x:v>
      </x:c>
      <x:c r="AF1442" s="47" t="b">
        <x:v>0</x:v>
      </x:c>
      <x:c r="AG1442" s="47" t="b">
        <x:v>0</x:v>
      </x:c>
      <x:c r="AH1442" s="48" t="n">
        <x:v>0</x:v>
      </x:c>
      <x:c r="AI1442" s="48" t="n">
        <x:v>1.1920928955078125e-7</x:v>
      </x:c>
      <x:c r="AJ1442" s="37" t="str">
        <x:v>passed</x:v>
      </x:c>
    </x:row>
    <x:row r="1443" ht="21" customHeight="1">
      <x:c r="A1443" s="2"/>
      <x:c r="B1443" s="2"/>
      <x:c r="C1443" s="2" t="str">
        <x:v>2023</x:v>
      </x:c>
      <x:c r="D1443" s="5" t="n">
        <x:v>45086</x:v>
      </x:c>
      <x:c r="E1443" s="2" t="str">
        <x:v>unhedged</x:v>
      </x:c>
      <x:c r="F1443" s="37" t="n">
        <x:v>1273356.782559344</x:v>
      </x:c>
      <x:c r="G1443" s="37" t="n">
        <x:v>10539368.346144233</x:v>
      </x:c>
      <x:c r="H1443" s="37" t="n">
        <x:v>29325.30626951718</x:v>
      </x:c>
      <x:c r="I1443" s="37" t="n">
        <x:v>10510043.039874716</x:v>
      </x:c>
      <x:c r="J1443" s="37" t="n">
        <x:v>10539368.346144233</x:v>
      </x:c>
      <x:c r="K1443" s="37" t="n">
        <x:v>0</x:v>
      </x:c>
      <x:c r="L1443" s="37" t="n">
        <x:v>11812725.128703577</x:v>
      </x:c>
      <x:c r="M1443" s="37" t="n">
        <x:v>0</x:v>
      </x:c>
      <x:c r="N1443" s="37" t="n">
        <x:v>0</x:v>
      </x:c>
      <x:c r="O1443" s="37" t="n">
        <x:v>69.769151419634</x:v>
      </x:c>
      <x:c r="P1443" s="37" t="n">
        <x:v>0</x:v>
      </x:c>
      <x:c r="Q1443" s="37" t="n">
        <x:v>0</x:v>
      </x:c>
      <x:c r="R1443" s="37" t="n">
        <x:v>0</x:v>
      </x:c>
      <x:c r="S1443" s="37" t="n">
        <x:v>0</x:v>
      </x:c>
      <x:c r="T1443" s="37" t="n">
        <x:v>0</x:v>
      </x:c>
      <x:c r="U1443" s="37" t="n">
        <x:v>63750</x:v>
      </x:c>
      <x:c r="V1443" s="37" t="n">
        <x:v>0</x:v>
      </x:c>
      <x:c r="W1443" s="37" t="n">
        <x:v>10649.651901466306</x:v>
      </x:c>
      <x:c r="X1443" s="37" t="n">
        <x:v>0</x:v>
      </x:c>
      <x:c r="Y1443" s="37" t="n">
        <x:v>1042.869342122179</x:v>
      </x:c>
      <x:c r="Z1443" s="37" t="n">
        <x:v>0</x:v>
      </x:c>
      <x:c r="AA1443" s="37" t="n">
        <x:v>0</x:v>
      </x:c>
      <x:c r="AB1443" s="37" t="n">
        <x:v>0</x:v>
      </x:c>
      <x:c r="AC1443" s="37" t="n">
        <x:v>1273356.782559344</x:v>
      </x:c>
      <x:c r="AD1443" s="37" t="n">
        <x:v>0</x:v>
      </x:c>
      <x:c r="AE1443" s="37" t="n">
        <x:v>0</x:v>
      </x:c>
      <x:c r="AF1443" s="47" t="b">
        <x:v>0</x:v>
      </x:c>
      <x:c r="AG1443" s="47" t="b">
        <x:v>0</x:v>
      </x:c>
      <x:c r="AH1443" s="48" t="n">
        <x:v>0</x:v>
      </x:c>
      <x:c r="AI1443" s="48" t="n">
        <x:v>1.1920928955078125e-7</x:v>
      </x:c>
      <x:c r="AJ1443" s="37" t="str">
        <x:v>passed</x:v>
      </x:c>
    </x:row>
    <x:row r="1444" ht="21" customHeight="1">
      <x:c r="A1444" s="2"/>
      <x:c r="B1444" s="2"/>
      <x:c r="C1444" s="2" t="str">
        <x:v>2023</x:v>
      </x:c>
      <x:c r="D1444" s="5" t="n">
        <x:v>45086</x:v>
      </x:c>
      <x:c r="E1444" s="2" t="str">
        <x:v>duration</x:v>
      </x:c>
      <x:c r="F1444" s="37" t="n">
        <x:v>7658016.908456586</x:v>
      </x:c>
      <x:c r="G1444" s="37" t="n">
        <x:v>4086704.818679604</x:v>
      </x:c>
      <x:c r="H1444" s="37" t="n">
        <x:v>22040.79797013252</x:v>
      </x:c>
      <x:c r="I1444" s="37" t="n">
        <x:v>4064664.020709472</x:v>
      </x:c>
      <x:c r="J1444" s="37" t="n">
        <x:v>10539368.346144233</x:v>
      </x:c>
      <x:c r="K1444" s="37" t="n">
        <x:v>6452663.527464629</x:v>
      </x:c>
      <x:c r="L1444" s="37" t="n">
        <x:v>11744721.727136191</x:v>
      </x:c>
      <x:c r="M1444" s="37" t="n">
        <x:v>0</x:v>
      </x:c>
      <x:c r="N1444" s="37" t="n">
        <x:v>0</x:v>
      </x:c>
      <x:c r="O1444" s="37" t="n">
        <x:v>419.5943733751774</x:v>
      </x:c>
      <x:c r="P1444" s="37" t="n">
        <x:v>0</x:v>
      </x:c>
      <x:c r="Q1444" s="37" t="n">
        <x:v>0</x:v>
      </x:c>
      <x:c r="R1444" s="37" t="n">
        <x:v>0</x:v>
      </x:c>
      <x:c r="S1444" s="37" t="n">
        <x:v>0</x:v>
      </x:c>
      <x:c r="T1444" s="37" t="n">
        <x:v>0</x:v>
      </x:c>
      <x:c r="U1444" s="37" t="n">
        <x:v>9917.381478397001</x:v>
      </x:c>
      <x:c r="V1444" s="37" t="n">
        <x:v>0</x:v>
      </x:c>
      <x:c r="W1444" s="37" t="n">
        <x:v>66731.37361028325</x:v>
      </x:c>
      <x:c r="X1444" s="37" t="n">
        <x:v>0</x:v>
      </x:c>
      <x:c r="Y1444" s="37" t="n">
        <x:v>1727.9174649817678</x:v>
      </x:c>
      <x:c r="Z1444" s="37" t="n">
        <x:v>6581716.798013922</x:v>
      </x:c>
      <x:c r="AA1444" s="37" t="n">
        <x:v>0</x:v>
      </x:c>
      <x:c r="AB1444" s="37" t="n">
        <x:v>6581716.798013922</x:v>
      </x:c>
      <x:c r="AC1444" s="37" t="n">
        <x:v>1076300.1104426645</x:v>
      </x:c>
      <x:c r="AD1444" s="37" t="n">
        <x:v>0</x:v>
      </x:c>
      <x:c r="AE1444" s="37" t="n">
        <x:v>0</x:v>
      </x:c>
      <x:c r="AF1444" s="47" t="b">
        <x:v>0</x:v>
      </x:c>
      <x:c r="AG1444" s="47" t="b">
        <x:v>0</x:v>
      </x:c>
      <x:c r="AH1444" s="48" t="n">
        <x:v>0</x:v>
      </x:c>
      <x:c r="AI1444" s="48" t="n">
        <x:v>5.960464477539063e-8</x:v>
      </x:c>
      <x:c r="AJ1444" s="37" t="str">
        <x:v>passed</x:v>
      </x:c>
    </x:row>
    <x:row r="1445" ht="21" customHeight="1">
      <x:c r="A1445" s="2"/>
      <x:c r="B1445" s="2"/>
      <x:c r="C1445" s="2" t="str">
        <x:v>2023</x:v>
      </x:c>
      <x:c r="D1445" s="5" t="n">
        <x:v>45086</x:v>
      </x:c>
      <x:c r="E1445" s="2" t="str">
        <x:v>unweighted</x:v>
      </x:c>
      <x:c r="F1445" s="37" t="n">
        <x:v>11305697.16974578</x:v>
      </x:c>
      <x:c r="G1445" s="37" t="n">
        <x:v>428549.5052394497</x:v>
      </x:c>
      <x:c r="H1445" s="37" t="n">
        <x:v>22485.068817705625</x:v>
      </x:c>
      <x:c r="I1445" s="37" t="n">
        <x:v>406064.43642174406</x:v>
      </x:c>
      <x:c r="J1445" s="37" t="n">
        <x:v>10612205.498085726</x:v>
      </x:c>
      <x:c r="K1445" s="37" t="n">
        <x:v>10183655.992846277</x:v>
      </x:c>
      <x:c r="L1445" s="37" t="n">
        <x:v>11734246.67498523</x:v>
      </x:c>
      <x:c r="M1445" s="37" t="n">
        <x:v>0</x:v>
      </x:c>
      <x:c r="N1445" s="37" t="n">
        <x:v>0</x:v>
      </x:c>
      <x:c r="O1445" s="37" t="n">
        <x:v>619.4563130661845</x:v>
      </x:c>
      <x:c r="P1445" s="37" t="n">
        <x:v>0</x:v>
      </x:c>
      <x:c r="Q1445" s="37" t="n">
        <x:v>0</x:v>
      </x:c>
      <x:c r="R1445" s="37" t="n">
        <x:v>0</x:v>
      </x:c>
      <x:c r="S1445" s="37" t="n">
        <x:v>0</x:v>
      </x:c>
      <x:c r="T1445" s="37" t="n">
        <x:v>0</x:v>
      </x:c>
      <x:c r="U1445" s="37" t="n">
        <x:v>-5694.19584657007</x:v>
      </x:c>
      <x:c r="V1445" s="37" t="n">
        <x:v>0</x:v>
      </x:c>
      <x:c r="W1445" s="37" t="n">
        <x:v>96644.94879668951</x:v>
      </x:c>
      <x:c r="X1445" s="37" t="n">
        <x:v>0</x:v>
      </x:c>
      <x:c r="Y1445" s="37" t="n">
        <x:v>2117.7401952623777</x:v>
      </x:c>
      <x:c r="Z1445" s="37" t="n">
        <x:v>10387329.112703202</x:v>
      </x:c>
      <x:c r="AA1445" s="37" t="n">
        <x:v>0</x:v>
      </x:c>
      <x:c r="AB1445" s="37" t="n">
        <x:v>10387329.112703202</x:v>
      </x:c>
      <x:c r="AC1445" s="37" t="n">
        <x:v>918368.0570425782</x:v>
      </x:c>
      <x:c r="AD1445" s="37" t="n">
        <x:v>0</x:v>
      </x:c>
      <x:c r="AE1445" s="37" t="n">
        <x:v>0</x:v>
      </x:c>
      <x:c r="AF1445" s="47" t="b">
        <x:v>0</x:v>
      </x:c>
      <x:c r="AG1445" s="47" t="b">
        <x:v>0</x:v>
      </x:c>
      <x:c r="AH1445" s="48" t="n">
        <x:v>0</x:v>
      </x:c>
      <x:c r="AI1445" s="48" t="n">
        <x:v>1.1920928955078125e-7</x:v>
      </x:c>
      <x:c r="AJ1445" s="37" t="str">
        <x:v>passed</x:v>
      </x:c>
    </x:row>
    <x:row r="1446" ht="21" customHeight="1">
      <x:c r="A1446" s="2"/>
      <x:c r="B1446" s="2"/>
      <x:c r="C1446" s="2" t="str">
        <x:v>2023</x:v>
      </x:c>
      <x:c r="D1446" s="5" t="n">
        <x:v>45086</x:v>
      </x:c>
      <x:c r="E1446" s="2" t="str">
        <x:v>constrained</x:v>
      </x:c>
      <x:c r="F1446" s="37" t="n">
        <x:v>11665554.8380993</x:v>
      </x:c>
      <x:c r="G1446" s="37" t="n">
        <x:v>62150.642218810666</x:v>
      </x:c>
      <x:c r="H1446" s="37" t="n">
        <x:v>22460.251473148706</x:v>
      </x:c>
      <x:c r="I1446" s="37" t="n">
        <x:v>39690.39074566196</x:v>
      </x:c>
      <x:c r="J1446" s="37" t="n">
        <x:v>10620872.43474815</x:v>
      </x:c>
      <x:c r="K1446" s="37" t="n">
        <x:v>10558721.792529339</x:v>
      </x:c>
      <x:c r="L1446" s="37" t="n">
        <x:v>11727705.480318112</x:v>
      </x:c>
      <x:c r="M1446" s="37" t="n">
        <x:v>0</x:v>
      </x:c>
      <x:c r="N1446" s="37" t="n">
        <x:v>0</x:v>
      </x:c>
      <x:c r="O1446" s="37" t="n">
        <x:v>639.1734610777348</x:v>
      </x:c>
      <x:c r="P1446" s="37" t="n">
        <x:v>0</x:v>
      </x:c>
      <x:c r="Q1446" s="37" t="n">
        <x:v>0</x:v>
      </x:c>
      <x:c r="R1446" s="37" t="n">
        <x:v>0</x:v>
      </x:c>
      <x:c r="S1446" s="37" t="n">
        <x:v>0</x:v>
      </x:c>
      <x:c r="T1446" s="37" t="n">
        <x:v>0</x:v>
      </x:c>
      <x:c r="U1446" s="37" t="n">
        <x:v>-6779.554702527748</x:v>
      </x:c>
      <x:c r="V1446" s="37" t="n">
        <x:v>0</x:v>
      </x:c>
      <x:c r="W1446" s="37" t="n">
        <x:v>101181.05434297025</x:v>
      </x:c>
      <x:c r="X1446" s="37" t="n">
        <x:v>0</x:v>
      </x:c>
      <x:c r="Y1446" s="37" t="n">
        <x:v>2160.99430510938</x:v>
      </x:c>
      <x:c r="Z1446" s="37" t="n">
        <x:v>10769896.228379926</x:v>
      </x:c>
      <x:c r="AA1446" s="37" t="n">
        <x:v>0</x:v>
      </x:c>
      <x:c r="AB1446" s="37" t="n">
        <x:v>10769896.228379926</x:v>
      </x:c>
      <x:c r="AC1446" s="37" t="n">
        <x:v>895658.6097193751</x:v>
      </x:c>
      <x:c r="AD1446" s="37" t="n">
        <x:v>0</x:v>
      </x:c>
      <x:c r="AE1446" s="37" t="n">
        <x:v>0</x:v>
      </x:c>
      <x:c r="AF1446" s="47" t="b">
        <x:v>0</x:v>
      </x:c>
      <x:c r="AG1446" s="47" t="b">
        <x:v>0</x:v>
      </x:c>
      <x:c r="AH1446" s="48" t="n">
        <x:v>0</x:v>
      </x:c>
      <x:c r="AI1446" s="48" t="n">
        <x:v>1.1920928955078125e-7</x:v>
      </x:c>
      <x:c r="AJ1446" s="37" t="str">
        <x:v>passed</x:v>
      </x:c>
    </x:row>
    <x:row r="1447" ht="21" customHeight="1">
      <x:c r="A1447" s="2"/>
      <x:c r="B1447" s="2"/>
      <x:c r="C1447" s="2" t="str">
        <x:v>2023</x:v>
      </x:c>
      <x:c r="D1447" s="5" t="n">
        <x:v>45089</x:v>
      </x:c>
      <x:c r="E1447" s="2" t="str">
        <x:v>unhedged</x:v>
      </x:c>
      <x:c r="F1447" s="37" t="n">
        <x:v>1273566.1129522442</x:v>
      </x:c>
      <x:c r="G1447" s="37" t="n">
        <x:v>10552259.961379003</x:v>
      </x:c>
      <x:c r="H1447" s="37" t="n">
        <x:v>30374.842361277922</x:v>
      </x:c>
      <x:c r="I1447" s="37" t="n">
        <x:v>10521885.119017724</x:v>
      </x:c>
      <x:c r="J1447" s="37" t="n">
        <x:v>10552259.961379003</x:v>
      </x:c>
      <x:c r="K1447" s="37" t="n">
        <x:v>0</x:v>
      </x:c>
      <x:c r="L1447" s="37" t="n">
        <x:v>11825826.074331246</x:v>
      </x:c>
      <x:c r="M1447" s="37" t="n">
        <x:v>0</x:v>
      </x:c>
      <x:c r="N1447" s="37" t="n">
        <x:v>0</x:v>
      </x:c>
      <x:c r="O1447" s="37" t="n">
        <x:v>209.33039290015586</x:v>
      </x:c>
      <x:c r="P1447" s="37" t="n">
        <x:v>0</x:v>
      </x:c>
      <x:c r="Q1447" s="37" t="n">
        <x:v>0</x:v>
      </x:c>
      <x:c r="R1447" s="37" t="n">
        <x:v>0</x:v>
      </x:c>
      <x:c r="S1447" s="37" t="n">
        <x:v>0</x:v>
      </x:c>
      <x:c r="T1447" s="37" t="n">
        <x:v>0</x:v>
      </x:c>
      <x:c r="U1447" s="37" t="n">
        <x:v>63750</x:v>
      </x:c>
      <x:c r="V1447" s="37" t="n">
        <x:v>0</x:v>
      </x:c>
      <x:c r="W1447" s="37" t="n">
        <x:v>10858.982294366462</x:v>
      </x:c>
      <x:c r="X1447" s="37" t="n">
        <x:v>0</x:v>
      </x:c>
      <x:c r="Y1447" s="37" t="n">
        <x:v>1042.869342122179</x:v>
      </x:c>
      <x:c r="Z1447" s="37" t="n">
        <x:v>0</x:v>
      </x:c>
      <x:c r="AA1447" s="37" t="n">
        <x:v>0</x:v>
      </x:c>
      <x:c r="AB1447" s="37" t="n">
        <x:v>0</x:v>
      </x:c>
      <x:c r="AC1447" s="37" t="n">
        <x:v>1273566.1129522442</x:v>
      </x:c>
      <x:c r="AD1447" s="37" t="n">
        <x:v>0</x:v>
      </x:c>
      <x:c r="AE1447" s="37" t="n">
        <x:v>0</x:v>
      </x:c>
      <x:c r="AF1447" s="47" t="b">
        <x:v>0</x:v>
      </x:c>
      <x:c r="AG1447" s="47" t="b">
        <x:v>0</x:v>
      </x:c>
      <x:c r="AH1447" s="48" t="n">
        <x:v>0</x:v>
      </x:c>
      <x:c r="AI1447" s="48" t="n">
        <x:v>1.1920928955078125e-7</x:v>
      </x:c>
      <x:c r="AJ1447" s="37" t="str">
        <x:v>passed</x:v>
      </x:c>
    </x:row>
    <x:row r="1448" ht="21" customHeight="1">
      <x:c r="A1448" s="2"/>
      <x:c r="B1448" s="2"/>
      <x:c r="C1448" s="2" t="str">
        <x:v>2023</x:v>
      </x:c>
      <x:c r="D1448" s="5" t="n">
        <x:v>45089</x:v>
      </x:c>
      <x:c r="E1448" s="2" t="str">
        <x:v>duration</x:v>
      </x:c>
      <x:c r="F1448" s="37" t="n">
        <x:v>7659275.829530585</x:v>
      </x:c>
      <x:c r="G1448" s="37" t="n">
        <x:v>4090249.1669104146</x:v>
      </x:c>
      <x:c r="H1448" s="37" t="n">
        <x:v>22216.193065967105</x:v>
      </x:c>
      <x:c r="I1448" s="37" t="n">
        <x:v>4068032.9738444476</x:v>
      </x:c>
      <x:c r="J1448" s="37" t="n">
        <x:v>10552259.961379003</x:v>
      </x:c>
      <x:c r="K1448" s="37" t="n">
        <x:v>6462010.794468588</x:v>
      </x:c>
      <x:c r="L1448" s="37" t="n">
        <x:v>11749524.996441</x:v>
      </x:c>
      <x:c r="M1448" s="37" t="n">
        <x:v>0</x:v>
      </x:c>
      <x:c r="N1448" s="37" t="n">
        <x:v>0</x:v>
      </x:c>
      <x:c r="O1448" s="37" t="n">
        <x:v>1258.9210739983246</x:v>
      </x:c>
      <x:c r="P1448" s="37" t="n">
        <x:v>0</x:v>
      </x:c>
      <x:c r="Q1448" s="37" t="n">
        <x:v>0</x:v>
      </x:c>
      <x:c r="R1448" s="37" t="n">
        <x:v>0</x:v>
      </x:c>
      <x:c r="S1448" s="37" t="n">
        <x:v>0</x:v>
      </x:c>
      <x:c r="T1448" s="37" t="n">
        <x:v>0</x:v>
      </x:c>
      <x:c r="U1448" s="37" t="n">
        <x:v>9917.381478397001</x:v>
      </x:c>
      <x:c r="V1448" s="37" t="n">
        <x:v>0</x:v>
      </x:c>
      <x:c r="W1448" s="37" t="n">
        <x:v>67990.29468428157</x:v>
      </x:c>
      <x:c r="X1448" s="37" t="n">
        <x:v>0</x:v>
      </x:c>
      <x:c r="Y1448" s="37" t="n">
        <x:v>1727.9174649817678</x:v>
      </x:c>
      <x:c r="Z1448" s="37" t="n">
        <x:v>6591251.01035796</x:v>
      </x:c>
      <x:c r="AA1448" s="37" t="n">
        <x:v>0</x:v>
      </x:c>
      <x:c r="AB1448" s="37" t="n">
        <x:v>6591251.01035796</x:v>
      </x:c>
      <x:c r="AC1448" s="37" t="n">
        <x:v>1068024.8191726245</x:v>
      </x:c>
      <x:c r="AD1448" s="37" t="n">
        <x:v>0</x:v>
      </x:c>
      <x:c r="AE1448" s="37" t="n">
        <x:v>0</x:v>
      </x:c>
      <x:c r="AF1448" s="47" t="b">
        <x:v>0</x:v>
      </x:c>
      <x:c r="AG1448" s="47" t="b">
        <x:v>0</x:v>
      </x:c>
      <x:c r="AH1448" s="48" t="n">
        <x:v>0</x:v>
      </x:c>
      <x:c r="AI1448" s="48" t="n">
        <x:v>5.960464477539063e-8</x:v>
      </x:c>
      <x:c r="AJ1448" s="37" t="str">
        <x:v>passed</x:v>
      </x:c>
    </x:row>
    <x:row r="1449" ht="21" customHeight="1">
      <x:c r="A1449" s="2"/>
      <x:c r="B1449" s="2"/>
      <x:c r="C1449" s="2" t="str">
        <x:v>2023</x:v>
      </x:c>
      <x:c r="D1449" s="5" t="n">
        <x:v>45089</x:v>
      </x:c>
      <x:c r="E1449" s="2" t="str">
        <x:v>unweighted</x:v>
      </x:c>
      <x:c r="F1449" s="37" t="n">
        <x:v>11307555.742349284</x:v>
      </x:c>
      <x:c r="G1449" s="37" t="n">
        <x:v>428885.49062719033</x:v>
      </x:c>
      <x:c r="H1449" s="37" t="n">
        <x:v>22406.13951924539</x:v>
      </x:c>
      <x:c r="I1449" s="37" t="n">
        <x:v>406479.35110794497</x:v>
      </x:c>
      <x:c r="J1449" s="37" t="n">
        <x:v>10625229.790728085</x:v>
      </x:c>
      <x:c r="K1449" s="37" t="n">
        <x:v>10196344.300100895</x:v>
      </x:c>
      <x:c r="L1449" s="37" t="n">
        <x:v>11736441.232976474</x:v>
      </x:c>
      <x:c r="M1449" s="37" t="n">
        <x:v>0</x:v>
      </x:c>
      <x:c r="N1449" s="37" t="n">
        <x:v>0</x:v>
      </x:c>
      <x:c r="O1449" s="37" t="n">
        <x:v>1858.5726035032421</x:v>
      </x:c>
      <x:c r="P1449" s="37" t="n">
        <x:v>0</x:v>
      </x:c>
      <x:c r="Q1449" s="37" t="n">
        <x:v>0</x:v>
      </x:c>
      <x:c r="R1449" s="37" t="n">
        <x:v>0</x:v>
      </x:c>
      <x:c r="S1449" s="37" t="n">
        <x:v>0</x:v>
      </x:c>
      <x:c r="T1449" s="37" t="n">
        <x:v>0</x:v>
      </x:c>
      <x:c r="U1449" s="37" t="n">
        <x:v>-5694.19584657007</x:v>
      </x:c>
      <x:c r="V1449" s="37" t="n">
        <x:v>0</x:v>
      </x:c>
      <x:c r="W1449" s="37" t="n">
        <x:v>98503.52140019275</x:v>
      </x:c>
      <x:c r="X1449" s="37" t="n">
        <x:v>0</x:v>
      </x:c>
      <x:c r="Y1449" s="37" t="n">
        <x:v>2117.7401952623777</x:v>
      </x:c>
      <x:c r="Z1449" s="37" t="n">
        <x:v>10400271.186102912</x:v>
      </x:c>
      <x:c r="AA1449" s="37" t="n">
        <x:v>0</x:v>
      </x:c>
      <x:c r="AB1449" s="37" t="n">
        <x:v>10400271.186102912</x:v>
      </x:c>
      <x:c r="AC1449" s="37" t="n">
        <x:v>907284.5562463719</x:v>
      </x:c>
      <x:c r="AD1449" s="37" t="n">
        <x:v>0</x:v>
      </x:c>
      <x:c r="AE1449" s="37" t="n">
        <x:v>0</x:v>
      </x:c>
      <x:c r="AF1449" s="47" t="b">
        <x:v>0</x:v>
      </x:c>
      <x:c r="AG1449" s="47" t="b">
        <x:v>0</x:v>
      </x:c>
      <x:c r="AH1449" s="48" t="n">
        <x:v>0</x:v>
      </x:c>
      <x:c r="AI1449" s="48" t="n">
        <x:v>1.1920928955078125e-7</x:v>
      </x:c>
      <x:c r="AJ1449" s="37" t="str">
        <x:v>passed</x:v>
      </x:c>
    </x:row>
    <x:row r="1450" ht="21" customHeight="1">
      <x:c r="A1450" s="2"/>
      <x:c r="B1450" s="2"/>
      <x:c r="C1450" s="2" t="str">
        <x:v>2023</x:v>
      </x:c>
      <x:c r="D1450" s="5" t="n">
        <x:v>45089</x:v>
      </x:c>
      <x:c r="E1450" s="2" t="str">
        <x:v>constrained</x:v>
      </x:c>
      <x:c r="F1450" s="37" t="n">
        <x:v>11667472.568629425</x:v>
      </x:c>
      <x:c r="G1450" s="37" t="n">
        <x:v>62299.97694346289</x:v>
      </x:c>
      <x:c r="H1450" s="37" t="n">
        <x:v>22363.458055446878</x:v>
      </x:c>
      <x:c r="I1450" s="37" t="n">
        <x:v>39936.51888801601</x:v>
      </x:c>
      <x:c r="J1450" s="37" t="n">
        <x:v>10633912.5147553</x:v>
      </x:c>
      <x:c r="K1450" s="37" t="n">
        <x:v>10571612.537811836</x:v>
      </x:c>
      <x:c r="L1450" s="37" t="n">
        <x:v>11729772.545572888</x:v>
      </x:c>
      <x:c r="M1450" s="37" t="n">
        <x:v>0</x:v>
      </x:c>
      <x:c r="N1450" s="37" t="n">
        <x:v>0</x:v>
      </x:c>
      <x:c r="O1450" s="37" t="n">
        <x:v>1917.7305301241577</x:v>
      </x:c>
      <x:c r="P1450" s="37" t="n">
        <x:v>0</x:v>
      </x:c>
      <x:c r="Q1450" s="37" t="n">
        <x:v>0</x:v>
      </x:c>
      <x:c r="R1450" s="37" t="n">
        <x:v>0</x:v>
      </x:c>
      <x:c r="S1450" s="37" t="n">
        <x:v>0</x:v>
      </x:c>
      <x:c r="T1450" s="37" t="n">
        <x:v>0</x:v>
      </x:c>
      <x:c r="U1450" s="37" t="n">
        <x:v>-6779.554702527748</x:v>
      </x:c>
      <x:c r="V1450" s="37" t="n">
        <x:v>0</x:v>
      </x:c>
      <x:c r="W1450" s="37" t="n">
        <x:v>103098.78487309441</x:v>
      </x:c>
      <x:c r="X1450" s="37" t="n">
        <x:v>0</x:v>
      </x:c>
      <x:c r="Y1450" s="37" t="n">
        <x:v>2160.99430510938</x:v>
      </x:c>
      <x:c r="Z1450" s="37" t="n">
        <x:v>10783044.788568074</x:v>
      </x:c>
      <x:c r="AA1450" s="37" t="n">
        <x:v>0</x:v>
      </x:c>
      <x:c r="AB1450" s="37" t="n">
        <x:v>10783044.788568074</x:v>
      </x:c>
      <x:c r="AC1450" s="37" t="n">
        <x:v>884427.7800613511</x:v>
      </x:c>
      <x:c r="AD1450" s="37" t="n">
        <x:v>0</x:v>
      </x:c>
      <x:c r="AE1450" s="37" t="n">
        <x:v>0</x:v>
      </x:c>
      <x:c r="AF1450" s="47" t="b">
        <x:v>0</x:v>
      </x:c>
      <x:c r="AG1450" s="47" t="b">
        <x:v>0</x:v>
      </x:c>
      <x:c r="AH1450" s="48" t="n">
        <x:v>0</x:v>
      </x:c>
      <x:c r="AI1450" s="48" t="n">
        <x:v>1.1920928955078125e-7</x:v>
      </x:c>
      <x:c r="AJ1450" s="37" t="str">
        <x:v>passed</x:v>
      </x:c>
    </x:row>
    <x:row r="1451" ht="21" customHeight="1">
      <x:c r="A1451" s="2"/>
      <x:c r="B1451" s="2"/>
      <x:c r="C1451" s="2" t="str">
        <x:v>2023</x:v>
      </x:c>
      <x:c r="D1451" s="5" t="n">
        <x:v>45090</x:v>
      </x:c>
      <x:c r="E1451" s="2" t="str">
        <x:v>unhedged</x:v>
      </x:c>
      <x:c r="F1451" s="37" t="n">
        <x:v>1273635.8973967896</x:v>
      </x:c>
      <x:c r="G1451" s="37" t="n">
        <x:v>10501734.204473954</x:v>
      </x:c>
      <x:c r="H1451" s="37" t="n">
        <x:v>30724.68772519817</x:v>
      </x:c>
      <x:c r="I1451" s="37" t="n">
        <x:v>10471009.516748756</x:v>
      </x:c>
      <x:c r="J1451" s="37" t="n">
        <x:v>10501734.204473954</x:v>
      </x:c>
      <x:c r="K1451" s="37" t="n">
        <x:v>0</x:v>
      </x:c>
      <x:c r="L1451" s="37" t="n">
        <x:v>11775370.101870744</x:v>
      </x:c>
      <x:c r="M1451" s="37" t="n">
        <x:v>0</x:v>
      </x:c>
      <x:c r="N1451" s="37" t="n">
        <x:v>0</x:v>
      </x:c>
      <x:c r="O1451" s="37" t="n">
        <x:v>69.78444454539567</x:v>
      </x:c>
      <x:c r="P1451" s="37" t="n">
        <x:v>0</x:v>
      </x:c>
      <x:c r="Q1451" s="37" t="n">
        <x:v>0</x:v>
      </x:c>
      <x:c r="R1451" s="37" t="n">
        <x:v>0</x:v>
      </x:c>
      <x:c r="S1451" s="37" t="n">
        <x:v>0</x:v>
      </x:c>
      <x:c r="T1451" s="37" t="n">
        <x:v>0</x:v>
      </x:c>
      <x:c r="U1451" s="37" t="n">
        <x:v>63750</x:v>
      </x:c>
      <x:c r="V1451" s="37" t="n">
        <x:v>0</x:v>
      </x:c>
      <x:c r="W1451" s="37" t="n">
        <x:v>10928.766738911858</x:v>
      </x:c>
      <x:c r="X1451" s="37" t="n">
        <x:v>0</x:v>
      </x:c>
      <x:c r="Y1451" s="37" t="n">
        <x:v>1042.869342122179</x:v>
      </x:c>
      <x:c r="Z1451" s="37" t="n">
        <x:v>0</x:v>
      </x:c>
      <x:c r="AA1451" s="37" t="n">
        <x:v>0</x:v>
      </x:c>
      <x:c r="AB1451" s="37" t="n">
        <x:v>0</x:v>
      </x:c>
      <x:c r="AC1451" s="37" t="n">
        <x:v>1273635.8973967896</x:v>
      </x:c>
      <x:c r="AD1451" s="37" t="n">
        <x:v>0</x:v>
      </x:c>
      <x:c r="AE1451" s="37" t="n">
        <x:v>0</x:v>
      </x:c>
      <x:c r="AF1451" s="47" t="b">
        <x:v>0</x:v>
      </x:c>
      <x:c r="AG1451" s="47" t="b">
        <x:v>0</x:v>
      </x:c>
      <x:c r="AH1451" s="48" t="n">
        <x:v>0</x:v>
      </x:c>
      <x:c r="AI1451" s="48" t="n">
        <x:v>1.1920928955078125e-7</x:v>
      </x:c>
      <x:c r="AJ1451" s="37" t="str">
        <x:v>passed</x:v>
      </x:c>
    </x:row>
    <x:row r="1452" ht="21" customHeight="1">
      <x:c r="A1452" s="2"/>
      <x:c r="B1452" s="2"/>
      <x:c r="C1452" s="2" t="str">
        <x:v>2023</x:v>
      </x:c>
      <x:c r="D1452" s="5" t="n">
        <x:v>45090</x:v>
      </x:c>
      <x:c r="E1452" s="2" t="str">
        <x:v>duration</x:v>
      </x:c>
      <x:c r="F1452" s="37" t="n">
        <x:v>7659695.515877409</x:v>
      </x:c>
      <x:c r="G1452" s="37" t="n">
        <x:v>4086692.264605445</x:v>
      </x:c>
      <x:c r="H1452" s="37" t="n">
        <x:v>22274.658097911968</x:v>
      </x:c>
      <x:c r="I1452" s="37" t="n">
        <x:v>4064417.6065075328</x:v>
      </x:c>
      <x:c r="J1452" s="37" t="n">
        <x:v>10501734.204473954</x:v>
      </x:c>
      <x:c r="K1452" s="37" t="n">
        <x:v>6415041.939868509</x:v>
      </x:c>
      <x:c r="L1452" s="37" t="n">
        <x:v>11746387.780482855</x:v>
      </x:c>
      <x:c r="M1452" s="37" t="n">
        <x:v>0</x:v>
      </x:c>
      <x:c r="N1452" s="37" t="n">
        <x:v>0</x:v>
      </x:c>
      <x:c r="O1452" s="37" t="n">
        <x:v>419.6863468242809</x:v>
      </x:c>
      <x:c r="P1452" s="37" t="n">
        <x:v>0</x:v>
      </x:c>
      <x:c r="Q1452" s="37" t="n">
        <x:v>0</x:v>
      </x:c>
      <x:c r="R1452" s="37" t="n">
        <x:v>0</x:v>
      </x:c>
      <x:c r="S1452" s="37" t="n">
        <x:v>0</x:v>
      </x:c>
      <x:c r="T1452" s="37" t="n">
        <x:v>0</x:v>
      </x:c>
      <x:c r="U1452" s="37" t="n">
        <x:v>9917.381478397001</x:v>
      </x:c>
      <x:c r="V1452" s="37" t="n">
        <x:v>0</x:v>
      </x:c>
      <x:c r="W1452" s="37" t="n">
        <x:v>68409.98103110585</x:v>
      </x:c>
      <x:c r="X1452" s="37" t="n">
        <x:v>0</x:v>
      </x:c>
      <x:c r="Y1452" s="37" t="n">
        <x:v>1727.9174649817678</x:v>
      </x:c>
      <x:c r="Z1452" s="37" t="n">
        <x:v>6543342.778665879</x:v>
      </x:c>
      <x:c r="AA1452" s="37" t="n">
        <x:v>0</x:v>
      </x:c>
      <x:c r="AB1452" s="37" t="n">
        <x:v>6543342.778665879</x:v>
      </x:c>
      <x:c r="AC1452" s="37" t="n">
        <x:v>1116352.73721153</x:v>
      </x:c>
      <x:c r="AD1452" s="37" t="n">
        <x:v>0</x:v>
      </x:c>
      <x:c r="AE1452" s="37" t="n">
        <x:v>0</x:v>
      </x:c>
      <x:c r="AF1452" s="47" t="b">
        <x:v>0</x:v>
      </x:c>
      <x:c r="AG1452" s="47" t="b">
        <x:v>0</x:v>
      </x:c>
      <x:c r="AH1452" s="48" t="n">
        <x:v>0</x:v>
      </x:c>
      <x:c r="AI1452" s="48" t="n">
        <x:v>5.960464477539063e-8</x:v>
      </x:c>
      <x:c r="AJ1452" s="37" t="str">
        <x:v>passed</x:v>
      </x:c>
    </x:row>
    <x:row r="1453" ht="21" customHeight="1">
      <x:c r="A1453" s="2"/>
      <x:c r="B1453" s="2"/>
      <x:c r="C1453" s="2" t="str">
        <x:v>2023</x:v>
      </x:c>
      <x:c r="D1453" s="5" t="n">
        <x:v>45090</x:v>
      </x:c>
      <x:c r="E1453" s="2" t="str">
        <x:v>unweighted</x:v>
      </x:c>
      <x:c r="F1453" s="37" t="n">
        <x:v>11308175.334444756</x:v>
      </x:c>
      <x:c r="G1453" s="37" t="n">
        <x:v>428605.1402503773</x:v>
      </x:c>
      <x:c r="H1453" s="37" t="n">
        <x:v>22379.82975309198</x:v>
      </x:c>
      <x:c r="I1453" s="37" t="n">
        <x:v>406225.31049728533</x:v>
      </x:c>
      <x:c r="J1453" s="37" t="n">
        <x:v>10573814.361595448</x:v>
      </x:c>
      <x:c r="K1453" s="37" t="n">
        <x:v>10145209.22134507</x:v>
      </x:c>
      <x:c r="L1453" s="37" t="n">
        <x:v>11736780.474695133</x:v>
      </x:c>
      <x:c r="M1453" s="37" t="n">
        <x:v>0</x:v>
      </x:c>
      <x:c r="N1453" s="37" t="n">
        <x:v>0</x:v>
      </x:c>
      <x:c r="O1453" s="37" t="n">
        <x:v>619.5920954719186</x:v>
      </x:c>
      <x:c r="P1453" s="37" t="n">
        <x:v>0</x:v>
      </x:c>
      <x:c r="Q1453" s="37" t="n">
        <x:v>0</x:v>
      </x:c>
      <x:c r="R1453" s="37" t="n">
        <x:v>0</x:v>
      </x:c>
      <x:c r="S1453" s="37" t="n">
        <x:v>0</x:v>
      </x:c>
      <x:c r="T1453" s="37" t="n">
        <x:v>0</x:v>
      </x:c>
      <x:c r="U1453" s="37" t="n">
        <x:v>-5694.19584657007</x:v>
      </x:c>
      <x:c r="V1453" s="37" t="n">
        <x:v>0</x:v>
      </x:c>
      <x:c r="W1453" s="37" t="n">
        <x:v>99123.11349566467</x:v>
      </x:c>
      <x:c r="X1453" s="37" t="n">
        <x:v>0</x:v>
      </x:c>
      <x:c r="Y1453" s="37" t="n">
        <x:v>2117.7401952623777</x:v>
      </x:c>
      <x:c r="Z1453" s="37" t="n">
        <x:v>10348113.405771973</x:v>
      </x:c>
      <x:c r="AA1453" s="37" t="n">
        <x:v>0</x:v>
      </x:c>
      <x:c r="AB1453" s="37" t="n">
        <x:v>10348113.405771973</x:v>
      </x:c>
      <x:c r="AC1453" s="37" t="n">
        <x:v>960061.9286727831</x:v>
      </x:c>
      <x:c r="AD1453" s="37" t="n">
        <x:v>0</x:v>
      </x:c>
      <x:c r="AE1453" s="37" t="n">
        <x:v>0</x:v>
      </x:c>
      <x:c r="AF1453" s="47" t="b">
        <x:v>0</x:v>
      </x:c>
      <x:c r="AG1453" s="47" t="b">
        <x:v>0</x:v>
      </x:c>
      <x:c r="AH1453" s="48" t="n">
        <x:v>0</x:v>
      </x:c>
      <x:c r="AI1453" s="48" t="n">
        <x:v>1.1920928955078125e-7</x:v>
      </x:c>
      <x:c r="AJ1453" s="37" t="str">
        <x:v>passed</x:v>
      </x:c>
    </x:row>
    <x:row r="1454" ht="21" customHeight="1">
      <x:c r="A1454" s="2"/>
      <x:c r="B1454" s="2"/>
      <x:c r="C1454" s="2" t="str">
        <x:v>2023</x:v>
      </x:c>
      <x:c r="D1454" s="5" t="n">
        <x:v>45090</x:v>
      </x:c>
      <x:c r="E1454" s="2" t="str">
        <x:v>constrained</x:v>
      </x:c>
      <x:c r="F1454" s="37" t="n">
        <x:v>11668111.88219483</x:v>
      </x:c>
      <x:c r="G1454" s="37" t="n">
        <x:v>62047.73987485064</x:v>
      </x:c>
      <x:c r="H1454" s="37" t="n">
        <x:v>22331.193582879605</x:v>
      </x:c>
      <x:c r="I1454" s="37" t="n">
        <x:v>39716.54629197103</x:v>
      </x:c>
      <x:c r="J1454" s="37" t="n">
        <x:v>10582391.22298744</x:v>
      </x:c>
      <x:c r="K1454" s="37" t="n">
        <x:v>10520343.483112589</x:v>
      </x:c>
      <x:c r="L1454" s="37" t="n">
        <x:v>11730159.622069681</x:v>
      </x:c>
      <x:c r="M1454" s="37" t="n">
        <x:v>0</x:v>
      </x:c>
      <x:c r="N1454" s="37" t="n">
        <x:v>0</x:v>
      </x:c>
      <x:c r="O1454" s="37" t="n">
        <x:v>639.3135654050857</x:v>
      </x:c>
      <x:c r="P1454" s="37" t="n">
        <x:v>0</x:v>
      </x:c>
      <x:c r="Q1454" s="37" t="n">
        <x:v>0</x:v>
      </x:c>
      <x:c r="R1454" s="37" t="n">
        <x:v>0</x:v>
      </x:c>
      <x:c r="S1454" s="37" t="n">
        <x:v>0</x:v>
      </x:c>
      <x:c r="T1454" s="37" t="n">
        <x:v>0</x:v>
      </x:c>
      <x:c r="U1454" s="37" t="n">
        <x:v>-6779.554702527748</x:v>
      </x:c>
      <x:c r="V1454" s="37" t="n">
        <x:v>0</x:v>
      </x:c>
      <x:c r="W1454" s="37" t="n">
        <x:v>103738.0984384995</x:v>
      </x:c>
      <x:c r="X1454" s="37" t="n">
        <x:v>0</x:v>
      </x:c>
      <x:c r="Y1454" s="37" t="n">
        <x:v>2160.99430510938</x:v>
      </x:c>
      <x:c r="Z1454" s="37" t="n">
        <x:v>10730750.35277484</x:v>
      </x:c>
      <x:c r="AA1454" s="37" t="n">
        <x:v>0</x:v>
      </x:c>
      <x:c r="AB1454" s="37" t="n">
        <x:v>10730750.35277484</x:v>
      </x:c>
      <x:c r="AC1454" s="37" t="n">
        <x:v>937361.5294199903</x:v>
      </x:c>
      <x:c r="AD1454" s="37" t="n">
        <x:v>0</x:v>
      </x:c>
      <x:c r="AE1454" s="37" t="n">
        <x:v>0</x:v>
      </x:c>
      <x:c r="AF1454" s="47" t="b">
        <x:v>0</x:v>
      </x:c>
      <x:c r="AG1454" s="47" t="b">
        <x:v>0</x:v>
      </x:c>
      <x:c r="AH1454" s="48" t="n">
        <x:v>0</x:v>
      </x:c>
      <x:c r="AI1454" s="48" t="n">
        <x:v>1.1920928955078125e-7</x:v>
      </x:c>
      <x:c r="AJ1454" s="37" t="str">
        <x:v>passed</x:v>
      </x:c>
    </x:row>
    <x:row r="1455" ht="21" customHeight="1">
      <x:c r="A1455" s="2"/>
      <x:c r="B1455" s="2"/>
      <x:c r="C1455" s="2" t="str">
        <x:v>2023</x:v>
      </x:c>
      <x:c r="D1455" s="5" t="n">
        <x:v>45091</x:v>
      </x:c>
      <x:c r="E1455" s="2" t="str">
        <x:v>unhedged</x:v>
      </x:c>
      <x:c r="F1455" s="37" t="n">
        <x:v>1273705.6856651404</x:v>
      </x:c>
      <x:c r="G1455" s="37" t="n">
        <x:v>10499802.327477477</x:v>
      </x:c>
      <x:c r="H1455" s="37" t="n">
        <x:v>31074.533089118428</x:v>
      </x:c>
      <x:c r="I1455" s="37" t="n">
        <x:v>10468727.79438836</x:v>
      </x:c>
      <x:c r="J1455" s="37" t="n">
        <x:v>10499802.327477477</x:v>
      </x:c>
      <x:c r="K1455" s="37" t="n">
        <x:v>0</x:v>
      </x:c>
      <x:c r="L1455" s="37" t="n">
        <x:v>11773508.013142617</x:v>
      </x:c>
      <x:c r="M1455" s="37" t="n">
        <x:v>0</x:v>
      </x:c>
      <x:c r="N1455" s="37" t="n">
        <x:v>0</x:v>
      </x:c>
      <x:c r="O1455" s="37" t="n">
        <x:v>69.78826835076325</x:v>
      </x:c>
      <x:c r="P1455" s="37" t="n">
        <x:v>0</x:v>
      </x:c>
      <x:c r="Q1455" s="37" t="n">
        <x:v>0</x:v>
      </x:c>
      <x:c r="R1455" s="37" t="n">
        <x:v>0</x:v>
      </x:c>
      <x:c r="S1455" s="37" t="n">
        <x:v>0</x:v>
      </x:c>
      <x:c r="T1455" s="37" t="n">
        <x:v>0</x:v>
      </x:c>
      <x:c r="U1455" s="37" t="n">
        <x:v>63750</x:v>
      </x:c>
      <x:c r="V1455" s="37" t="n">
        <x:v>0</x:v>
      </x:c>
      <x:c r="W1455" s="37" t="n">
        <x:v>10998.555007262621</x:v>
      </x:c>
      <x:c r="X1455" s="37" t="n">
        <x:v>0</x:v>
      </x:c>
      <x:c r="Y1455" s="37" t="n">
        <x:v>1042.869342122179</x:v>
      </x:c>
      <x:c r="Z1455" s="37" t="n">
        <x:v>0</x:v>
      </x:c>
      <x:c r="AA1455" s="37" t="n">
        <x:v>0</x:v>
      </x:c>
      <x:c r="AB1455" s="37" t="n">
        <x:v>0</x:v>
      </x:c>
      <x:c r="AC1455" s="37" t="n">
        <x:v>1273705.6856651404</x:v>
      </x:c>
      <x:c r="AD1455" s="37" t="n">
        <x:v>0</x:v>
      </x:c>
      <x:c r="AE1455" s="37" t="n">
        <x:v>0</x:v>
      </x:c>
      <x:c r="AF1455" s="47" t="b">
        <x:v>0</x:v>
      </x:c>
      <x:c r="AG1455" s="47" t="b">
        <x:v>0</x:v>
      </x:c>
      <x:c r="AH1455" s="48" t="n">
        <x:v>0</x:v>
      </x:c>
      <x:c r="AI1455" s="48" t="n">
        <x:v>1.1920928955078125e-7</x:v>
      </x:c>
      <x:c r="AJ1455" s="37" t="str">
        <x:v>passed</x:v>
      </x:c>
    </x:row>
    <x:row r="1456" ht="21" customHeight="1">
      <x:c r="A1456" s="2"/>
      <x:c r="B1456" s="2"/>
      <x:c r="C1456" s="2" t="str">
        <x:v>2023</x:v>
      </x:c>
      <x:c r="D1456" s="5" t="n">
        <x:v>45091</x:v>
      </x:c>
      <x:c r="E1456" s="2" t="str">
        <x:v>duration</x:v>
      </x:c>
      <x:c r="F1456" s="37" t="n">
        <x:v>7660115.225220745</x:v>
      </x:c>
      <x:c r="G1456" s="37" t="n">
        <x:v>4076533.732936037</x:v>
      </x:c>
      <x:c r="H1456" s="37" t="n">
        <x:v>22333.12312985684</x:v>
      </x:c>
      <x:c r="I1456" s="37" t="n">
        <x:v>4054200.60980618</x:v>
      </x:c>
      <x:c r="J1456" s="37" t="n">
        <x:v>10499802.327477477</x:v>
      </x:c>
      <x:c r="K1456" s="37" t="n">
        <x:v>6423268.594541442</x:v>
      </x:c>
      <x:c r="L1456" s="37" t="n">
        <x:v>11736648.958156783</x:v>
      </x:c>
      <x:c r="M1456" s="37" t="n">
        <x:v>0</x:v>
      </x:c>
      <x:c r="N1456" s="37" t="n">
        <x:v>0</x:v>
      </x:c>
      <x:c r="O1456" s="37" t="n">
        <x:v>419.7093433365226</x:v>
      </x:c>
      <x:c r="P1456" s="37" t="n">
        <x:v>0</x:v>
      </x:c>
      <x:c r="Q1456" s="37" t="n">
        <x:v>0</x:v>
      </x:c>
      <x:c r="R1456" s="37" t="n">
        <x:v>0</x:v>
      </x:c>
      <x:c r="S1456" s="37" t="n">
        <x:v>0</x:v>
      </x:c>
      <x:c r="T1456" s="37" t="n">
        <x:v>0</x:v>
      </x:c>
      <x:c r="U1456" s="37" t="n">
        <x:v>9917.381478397001</x:v>
      </x:c>
      <x:c r="V1456" s="37" t="n">
        <x:v>0</x:v>
      </x:c>
      <x:c r="W1456" s="37" t="n">
        <x:v>68829.69037444238</x:v>
      </x:c>
      <x:c r="X1456" s="37" t="n">
        <x:v>0</x:v>
      </x:c>
      <x:c r="Y1456" s="37" t="n">
        <x:v>1727.9174649817678</x:v>
      </x:c>
      <x:c r="Z1456" s="37" t="n">
        <x:v>6551733.966432271</x:v>
      </x:c>
      <x:c r="AA1456" s="37" t="n">
        <x:v>0</x:v>
      </x:c>
      <x:c r="AB1456" s="37" t="n">
        <x:v>6551733.966432271</x:v>
      </x:c>
      <x:c r="AC1456" s="37" t="n">
        <x:v>1108381.2587884748</x:v>
      </x:c>
      <x:c r="AD1456" s="37" t="n">
        <x:v>0</x:v>
      </x:c>
      <x:c r="AE1456" s="37" t="n">
        <x:v>0</x:v>
      </x:c>
      <x:c r="AF1456" s="47" t="b">
        <x:v>0</x:v>
      </x:c>
      <x:c r="AG1456" s="47" t="b">
        <x:v>0</x:v>
      </x:c>
      <x:c r="AH1456" s="48" t="n">
        <x:v>0</x:v>
      </x:c>
      <x:c r="AI1456" s="48" t="n">
        <x:v>5.960464477539063e-8</x:v>
      </x:c>
      <x:c r="AJ1456" s="37" t="str">
        <x:v>passed</x:v>
      </x:c>
    </x:row>
    <x:row r="1457" ht="21" customHeight="1">
      <x:c r="A1457" s="2"/>
      <x:c r="B1457" s="2"/>
      <x:c r="C1457" s="2" t="str">
        <x:v>2023</x:v>
      </x:c>
      <x:c r="D1457" s="5" t="n">
        <x:v>45091</x:v>
      </x:c>
      <x:c r="E1457" s="2" t="str">
        <x:v>unweighted</x:v>
      </x:c>
      <x:c r="F1457" s="37" t="n">
        <x:v>11308794.960490482</x:v>
      </x:c>
      <x:c r="G1457" s="37" t="n">
        <x:v>428131.40117073216</x:v>
      </x:c>
      <x:c r="H1457" s="37" t="n">
        <x:v>22353.519986938576</x:v>
      </x:c>
      <x:c r="I1457" s="37" t="n">
        <x:v>405777.8811837936</x:v>
      </x:c>
      <x:c r="J1457" s="37" t="n">
        <x:v>10572250.34587679</x:v>
      </x:c>
      <x:c r="K1457" s="37" t="n">
        <x:v>10144118.944706058</x:v>
      </x:c>
      <x:c r="L1457" s="37" t="n">
        <x:v>11736926.361661214</x:v>
      </x:c>
      <x:c r="M1457" s="37" t="n">
        <x:v>0</x:v>
      </x:c>
      <x:c r="N1457" s="37" t="n">
        <x:v>0</x:v>
      </x:c>
      <x:c r="O1457" s="37" t="n">
        <x:v>619.6260457262397</x:v>
      </x:c>
      <x:c r="P1457" s="37" t="n">
        <x:v>0</x:v>
      </x:c>
      <x:c r="Q1457" s="37" t="n">
        <x:v>0</x:v>
      </x:c>
      <x:c r="R1457" s="37" t="n">
        <x:v>0</x:v>
      </x:c>
      <x:c r="S1457" s="37" t="n">
        <x:v>0</x:v>
      </x:c>
      <x:c r="T1457" s="37" t="n">
        <x:v>0</x:v>
      </x:c>
      <x:c r="U1457" s="37" t="n">
        <x:v>-5694.19584657007</x:v>
      </x:c>
      <x:c r="V1457" s="37" t="n">
        <x:v>0</x:v>
      </x:c>
      <x:c r="W1457" s="37" t="n">
        <x:v>99742.73954139091</x:v>
      </x:c>
      <x:c r="X1457" s="37" t="n">
        <x:v>0</x:v>
      </x:c>
      <x:c r="Y1457" s="37" t="n">
        <x:v>2117.7401952623777</x:v>
      </x:c>
      <x:c r="Z1457" s="37" t="n">
        <x:v>10347001.323600179</x:v>
      </x:c>
      <x:c r="AA1457" s="37" t="n">
        <x:v>0</x:v>
      </x:c>
      <x:c r="AB1457" s="37" t="n">
        <x:v>10347001.323600179</x:v>
      </x:c>
      <x:c r="AC1457" s="37" t="n">
        <x:v>961793.6368903033</x:v>
      </x:c>
      <x:c r="AD1457" s="37" t="n">
        <x:v>0</x:v>
      </x:c>
      <x:c r="AE1457" s="37" t="n">
        <x:v>0</x:v>
      </x:c>
      <x:c r="AF1457" s="47" t="b">
        <x:v>0</x:v>
      </x:c>
      <x:c r="AG1457" s="47" t="b">
        <x:v>0</x:v>
      </x:c>
      <x:c r="AH1457" s="48" t="n">
        <x:v>0</x:v>
      </x:c>
      <x:c r="AI1457" s="48" t="n">
        <x:v>1.1920928955078125e-7</x:v>
      </x:c>
      <x:c r="AJ1457" s="37" t="str">
        <x:v>passed</x:v>
      </x:c>
    </x:row>
    <x:row r="1458" ht="21" customHeight="1">
      <x:c r="A1458" s="2"/>
      <x:c r="B1458" s="2"/>
      <x:c r="C1458" s="2" t="str">
        <x:v>2023</x:v>
      </x:c>
      <x:c r="D1458" s="5" t="n">
        <x:v>45091</x:v>
      </x:c>
      <x:c r="E1458" s="2" t="str">
        <x:v>constrained</x:v>
      </x:c>
      <x:c r="F1458" s="37" t="n">
        <x:v>11668751.230791118</x:v>
      </x:c>
      <x:c r="G1458" s="37" t="n">
        <x:v>61799.654652637146</x:v>
      </x:c>
      <x:c r="H1458" s="37" t="n">
        <x:v>22298.929110312336</x:v>
      </x:c>
      <x:c r="I1458" s="37" t="n">
        <x:v>39500.72554232481</x:v>
      </x:c>
      <x:c r="J1458" s="37" t="n">
        <x:v>10580870.979304211</x:v>
      </x:c>
      <x:c r="K1458" s="37" t="n">
        <x:v>10519071.324651573</x:v>
      </x:c>
      <x:c r="L1458" s="37" t="n">
        <x:v>11730550.885443754</x:v>
      </x:c>
      <x:c r="M1458" s="37" t="n">
        <x:v>0</x:v>
      </x:c>
      <x:c r="N1458" s="37" t="n">
        <x:v>0</x:v>
      </x:c>
      <x:c r="O1458" s="37" t="n">
        <x:v>639.3485962878913</x:v>
      </x:c>
      <x:c r="P1458" s="37" t="n">
        <x:v>0</x:v>
      </x:c>
      <x:c r="Q1458" s="37" t="n">
        <x:v>0</x:v>
      </x:c>
      <x:c r="R1458" s="37" t="n">
        <x:v>0</x:v>
      </x:c>
      <x:c r="S1458" s="37" t="n">
        <x:v>0</x:v>
      </x:c>
      <x:c r="T1458" s="37" t="n">
        <x:v>0</x:v>
      </x:c>
      <x:c r="U1458" s="37" t="n">
        <x:v>-6779.554702527748</x:v>
      </x:c>
      <x:c r="V1458" s="37" t="n">
        <x:v>0</x:v>
      </x:c>
      <x:c r="W1458" s="37" t="n">
        <x:v>104377.44703478739</x:v>
      </x:c>
      <x:c r="X1458" s="37" t="n">
        <x:v>0</x:v>
      </x:c>
      <x:c r="Y1458" s="37" t="n">
        <x:v>2160.99430510938</x:v>
      </x:c>
      <x:c r="Z1458" s="37" t="n">
        <x:v>10729452.751144605</x:v>
      </x:c>
      <x:c r="AA1458" s="37" t="n">
        <x:v>0</x:v>
      </x:c>
      <x:c r="AB1458" s="37" t="n">
        <x:v>10729452.751144605</x:v>
      </x:c>
      <x:c r="AC1458" s="37" t="n">
        <x:v>939298.4796465132</x:v>
      </x:c>
      <x:c r="AD1458" s="37" t="n">
        <x:v>0</x:v>
      </x:c>
      <x:c r="AE1458" s="37" t="n">
        <x:v>0</x:v>
      </x:c>
      <x:c r="AF1458" s="47" t="b">
        <x:v>0</x:v>
      </x:c>
      <x:c r="AG1458" s="47" t="b">
        <x:v>0</x:v>
      </x:c>
      <x:c r="AH1458" s="48" t="n">
        <x:v>0</x:v>
      </x:c>
      <x:c r="AI1458" s="48" t="n">
        <x:v>1.1920928955078125e-7</x:v>
      </x:c>
      <x:c r="AJ1458" s="37" t="str">
        <x:v>passed</x:v>
      </x:c>
    </x:row>
    <x:row r="1459" ht="21" customHeight="1">
      <x:c r="A1459" s="2"/>
      <x:c r="B1459" s="2"/>
      <x:c r="C1459" s="2" t="str">
        <x:v>2023</x:v>
      </x:c>
      <x:c r="D1459" s="5" t="n">
        <x:v>45092</x:v>
      </x:c>
      <x:c r="E1459" s="2" t="str">
        <x:v>unhedged</x:v>
      </x:c>
      <x:c r="F1459" s="37" t="n">
        <x:v>1273775.4777575056</x:v>
      </x:c>
      <x:c r="G1459" s="37" t="n">
        <x:v>10559556.633582663</x:v>
      </x:c>
      <x:c r="H1459" s="37" t="n">
        <x:v>31424.378453038673</x:v>
      </x:c>
      <x:c r="I1459" s="37" t="n">
        <x:v>10528132.255129624</x:v>
      </x:c>
      <x:c r="J1459" s="37" t="n">
        <x:v>10559556.633582663</x:v>
      </x:c>
      <x:c r="K1459" s="37" t="n">
        <x:v>0</x:v>
      </x:c>
      <x:c r="L1459" s="37" t="n">
        <x:v>11833332.111340169</x:v>
      </x:c>
      <x:c r="M1459" s="37" t="n">
        <x:v>0</x:v>
      </x:c>
      <x:c r="N1459" s="37" t="n">
        <x:v>0</x:v>
      </x:c>
      <x:c r="O1459" s="37" t="n">
        <x:v>69.79209236521274</x:v>
      </x:c>
      <x:c r="P1459" s="37" t="n">
        <x:v>0</x:v>
      </x:c>
      <x:c r="Q1459" s="37" t="n">
        <x:v>0</x:v>
      </x:c>
      <x:c r="R1459" s="37" t="n">
        <x:v>0</x:v>
      </x:c>
      <x:c r="S1459" s="37" t="n">
        <x:v>0</x:v>
      </x:c>
      <x:c r="T1459" s="37" t="n">
        <x:v>0</x:v>
      </x:c>
      <x:c r="U1459" s="37" t="n">
        <x:v>63750</x:v>
      </x:c>
      <x:c r="V1459" s="37" t="n">
        <x:v>0</x:v>
      </x:c>
      <x:c r="W1459" s="37" t="n">
        <x:v>11068.347099627834</x:v>
      </x:c>
      <x:c r="X1459" s="37" t="n">
        <x:v>0</x:v>
      </x:c>
      <x:c r="Y1459" s="37" t="n">
        <x:v>1042.869342122179</x:v>
      </x:c>
      <x:c r="Z1459" s="37" t="n">
        <x:v>0</x:v>
      </x:c>
      <x:c r="AA1459" s="37" t="n">
        <x:v>0</x:v>
      </x:c>
      <x:c r="AB1459" s="37" t="n">
        <x:v>0</x:v>
      </x:c>
      <x:c r="AC1459" s="37" t="n">
        <x:v>1273775.4777575056</x:v>
      </x:c>
      <x:c r="AD1459" s="37" t="n">
        <x:v>0</x:v>
      </x:c>
      <x:c r="AE1459" s="37" t="n">
        <x:v>0</x:v>
      </x:c>
      <x:c r="AF1459" s="47" t="b">
        <x:v>0</x:v>
      </x:c>
      <x:c r="AG1459" s="47" t="b">
        <x:v>0</x:v>
      </x:c>
      <x:c r="AH1459" s="48" t="n">
        <x:v>0</x:v>
      </x:c>
      <x:c r="AI1459" s="48" t="n">
        <x:v>1.1920928955078125e-7</x:v>
      </x:c>
      <x:c r="AJ1459" s="37" t="str">
        <x:v>passed</x:v>
      </x:c>
    </x:row>
    <x:row r="1460" ht="21" customHeight="1">
      <x:c r="A1460" s="2"/>
      <x:c r="B1460" s="2"/>
      <x:c r="C1460" s="2" t="str">
        <x:v>2023</x:v>
      </x:c>
      <x:c r="D1460" s="5" t="n">
        <x:v>45092</x:v>
      </x:c>
      <x:c r="E1460" s="2" t="str">
        <x:v>duration</x:v>
      </x:c>
      <x:c r="F1460" s="37" t="n">
        <x:v>7660534.957561854</x:v>
      </x:c>
      <x:c r="G1460" s="37" t="n">
        <x:v>4081908.602781536</x:v>
      </x:c>
      <x:c r="H1460" s="37" t="n">
        <x:v>22391.588161801697</x:v>
      </x:c>
      <x:c r="I1460" s="37" t="n">
        <x:v>4059517.014619734</x:v>
      </x:c>
      <x:c r="J1460" s="37" t="n">
        <x:v>10559556.633582663</x:v>
      </x:c>
      <x:c r="K1460" s="37" t="n">
        <x:v>6477648.030801127</x:v>
      </x:c>
      <x:c r="L1460" s="37" t="n">
        <x:v>11742443.56034339</x:v>
      </x:c>
      <x:c r="M1460" s="37" t="n">
        <x:v>0</x:v>
      </x:c>
      <x:c r="N1460" s="37" t="n">
        <x:v>0</x:v>
      </x:c>
      <x:c r="O1460" s="37" t="n">
        <x:v>419.7323411088437</x:v>
      </x:c>
      <x:c r="P1460" s="37" t="n">
        <x:v>0</x:v>
      </x:c>
      <x:c r="Q1460" s="37" t="n">
        <x:v>0</x:v>
      </x:c>
      <x:c r="R1460" s="37" t="n">
        <x:v>0</x:v>
      </x:c>
      <x:c r="S1460" s="37" t="n">
        <x:v>0</x:v>
      </x:c>
      <x:c r="T1460" s="37" t="n">
        <x:v>0</x:v>
      </x:c>
      <x:c r="U1460" s="37" t="n">
        <x:v>9917.381478397001</x:v>
      </x:c>
      <x:c r="V1460" s="37" t="n">
        <x:v>0</x:v>
      </x:c>
      <x:c r="W1460" s="37" t="n">
        <x:v>69249.42271555122</x:v>
      </x:c>
      <x:c r="X1460" s="37" t="n">
        <x:v>0</x:v>
      </x:c>
      <x:c r="Y1460" s="37" t="n">
        <x:v>1727.9174649817678</x:v>
      </x:c>
      <x:c r="Z1460" s="37" t="n">
        <x:v>6607200.991417149</x:v>
      </x:c>
      <x:c r="AA1460" s="37" t="n">
        <x:v>0</x:v>
      </x:c>
      <x:c r="AB1460" s="37" t="n">
        <x:v>6607200.991417149</x:v>
      </x:c>
      <x:c r="AC1460" s="37" t="n">
        <x:v>1053333.9661447052</x:v>
      </x:c>
      <x:c r="AD1460" s="37" t="n">
        <x:v>0</x:v>
      </x:c>
      <x:c r="AE1460" s="37" t="n">
        <x:v>0</x:v>
      </x:c>
      <x:c r="AF1460" s="47" t="b">
        <x:v>0</x:v>
      </x:c>
      <x:c r="AG1460" s="47" t="b">
        <x:v>0</x:v>
      </x:c>
      <x:c r="AH1460" s="48" t="n">
        <x:v>0</x:v>
      </x:c>
      <x:c r="AI1460" s="48" t="n">
        <x:v>5.960464477539063e-8</x:v>
      </x:c>
      <x:c r="AJ1460" s="37" t="str">
        <x:v>passed</x:v>
      </x:c>
    </x:row>
    <x:row r="1461" ht="21" customHeight="1">
      <x:c r="A1461" s="2"/>
      <x:c r="B1461" s="2"/>
      <x:c r="C1461" s="2" t="str">
        <x:v>2023</x:v>
      </x:c>
      <x:c r="D1461" s="5" t="n">
        <x:v>45092</x:v>
      </x:c>
      <x:c r="E1461" s="2" t="str">
        <x:v>unweighted</x:v>
      </x:c>
      <x:c r="F1461" s="37" t="n">
        <x:v>11309414.620488318</x:v>
      </x:c>
      <x:c r="G1461" s="37" t="n">
        <x:v>428593.286344149</x:v>
      </x:c>
      <x:c r="H1461" s="37" t="n">
        <x:v>22327.21022078516</x:v>
      </x:c>
      <x:c r="I1461" s="37" t="n">
        <x:v>406266.0761233638</x:v>
      </x:c>
      <x:c r="J1461" s="37" t="n">
        <x:v>10632757.912964405</x:v>
      </x:c>
      <x:c r="K1461" s="37" t="n">
        <x:v>10204164.626620257</x:v>
      </x:c>
      <x:c r="L1461" s="37" t="n">
        <x:v>11738007.906832466</x:v>
      </x:c>
      <x:c r="M1461" s="37" t="n">
        <x:v>0</x:v>
      </x:c>
      <x:c r="N1461" s="37" t="n">
        <x:v>0</x:v>
      </x:c>
      <x:c r="O1461" s="37" t="n">
        <x:v>619.6599978357553</x:v>
      </x:c>
      <x:c r="P1461" s="37" t="n">
        <x:v>0</x:v>
      </x:c>
      <x:c r="Q1461" s="37" t="n">
        <x:v>0</x:v>
      </x:c>
      <x:c r="R1461" s="37" t="n">
        <x:v>0</x:v>
      </x:c>
      <x:c r="S1461" s="37" t="n">
        <x:v>0</x:v>
      </x:c>
      <x:c r="T1461" s="37" t="n">
        <x:v>0</x:v>
      </x:c>
      <x:c r="U1461" s="37" t="n">
        <x:v>-5694.19584657007</x:v>
      </x:c>
      <x:c r="V1461" s="37" t="n">
        <x:v>0</x:v>
      </x:c>
      <x:c r="W1461" s="37" t="n">
        <x:v>100362.39953922667</x:v>
      </x:c>
      <x:c r="X1461" s="37" t="n">
        <x:v>0</x:v>
      </x:c>
      <x:c r="Y1461" s="37" t="n">
        <x:v>2117.7401952623777</x:v>
      </x:c>
      <x:c r="Z1461" s="37" t="n">
        <x:v>10408247.919152662</x:v>
      </x:c>
      <x:c r="AA1461" s="37" t="n">
        <x:v>0</x:v>
      </x:c>
      <x:c r="AB1461" s="37" t="n">
        <x:v>10408247.919152662</x:v>
      </x:c>
      <x:c r="AC1461" s="37" t="n">
        <x:v>901166.7013356555</x:v>
      </x:c>
      <x:c r="AD1461" s="37" t="n">
        <x:v>0</x:v>
      </x:c>
      <x:c r="AE1461" s="37" t="n">
        <x:v>0</x:v>
      </x:c>
      <x:c r="AF1461" s="47" t="b">
        <x:v>0</x:v>
      </x:c>
      <x:c r="AG1461" s="47" t="b">
        <x:v>0</x:v>
      </x:c>
      <x:c r="AH1461" s="48" t="n">
        <x:v>0</x:v>
      </x:c>
      <x:c r="AI1461" s="48" t="n">
        <x:v>1.1920928955078125e-7</x:v>
      </x:c>
      <x:c r="AJ1461" s="37" t="str">
        <x:v>passed</x:v>
      </x:c>
    </x:row>
    <x:row r="1462" ht="21" customHeight="1">
      <x:c r="A1462" s="2"/>
      <x:c r="B1462" s="2"/>
      <x:c r="C1462" s="2" t="str">
        <x:v>2023</x:v>
      </x:c>
      <x:c r="D1462" s="5" t="n">
        <x:v>45092</x:v>
      </x:c>
      <x:c r="E1462" s="2" t="str">
        <x:v>constrained</x:v>
      </x:c>
      <x:c r="F1462" s="37" t="n">
        <x:v>11669390.614420203</x:v>
      </x:c>
      <x:c r="G1462" s="37" t="n">
        <x:v>62043.9392019494</x:v>
      </x:c>
      <x:c r="H1462" s="37" t="n">
        <x:v>22266.664637745056</x:v>
      </x:c>
      <x:c r="I1462" s="37" t="n">
        <x:v>39777.274564204345</x:v>
      </x:c>
      <x:c r="J1462" s="37" t="n">
        <x:v>10641468.177370673</x:v>
      </x:c>
      <x:c r="K1462" s="37" t="n">
        <x:v>10579424.238168724</x:v>
      </x:c>
      <x:c r="L1462" s="37" t="n">
        <x:v>11731434.553622153</x:v>
      </x:c>
      <x:c r="M1462" s="37" t="n">
        <x:v>0</x:v>
      </x:c>
      <x:c r="N1462" s="37" t="n">
        <x:v>0</x:v>
      </x:c>
      <x:c r="O1462" s="37" t="n">
        <x:v>639.3836290854961</x:v>
      </x:c>
      <x:c r="P1462" s="37" t="n">
        <x:v>0</x:v>
      </x:c>
      <x:c r="Q1462" s="37" t="n">
        <x:v>0</x:v>
      </x:c>
      <x:c r="R1462" s="37" t="n">
        <x:v>0</x:v>
      </x:c>
      <x:c r="S1462" s="37" t="n">
        <x:v>0</x:v>
      </x:c>
      <x:c r="T1462" s="37" t="n">
        <x:v>0</x:v>
      </x:c>
      <x:c r="U1462" s="37" t="n">
        <x:v>-6779.554702527748</x:v>
      </x:c>
      <x:c r="V1462" s="37" t="n">
        <x:v>0</x:v>
      </x:c>
      <x:c r="W1462" s="37" t="n">
        <x:v>105016.83066387288</x:v>
      </x:c>
      <x:c r="X1462" s="37" t="n">
        <x:v>0</x:v>
      </x:c>
      <x:c r="Y1462" s="37" t="n">
        <x:v>2160.99430510938</x:v>
      </x:c>
      <x:c r="Z1462" s="37" t="n">
        <x:v>10791012.722932098</x:v>
      </x:c>
      <x:c r="AA1462" s="37" t="n">
        <x:v>0</x:v>
      </x:c>
      <x:c r="AB1462" s="37" t="n">
        <x:v>10791012.722932098</x:v>
      </x:c>
      <x:c r="AC1462" s="37" t="n">
        <x:v>878377.8914881051</x:v>
      </x:c>
      <x:c r="AD1462" s="37" t="n">
        <x:v>0</x:v>
      </x:c>
      <x:c r="AE1462" s="37" t="n">
        <x:v>0</x:v>
      </x:c>
      <x:c r="AF1462" s="47" t="b">
        <x:v>0</x:v>
      </x:c>
      <x:c r="AG1462" s="47" t="b">
        <x:v>0</x:v>
      </x:c>
      <x:c r="AH1462" s="48" t="n">
        <x:v>0</x:v>
      </x:c>
      <x:c r="AI1462" s="48" t="n">
        <x:v>1.1920928955078125e-7</x:v>
      </x:c>
      <x:c r="AJ1462" s="37" t="str">
        <x:v>passed</x:v>
      </x:c>
    </x:row>
    <x:row r="1463" ht="21" customHeight="1">
      <x:c r="A1463" s="2"/>
      <x:c r="B1463" s="2"/>
      <x:c r="C1463" s="2" t="str">
        <x:v>2023</x:v>
      </x:c>
      <x:c r="D1463" s="5" t="n">
        <x:v>45093</x:v>
      </x:c>
      <x:c r="E1463" s="2" t="str">
        <x:v>unhedged</x:v>
      </x:c>
      <x:c r="F1463" s="37" t="n">
        <x:v>1273845.273674095</x:v>
      </x:c>
      <x:c r="G1463" s="37" t="n">
        <x:v>10534789.464540062</x:v>
      </x:c>
      <x:c r="H1463" s="37" t="n">
        <x:v>31774.22381695892</x:v>
      </x:c>
      <x:c r="I1463" s="37" t="n">
        <x:v>10503015.240723103</x:v>
      </x:c>
      <x:c r="J1463" s="37" t="n">
        <x:v>10534789.464540062</x:v>
      </x:c>
      <x:c r="K1463" s="37" t="n">
        <x:v>0</x:v>
      </x:c>
      <x:c r="L1463" s="37" t="n">
        <x:v>11808634.738214158</x:v>
      </x:c>
      <x:c r="M1463" s="37" t="n">
        <x:v>0</x:v>
      </x:c>
      <x:c r="N1463" s="37" t="n">
        <x:v>0</x:v>
      </x:c>
      <x:c r="O1463" s="37" t="n">
        <x:v>69.79591658944264</x:v>
      </x:c>
      <x:c r="P1463" s="37" t="n">
        <x:v>0</x:v>
      </x:c>
      <x:c r="Q1463" s="37" t="n">
        <x:v>0</x:v>
      </x:c>
      <x:c r="R1463" s="37" t="n">
        <x:v>0</x:v>
      </x:c>
      <x:c r="S1463" s="37" t="n">
        <x:v>0</x:v>
      </x:c>
      <x:c r="T1463" s="37" t="n">
        <x:v>0</x:v>
      </x:c>
      <x:c r="U1463" s="37" t="n">
        <x:v>63750</x:v>
      </x:c>
      <x:c r="V1463" s="37" t="n">
        <x:v>0</x:v>
      </x:c>
      <x:c r="W1463" s="37" t="n">
        <x:v>11138.143016217276</x:v>
      </x:c>
      <x:c r="X1463" s="37" t="n">
        <x:v>0</x:v>
      </x:c>
      <x:c r="Y1463" s="37" t="n">
        <x:v>1042.869342122179</x:v>
      </x:c>
      <x:c r="Z1463" s="37" t="n">
        <x:v>0</x:v>
      </x:c>
      <x:c r="AA1463" s="37" t="n">
        <x:v>0</x:v>
      </x:c>
      <x:c r="AB1463" s="37" t="n">
        <x:v>0</x:v>
      </x:c>
      <x:c r="AC1463" s="37" t="n">
        <x:v>1273845.273674095</x:v>
      </x:c>
      <x:c r="AD1463" s="37" t="n">
        <x:v>0</x:v>
      </x:c>
      <x:c r="AE1463" s="37" t="n">
        <x:v>0</x:v>
      </x:c>
      <x:c r="AF1463" s="47" t="b">
        <x:v>0</x:v>
      </x:c>
      <x:c r="AG1463" s="47" t="b">
        <x:v>0</x:v>
      </x:c>
      <x:c r="AH1463" s="48" t="n">
        <x:v>0</x:v>
      </x:c>
      <x:c r="AI1463" s="48" t="n">
        <x:v>1.1920928955078125e-7</x:v>
      </x:c>
      <x:c r="AJ1463" s="37" t="str">
        <x:v>passed</x:v>
      </x:c>
    </x:row>
    <x:row r="1464" ht="21" customHeight="1">
      <x:c r="A1464" s="2"/>
      <x:c r="B1464" s="2"/>
      <x:c r="C1464" s="2" t="str">
        <x:v>2023</x:v>
      </x:c>
      <x:c r="D1464" s="5" t="n">
        <x:v>45093</x:v>
      </x:c>
      <x:c r="E1464" s="2" t="str">
        <x:v>duration</x:v>
      </x:c>
      <x:c r="F1464" s="37" t="n">
        <x:v>7660954.7129019955</x:v>
      </x:c>
      <x:c r="G1464" s="37" t="n">
        <x:v>4075674.911808336</x:v>
      </x:c>
      <x:c r="H1464" s="37" t="n">
        <x:v>22450.05319374656</x:v>
      </x:c>
      <x:c r="I1464" s="37" t="n">
        <x:v>4053224.8586145896</x:v>
      </x:c>
      <x:c r="J1464" s="37" t="n">
        <x:v>10534789.464540062</x:v>
      </x:c>
      <x:c r="K1464" s="37" t="n">
        <x:v>6459114.552731726</x:v>
      </x:c>
      <x:c r="L1464" s="37" t="n">
        <x:v>11736629.624710333</x:v>
      </x:c>
      <x:c r="M1464" s="37" t="n">
        <x:v>0</x:v>
      </x:c>
      <x:c r="N1464" s="37" t="n">
        <x:v>0</x:v>
      </x:c>
      <x:c r="O1464" s="37" t="n">
        <x:v>419.75534014124423</x:v>
      </x:c>
      <x:c r="P1464" s="37" t="n">
        <x:v>0</x:v>
      </x:c>
      <x:c r="Q1464" s="37" t="n">
        <x:v>0</x:v>
      </x:c>
      <x:c r="R1464" s="37" t="n">
        <x:v>0</x:v>
      </x:c>
      <x:c r="S1464" s="37" t="n">
        <x:v>0</x:v>
      </x:c>
      <x:c r="T1464" s="37" t="n">
        <x:v>0</x:v>
      </x:c>
      <x:c r="U1464" s="37" t="n">
        <x:v>9917.381478397001</x:v>
      </x:c>
      <x:c r="V1464" s="37" t="n">
        <x:v>0</x:v>
      </x:c>
      <x:c r="W1464" s="37" t="n">
        <x:v>69669.17805569246</x:v>
      </x:c>
      <x:c r="X1464" s="37" t="n">
        <x:v>0</x:v>
      </x:c>
      <x:c r="Y1464" s="37" t="n">
        <x:v>1727.9174649817678</x:v>
      </x:c>
      <x:c r="Z1464" s="37" t="n">
        <x:v>6588296.843786361</x:v>
      </x:c>
      <x:c r="AA1464" s="37" t="n">
        <x:v>0</x:v>
      </x:c>
      <x:c r="AB1464" s="37" t="n">
        <x:v>6588296.843786361</x:v>
      </x:c>
      <x:c r="AC1464" s="37" t="n">
        <x:v>1072657.8691156348</x:v>
      </x:c>
      <x:c r="AD1464" s="37" t="n">
        <x:v>0</x:v>
      </x:c>
      <x:c r="AE1464" s="37" t="n">
        <x:v>0</x:v>
      </x:c>
      <x:c r="AF1464" s="47" t="b">
        <x:v>0</x:v>
      </x:c>
      <x:c r="AG1464" s="47" t="b">
        <x:v>0</x:v>
      </x:c>
      <x:c r="AH1464" s="48" t="n">
        <x:v>0</x:v>
      </x:c>
      <x:c r="AI1464" s="48" t="n">
        <x:v>5.960464477539063e-8</x:v>
      </x:c>
      <x:c r="AJ1464" s="37" t="str">
        <x:v>passed</x:v>
      </x:c>
    </x:row>
    <x:row r="1465" ht="21" customHeight="1">
      <x:c r="A1465" s="2"/>
      <x:c r="B1465" s="2"/>
      <x:c r="C1465" s="2" t="str">
        <x:v>2023</x:v>
      </x:c>
      <x:c r="D1465" s="5" t="n">
        <x:v>45093</x:v>
      </x:c>
      <x:c r="E1465" s="2" t="str">
        <x:v>unweighted</x:v>
      </x:c>
      <x:c r="F1465" s="37" t="n">
        <x:v>11310034.314440126</x:v>
      </x:c>
      <x:c r="G1465" s="37" t="n">
        <x:v>428118.9227451364</x:v>
      </x:c>
      <x:c r="H1465" s="37" t="n">
        <x:v>22300.90045463175</x:v>
      </x:c>
      <x:c r="I1465" s="37" t="n">
        <x:v>405818.02229050465</x:v>
      </x:c>
      <x:c r="J1465" s="37" t="n">
        <x:v>10607636.54766691</x:v>
      </x:c>
      <x:c r="K1465" s="37" t="n">
        <x:v>10179517.624921773</x:v>
      </x:c>
      <x:c r="L1465" s="37" t="n">
        <x:v>11738153.237185262</x:v>
      </x:c>
      <x:c r="M1465" s="37" t="n">
        <x:v>0</x:v>
      </x:c>
      <x:c r="N1465" s="37" t="n">
        <x:v>0</x:v>
      </x:c>
      <x:c r="O1465" s="37" t="n">
        <x:v>619.6939518079162</x:v>
      </x:c>
      <x:c r="P1465" s="37" t="n">
        <x:v>0</x:v>
      </x:c>
      <x:c r="Q1465" s="37" t="n">
        <x:v>0</x:v>
      </x:c>
      <x:c r="R1465" s="37" t="n">
        <x:v>0</x:v>
      </x:c>
      <x:c r="S1465" s="37" t="n">
        <x:v>0</x:v>
      </x:c>
      <x:c r="T1465" s="37" t="n">
        <x:v>0</x:v>
      </x:c>
      <x:c r="U1465" s="37" t="n">
        <x:v>-5694.19584657007</x:v>
      </x:c>
      <x:c r="V1465" s="37" t="n">
        <x:v>0</x:v>
      </x:c>
      <x:c r="W1465" s="37" t="n">
        <x:v>100982.09349103458</x:v>
      </x:c>
      <x:c r="X1465" s="37" t="n">
        <x:v>0</x:v>
      </x:c>
      <x:c r="Y1465" s="37" t="n">
        <x:v>2117.7401952623777</x:v>
      </x:c>
      <x:c r="Z1465" s="37" t="n">
        <x:v>10383107.977420209</x:v>
      </x:c>
      <x:c r="AA1465" s="37" t="n">
        <x:v>0</x:v>
      </x:c>
      <x:c r="AB1465" s="37" t="n">
        <x:v>10383107.977420209</x:v>
      </x:c>
      <x:c r="AC1465" s="37" t="n">
        <x:v>926926.3370199166</x:v>
      </x:c>
      <x:c r="AD1465" s="37" t="n">
        <x:v>0</x:v>
      </x:c>
      <x:c r="AE1465" s="37" t="n">
        <x:v>0</x:v>
      </x:c>
      <x:c r="AF1465" s="47" t="b">
        <x:v>0</x:v>
      </x:c>
      <x:c r="AG1465" s="47" t="b">
        <x:v>0</x:v>
      </x:c>
      <x:c r="AH1465" s="48" t="n">
        <x:v>0</x:v>
      </x:c>
      <x:c r="AI1465" s="48" t="n">
        <x:v>1.1920928955078125e-7</x:v>
      </x:c>
      <x:c r="AJ1465" s="37" t="str">
        <x:v>passed</x:v>
      </x:c>
    </x:row>
    <x:row r="1466" ht="21" customHeight="1">
      <x:c r="A1466" s="2"/>
      <x:c r="B1466" s="2"/>
      <x:c r="C1466" s="2" t="str">
        <x:v>2023</x:v>
      </x:c>
      <x:c r="D1466" s="5" t="n">
        <x:v>45093</x:v>
      </x:c>
      <x:c r="E1466" s="2" t="str">
        <x:v>constrained</x:v>
      </x:c>
      <x:c r="F1466" s="37" t="n">
        <x:v>11670030.033084007</x:v>
      </x:c>
      <x:c r="G1466" s="37" t="n">
        <x:v>61652.83315305174</x:v>
      </x:c>
      <x:c r="H1466" s="37" t="n">
        <x:v>22234.400165177783</x:v>
      </x:c>
      <x:c r="I1466" s="37" t="n">
        <x:v>39418.43298787395</x:v>
      </x:c>
      <x:c r="J1466" s="37" t="n">
        <x:v>10616304.666047072</x:v>
      </x:c>
      <x:c r="K1466" s="37" t="n">
        <x:v>10554651.83289402</x:v>
      </x:c>
      <x:c r="L1466" s="37" t="n">
        <x:v>11731682.86623706</x:v>
      </x:c>
      <x:c r="M1466" s="37" t="n">
        <x:v>0</x:v>
      </x:c>
      <x:c r="N1466" s="37" t="n">
        <x:v>0</x:v>
      </x:c>
      <x:c r="O1466" s="37" t="n">
        <x:v>639.418663803488</x:v>
      </x:c>
      <x:c r="P1466" s="37" t="n">
        <x:v>0</x:v>
      </x:c>
      <x:c r="Q1466" s="37" t="n">
        <x:v>0</x:v>
      </x:c>
      <x:c r="R1466" s="37" t="n">
        <x:v>0</x:v>
      </x:c>
      <x:c r="S1466" s="37" t="n">
        <x:v>0</x:v>
      </x:c>
      <x:c r="T1466" s="37" t="n">
        <x:v>0</x:v>
      </x:c>
      <x:c r="U1466" s="37" t="n">
        <x:v>-6779.554702527748</x:v>
      </x:c>
      <x:c r="V1466" s="37" t="n">
        <x:v>0</x:v>
      </x:c>
      <x:c r="W1466" s="37" t="n">
        <x:v>105656.24932767637</x:v>
      </x:c>
      <x:c r="X1466" s="37" t="n">
        <x:v>0</x:v>
      </x:c>
      <x:c r="Y1466" s="37" t="n">
        <x:v>2160.99430510938</x:v>
      </x:c>
      <x:c r="Z1466" s="37" t="n">
        <x:v>10765744.8695519</x:v>
      </x:c>
      <x:c r="AA1466" s="37" t="n">
        <x:v>0</x:v>
      </x:c>
      <x:c r="AB1466" s="37" t="n">
        <x:v>10765744.8695519</x:v>
      </x:c>
      <x:c r="AC1466" s="37" t="n">
        <x:v>904285.1635321062</x:v>
      </x:c>
      <x:c r="AD1466" s="37" t="n">
        <x:v>0</x:v>
      </x:c>
      <x:c r="AE1466" s="37" t="n">
        <x:v>0</x:v>
      </x:c>
      <x:c r="AF1466" s="47" t="b">
        <x:v>0</x:v>
      </x:c>
      <x:c r="AG1466" s="47" t="b">
        <x:v>0</x:v>
      </x:c>
      <x:c r="AH1466" s="48" t="n">
        <x:v>0</x:v>
      </x:c>
      <x:c r="AI1466" s="48" t="n">
        <x:v>1.1920928955078125e-7</x:v>
      </x:c>
      <x:c r="AJ1466" s="37" t="str">
        <x:v>passed</x:v>
      </x:c>
    </x:row>
    <x:row r="1467" ht="21" customHeight="1">
      <x:c r="A1467" s="2"/>
      <x:c r="B1467" s="2"/>
      <x:c r="C1467" s="2" t="str">
        <x:v>2023</x:v>
      </x:c>
      <x:c r="D1467" s="5" t="n">
        <x:v>45097</x:v>
      </x:c>
      <x:c r="E1467" s="2" t="str">
        <x:v>unhedged</x:v>
      </x:c>
      <x:c r="F1467" s="37" t="n">
        <x:v>1274124.4955868868</x:v>
      </x:c>
      <x:c r="G1467" s="37" t="n">
        <x:v>10553790.405535335</x:v>
      </x:c>
      <x:c r="H1467" s="37" t="n">
        <x:v>33173.60527263992</x:v>
      </x:c>
      <x:c r="I1467" s="37" t="n">
        <x:v>10520616.800262695</x:v>
      </x:c>
      <x:c r="J1467" s="37" t="n">
        <x:v>10553790.405535335</x:v>
      </x:c>
      <x:c r="K1467" s="37" t="n">
        <x:v>0</x:v>
      </x:c>
      <x:c r="L1467" s="37" t="n">
        <x:v>11827914.901122222</x:v>
      </x:c>
      <x:c r="M1467" s="37" t="n">
        <x:v>0</x:v>
      </x:c>
      <x:c r="N1467" s="37" t="n">
        <x:v>0</x:v>
      </x:c>
      <x:c r="O1467" s="37" t="n">
        <x:v>279.22191279171966</x:v>
      </x:c>
      <x:c r="P1467" s="37" t="n">
        <x:v>0</x:v>
      </x:c>
      <x:c r="Q1467" s="37" t="n">
        <x:v>0</x:v>
      </x:c>
      <x:c r="R1467" s="37" t="n">
        <x:v>0</x:v>
      </x:c>
      <x:c r="S1467" s="37" t="n">
        <x:v>0</x:v>
      </x:c>
      <x:c r="T1467" s="37" t="n">
        <x:v>0</x:v>
      </x:c>
      <x:c r="U1467" s="37" t="n">
        <x:v>63750</x:v>
      </x:c>
      <x:c r="V1467" s="37" t="n">
        <x:v>0</x:v>
      </x:c>
      <x:c r="W1467" s="37" t="n">
        <x:v>11417.364929008996</x:v>
      </x:c>
      <x:c r="X1467" s="37" t="n">
        <x:v>0</x:v>
      </x:c>
      <x:c r="Y1467" s="37" t="n">
        <x:v>1042.869342122179</x:v>
      </x:c>
      <x:c r="Z1467" s="37" t="n">
        <x:v>0</x:v>
      </x:c>
      <x:c r="AA1467" s="37" t="n">
        <x:v>0</x:v>
      </x:c>
      <x:c r="AB1467" s="37" t="n">
        <x:v>0</x:v>
      </x:c>
      <x:c r="AC1467" s="37" t="n">
        <x:v>1274124.4955868868</x:v>
      </x:c>
      <x:c r="AD1467" s="37" t="n">
        <x:v>0</x:v>
      </x:c>
      <x:c r="AE1467" s="37" t="n">
        <x:v>0</x:v>
      </x:c>
      <x:c r="AF1467" s="47" t="b">
        <x:v>0</x:v>
      </x:c>
      <x:c r="AG1467" s="47" t="b">
        <x:v>0</x:v>
      </x:c>
      <x:c r="AH1467" s="48" t="n">
        <x:v>0</x:v>
      </x:c>
      <x:c r="AI1467" s="48" t="n">
        <x:v>1.1920928955078125e-7</x:v>
      </x:c>
      <x:c r="AJ1467" s="37" t="str">
        <x:v>passed</x:v>
      </x:c>
    </x:row>
    <x:row r="1468" ht="21" customHeight="1">
      <x:c r="A1468" s="2"/>
      <x:c r="B1468" s="2"/>
      <x:c r="C1468" s="2" t="str">
        <x:v>2023</x:v>
      </x:c>
      <x:c r="D1468" s="5" t="n">
        <x:v>45097</x:v>
      </x:c>
      <x:c r="E1468" s="2" t="str">
        <x:v>duration</x:v>
      </x:c>
      <x:c r="F1468" s="37" t="n">
        <x:v>7662633.964278089</x:v>
      </x:c>
      <x:c r="G1468" s="37" t="n">
        <x:v>4077174.368344512</x:v>
      </x:c>
      <x:c r="H1468" s="37" t="n">
        <x:v>22683.913321526015</x:v>
      </x:c>
      <x:c r="I1468" s="37" t="n">
        <x:v>4054490.455022986</x:v>
      </x:c>
      <x:c r="J1468" s="37" t="n">
        <x:v>10553790.405535335</x:v>
      </x:c>
      <x:c r="K1468" s="37" t="n">
        <x:v>6476616.037190823</x:v>
      </x:c>
      <x:c r="L1468" s="37" t="n">
        <x:v>11739808.3326226</x:v>
      </x:c>
      <x:c r="M1468" s="37" t="n">
        <x:v>0</x:v>
      </x:c>
      <x:c r="N1468" s="37" t="n">
        <x:v>0</x:v>
      </x:c>
      <x:c r="O1468" s="37" t="n">
        <x:v>1679.2513760933653</x:v>
      </x:c>
      <x:c r="P1468" s="37" t="n">
        <x:v>0</x:v>
      </x:c>
      <x:c r="Q1468" s="37" t="n">
        <x:v>0</x:v>
      </x:c>
      <x:c r="R1468" s="37" t="n">
        <x:v>0</x:v>
      </x:c>
      <x:c r="S1468" s="37" t="n">
        <x:v>0</x:v>
      </x:c>
      <x:c r="T1468" s="37" t="n">
        <x:v>0</x:v>
      </x:c>
      <x:c r="U1468" s="37" t="n">
        <x:v>9917.381478397001</x:v>
      </x:c>
      <x:c r="V1468" s="37" t="n">
        <x:v>0</x:v>
      </x:c>
      <x:c r="W1468" s="37" t="n">
        <x:v>71348.42943178583</x:v>
      </x:c>
      <x:c r="X1468" s="37" t="n">
        <x:v>0</x:v>
      </x:c>
      <x:c r="Y1468" s="37" t="n">
        <x:v>1727.9174649817678</x:v>
      </x:c>
      <x:c r="Z1468" s="37" t="n">
        <x:v>6606148.35793464</x:v>
      </x:c>
      <x:c r="AA1468" s="37" t="n">
        <x:v>0</x:v>
      </x:c>
      <x:c r="AB1468" s="37" t="n">
        <x:v>6606148.35793464</x:v>
      </x:c>
      <x:c r="AC1468" s="37" t="n">
        <x:v>1056485.606343449</x:v>
      </x:c>
      <x:c r="AD1468" s="37" t="n">
        <x:v>0</x:v>
      </x:c>
      <x:c r="AE1468" s="37" t="n">
        <x:v>0</x:v>
      </x:c>
      <x:c r="AF1468" s="47" t="b">
        <x:v>0</x:v>
      </x:c>
      <x:c r="AG1468" s="47" t="b">
        <x:v>0</x:v>
      </x:c>
      <x:c r="AH1468" s="48" t="n">
        <x:v>0</x:v>
      </x:c>
      <x:c r="AI1468" s="48" t="n">
        <x:v>5.960464477539063e-8</x:v>
      </x:c>
      <x:c r="AJ1468" s="37" t="str">
        <x:v>passed</x:v>
      </x:c>
    </x:row>
    <x:row r="1469" ht="21" customHeight="1">
      <x:c r="A1469" s="2"/>
      <x:c r="B1469" s="2"/>
      <x:c r="C1469" s="2" t="str">
        <x:v>2023</x:v>
      </x:c>
      <x:c r="D1469" s="5" t="n">
        <x:v>45097</x:v>
      </x:c>
      <x:c r="E1469" s="2" t="str">
        <x:v>unweighted</x:v>
      </x:c>
      <x:c r="F1469" s="37" t="n">
        <x:v>11312513.429824296</x:v>
      </x:c>
      <x:c r="G1469" s="37" t="n">
        <x:v>428466.10387500643</x:v>
      </x:c>
      <x:c r="H1469" s="37" t="n">
        <x:v>22195.661390018107</x:v>
      </x:c>
      <x:c r="I1469" s="37" t="n">
        <x:v>406270.4424849883</x:v>
      </x:c>
      <x:c r="J1469" s="37" t="n">
        <x:v>10627097.490899777</x:v>
      </x:c>
      <x:c r="K1469" s="37" t="n">
        <x:v>10198631.38702477</x:v>
      </x:c>
      <x:c r="L1469" s="37" t="n">
        <x:v>11740979.533699302</x:v>
      </x:c>
      <x:c r="M1469" s="37" t="n">
        <x:v>0</x:v>
      </x:c>
      <x:c r="N1469" s="37" t="n">
        <x:v>0</x:v>
      </x:c>
      <x:c r="O1469" s="37" t="n">
        <x:v>2479.1153841707855</x:v>
      </x:c>
      <x:c r="P1469" s="37" t="n">
        <x:v>0</x:v>
      </x:c>
      <x:c r="Q1469" s="37" t="n">
        <x:v>0</x:v>
      </x:c>
      <x:c r="R1469" s="37" t="n">
        <x:v>0</x:v>
      </x:c>
      <x:c r="S1469" s="37" t="n">
        <x:v>0</x:v>
      </x:c>
      <x:c r="T1469" s="37" t="n">
        <x:v>0</x:v>
      </x:c>
      <x:c r="U1469" s="37" t="n">
        <x:v>-5694.19584657007</x:v>
      </x:c>
      <x:c r="V1469" s="37" t="n">
        <x:v>0</x:v>
      </x:c>
      <x:c r="W1469" s="37" t="n">
        <x:v>103461.20887520537</x:v>
      </x:c>
      <x:c r="X1469" s="37" t="n">
        <x:v>0</x:v>
      </x:c>
      <x:c r="Y1469" s="37" t="n">
        <x:v>2117.7401952623777</x:v>
      </x:c>
      <x:c r="Z1469" s="37" t="n">
        <x:v>10402604.014765264</x:v>
      </x:c>
      <x:c r="AA1469" s="37" t="n">
        <x:v>0</x:v>
      </x:c>
      <x:c r="AB1469" s="37" t="n">
        <x:v>10402604.014765264</x:v>
      </x:c>
      <x:c r="AC1469" s="37" t="n">
        <x:v>909909.4150590319</x:v>
      </x:c>
      <x:c r="AD1469" s="37" t="n">
        <x:v>0</x:v>
      </x:c>
      <x:c r="AE1469" s="37" t="n">
        <x:v>0</x:v>
      </x:c>
      <x:c r="AF1469" s="47" t="b">
        <x:v>0</x:v>
      </x:c>
      <x:c r="AG1469" s="47" t="b">
        <x:v>0</x:v>
      </x:c>
      <x:c r="AH1469" s="48" t="n">
        <x:v>0</x:v>
      </x:c>
      <x:c r="AI1469" s="48" t="n">
        <x:v>1.1920928955078125e-7</x:v>
      </x:c>
      <x:c r="AJ1469" s="37" t="str">
        <x:v>passed</x:v>
      </x:c>
    </x:row>
    <x:row r="1470" ht="21" customHeight="1">
      <x:c r="A1470" s="2"/>
      <x:c r="B1470" s="2"/>
      <x:c r="C1470" s="2" t="str">
        <x:v>2023</x:v>
      </x:c>
      <x:c r="D1470" s="5" t="n">
        <x:v>45097</x:v>
      </x:c>
      <x:c r="E1470" s="2" t="str">
        <x:v>constrained</x:v>
      </x:c>
      <x:c r="F1470" s="37" t="n">
        <x:v>11672588.058124818</x:v>
      </x:c>
      <x:c r="G1470" s="37" t="n">
        <x:v>61833.48599490876</x:v>
      </x:c>
      <x:c r="H1470" s="37" t="n">
        <x:v>22105.342274908686</x:v>
      </x:c>
      <x:c r="I1470" s="37" t="n">
        <x:v>39728.14372000008</x:v>
      </x:c>
      <x:c r="J1470" s="37" t="n">
        <x:v>10635820.345223773</x:v>
      </x:c>
      <x:c r="K1470" s="37" t="n">
        <x:v>10573986.859228866</x:v>
      </x:c>
      <x:c r="L1470" s="37" t="n">
        <x:v>11734421.544119727</x:v>
      </x:c>
      <x:c r="M1470" s="37" t="n">
        <x:v>0</x:v>
      </x:c>
      <x:c r="N1470" s="37" t="n">
        <x:v>0</x:v>
      </x:c>
      <x:c r="O1470" s="37" t="n">
        <x:v>2558.0250408109277</x:v>
      </x:c>
      <x:c r="P1470" s="37" t="n">
        <x:v>0</x:v>
      </x:c>
      <x:c r="Q1470" s="37" t="n">
        <x:v>0</x:v>
      </x:c>
      <x:c r="R1470" s="37" t="n">
        <x:v>0</x:v>
      </x:c>
      <x:c r="S1470" s="37" t="n">
        <x:v>0</x:v>
      </x:c>
      <x:c r="T1470" s="37" t="n">
        <x:v>0</x:v>
      </x:c>
      <x:c r="U1470" s="37" t="n">
        <x:v>-6779.554702527748</x:v>
      </x:c>
      <x:c r="V1470" s="37" t="n">
        <x:v>0</x:v>
      </x:c>
      <x:c r="W1470" s="37" t="n">
        <x:v>108214.2743684873</x:v>
      </x:c>
      <x:c r="X1470" s="37" t="n">
        <x:v>0</x:v>
      </x:c>
      <x:c r="Y1470" s="37" t="n">
        <x:v>2160.99430510938</x:v>
      </x:c>
      <x:c r="Z1470" s="37" t="n">
        <x:v>10785466.596413443</x:v>
      </x:c>
      <x:c r="AA1470" s="37" t="n">
        <x:v>0</x:v>
      </x:c>
      <x:c r="AB1470" s="37" t="n">
        <x:v>10785466.596413443</x:v>
      </x:c>
      <x:c r="AC1470" s="37" t="n">
        <x:v>887121.461711375</x:v>
      </x:c>
      <x:c r="AD1470" s="37" t="n">
        <x:v>0</x:v>
      </x:c>
      <x:c r="AE1470" s="37" t="n">
        <x:v>0</x:v>
      </x:c>
      <x:c r="AF1470" s="47" t="b">
        <x:v>0</x:v>
      </x:c>
      <x:c r="AG1470" s="47" t="b">
        <x:v>0</x:v>
      </x:c>
      <x:c r="AH1470" s="48" t="n">
        <x:v>0</x:v>
      </x:c>
      <x:c r="AI1470" s="48" t="n">
        <x:v>1.1920928955078125e-7</x:v>
      </x:c>
      <x:c r="AJ1470" s="37" t="str">
        <x:v>passed</x:v>
      </x:c>
    </x:row>
    <x:row r="1471" ht="21" customHeight="1">
      <x:c r="A1471" s="2"/>
      <x:c r="B1471" s="2"/>
      <x:c r="C1471" s="2" t="str">
        <x:v>2023</x:v>
      </x:c>
      <x:c r="D1471" s="5" t="n">
        <x:v>45098</x:v>
      </x:c>
      <x:c r="E1471" s="2" t="str">
        <x:v>unhedged</x:v>
      </x:c>
      <x:c r="F1471" s="37" t="n">
        <x:v>1274194.310627741</x:v>
      </x:c>
      <x:c r="G1471" s="37" t="n">
        <x:v>10561586.730260128</x:v>
      </x:c>
      <x:c r="H1471" s="37" t="n">
        <x:v>33523.45063656018</x:v>
      </x:c>
      <x:c r="I1471" s="37" t="n">
        <x:v>10528063.279623568</x:v>
      </x:c>
      <x:c r="J1471" s="37" t="n">
        <x:v>10561586.730260128</x:v>
      </x:c>
      <x:c r="K1471" s="37" t="n">
        <x:v>0</x:v>
      </x:c>
      <x:c r="L1471" s="37" t="n">
        <x:v>11835781.04088787</x:v>
      </x:c>
      <x:c r="M1471" s="37" t="n">
        <x:v>0</x:v>
      </x:c>
      <x:c r="N1471" s="37" t="n">
        <x:v>0</x:v>
      </x:c>
      <x:c r="O1471" s="37" t="n">
        <x:v>69.8150408542715</x:v>
      </x:c>
      <x:c r="P1471" s="37" t="n">
        <x:v>0</x:v>
      </x:c>
      <x:c r="Q1471" s="37" t="n">
        <x:v>0</x:v>
      </x:c>
      <x:c r="R1471" s="37" t="n">
        <x:v>0</x:v>
      </x:c>
      <x:c r="S1471" s="37" t="n">
        <x:v>0</x:v>
      </x:c>
      <x:c r="T1471" s="37" t="n">
        <x:v>0</x:v>
      </x:c>
      <x:c r="U1471" s="37" t="n">
        <x:v>63750</x:v>
      </x:c>
      <x:c r="V1471" s="37" t="n">
        <x:v>0</x:v>
      </x:c>
      <x:c r="W1471" s="37" t="n">
        <x:v>11487.179969863268</x:v>
      </x:c>
      <x:c r="X1471" s="37" t="n">
        <x:v>0</x:v>
      </x:c>
      <x:c r="Y1471" s="37" t="n">
        <x:v>1042.869342122179</x:v>
      </x:c>
      <x:c r="Z1471" s="37" t="n">
        <x:v>0</x:v>
      </x:c>
      <x:c r="AA1471" s="37" t="n">
        <x:v>0</x:v>
      </x:c>
      <x:c r="AB1471" s="37" t="n">
        <x:v>0</x:v>
      </x:c>
      <x:c r="AC1471" s="37" t="n">
        <x:v>1274194.310627741</x:v>
      </x:c>
      <x:c r="AD1471" s="37" t="n">
        <x:v>0</x:v>
      </x:c>
      <x:c r="AE1471" s="37" t="n">
        <x:v>0</x:v>
      </x:c>
      <x:c r="AF1471" s="47" t="b">
        <x:v>0</x:v>
      </x:c>
      <x:c r="AG1471" s="47" t="b">
        <x:v>0</x:v>
      </x:c>
      <x:c r="AH1471" s="48" t="n">
        <x:v>0</x:v>
      </x:c>
      <x:c r="AI1471" s="48" t="n">
        <x:v>1.1920928955078125e-7</x:v>
      </x:c>
      <x:c r="AJ1471" s="37" t="str">
        <x:v>passed</x:v>
      </x:c>
    </x:row>
    <x:row r="1472" ht="21" customHeight="1">
      <x:c r="A1472" s="2"/>
      <x:c r="B1472" s="2"/>
      <x:c r="C1472" s="2" t="str">
        <x:v>2023</x:v>
      </x:c>
      <x:c r="D1472" s="5" t="n">
        <x:v>45098</x:v>
      </x:c>
      <x:c r="E1472" s="2" t="str">
        <x:v>duration</x:v>
      </x:c>
      <x:c r="F1472" s="37" t="n">
        <x:v>7663053.834632295</x:v>
      </x:c>
      <x:c r="G1472" s="37" t="n">
        <x:v>4076268.3520546025</x:v>
      </x:c>
      <x:c r="H1472" s="37" t="n">
        <x:v>22742.378353470885</x:v>
      </x:c>
      <x:c r="I1472" s="37" t="n">
        <x:v>4053525.9737011315</x:v>
      </x:c>
      <x:c r="J1472" s="37" t="n">
        <x:v>10561586.730260128</x:v>
      </x:c>
      <x:c r="K1472" s="37" t="n">
        <x:v>6485318.378205526</x:v>
      </x:c>
      <x:c r="L1472" s="37" t="n">
        <x:v>11739322.186686898</x:v>
      </x:c>
      <x:c r="M1472" s="37" t="n">
        <x:v>0</x:v>
      </x:c>
      <x:c r="N1472" s="37" t="n">
        <x:v>0</x:v>
      </x:c>
      <x:c r="O1472" s="37" t="n">
        <x:v>419.8703542063013</x:v>
      </x:c>
      <x:c r="P1472" s="37" t="n">
        <x:v>0</x:v>
      </x:c>
      <x:c r="Q1472" s="37" t="n">
        <x:v>0</x:v>
      </x:c>
      <x:c r="R1472" s="37" t="n">
        <x:v>0</x:v>
      </x:c>
      <x:c r="S1472" s="37" t="n">
        <x:v>0</x:v>
      </x:c>
      <x:c r="T1472" s="37" t="n">
        <x:v>0</x:v>
      </x:c>
      <x:c r="U1472" s="37" t="n">
        <x:v>9917.381478397001</x:v>
      </x:c>
      <x:c r="V1472" s="37" t="n">
        <x:v>0</x:v>
      </x:c>
      <x:c r="W1472" s="37" t="n">
        <x:v>71768.29978599213</x:v>
      </x:c>
      <x:c r="X1472" s="37" t="n">
        <x:v>0</x:v>
      </x:c>
      <x:c r="Y1472" s="37" t="n">
        <x:v>1727.9174649817678</x:v>
      </x:c>
      <x:c r="Z1472" s="37" t="n">
        <x:v>6615024.745769637</x:v>
      </x:c>
      <x:c r="AA1472" s="37" t="n">
        <x:v>0</x:v>
      </x:c>
      <x:c r="AB1472" s="37" t="n">
        <x:v>6615024.745769637</x:v>
      </x:c>
      <x:c r="AC1472" s="37" t="n">
        <x:v>1048029.0888626585</x:v>
      </x:c>
      <x:c r="AD1472" s="37" t="n">
        <x:v>0</x:v>
      </x:c>
      <x:c r="AE1472" s="37" t="n">
        <x:v>0</x:v>
      </x:c>
      <x:c r="AF1472" s="47" t="b">
        <x:v>0</x:v>
      </x:c>
      <x:c r="AG1472" s="47" t="b">
        <x:v>0</x:v>
      </x:c>
      <x:c r="AH1472" s="48" t="n">
        <x:v>0</x:v>
      </x:c>
      <x:c r="AI1472" s="48" t="n">
        <x:v>5.960464477539063e-8</x:v>
      </x:c>
      <x:c r="AJ1472" s="37" t="str">
        <x:v>passed</x:v>
      </x:c>
    </x:row>
    <x:row r="1473" ht="21" customHeight="1">
      <x:c r="A1473" s="2"/>
      <x:c r="B1473" s="2"/>
      <x:c r="C1473" s="2" t="str">
        <x:v>2023</x:v>
      </x:c>
      <x:c r="D1473" s="5" t="n">
        <x:v>45098</x:v>
      </x:c>
      <x:c r="E1473" s="2" t="str">
        <x:v>unweighted</x:v>
      </x:c>
      <x:c r="F1473" s="37" t="n">
        <x:v>11313133.293573875</x:v>
      </x:c>
      <x:c r="G1473" s="37" t="n">
        <x:v>428500.4221662191</x:v>
      </x:c>
      <x:c r="H1473" s="37" t="n">
        <x:v>22169.351623864703</x:v>
      </x:c>
      <x:c r="I1473" s="37" t="n">
        <x:v>406331.07054235437</x:v>
      </x:c>
      <x:c r="J1473" s="37" t="n">
        <x:v>10635094.49413755</x:v>
      </x:c>
      <x:c r="K1473" s="37" t="n">
        <x:v>10206594.07197133</x:v>
      </x:c>
      <x:c r="L1473" s="37" t="n">
        <x:v>11741633.715740094</x:v>
      </x:c>
      <x:c r="M1473" s="37" t="n">
        <x:v>0</x:v>
      </x:c>
      <x:c r="N1473" s="37" t="n">
        <x:v>0</x:v>
      </x:c>
      <x:c r="O1473" s="37" t="n">
        <x:v>619.8637495785952</x:v>
      </x:c>
      <x:c r="P1473" s="37" t="n">
        <x:v>0</x:v>
      </x:c>
      <x:c r="Q1473" s="37" t="n">
        <x:v>0</x:v>
      </x:c>
      <x:c r="R1473" s="37" t="n">
        <x:v>0</x:v>
      </x:c>
      <x:c r="S1473" s="37" t="n">
        <x:v>0</x:v>
      </x:c>
      <x:c r="T1473" s="37" t="n">
        <x:v>0</x:v>
      </x:c>
      <x:c r="U1473" s="37" t="n">
        <x:v>-5694.19584657007</x:v>
      </x:c>
      <x:c r="V1473" s="37" t="n">
        <x:v>0</x:v>
      </x:c>
      <x:c r="W1473" s="37" t="n">
        <x:v>104081.07262478396</x:v>
      </x:c>
      <x:c r="X1473" s="37" t="n">
        <x:v>0</x:v>
      </x:c>
      <x:c r="Y1473" s="37" t="n">
        <x:v>2117.7401952623777</x:v>
      </x:c>
      <x:c r="Z1473" s="37" t="n">
        <x:v>10410725.953410758</x:v>
      </x:c>
      <x:c r="AA1473" s="37" t="n">
        <x:v>0</x:v>
      </x:c>
      <x:c r="AB1473" s="37" t="n">
        <x:v>10410725.953410758</x:v>
      </x:c>
      <x:c r="AC1473" s="37" t="n">
        <x:v>902407.3401631173</x:v>
      </x:c>
      <x:c r="AD1473" s="37" t="n">
        <x:v>0</x:v>
      </x:c>
      <x:c r="AE1473" s="37" t="n">
        <x:v>0</x:v>
      </x:c>
      <x:c r="AF1473" s="47" t="b">
        <x:v>0</x:v>
      </x:c>
      <x:c r="AG1473" s="47" t="b">
        <x:v>0</x:v>
      </x:c>
      <x:c r="AH1473" s="48" t="n">
        <x:v>0</x:v>
      </x:c>
      <x:c r="AI1473" s="48" t="n">
        <x:v>1.1920928955078125e-7</x:v>
      </x:c>
      <x:c r="AJ1473" s="37" t="str">
        <x:v>passed</x:v>
      </x:c>
    </x:row>
    <x:row r="1474" ht="21" customHeight="1">
      <x:c r="A1474" s="2"/>
      <x:c r="B1474" s="2"/>
      <x:c r="C1474" s="2" t="str">
        <x:v>2023</x:v>
      </x:c>
      <x:c r="D1474" s="5" t="n">
        <x:v>45098</x:v>
      </x:c>
      <x:c r="E1474" s="2" t="str">
        <x:v>constrained</x:v>
      </x:c>
      <x:c r="F1474" s="37" t="n">
        <x:v>11673227.651991013</x:v>
      </x:c>
      <x:c r="G1474" s="37" t="n">
        <x:v>61866.71133355294</x:v>
      </x:c>
      <x:c r="H1474" s="37" t="n">
        <x:v>22073.077802341413</x:v>
      </x:c>
      <x:c r="I1474" s="37" t="n">
        <x:v>39793.633531211526</x:v>
      </x:c>
      <x:c r="J1474" s="37" t="n">
        <x:v>10643841.227318903</x:v>
      </x:c>
      <x:c r="K1474" s="37" t="n">
        <x:v>10581974.515985351</x:v>
      </x:c>
      <x:c r="L1474" s="37" t="n">
        <x:v>11735094.363324566</x:v>
      </x:c>
      <x:c r="M1474" s="37" t="n">
        <x:v>0</x:v>
      </x:c>
      <x:c r="N1474" s="37" t="n">
        <x:v>0</x:v>
      </x:c>
      <x:c r="O1474" s="37" t="n">
        <x:v>639.5938661955297</x:v>
      </x:c>
      <x:c r="P1474" s="37" t="n">
        <x:v>0</x:v>
      </x:c>
      <x:c r="Q1474" s="37" t="n">
        <x:v>0</x:v>
      </x:c>
      <x:c r="R1474" s="37" t="n">
        <x:v>0</x:v>
      </x:c>
      <x:c r="S1474" s="37" t="n">
        <x:v>0</x:v>
      </x:c>
      <x:c r="T1474" s="37" t="n">
        <x:v>0</x:v>
      </x:c>
      <x:c r="U1474" s="37" t="n">
        <x:v>-6779.554702527748</x:v>
      </x:c>
      <x:c r="V1474" s="37" t="n">
        <x:v>0</x:v>
      </x:c>
      <x:c r="W1474" s="37" t="n">
        <x:v>108853.86823468283</x:v>
      </x:c>
      <x:c r="X1474" s="37" t="n">
        <x:v>0</x:v>
      </x:c>
      <x:c r="Y1474" s="37" t="n">
        <x:v>2160.99430510938</x:v>
      </x:c>
      <x:c r="Z1474" s="37" t="n">
        <x:v>10793614.006305058</x:v>
      </x:c>
      <x:c r="AA1474" s="37" t="n">
        <x:v>0</x:v>
      </x:c>
      <x:c r="AB1474" s="37" t="n">
        <x:v>10793614.006305058</x:v>
      </x:c>
      <x:c r="AC1474" s="37" t="n">
        <x:v>879613.6456859559</x:v>
      </x:c>
      <x:c r="AD1474" s="37" t="n">
        <x:v>0</x:v>
      </x:c>
      <x:c r="AE1474" s="37" t="n">
        <x:v>0</x:v>
      </x:c>
      <x:c r="AF1474" s="47" t="b">
        <x:v>0</x:v>
      </x:c>
      <x:c r="AG1474" s="47" t="b">
        <x:v>0</x:v>
      </x:c>
      <x:c r="AH1474" s="48" t="n">
        <x:v>0</x:v>
      </x:c>
      <x:c r="AI1474" s="48" t="n">
        <x:v>1.1920928955078125e-7</x:v>
      </x:c>
      <x:c r="AJ1474" s="37" t="str">
        <x:v>passed</x:v>
      </x:c>
    </x:row>
    <x:row r="1475" ht="21" customHeight="1">
      <x:c r="A1475" s="2"/>
      <x:c r="B1475" s="2"/>
      <x:c r="C1475" s="2" t="str">
        <x:v>2023</x:v>
      </x:c>
      <x:c r="D1475" s="5" t="n">
        <x:v>45099</x:v>
      </x:c>
      <x:c r="E1475" s="2" t="str">
        <x:v>unhedged</x:v>
      </x:c>
      <x:c r="F1475" s="37" t="n">
        <x:v>1274264.1294940768</x:v>
      </x:c>
      <x:c r="G1475" s="37" t="n">
        <x:v>10526761.108671378</x:v>
      </x:c>
      <x:c r="H1475" s="37" t="n">
        <x:v>33873.296000480426</x:v>
      </x:c>
      <x:c r="I1475" s="37" t="n">
        <x:v>10492887.812670898</x:v>
      </x:c>
      <x:c r="J1475" s="37" t="n">
        <x:v>10526761.108671378</x:v>
      </x:c>
      <x:c r="K1475" s="37" t="n">
        <x:v>0</x:v>
      </x:c>
      <x:c r="L1475" s="37" t="n">
        <x:v>11801025.238165455</x:v>
      </x:c>
      <x:c r="M1475" s="37" t="n">
        <x:v>0</x:v>
      </x:c>
      <x:c r="N1475" s="37" t="n">
        <x:v>0</x:v>
      </x:c>
      <x:c r="O1475" s="37" t="n">
        <x:v>69.81886633578688</x:v>
      </x:c>
      <x:c r="P1475" s="37" t="n">
        <x:v>0</x:v>
      </x:c>
      <x:c r="Q1475" s="37" t="n">
        <x:v>0</x:v>
      </x:c>
      <x:c r="R1475" s="37" t="n">
        <x:v>0</x:v>
      </x:c>
      <x:c r="S1475" s="37" t="n">
        <x:v>0</x:v>
      </x:c>
      <x:c r="T1475" s="37" t="n">
        <x:v>0</x:v>
      </x:c>
      <x:c r="U1475" s="37" t="n">
        <x:v>63750</x:v>
      </x:c>
      <x:c r="V1475" s="37" t="n">
        <x:v>0</x:v>
      </x:c>
      <x:c r="W1475" s="37" t="n">
        <x:v>11556.998836199054</x:v>
      </x:c>
      <x:c r="X1475" s="37" t="n">
        <x:v>0</x:v>
      </x:c>
      <x:c r="Y1475" s="37" t="n">
        <x:v>1042.869342122179</x:v>
      </x:c>
      <x:c r="Z1475" s="37" t="n">
        <x:v>0</x:v>
      </x:c>
      <x:c r="AA1475" s="37" t="n">
        <x:v>0</x:v>
      </x:c>
      <x:c r="AB1475" s="37" t="n">
        <x:v>0</x:v>
      </x:c>
      <x:c r="AC1475" s="37" t="n">
        <x:v>1274264.1294940768</x:v>
      </x:c>
      <x:c r="AD1475" s="37" t="n">
        <x:v>0</x:v>
      </x:c>
      <x:c r="AE1475" s="37" t="n">
        <x:v>0</x:v>
      </x:c>
      <x:c r="AF1475" s="47" t="b">
        <x:v>0</x:v>
      </x:c>
      <x:c r="AG1475" s="47" t="b">
        <x:v>0</x:v>
      </x:c>
      <x:c r="AH1475" s="48" t="n">
        <x:v>0</x:v>
      </x:c>
      <x:c r="AI1475" s="48" t="n">
        <x:v>1.1920928955078125e-7</x:v>
      </x:c>
      <x:c r="AJ1475" s="37" t="str">
        <x:v>passed</x:v>
      </x:c>
    </x:row>
    <x:row r="1476" ht="21" customHeight="1">
      <x:c r="A1476" s="2"/>
      <x:c r="B1476" s="2"/>
      <x:c r="C1476" s="2" t="str">
        <x:v>2023</x:v>
      </x:c>
      <x:c r="D1476" s="5" t="n">
        <x:v>45099</x:v>
      </x:c>
      <x:c r="E1476" s="2" t="str">
        <x:v>duration</x:v>
      </x:c>
      <x:c r="F1476" s="37" t="n">
        <x:v>7663473.727993098</x:v>
      </x:c>
      <x:c r="G1476" s="37" t="n">
        <x:v>4075447.4312778413</x:v>
      </x:c>
      <x:c r="H1476" s="37" t="n">
        <x:v>22800.843385415745</x:v>
      </x:c>
      <x:c r="I1476" s="37" t="n">
        <x:v>4052646.5878924257</x:v>
      </x:c>
      <x:c r="J1476" s="37" t="n">
        <x:v>10526761.108671378</x:v>
      </x:c>
      <x:c r="K1476" s="37" t="n">
        <x:v>6451313.677393537</x:v>
      </x:c>
      <x:c r="L1476" s="37" t="n">
        <x:v>11738921.159270938</x:v>
      </x:c>
      <x:c r="M1476" s="37" t="n">
        <x:v>0</x:v>
      </x:c>
      <x:c r="N1476" s="37" t="n">
        <x:v>0</x:v>
      </x:c>
      <x:c r="O1476" s="37" t="n">
        <x:v>419.89336080290377</x:v>
      </x:c>
      <x:c r="P1476" s="37" t="n">
        <x:v>0</x:v>
      </x:c>
      <x:c r="Q1476" s="37" t="n">
        <x:v>0</x:v>
      </x:c>
      <x:c r="R1476" s="37" t="n">
        <x:v>0</x:v>
      </x:c>
      <x:c r="S1476" s="37" t="n">
        <x:v>0</x:v>
      </x:c>
      <x:c r="T1476" s="37" t="n">
        <x:v>0</x:v>
      </x:c>
      <x:c r="U1476" s="37" t="n">
        <x:v>9917.381478397001</x:v>
      </x:c>
      <x:c r="V1476" s="37" t="n">
        <x:v>0</x:v>
      </x:c>
      <x:c r="W1476" s="37" t="n">
        <x:v>72188.19314679503</x:v>
      </x:c>
      <x:c r="X1476" s="37" t="n">
        <x:v>0</x:v>
      </x:c>
      <x:c r="Y1476" s="37" t="n">
        <x:v>1727.9174649817678</x:v>
      </x:c>
      <x:c r="Z1476" s="37" t="n">
        <x:v>6580339.950941408</x:v>
      </x:c>
      <x:c r="AA1476" s="37" t="n">
        <x:v>0</x:v>
      </x:c>
      <x:c r="AB1476" s="37" t="n">
        <x:v>6580339.950941408</x:v>
      </x:c>
      <x:c r="AC1476" s="37" t="n">
        <x:v>1083133.77705169</x:v>
      </x:c>
      <x:c r="AD1476" s="37" t="n">
        <x:v>0</x:v>
      </x:c>
      <x:c r="AE1476" s="37" t="n">
        <x:v>0</x:v>
      </x:c>
      <x:c r="AF1476" s="47" t="b">
        <x:v>0</x:v>
      </x:c>
      <x:c r="AG1476" s="47" t="b">
        <x:v>0</x:v>
      </x:c>
      <x:c r="AH1476" s="48" t="n">
        <x:v>0</x:v>
      </x:c>
      <x:c r="AI1476" s="48" t="n">
        <x:v>5.960464477539063e-8</x:v>
      </x:c>
      <x:c r="AJ1476" s="37" t="str">
        <x:v>passed</x:v>
      </x:c>
    </x:row>
    <x:row r="1477" ht="21" customHeight="1">
      <x:c r="A1477" s="2"/>
      <x:c r="B1477" s="2"/>
      <x:c r="C1477" s="2" t="str">
        <x:v>2023</x:v>
      </x:c>
      <x:c r="D1477" s="5" t="n">
        <x:v>45099</x:v>
      </x:c>
      <x:c r="E1477" s="2" t="str">
        <x:v>unweighted</x:v>
      </x:c>
      <x:c r="F1477" s="37" t="n">
        <x:v>11313753.191288592</x:v>
      </x:c>
      <x:c r="G1477" s="37" t="n">
        <x:v>428274.0600668776</x:v>
      </x:c>
      <x:c r="H1477" s="37" t="n">
        <x:v>22143.04185771129</x:v>
      </x:c>
      <x:c r="I1477" s="37" t="n">
        <x:v>406131.0182091663</x:v>
      </x:c>
      <x:c r="J1477" s="37" t="n">
        <x:v>10599451.90176931</x:v>
      </x:c>
      <x:c r="K1477" s="37" t="n">
        <x:v>10171177.841702433</x:v>
      </x:c>
      <x:c r="L1477" s="37" t="n">
        <x:v>11742027.25135547</x:v>
      </x:c>
      <x:c r="M1477" s="37" t="n">
        <x:v>0</x:v>
      </x:c>
      <x:c r="N1477" s="37" t="n">
        <x:v>0</x:v>
      </x:c>
      <x:c r="O1477" s="37" t="n">
        <x:v>619.8977147173136</x:v>
      </x:c>
      <x:c r="P1477" s="37" t="n">
        <x:v>0</x:v>
      </x:c>
      <x:c r="Q1477" s="37" t="n">
        <x:v>0</x:v>
      </x:c>
      <x:c r="R1477" s="37" t="n">
        <x:v>0</x:v>
      </x:c>
      <x:c r="S1477" s="37" t="n">
        <x:v>0</x:v>
      </x:c>
      <x:c r="T1477" s="37" t="n">
        <x:v>0</x:v>
      </x:c>
      <x:c r="U1477" s="37" t="n">
        <x:v>-5694.19584657007</x:v>
      </x:c>
      <x:c r="V1477" s="37" t="n">
        <x:v>0</x:v>
      </x:c>
      <x:c r="W1477" s="37" t="n">
        <x:v>104700.97033950128</x:v>
      </x:c>
      <x:c r="X1477" s="37" t="n">
        <x:v>0</x:v>
      </x:c>
      <x:c r="Y1477" s="37" t="n">
        <x:v>2117.7401952623777</x:v>
      </x:c>
      <x:c r="Z1477" s="37" t="n">
        <x:v>10374601.398536483</x:v>
      </x:c>
      <x:c r="AA1477" s="37" t="n">
        <x:v>0</x:v>
      </x:c>
      <x:c r="AB1477" s="37" t="n">
        <x:v>10374601.398536483</x:v>
      </x:c>
      <x:c r="AC1477" s="37" t="n">
        <x:v>939151.7927521095</x:v>
      </x:c>
      <x:c r="AD1477" s="37" t="n">
        <x:v>0</x:v>
      </x:c>
      <x:c r="AE1477" s="37" t="n">
        <x:v>0</x:v>
      </x:c>
      <x:c r="AF1477" s="47" t="b">
        <x:v>0</x:v>
      </x:c>
      <x:c r="AG1477" s="47" t="b">
        <x:v>0</x:v>
      </x:c>
      <x:c r="AH1477" s="48" t="n">
        <x:v>0</x:v>
      </x:c>
      <x:c r="AI1477" s="48" t="n">
        <x:v>1.1920928955078125e-7</x:v>
      </x:c>
      <x:c r="AJ1477" s="37" t="str">
        <x:v>passed</x:v>
      </x:c>
    </x:row>
    <x:row r="1478" ht="21" customHeight="1">
      <x:c r="A1478" s="2"/>
      <x:c r="B1478" s="2"/>
      <x:c r="C1478" s="2" t="str">
        <x:v>2023</x:v>
      </x:c>
      <x:c r="D1478" s="5" t="n">
        <x:v>45099</x:v>
      </x:c>
      <x:c r="E1478" s="2" t="str">
        <x:v>constrained</x:v>
      </x:c>
      <x:c r="F1478" s="37" t="n">
        <x:v>11673867.280903453</x:v>
      </x:c>
      <x:c r="G1478" s="37" t="n">
        <x:v>61647.038096233926</x:v>
      </x:c>
      <x:c r="H1478" s="37" t="n">
        <x:v>22040.81332977414</x:v>
      </x:c>
      <x:c r="I1478" s="37" t="n">
        <x:v>39606.22476645978</x:v>
      </x:c>
      <x:c r="J1478" s="37" t="n">
        <x:v>10608101.423104621</x:v>
      </x:c>
      <x:c r="K1478" s="37" t="n">
        <x:v>10546454.385008387</x:v>
      </x:c>
      <x:c r="L1478" s="37" t="n">
        <x:v>11735514.318999687</x:v>
      </x:c>
      <x:c r="M1478" s="37" t="n">
        <x:v>0</x:v>
      </x:c>
      <x:c r="N1478" s="37" t="n">
        <x:v>0</x:v>
      </x:c>
      <x:c r="O1478" s="37" t="n">
        <x:v>639.6289124395698</x:v>
      </x:c>
      <x:c r="P1478" s="37" t="n">
        <x:v>0</x:v>
      </x:c>
      <x:c r="Q1478" s="37" t="n">
        <x:v>0</x:v>
      </x:c>
      <x:c r="R1478" s="37" t="n">
        <x:v>0</x:v>
      </x:c>
      <x:c r="S1478" s="37" t="n">
        <x:v>0</x:v>
      </x:c>
      <x:c r="T1478" s="37" t="n">
        <x:v>0</x:v>
      </x:c>
      <x:c r="U1478" s="37" t="n">
        <x:v>-6779.554702527748</x:v>
      </x:c>
      <x:c r="V1478" s="37" t="n">
        <x:v>0</x:v>
      </x:c>
      <x:c r="W1478" s="37" t="n">
        <x:v>109493.4971471224</x:v>
      </x:c>
      <x:c r="X1478" s="37" t="n">
        <x:v>0</x:v>
      </x:c>
      <x:c r="Y1478" s="37" t="n">
        <x:v>2160.99430510938</x:v>
      </x:c>
      <x:c r="Z1478" s="37" t="n">
        <x:v>10757383.472708555</x:v>
      </x:c>
      <x:c r="AA1478" s="37" t="n">
        <x:v>0</x:v>
      </x:c>
      <x:c r="AB1478" s="37" t="n">
        <x:v>10757383.472708555</x:v>
      </x:c>
      <x:c r="AC1478" s="37" t="n">
        <x:v>916483.8081948981</x:v>
      </x:c>
      <x:c r="AD1478" s="37" t="n">
        <x:v>0</x:v>
      </x:c>
      <x:c r="AE1478" s="37" t="n">
        <x:v>0</x:v>
      </x:c>
      <x:c r="AF1478" s="47" t="b">
        <x:v>0</x:v>
      </x:c>
      <x:c r="AG1478" s="47" t="b">
        <x:v>0</x:v>
      </x:c>
      <x:c r="AH1478" s="48" t="n">
        <x:v>0</x:v>
      </x:c>
      <x:c r="AI1478" s="48" t="n">
        <x:v>1.1920928955078125e-7</x:v>
      </x:c>
      <x:c r="AJ1478" s="37" t="str">
        <x:v>passed</x:v>
      </x:c>
    </x:row>
    <x:row r="1479" ht="21" customHeight="1">
      <x:c r="A1479" s="2"/>
      <x:c r="B1479" s="2"/>
      <x:c r="C1479" s="2" t="str">
        <x:v>2023</x:v>
      </x:c>
      <x:c r="D1479" s="5" t="n">
        <x:v>45100</x:v>
      </x:c>
      <x:c r="E1479" s="2" t="str">
        <x:v>unhedged</x:v>
      </x:c>
      <x:c r="F1479" s="37" t="n">
        <x:v>1274333.952186104</x:v>
      </x:c>
      <x:c r="G1479" s="37" t="n">
        <x:v>10545346.200991213</x:v>
      </x:c>
      <x:c r="H1479" s="37" t="n">
        <x:v>34223.14136440067</x:v>
      </x:c>
      <x:c r="I1479" s="37" t="n">
        <x:v>10511123.059626812</x:v>
      </x:c>
      <x:c r="J1479" s="37" t="n">
        <x:v>10545346.200991213</x:v>
      </x:c>
      <x:c r="K1479" s="37" t="n">
        <x:v>0</x:v>
      </x:c>
      <x:c r="L1479" s="37" t="n">
        <x:v>11819680.153177317</x:v>
      </x:c>
      <x:c r="M1479" s="37" t="n">
        <x:v>0</x:v>
      </x:c>
      <x:c r="N1479" s="37" t="n">
        <x:v>0</x:v>
      </x:c>
      <x:c r="O1479" s="37" t="n">
        <x:v>69.82269202708267</x:v>
      </x:c>
      <x:c r="P1479" s="37" t="n">
        <x:v>0</x:v>
      </x:c>
      <x:c r="Q1479" s="37" t="n">
        <x:v>0</x:v>
      </x:c>
      <x:c r="R1479" s="37" t="n">
        <x:v>0</x:v>
      </x:c>
      <x:c r="S1479" s="37" t="n">
        <x:v>0</x:v>
      </x:c>
      <x:c r="T1479" s="37" t="n">
        <x:v>0</x:v>
      </x:c>
      <x:c r="U1479" s="37" t="n">
        <x:v>63750</x:v>
      </x:c>
      <x:c r="V1479" s="37" t="n">
        <x:v>0</x:v>
      </x:c>
      <x:c r="W1479" s="37" t="n">
        <x:v>11626.821528226137</x:v>
      </x:c>
      <x:c r="X1479" s="37" t="n">
        <x:v>0</x:v>
      </x:c>
      <x:c r="Y1479" s="37" t="n">
        <x:v>1042.869342122179</x:v>
      </x:c>
      <x:c r="Z1479" s="37" t="n">
        <x:v>0</x:v>
      </x:c>
      <x:c r="AA1479" s="37" t="n">
        <x:v>0</x:v>
      </x:c>
      <x:c r="AB1479" s="37" t="n">
        <x:v>0</x:v>
      </x:c>
      <x:c r="AC1479" s="37" t="n">
        <x:v>1274333.952186104</x:v>
      </x:c>
      <x:c r="AD1479" s="37" t="n">
        <x:v>0</x:v>
      </x:c>
      <x:c r="AE1479" s="37" t="n">
        <x:v>0</x:v>
      </x:c>
      <x:c r="AF1479" s="47" t="b">
        <x:v>0</x:v>
      </x:c>
      <x:c r="AG1479" s="47" t="b">
        <x:v>0</x:v>
      </x:c>
      <x:c r="AH1479" s="48" t="n">
        <x:v>0</x:v>
      </x:c>
      <x:c r="AI1479" s="48" t="n">
        <x:v>1.1920928955078125e-7</x:v>
      </x:c>
      <x:c r="AJ1479" s="37" t="str">
        <x:v>passed</x:v>
      </x:c>
    </x:row>
    <x:row r="1480" ht="21" customHeight="1">
      <x:c r="A1480" s="2"/>
      <x:c r="B1480" s="2"/>
      <x:c r="C1480" s="2" t="str">
        <x:v>2023</x:v>
      </x:c>
      <x:c r="D1480" s="5" t="n">
        <x:v>45100</x:v>
      </x:c>
      <x:c r="E1480" s="2" t="str">
        <x:v>duration</x:v>
      </x:c>
      <x:c r="F1480" s="37" t="n">
        <x:v>7663893.644361755</x:v>
      </x:c>
      <x:c r="G1480" s="37" t="n">
        <x:v>4077856.7035924895</x:v>
      </x:c>
      <x:c r="H1480" s="37" t="n">
        <x:v>22859.308417360608</x:v>
      </x:c>
      <x:c r="I1480" s="37" t="n">
        <x:v>4054997.3951751287</x:v>
      </x:c>
      <x:c r="J1480" s="37" t="n">
        <x:v>10545346.200991213</x:v>
      </x:c>
      <x:c r="K1480" s="37" t="n">
        <x:v>6467489.497398724</x:v>
      </x:c>
      <x:c r="L1480" s="37" t="n">
        <x:v>11741750.347954243</x:v>
      </x:c>
      <x:c r="M1480" s="37" t="n">
        <x:v>0</x:v>
      </x:c>
      <x:c r="N1480" s="37" t="n">
        <x:v>0</x:v>
      </x:c>
      <x:c r="O1480" s="37" t="n">
        <x:v>419.91636865679175</x:v>
      </x:c>
      <x:c r="P1480" s="37" t="n">
        <x:v>0</x:v>
      </x:c>
      <x:c r="Q1480" s="37" t="n">
        <x:v>0</x:v>
      </x:c>
      <x:c r="R1480" s="37" t="n">
        <x:v>0</x:v>
      </x:c>
      <x:c r="S1480" s="37" t="n">
        <x:v>0</x:v>
      </x:c>
      <x:c r="T1480" s="37" t="n">
        <x:v>0</x:v>
      </x:c>
      <x:c r="U1480" s="37" t="n">
        <x:v>9917.381478397001</x:v>
      </x:c>
      <x:c r="V1480" s="37" t="n">
        <x:v>0</x:v>
      </x:c>
      <x:c r="W1480" s="37" t="n">
        <x:v>72608.10951545183</x:v>
      </x:c>
      <x:c r="X1480" s="37" t="n">
        <x:v>0</x:v>
      </x:c>
      <x:c r="Y1480" s="37" t="n">
        <x:v>1727.9174649817678</x:v>
      </x:c>
      <x:c r="Z1480" s="37" t="n">
        <x:v>6596839.287346698</x:v>
      </x:c>
      <x:c r="AA1480" s="37" t="n">
        <x:v>0</x:v>
      </x:c>
      <x:c r="AB1480" s="37" t="n">
        <x:v>6596839.287346698</x:v>
      </x:c>
      <x:c r="AC1480" s="37" t="n">
        <x:v>1067054.3570150565</x:v>
      </x:c>
      <x:c r="AD1480" s="37" t="n">
        <x:v>0</x:v>
      </x:c>
      <x:c r="AE1480" s="37" t="n">
        <x:v>0</x:v>
      </x:c>
      <x:c r="AF1480" s="47" t="b">
        <x:v>0</x:v>
      </x:c>
      <x:c r="AG1480" s="47" t="b">
        <x:v>0</x:v>
      </x:c>
      <x:c r="AH1480" s="48" t="n">
        <x:v>0</x:v>
      </x:c>
      <x:c r="AI1480" s="48" t="n">
        <x:v>5.960464477539063e-8</x:v>
      </x:c>
      <x:c r="AJ1480" s="37" t="str">
        <x:v>passed</x:v>
      </x:c>
    </x:row>
    <x:row r="1481" ht="21" customHeight="1">
      <x:c r="A1481" s="2"/>
      <x:c r="B1481" s="2"/>
      <x:c r="C1481" s="2" t="str">
        <x:v>2023</x:v>
      </x:c>
      <x:c r="D1481" s="5" t="n">
        <x:v>45100</x:v>
      </x:c>
      <x:c r="E1481" s="2" t="str">
        <x:v>unweighted</x:v>
      </x:c>
      <x:c r="F1481" s="37" t="n">
        <x:v>11314373.122970307</x:v>
      </x:c>
      <x:c r="G1481" s="37" t="n">
        <x:v>428727.36767467856</x:v>
      </x:c>
      <x:c r="H1481" s="37" t="n">
        <x:v>22116.73209155788</x:v>
      </x:c>
      <x:c r="I1481" s="37" t="n">
        <x:v>406610.6355831207</x:v>
      </x:c>
      <x:c r="J1481" s="37" t="n">
        <x:v>10618737.69735679</x:v>
      </x:c>
      <x:c r="K1481" s="37" t="n">
        <x:v>10190010.329682112</x:v>
      </x:c>
      <x:c r="L1481" s="37" t="n">
        <x:v>11743100.490644986</x:v>
      </x:c>
      <x:c r="M1481" s="37" t="n">
        <x:v>0</x:v>
      </x:c>
      <x:c r="N1481" s="37" t="n">
        <x:v>0</x:v>
      </x:c>
      <x:c r="O1481" s="37" t="n">
        <x:v>619.931681714952</x:v>
      </x:c>
      <x:c r="P1481" s="37" t="n">
        <x:v>0</x:v>
      </x:c>
      <x:c r="Q1481" s="37" t="n">
        <x:v>0</x:v>
      </x:c>
      <x:c r="R1481" s="37" t="n">
        <x:v>0</x:v>
      </x:c>
      <x:c r="S1481" s="37" t="n">
        <x:v>0</x:v>
      </x:c>
      <x:c r="T1481" s="37" t="n">
        <x:v>0</x:v>
      </x:c>
      <x:c r="U1481" s="37" t="n">
        <x:v>-5694.19584657007</x:v>
      </x:c>
      <x:c r="V1481" s="37" t="n">
        <x:v>0</x:v>
      </x:c>
      <x:c r="W1481" s="37" t="n">
        <x:v>105320.90202121623</x:v>
      </x:c>
      <x:c r="X1481" s="37" t="n">
        <x:v>0</x:v>
      </x:c>
      <x:c r="Y1481" s="37" t="n">
        <x:v>2117.7401952623777</x:v>
      </x:c>
      <x:c r="Z1481" s="37" t="n">
        <x:v>10393810.536275754</x:v>
      </x:c>
      <x:c r="AA1481" s="37" t="n">
        <x:v>0</x:v>
      </x:c>
      <x:c r="AB1481" s="37" t="n">
        <x:v>10393810.536275754</x:v>
      </x:c>
      <x:c r="AC1481" s="37" t="n">
        <x:v>920562.5866945535</x:v>
      </x:c>
      <x:c r="AD1481" s="37" t="n">
        <x:v>0</x:v>
      </x:c>
      <x:c r="AE1481" s="37" t="n">
        <x:v>0</x:v>
      </x:c>
      <x:c r="AF1481" s="47" t="b">
        <x:v>0</x:v>
      </x:c>
      <x:c r="AG1481" s="47" t="b">
        <x:v>0</x:v>
      </x:c>
      <x:c r="AH1481" s="48" t="n">
        <x:v>0</x:v>
      </x:c>
      <x:c r="AI1481" s="48" t="n">
        <x:v>1.1920928955078125e-7</x:v>
      </x:c>
      <x:c r="AJ1481" s="37" t="str">
        <x:v>passed</x:v>
      </x:c>
    </x:row>
    <x:row r="1482" ht="21" customHeight="1">
      <x:c r="A1482" s="2"/>
      <x:c r="B1482" s="2"/>
      <x:c r="C1482" s="2" t="str">
        <x:v>2023</x:v>
      </x:c>
      <x:c r="D1482" s="5" t="n">
        <x:v>45100</x:v>
      </x:c>
      <x:c r="E1482" s="2" t="str">
        <x:v>constrained</x:v>
      </x:c>
      <x:c r="F1482" s="37" t="n">
        <x:v>11674506.944864051</x:v>
      </x:c>
      <x:c r="G1482" s="37" t="n">
        <x:v>62068.239429907626</x:v>
      </x:c>
      <x:c r="H1482" s="37" t="n">
        <x:v>22008.54885720686</x:v>
      </x:c>
      <x:c r="I1482" s="37" t="n">
        <x:v>40059.69057270077</x:v>
      </x:c>
      <x:c r="J1482" s="37" t="n">
        <x:v>10627470.59579675</x:v>
      </x:c>
      <x:c r="K1482" s="37" t="n">
        <x:v>10565402.356366843</x:v>
      </x:c>
      <x:c r="L1482" s="37" t="n">
        <x:v>11736575.18429396</x:v>
      </x:c>
      <x:c r="M1482" s="37" t="n">
        <x:v>0</x:v>
      </x:c>
      <x:c r="N1482" s="37" t="n">
        <x:v>0</x:v>
      </x:c>
      <x:c r="O1482" s="37" t="n">
        <x:v>639.6639605984092</x:v>
      </x:c>
      <x:c r="P1482" s="37" t="n">
        <x:v>0</x:v>
      </x:c>
      <x:c r="Q1482" s="37" t="n">
        <x:v>0</x:v>
      </x:c>
      <x:c r="R1482" s="37" t="n">
        <x:v>0</x:v>
      </x:c>
      <x:c r="S1482" s="37" t="n">
        <x:v>0</x:v>
      </x:c>
      <x:c r="T1482" s="37" t="n">
        <x:v>0</x:v>
      </x:c>
      <x:c r="U1482" s="37" t="n">
        <x:v>-6779.554702527748</x:v>
      </x:c>
      <x:c r="V1482" s="37" t="n">
        <x:v>0</x:v>
      </x:c>
      <x:c r="W1482" s="37" t="n">
        <x:v>110133.1611077208</x:v>
      </x:c>
      <x:c r="X1482" s="37" t="n">
        <x:v>0</x:v>
      </x:c>
      <x:c r="Y1482" s="37" t="n">
        <x:v>2160.99430510938</x:v>
      </x:c>
      <x:c r="Z1482" s="37" t="n">
        <x:v>10776710.40349418</x:v>
      </x:c>
      <x:c r="AA1482" s="37" t="n">
        <x:v>0</x:v>
      </x:c>
      <x:c r="AB1482" s="37" t="n">
        <x:v>10776710.40349418</x:v>
      </x:c>
      <x:c r="AC1482" s="37" t="n">
        <x:v>897796.5413698722</x:v>
      </x:c>
      <x:c r="AD1482" s="37" t="n">
        <x:v>0</x:v>
      </x:c>
      <x:c r="AE1482" s="37" t="n">
        <x:v>0</x:v>
      </x:c>
      <x:c r="AF1482" s="47" t="b">
        <x:v>0</x:v>
      </x:c>
      <x:c r="AG1482" s="47" t="b">
        <x:v>0</x:v>
      </x:c>
      <x:c r="AH1482" s="48" t="n">
        <x:v>0</x:v>
      </x:c>
      <x:c r="AI1482" s="48" t="n">
        <x:v>1.1920928955078125e-7</x:v>
      </x:c>
      <x:c r="AJ1482" s="37" t="str">
        <x:v>passed</x:v>
      </x:c>
    </x:row>
    <x:row r="1483" ht="21" customHeight="1">
      <x:c r="A1483" s="2"/>
      <x:c r="B1483" s="2"/>
      <x:c r="C1483" s="2" t="str">
        <x:v>2023</x:v>
      </x:c>
      <x:c r="D1483" s="5" t="n">
        <x:v>45103</x:v>
      </x:c>
      <x:c r="E1483" s="2" t="str">
        <x:v>unhedged</x:v>
      </x:c>
      <x:c r="F1483" s="37" t="n">
        <x:v>1274543.4432184298</x:v>
      </x:c>
      <x:c r="G1483" s="37" t="n">
        <x:v>10558916.653901467</x:v>
      </x:c>
      <x:c r="H1483" s="37" t="n">
        <x:v>35272.67745616142</x:v>
      </x:c>
      <x:c r="I1483" s="37" t="n">
        <x:v>10523643.976445306</x:v>
      </x:c>
      <x:c r="J1483" s="37" t="n">
        <x:v>10558916.653901467</x:v>
      </x:c>
      <x:c r="K1483" s="37" t="n">
        <x:v>0</x:v>
      </x:c>
      <x:c r="L1483" s="37" t="n">
        <x:v>11833460.097119898</x:v>
      </x:c>
      <x:c r="M1483" s="37" t="n">
        <x:v>0</x:v>
      </x:c>
      <x:c r="N1483" s="37" t="n">
        <x:v>0</x:v>
      </x:c>
      <x:c r="O1483" s="37" t="n">
        <x:v>209.4910323258955</x:v>
      </x:c>
      <x:c r="P1483" s="37" t="n">
        <x:v>0</x:v>
      </x:c>
      <x:c r="Q1483" s="37" t="n">
        <x:v>0</x:v>
      </x:c>
      <x:c r="R1483" s="37" t="n">
        <x:v>0</x:v>
      </x:c>
      <x:c r="S1483" s="37" t="n">
        <x:v>0</x:v>
      </x:c>
      <x:c r="T1483" s="37" t="n">
        <x:v>0</x:v>
      </x:c>
      <x:c r="U1483" s="37" t="n">
        <x:v>63750</x:v>
      </x:c>
      <x:c r="V1483" s="37" t="n">
        <x:v>0</x:v>
      </x:c>
      <x:c r="W1483" s="37" t="n">
        <x:v>11836.312560552033</x:v>
      </x:c>
      <x:c r="X1483" s="37" t="n">
        <x:v>0</x:v>
      </x:c>
      <x:c r="Y1483" s="37" t="n">
        <x:v>1042.869342122179</x:v>
      </x:c>
      <x:c r="Z1483" s="37" t="n">
        <x:v>0</x:v>
      </x:c>
      <x:c r="AA1483" s="37" t="n">
        <x:v>0</x:v>
      </x:c>
      <x:c r="AB1483" s="37" t="n">
        <x:v>0</x:v>
      </x:c>
      <x:c r="AC1483" s="37" t="n">
        <x:v>1274543.4432184298</x:v>
      </x:c>
      <x:c r="AD1483" s="37" t="n">
        <x:v>0</x:v>
      </x:c>
      <x:c r="AE1483" s="37" t="n">
        <x:v>0</x:v>
      </x:c>
      <x:c r="AF1483" s="47" t="b">
        <x:v>0</x:v>
      </x:c>
      <x:c r="AG1483" s="47" t="b">
        <x:v>0</x:v>
      </x:c>
      <x:c r="AH1483" s="48" t="n">
        <x:v>0</x:v>
      </x:c>
      <x:c r="AI1483" s="48" t="n">
        <x:v>1.1920928955078125e-7</x:v>
      </x:c>
      <x:c r="AJ1483" s="37" t="str">
        <x:v>passed</x:v>
      </x:c>
    </x:row>
    <x:row r="1484" ht="21" customHeight="1">
      <x:c r="A1484" s="2"/>
      <x:c r="B1484" s="2"/>
      <x:c r="C1484" s="2" t="str">
        <x:v>2023</x:v>
      </x:c>
      <x:c r="D1484" s="5" t="n">
        <x:v>45103</x:v>
      </x:c>
      <x:c r="E1484" s="2" t="str">
        <x:v>duration</x:v>
      </x:c>
      <x:c r="F1484" s="37" t="n">
        <x:v>7665153.531527469</x:v>
      </x:c>
      <x:c r="G1484" s="37" t="n">
        <x:v>4080818.674052803</x:v>
      </x:c>
      <x:c r="H1484" s="37" t="n">
        <x:v>23034.7035131952</x:v>
      </x:c>
      <x:c r="I1484" s="37" t="n">
        <x:v>4057783.9705396076</x:v>
      </x:c>
      <x:c r="J1484" s="37" t="n">
        <x:v>10558916.653901467</x:v>
      </x:c>
      <x:c r="K1484" s="37" t="n">
        <x:v>6478097.979848663</x:v>
      </x:c>
      <x:c r="L1484" s="37" t="n">
        <x:v>11745972.205580272</x:v>
      </x:c>
      <x:c r="M1484" s="37" t="n">
        <x:v>0</x:v>
      </x:c>
      <x:c r="N1484" s="37" t="n">
        <x:v>0</x:v>
      </x:c>
      <x:c r="O1484" s="37" t="n">
        <x:v>1259.8871657140553</x:v>
      </x:c>
      <x:c r="P1484" s="37" t="n">
        <x:v>0</x:v>
      </x:c>
      <x:c r="Q1484" s="37" t="n">
        <x:v>0</x:v>
      </x:c>
      <x:c r="R1484" s="37" t="n">
        <x:v>0</x:v>
      </x:c>
      <x:c r="S1484" s="37" t="n">
        <x:v>0</x:v>
      </x:c>
      <x:c r="T1484" s="37" t="n">
        <x:v>0</x:v>
      </x:c>
      <x:c r="U1484" s="37" t="n">
        <x:v>9917.381478397001</x:v>
      </x:c>
      <x:c r="V1484" s="37" t="n">
        <x:v>0</x:v>
      </x:c>
      <x:c r="W1484" s="37" t="n">
        <x:v>73867.99668116588</x:v>
      </x:c>
      <x:c r="X1484" s="37" t="n">
        <x:v>0</x:v>
      </x:c>
      <x:c r="Y1484" s="37" t="n">
        <x:v>1727.9174649817678</x:v>
      </x:c>
      <x:c r="Z1484" s="37" t="n">
        <x:v>6607659.939445637</x:v>
      </x:c>
      <x:c r="AA1484" s="37" t="n">
        <x:v>0</x:v>
      </x:c>
      <x:c r="AB1484" s="37" t="n">
        <x:v>6607659.939445637</x:v>
      </x:c>
      <x:c r="AC1484" s="37" t="n">
        <x:v>1057493.5920818318</x:v>
      </x:c>
      <x:c r="AD1484" s="37" t="n">
        <x:v>0</x:v>
      </x:c>
      <x:c r="AE1484" s="37" t="n">
        <x:v>0</x:v>
      </x:c>
      <x:c r="AF1484" s="47" t="b">
        <x:v>0</x:v>
      </x:c>
      <x:c r="AG1484" s="47" t="b">
        <x:v>0</x:v>
      </x:c>
      <x:c r="AH1484" s="48" t="n">
        <x:v>0</x:v>
      </x:c>
      <x:c r="AI1484" s="48" t="n">
        <x:v>5.960464477539063e-8</x:v>
      </x:c>
      <x:c r="AJ1484" s="37" t="str">
        <x:v>passed</x:v>
      </x:c>
    </x:row>
    <x:row r="1485" ht="21" customHeight="1">
      <x:c r="A1485" s="2"/>
      <x:c r="B1485" s="2"/>
      <x:c r="C1485" s="2" t="str">
        <x:v>2023</x:v>
      </x:c>
      <x:c r="D1485" s="5" t="n">
        <x:v>45103</x:v>
      </x:c>
      <x:c r="E1485" s="2" t="str">
        <x:v>unweighted</x:v>
      </x:c>
      <x:c r="F1485" s="37" t="n">
        <x:v>11316233.121836055</x:v>
      </x:c>
      <x:c r="G1485" s="37" t="n">
        <x:v>429013.74544364196</x:v>
      </x:c>
      <x:c r="H1485" s="37" t="n">
        <x:v>22037.80279309765</x:v>
      </x:c>
      <x:c r="I1485" s="37" t="n">
        <x:v>406975.94265054434</x:v>
      </x:c>
      <x:c r="J1485" s="37" t="n">
        <x:v>10632403.731319895</x:v>
      </x:c>
      <x:c r="K1485" s="37" t="n">
        <x:v>10203389.985876253</x:v>
      </x:c>
      <x:c r="L1485" s="37" t="n">
        <x:v>11745246.867279697</x:v>
      </x:c>
      <x:c r="M1485" s="37" t="n">
        <x:v>0</x:v>
      </x:c>
      <x:c r="N1485" s="37" t="n">
        <x:v>0</x:v>
      </x:c>
      <x:c r="O1485" s="37" t="n">
        <x:v>1859.9988657478243</x:v>
      </x:c>
      <x:c r="P1485" s="37" t="n">
        <x:v>0</x:v>
      </x:c>
      <x:c r="Q1485" s="37" t="n">
        <x:v>0</x:v>
      </x:c>
      <x:c r="R1485" s="37" t="n">
        <x:v>0</x:v>
      </x:c>
      <x:c r="S1485" s="37" t="n">
        <x:v>0</x:v>
      </x:c>
      <x:c r="T1485" s="37" t="n">
        <x:v>0</x:v>
      </x:c>
      <x:c r="U1485" s="37" t="n">
        <x:v>-5694.19584657007</x:v>
      </x:c>
      <x:c r="V1485" s="37" t="n">
        <x:v>0</x:v>
      </x:c>
      <x:c r="W1485" s="37" t="n">
        <x:v>107180.90088696405</x:v>
      </x:c>
      <x:c r="X1485" s="37" t="n">
        <x:v>0</x:v>
      </x:c>
      <x:c r="Y1485" s="37" t="n">
        <x:v>2117.7401952623777</x:v>
      </x:c>
      <x:c r="Z1485" s="37" t="n">
        <x:v>10407457.785593778</x:v>
      </x:c>
      <x:c r="AA1485" s="37" t="n">
        <x:v>0</x:v>
      </x:c>
      <x:c r="AB1485" s="37" t="n">
        <x:v>10407457.785593778</x:v>
      </x:c>
      <x:c r="AC1485" s="37" t="n">
        <x:v>908775.3362422772</x:v>
      </x:c>
      <x:c r="AD1485" s="37" t="n">
        <x:v>0</x:v>
      </x:c>
      <x:c r="AE1485" s="37" t="n">
        <x:v>0</x:v>
      </x:c>
      <x:c r="AF1485" s="47" t="b">
        <x:v>0</x:v>
      </x:c>
      <x:c r="AG1485" s="47" t="b">
        <x:v>0</x:v>
      </x:c>
      <x:c r="AH1485" s="48" t="n">
        <x:v>0</x:v>
      </x:c>
      <x:c r="AI1485" s="48" t="n">
        <x:v>1.1920928955078125e-7</x:v>
      </x:c>
      <x:c r="AJ1485" s="37" t="str">
        <x:v>passed</x:v>
      </x:c>
    </x:row>
    <x:row r="1486" ht="21" customHeight="1">
      <x:c r="A1486" s="2"/>
      <x:c r="B1486" s="2"/>
      <x:c r="C1486" s="2" t="str">
        <x:v>2023</x:v>
      </x:c>
      <x:c r="D1486" s="5" t="n">
        <x:v>45103</x:v>
      </x:c>
      <x:c r="E1486" s="2" t="str">
        <x:v>constrained</x:v>
      </x:c>
      <x:c r="F1486" s="37" t="n">
        <x:v>11676426.147054011</x:v>
      </x:c>
      <x:c r="G1486" s="37" t="n">
        <x:v>62187.34054440197</x:v>
      </x:c>
      <x:c r="H1486" s="37" t="n">
        <x:v>21911.755439505043</x:v>
      </x:c>
      <x:c r="I1486" s="37" t="n">
        <x:v>40275.585104896934</x:v>
      </x:c>
      <x:c r="J1486" s="37" t="n">
        <x:v>10641148.00300701</x:v>
      </x:c>
      <x:c r="K1486" s="37" t="n">
        <x:v>10578960.662462609</x:v>
      </x:c>
      <x:c r="L1486" s="37" t="n">
        <x:v>11738613.487598414</x:v>
      </x:c>
      <x:c r="M1486" s="37" t="n">
        <x:v>0</x:v>
      </x:c>
      <x:c r="N1486" s="37" t="n">
        <x:v>0</x:v>
      </x:c>
      <x:c r="O1486" s="37" t="n">
        <x:v>1919.2021899595857</x:v>
      </x:c>
      <x:c r="P1486" s="37" t="n">
        <x:v>0</x:v>
      </x:c>
      <x:c r="Q1486" s="37" t="n">
        <x:v>0</x:v>
      </x:c>
      <x:c r="R1486" s="37" t="n">
        <x:v>0</x:v>
      </x:c>
      <x:c r="S1486" s="37" t="n">
        <x:v>0</x:v>
      </x:c>
      <x:c r="T1486" s="37" t="n">
        <x:v>0</x:v>
      </x:c>
      <x:c r="U1486" s="37" t="n">
        <x:v>-6779.554702527748</x:v>
      </x:c>
      <x:c r="V1486" s="37" t="n">
        <x:v>0</x:v>
      </x:c>
      <x:c r="W1486" s="37" t="n">
        <x:v>112052.3632976804</x:v>
      </x:c>
      <x:c r="X1486" s="37" t="n">
        <x:v>0</x:v>
      </x:c>
      <x:c r="Y1486" s="37" t="n">
        <x:v>2160.99430510938</x:v>
      </x:c>
      <x:c r="Z1486" s="37" t="n">
        <x:v>10790539.875711862</x:v>
      </x:c>
      <x:c r="AA1486" s="37" t="n">
        <x:v>0</x:v>
      </x:c>
      <x:c r="AB1486" s="37" t="n">
        <x:v>10790539.875711862</x:v>
      </x:c>
      <x:c r="AC1486" s="37" t="n">
        <x:v>885886.271342149</x:v>
      </x:c>
      <x:c r="AD1486" s="37" t="n">
        <x:v>0</x:v>
      </x:c>
      <x:c r="AE1486" s="37" t="n">
        <x:v>0</x:v>
      </x:c>
      <x:c r="AF1486" s="47" t="b">
        <x:v>0</x:v>
      </x:c>
      <x:c r="AG1486" s="47" t="b">
        <x:v>0</x:v>
      </x:c>
      <x:c r="AH1486" s="48" t="n">
        <x:v>0</x:v>
      </x:c>
      <x:c r="AI1486" s="48" t="n">
        <x:v>1.1920928955078125e-7</x:v>
      </x:c>
      <x:c r="AJ1486" s="37" t="str">
        <x:v>passed</x:v>
      </x:c>
    </x:row>
    <x:row r="1487" ht="21" customHeight="1">
      <x:c r="A1487" s="2"/>
      <x:c r="B1487" s="2"/>
      <x:c r="C1487" s="2" t="str">
        <x:v>2023</x:v>
      </x:c>
      <x:c r="D1487" s="5" t="n">
        <x:v>45104</x:v>
      </x:c>
      <x:c r="E1487" s="2" t="str">
        <x:v>unhedged</x:v>
      </x:c>
      <x:c r="F1487" s="37" t="n">
        <x:v>1274613.2812153185</x:v>
      </x:c>
      <x:c r="G1487" s="37" t="n">
        <x:v>10538768.318326652</x:v>
      </x:c>
      <x:c r="H1487" s="37" t="n">
        <x:v>35622.52282008167</x:v>
      </x:c>
      <x:c r="I1487" s="37" t="n">
        <x:v>10503145.79550657</x:v>
      </x:c>
      <x:c r="J1487" s="37" t="n">
        <x:v>10538768.318326652</x:v>
      </x:c>
      <x:c r="K1487" s="37" t="n">
        <x:v>0</x:v>
      </x:c>
      <x:c r="L1487" s="37" t="n">
        <x:v>11813381.59954197</x:v>
      </x:c>
      <x:c r="M1487" s="37" t="n">
        <x:v>0</x:v>
      </x:c>
      <x:c r="N1487" s="37" t="n">
        <x:v>0</x:v>
      </x:c>
      <x:c r="O1487" s="37" t="n">
        <x:v>69.83799688867293</x:v>
      </x:c>
      <x:c r="P1487" s="37" t="n">
        <x:v>0</x:v>
      </x:c>
      <x:c r="Q1487" s="37" t="n">
        <x:v>0</x:v>
      </x:c>
      <x:c r="R1487" s="37" t="n">
        <x:v>0</x:v>
      </x:c>
      <x:c r="S1487" s="37" t="n">
        <x:v>0</x:v>
      </x:c>
      <x:c r="T1487" s="37" t="n">
        <x:v>0</x:v>
      </x:c>
      <x:c r="U1487" s="37" t="n">
        <x:v>63750</x:v>
      </x:c>
      <x:c r="V1487" s="37" t="n">
        <x:v>0</x:v>
      </x:c>
      <x:c r="W1487" s="37" t="n">
        <x:v>11906.150557440706</x:v>
      </x:c>
      <x:c r="X1487" s="37" t="n">
        <x:v>0</x:v>
      </x:c>
      <x:c r="Y1487" s="37" t="n">
        <x:v>1042.869342122179</x:v>
      </x:c>
      <x:c r="Z1487" s="37" t="n">
        <x:v>0</x:v>
      </x:c>
      <x:c r="AA1487" s="37" t="n">
        <x:v>0</x:v>
      </x:c>
      <x:c r="AB1487" s="37" t="n">
        <x:v>0</x:v>
      </x:c>
      <x:c r="AC1487" s="37" t="n">
        <x:v>1274613.2812153185</x:v>
      </x:c>
      <x:c r="AD1487" s="37" t="n">
        <x:v>0</x:v>
      </x:c>
      <x:c r="AE1487" s="37" t="n">
        <x:v>0</x:v>
      </x:c>
      <x:c r="AF1487" s="47" t="b">
        <x:v>0</x:v>
      </x:c>
      <x:c r="AG1487" s="47" t="b">
        <x:v>0</x:v>
      </x:c>
      <x:c r="AH1487" s="48" t="n">
        <x:v>0</x:v>
      </x:c>
      <x:c r="AI1487" s="48" t="n">
        <x:v>1.1920928955078125e-7</x:v>
      </x:c>
      <x:c r="AJ1487" s="37" t="str">
        <x:v>passed</x:v>
      </x:c>
    </x:row>
    <x:row r="1488" ht="21" customHeight="1">
      <x:c r="A1488" s="2"/>
      <x:c r="B1488" s="2"/>
      <x:c r="C1488" s="2" t="str">
        <x:v>2023</x:v>
      </x:c>
      <x:c r="D1488" s="5" t="n">
        <x:v>45104</x:v>
      </x:c>
      <x:c r="E1488" s="2" t="str">
        <x:v>duration</x:v>
      </x:c>
      <x:c r="F1488" s="37" t="n">
        <x:v>7665573.539940156</x:v>
      </x:c>
      <x:c r="G1488" s="37" t="n">
        <x:v>4074849.4533099467</x:v>
      </x:c>
      <x:c r="H1488" s="37" t="n">
        <x:v>23093.168545140063</x:v>
      </x:c>
      <x:c r="I1488" s="37" t="n">
        <x:v>4051756.2847648067</x:v>
      </x:c>
      <x:c r="J1488" s="37" t="n">
        <x:v>10538768.318326652</x:v>
      </x:c>
      <x:c r="K1488" s="37" t="n">
        <x:v>6463918.865016705</x:v>
      </x:c>
      <x:c r="L1488" s="37" t="n">
        <x:v>11740422.993250102</x:v>
      </x:c>
      <x:c r="M1488" s="37" t="n">
        <x:v>0</x:v>
      </x:c>
      <x:c r="N1488" s="37" t="n">
        <x:v>0</x:v>
      </x:c>
      <x:c r="O1488" s="37" t="n">
        <x:v>420.0084126871079</x:v>
      </x:c>
      <x:c r="P1488" s="37" t="n">
        <x:v>0</x:v>
      </x:c>
      <x:c r="Q1488" s="37" t="n">
        <x:v>0</x:v>
      </x:c>
      <x:c r="R1488" s="37" t="n">
        <x:v>0</x:v>
      </x:c>
      <x:c r="S1488" s="37" t="n">
        <x:v>0</x:v>
      </x:c>
      <x:c r="T1488" s="37" t="n">
        <x:v>0</x:v>
      </x:c>
      <x:c r="U1488" s="37" t="n">
        <x:v>9917.381478397001</x:v>
      </x:c>
      <x:c r="V1488" s="37" t="n">
        <x:v>0</x:v>
      </x:c>
      <x:c r="W1488" s="37" t="n">
        <x:v>74288.00509385299</x:v>
      </x:c>
      <x:c r="X1488" s="37" t="n">
        <x:v>0</x:v>
      </x:c>
      <x:c r="Y1488" s="37" t="n">
        <x:v>1727.9174649817678</x:v>
      </x:c>
      <x:c r="Z1488" s="37" t="n">
        <x:v>6593197.2423170395</x:v>
      </x:c>
      <x:c r="AA1488" s="37" t="n">
        <x:v>0</x:v>
      </x:c>
      <x:c r="AB1488" s="37" t="n">
        <x:v>6593197.2423170395</x:v>
      </x:c>
      <x:c r="AC1488" s="37" t="n">
        <x:v>1072376.2976231165</x:v>
      </x:c>
      <x:c r="AD1488" s="37" t="n">
        <x:v>0</x:v>
      </x:c>
      <x:c r="AE1488" s="37" t="n">
        <x:v>0</x:v>
      </x:c>
      <x:c r="AF1488" s="47" t="b">
        <x:v>0</x:v>
      </x:c>
      <x:c r="AG1488" s="47" t="b">
        <x:v>0</x:v>
      </x:c>
      <x:c r="AH1488" s="48" t="n">
        <x:v>0</x:v>
      </x:c>
      <x:c r="AI1488" s="48" t="n">
        <x:v>5.960464477539063e-8</x:v>
      </x:c>
      <x:c r="AJ1488" s="37" t="str">
        <x:v>passed</x:v>
      </x:c>
    </x:row>
    <x:row r="1489" ht="21" customHeight="1">
      <x:c r="A1489" s="2"/>
      <x:c r="B1489" s="2"/>
      <x:c r="C1489" s="2" t="str">
        <x:v>2023</x:v>
      </x:c>
      <x:c r="D1489" s="5" t="n">
        <x:v>45104</x:v>
      </x:c>
      <x:c r="E1489" s="2" t="str">
        <x:v>unweighted</x:v>
      </x:c>
      <x:c r="F1489" s="37" t="n">
        <x:v>11316853.189404376</x:v>
      </x:c>
      <x:c r="G1489" s="37" t="n">
        <x:v>428627.2366153818</x:v>
      </x:c>
      <x:c r="H1489" s="37" t="n">
        <x:v>22011.493026944237</x:v>
      </x:c>
      <x:c r="I1489" s="37" t="n">
        <x:v>406615.74358843756</x:v>
      </x:c>
      <x:c r="J1489" s="37" t="n">
        <x:v>10611917.404620621</x:v>
      </x:c>
      <x:c r="K1489" s="37" t="n">
        <x:v>10183290.16800524</x:v>
      </x:c>
      <x:c r="L1489" s="37" t="n">
        <x:v>11745480.426019758</x:v>
      </x:c>
      <x:c r="M1489" s="37" t="n">
        <x:v>0</x:v>
      </x:c>
      <x:c r="N1489" s="37" t="n">
        <x:v>0</x:v>
      </x:c>
      <x:c r="O1489" s="37" t="n">
        <x:v>620.067568320781</x:v>
      </x:c>
      <x:c r="P1489" s="37" t="n">
        <x:v>0</x:v>
      </x:c>
      <x:c r="Q1489" s="37" t="n">
        <x:v>0</x:v>
      </x:c>
      <x:c r="R1489" s="37" t="n">
        <x:v>0</x:v>
      </x:c>
      <x:c r="S1489" s="37" t="n">
        <x:v>0</x:v>
      </x:c>
      <x:c r="T1489" s="37" t="n">
        <x:v>0</x:v>
      </x:c>
      <x:c r="U1489" s="37" t="n">
        <x:v>-5694.19584657007</x:v>
      </x:c>
      <x:c r="V1489" s="37" t="n">
        <x:v>0</x:v>
      </x:c>
      <x:c r="W1489" s="37" t="n">
        <x:v>107800.96845528483</x:v>
      </x:c>
      <x:c r="X1489" s="37" t="n">
        <x:v>0</x:v>
      </x:c>
      <x:c r="Y1489" s="37" t="n">
        <x:v>2117.7401952623777</x:v>
      </x:c>
      <x:c r="Z1489" s="37" t="n">
        <x:v>10386955.971365344</x:v>
      </x:c>
      <x:c r="AA1489" s="37" t="n">
        <x:v>0</x:v>
      </x:c>
      <x:c r="AB1489" s="37" t="n">
        <x:v>10386955.971365344</x:v>
      </x:c>
      <x:c r="AC1489" s="37" t="n">
        <x:v>929897.2180390321</x:v>
      </x:c>
      <x:c r="AD1489" s="37" t="n">
        <x:v>0</x:v>
      </x:c>
      <x:c r="AE1489" s="37" t="n">
        <x:v>0</x:v>
      </x:c>
      <x:c r="AF1489" s="47" t="b">
        <x:v>0</x:v>
      </x:c>
      <x:c r="AG1489" s="47" t="b">
        <x:v>0</x:v>
      </x:c>
      <x:c r="AH1489" s="48" t="n">
        <x:v>0</x:v>
      </x:c>
      <x:c r="AI1489" s="48" t="n">
        <x:v>1.1920928955078125e-7</x:v>
      </x:c>
      <x:c r="AJ1489" s="37" t="str">
        <x:v>passed</x:v>
      </x:c>
    </x:row>
    <x:row r="1490" ht="21" customHeight="1">
      <x:c r="A1490" s="2"/>
      <x:c r="B1490" s="2"/>
      <x:c r="C1490" s="2" t="str">
        <x:v>2023</x:v>
      </x:c>
      <x:c r="D1490" s="5" t="n">
        <x:v>45104</x:v>
      </x:c>
      <x:c r="E1490" s="2" t="str">
        <x:v>constrained</x:v>
      </x:c>
      <x:c r="F1490" s="37" t="n">
        <x:v>11677065.951226452</x:v>
      </x:c>
      <x:c r="G1490" s="37" t="n">
        <x:v>61925.41422669459</x:v>
      </x:c>
      <x:c r="H1490" s="37" t="n">
        <x:v>21879.490966937767</x:v>
      </x:c>
      <x:c r="I1490" s="37" t="n">
        <x:v>40045.923259756826</x:v>
      </x:c>
      <x:c r="J1490" s="37" t="n">
        <x:v>10620621.45853988</x:v>
      </x:c>
      <x:c r="K1490" s="37" t="n">
        <x:v>10558696.044313187</x:v>
      </x:c>
      <x:c r="L1490" s="37" t="n">
        <x:v>11738991.365453146</x:v>
      </x:c>
      <x:c r="M1490" s="37" t="n">
        <x:v>0</x:v>
      </x:c>
      <x:c r="N1490" s="37" t="n">
        <x:v>0</x:v>
      </x:c>
      <x:c r="O1490" s="37" t="n">
        <x:v>639.8041724413633</x:v>
      </x:c>
      <x:c r="P1490" s="37" t="n">
        <x:v>0</x:v>
      </x:c>
      <x:c r="Q1490" s="37" t="n">
        <x:v>0</x:v>
      </x:c>
      <x:c r="R1490" s="37" t="n">
        <x:v>0</x:v>
      </x:c>
      <x:c r="S1490" s="37" t="n">
        <x:v>0</x:v>
      </x:c>
      <x:c r="T1490" s="37" t="n">
        <x:v>0</x:v>
      </x:c>
      <x:c r="U1490" s="37" t="n">
        <x:v>-6779.554702527748</x:v>
      </x:c>
      <x:c r="V1490" s="37" t="n">
        <x:v>0</x:v>
      </x:c>
      <x:c r="W1490" s="37" t="n">
        <x:v>112692.16747012176</x:v>
      </x:c>
      <x:c r="X1490" s="37" t="n">
        <x:v>0</x:v>
      </x:c>
      <x:c r="Y1490" s="37" t="n">
        <x:v>2160.99430510938</x:v>
      </x:c>
      <x:c r="Z1490" s="37" t="n">
        <x:v>10769869.96519945</x:v>
      </x:c>
      <x:c r="AA1490" s="37" t="n">
        <x:v>0</x:v>
      </x:c>
      <x:c r="AB1490" s="37" t="n">
        <x:v>10769869.96519945</x:v>
      </x:c>
      <x:c r="AC1490" s="37" t="n">
        <x:v>907195.9860270023</x:v>
      </x:c>
      <x:c r="AD1490" s="37" t="n">
        <x:v>0</x:v>
      </x:c>
      <x:c r="AE1490" s="37" t="n">
        <x:v>0</x:v>
      </x:c>
      <x:c r="AF1490" s="47" t="b">
        <x:v>0</x:v>
      </x:c>
      <x:c r="AG1490" s="47" t="b">
        <x:v>0</x:v>
      </x:c>
      <x:c r="AH1490" s="48" t="n">
        <x:v>0</x:v>
      </x:c>
      <x:c r="AI1490" s="48" t="n">
        <x:v>1.1920928955078125e-7</x:v>
      </x:c>
      <x:c r="AJ1490" s="37" t="str">
        <x:v>passed</x:v>
      </x:c>
    </x:row>
    <x:row r="1491" ht="21" customHeight="1">
      <x:c r="A1491" s="2"/>
      <x:c r="B1491" s="2"/>
      <x:c r="C1491" s="2" t="str">
        <x:v>2023</x:v>
      </x:c>
      <x:c r="D1491" s="5" t="n">
        <x:v>45105</x:v>
      </x:c>
      <x:c r="E1491" s="2" t="str">
        <x:v>unhedged</x:v>
      </x:c>
      <x:c r="F1491" s="37" t="n">
        <x:v>1274683.1230389467</x:v>
      </x:c>
      <x:c r="G1491" s="37" t="n">
        <x:v>10568250.757602096</x:v>
      </x:c>
      <x:c r="H1491" s="37" t="n">
        <x:v>35972.36818400192</x:v>
      </x:c>
      <x:c r="I1491" s="37" t="n">
        <x:v>10532278.389418093</x:v>
      </x:c>
      <x:c r="J1491" s="37" t="n">
        <x:v>10568250.757602096</x:v>
      </x:c>
      <x:c r="K1491" s="37" t="n">
        <x:v>0</x:v>
      </x:c>
      <x:c r="L1491" s="37" t="n">
        <x:v>11842933.880641043</x:v>
      </x:c>
      <x:c r="M1491" s="37" t="n">
        <x:v>0</x:v>
      </x:c>
      <x:c r="N1491" s="37" t="n">
        <x:v>0</x:v>
      </x:c>
      <x:c r="O1491" s="37" t="n">
        <x:v>69.84182362817228</x:v>
      </x:c>
      <x:c r="P1491" s="37" t="n">
        <x:v>0</x:v>
      </x:c>
      <x:c r="Q1491" s="37" t="n">
        <x:v>0</x:v>
      </x:c>
      <x:c r="R1491" s="37" t="n">
        <x:v>0</x:v>
      </x:c>
      <x:c r="S1491" s="37" t="n">
        <x:v>0</x:v>
      </x:c>
      <x:c r="T1491" s="37" t="n">
        <x:v>0</x:v>
      </x:c>
      <x:c r="U1491" s="37" t="n">
        <x:v>63750</x:v>
      </x:c>
      <x:c r="V1491" s="37" t="n">
        <x:v>0</x:v>
      </x:c>
      <x:c r="W1491" s="37" t="n">
        <x:v>11975.992381068878</x:v>
      </x:c>
      <x:c r="X1491" s="37" t="n">
        <x:v>0</x:v>
      </x:c>
      <x:c r="Y1491" s="37" t="n">
        <x:v>1042.869342122179</x:v>
      </x:c>
      <x:c r="Z1491" s="37" t="n">
        <x:v>0</x:v>
      </x:c>
      <x:c r="AA1491" s="37" t="n">
        <x:v>0</x:v>
      </x:c>
      <x:c r="AB1491" s="37" t="n">
        <x:v>0</x:v>
      </x:c>
      <x:c r="AC1491" s="37" t="n">
        <x:v>1274683.1230389467</x:v>
      </x:c>
      <x:c r="AD1491" s="37" t="n">
        <x:v>0</x:v>
      </x:c>
      <x:c r="AE1491" s="37" t="n">
        <x:v>0</x:v>
      </x:c>
      <x:c r="AF1491" s="47" t="b">
        <x:v>0</x:v>
      </x:c>
      <x:c r="AG1491" s="47" t="b">
        <x:v>0</x:v>
      </x:c>
      <x:c r="AH1491" s="48" t="n">
        <x:v>0</x:v>
      </x:c>
      <x:c r="AI1491" s="48" t="n">
        <x:v>1.1920928955078125e-7</x:v>
      </x:c>
      <x:c r="AJ1491" s="37" t="str">
        <x:v>passed</x:v>
      </x:c>
    </x:row>
    <x:row r="1492" ht="21" customHeight="1">
      <x:c r="A1492" s="2"/>
      <x:c r="B1492" s="2"/>
      <x:c r="C1492" s="2" t="str">
        <x:v>2023</x:v>
      </x:c>
      <x:c r="D1492" s="5" t="n">
        <x:v>45105</x:v>
      </x:c>
      <x:c r="E1492" s="2" t="str">
        <x:v>duration</x:v>
      </x:c>
      <x:c r="F1492" s="37" t="n">
        <x:v>7665993.571367003</x:v>
      </x:c>
      <x:c r="G1492" s="37" t="n">
        <x:v>4074060.51191057</x:v>
      </x:c>
      <x:c r="H1492" s="37" t="n">
        <x:v>23151.633577084922</x:v>
      </x:c>
      <x:c r="I1492" s="37" t="n">
        <x:v>4050908.8783334848</x:v>
      </x:c>
      <x:c r="J1492" s="37" t="n">
        <x:v>10568250.757602096</x:v>
      </x:c>
      <x:c r="K1492" s="37" t="n">
        <x:v>6494190.245691526</x:v>
      </x:c>
      <x:c r="L1492" s="37" t="n">
        <x:v>11740054.083277572</x:v>
      </x:c>
      <x:c r="M1492" s="37" t="n">
        <x:v>0</x:v>
      </x:c>
      <x:c r="N1492" s="37" t="n">
        <x:v>0</x:v>
      </x:c>
      <x:c r="O1492" s="37" t="n">
        <x:v>420.03142684698105</x:v>
      </x:c>
      <x:c r="P1492" s="37" t="n">
        <x:v>0</x:v>
      </x:c>
      <x:c r="Q1492" s="37" t="n">
        <x:v>0</x:v>
      </x:c>
      <x:c r="R1492" s="37" t="n">
        <x:v>0</x:v>
      </x:c>
      <x:c r="S1492" s="37" t="n">
        <x:v>0</x:v>
      </x:c>
      <x:c r="T1492" s="37" t="n">
        <x:v>0</x:v>
      </x:c>
      <x:c r="U1492" s="37" t="n">
        <x:v>9917.381478397001</x:v>
      </x:c>
      <x:c r="V1492" s="37" t="n">
        <x:v>0</x:v>
      </x:c>
      <x:c r="W1492" s="37" t="n">
        <x:v>74708.03652069997</x:v>
      </x:c>
      <x:c r="X1492" s="37" t="n">
        <x:v>0</x:v>
      </x:c>
      <x:c r="Y1492" s="37" t="n">
        <x:v>1727.9174649817678</x:v>
      </x:c>
      <x:c r="Z1492" s="37" t="n">
        <x:v>6624074.050605357</x:v>
      </x:c>
      <x:c r="AA1492" s="37" t="n">
        <x:v>0</x:v>
      </x:c>
      <x:c r="AB1492" s="37" t="n">
        <x:v>6624074.050605357</x:v>
      </x:c>
      <x:c r="AC1492" s="37" t="n">
        <x:v>1041919.5207616463</x:v>
      </x:c>
      <x:c r="AD1492" s="37" t="n">
        <x:v>0</x:v>
      </x:c>
      <x:c r="AE1492" s="37" t="n">
        <x:v>0</x:v>
      </x:c>
      <x:c r="AF1492" s="47" t="b">
        <x:v>0</x:v>
      </x:c>
      <x:c r="AG1492" s="47" t="b">
        <x:v>0</x:v>
      </x:c>
      <x:c r="AH1492" s="48" t="n">
        <x:v>0</x:v>
      </x:c>
      <x:c r="AI1492" s="48" t="n">
        <x:v>5.960464477539063e-8</x:v>
      </x:c>
      <x:c r="AJ1492" s="37" t="str">
        <x:v>passed</x:v>
      </x:c>
    </x:row>
    <x:row r="1493" ht="21" customHeight="1">
      <x:c r="A1493" s="2"/>
      <x:c r="B1493" s="2"/>
      <x:c r="C1493" s="2" t="str">
        <x:v>2023</x:v>
      </x:c>
      <x:c r="D1493" s="5" t="n">
        <x:v>45105</x:v>
      </x:c>
      <x:c r="E1493" s="2" t="str">
        <x:v>unweighted</x:v>
      </x:c>
      <x:c r="F1493" s="37" t="n">
        <x:v>11317473.290949002</x:v>
      </x:c>
      <x:c r="G1493" s="37" t="n">
        <x:v>428665.0755922504</x:v>
      </x:c>
      <x:c r="H1493" s="37" t="n">
        <x:v>21985.18326079082</x:v>
      </x:c>
      <x:c r="I1493" s="37" t="n">
        <x:v>406679.89233145956</x:v>
      </x:c>
      <x:c r="J1493" s="37" t="n">
        <x:v>10641799.961848345</x:v>
      </x:c>
      <x:c r="K1493" s="37" t="n">
        <x:v>10213134.886256093</x:v>
      </x:c>
      <x:c r="L1493" s="37" t="n">
        <x:v>11746138.366541252</x:v>
      </x:c>
      <x:c r="M1493" s="37" t="n">
        <x:v>0</x:v>
      </x:c>
      <x:c r="N1493" s="37" t="n">
        <x:v>0</x:v>
      </x:c>
      <x:c r="O1493" s="37" t="n">
        <x:v>620.1015446260571</x:v>
      </x:c>
      <x:c r="P1493" s="37" t="n">
        <x:v>0</x:v>
      </x:c>
      <x:c r="Q1493" s="37" t="n">
        <x:v>0</x:v>
      </x:c>
      <x:c r="R1493" s="37" t="n">
        <x:v>0</x:v>
      </x:c>
      <x:c r="S1493" s="37" t="n">
        <x:v>0</x:v>
      </x:c>
      <x:c r="T1493" s="37" t="n">
        <x:v>0</x:v>
      </x:c>
      <x:c r="U1493" s="37" t="n">
        <x:v>-5694.19584657007</x:v>
      </x:c>
      <x:c r="V1493" s="37" t="n">
        <x:v>0</x:v>
      </x:c>
      <x:c r="W1493" s="37" t="n">
        <x:v>108421.06999991089</x:v>
      </x:c>
      <x:c r="X1493" s="37" t="n">
        <x:v>0</x:v>
      </x:c>
      <x:c r="Y1493" s="37" t="n">
        <x:v>2117.7401952623777</x:v>
      </x:c>
      <x:c r="Z1493" s="37" t="n">
        <x:v>10417397.583981216</x:v>
      </x:c>
      <x:c r="AA1493" s="37" t="n">
        <x:v>0</x:v>
      </x:c>
      <x:c r="AB1493" s="37" t="n">
        <x:v>10417397.583981216</x:v>
      </x:c>
      <x:c r="AC1493" s="37" t="n">
        <x:v>900075.706967786</x:v>
      </x:c>
      <x:c r="AD1493" s="37" t="n">
        <x:v>0</x:v>
      </x:c>
      <x:c r="AE1493" s="37" t="n">
        <x:v>0</x:v>
      </x:c>
      <x:c r="AF1493" s="47" t="b">
        <x:v>0</x:v>
      </x:c>
      <x:c r="AG1493" s="47" t="b">
        <x:v>0</x:v>
      </x:c>
      <x:c r="AH1493" s="48" t="n">
        <x:v>0</x:v>
      </x:c>
      <x:c r="AI1493" s="48" t="n">
        <x:v>1.1920928955078125e-7</x:v>
      </x:c>
      <x:c r="AJ1493" s="37" t="str">
        <x:v>passed</x:v>
      </x:c>
    </x:row>
    <x:row r="1494" ht="21" customHeight="1">
      <x:c r="A1494" s="2"/>
      <x:c r="B1494" s="2"/>
      <x:c r="C1494" s="2" t="str">
        <x:v>2023</x:v>
      </x:c>
      <x:c r="D1494" s="5" t="n">
        <x:v>45105</x:v>
      </x:c>
      <x:c r="E1494" s="2" t="str">
        <x:v>constrained</x:v>
      </x:c>
      <x:c r="F1494" s="37" t="n">
        <x:v>11677705.790456658</x:v>
      </x:c>
      <x:c r="G1494" s="37" t="n">
        <x:v>61915.740494689024</x:v>
      </x:c>
      <x:c r="H1494" s="37" t="n">
        <x:v>21847.226494370487</x:v>
      </x:c>
      <x:c r="I1494" s="37" t="n">
        <x:v>40068.51400031854</x:v>
      </x:c>
      <x:c r="J1494" s="37" t="n">
        <x:v>10650551.626044191</x:v>
      </x:c>
      <x:c r="K1494" s="37" t="n">
        <x:v>10588635.885549502</x:v>
      </x:c>
      <x:c r="L1494" s="37" t="n">
        <x:v>11739621.530951347</x:v>
      </x:c>
      <x:c r="M1494" s="37" t="n">
        <x:v>0</x:v>
      </x:c>
      <x:c r="N1494" s="37" t="n">
        <x:v>0</x:v>
      </x:c>
      <x:c r="O1494" s="37" t="n">
        <x:v>639.8392302058637</x:v>
      </x:c>
      <x:c r="P1494" s="37" t="n">
        <x:v>0</x:v>
      </x:c>
      <x:c r="Q1494" s="37" t="n">
        <x:v>0</x:v>
      </x:c>
      <x:c r="R1494" s="37" t="n">
        <x:v>0</x:v>
      </x:c>
      <x:c r="S1494" s="37" t="n">
        <x:v>0</x:v>
      </x:c>
      <x:c r="T1494" s="37" t="n">
        <x:v>0</x:v>
      </x:c>
      <x:c r="U1494" s="37" t="n">
        <x:v>-6779.554702527748</x:v>
      </x:c>
      <x:c r="V1494" s="37" t="n">
        <x:v>0</x:v>
      </x:c>
      <x:c r="W1494" s="37" t="n">
        <x:v>113332.00670032762</x:v>
      </x:c>
      <x:c r="X1494" s="37" t="n">
        <x:v>0</x:v>
      </x:c>
      <x:c r="Y1494" s="37" t="n">
        <x:v>2160.99430510938</x:v>
      </x:c>
      <x:c r="Z1494" s="37" t="n">
        <x:v>10800408.603260493</x:v>
      </x:c>
      <x:c r="AA1494" s="37" t="n">
        <x:v>0</x:v>
      </x:c>
      <x:c r="AB1494" s="37" t="n">
        <x:v>10800408.603260493</x:v>
      </x:c>
      <x:c r="AC1494" s="37" t="n">
        <x:v>877297.1871961653</x:v>
      </x:c>
      <x:c r="AD1494" s="37" t="n">
        <x:v>0</x:v>
      </x:c>
      <x:c r="AE1494" s="37" t="n">
        <x:v>0</x:v>
      </x:c>
      <x:c r="AF1494" s="47" t="b">
        <x:v>0</x:v>
      </x:c>
      <x:c r="AG1494" s="47" t="b">
        <x:v>0</x:v>
      </x:c>
      <x:c r="AH1494" s="48" t="n">
        <x:v>0</x:v>
      </x:c>
      <x:c r="AI1494" s="48" t="n">
        <x:v>1.1920928955078125e-7</x:v>
      </x:c>
      <x:c r="AJ1494" s="37" t="str">
        <x:v>passed</x:v>
      </x:c>
    </x:row>
    <x:row r="1495" ht="21" customHeight="1">
      <x:c r="A1495" s="2"/>
      <x:c r="B1495" s="2"/>
      <x:c r="C1495" s="2" t="str">
        <x:v>2023</x:v>
      </x:c>
      <x:c r="D1495" s="5" t="n">
        <x:v>45106</x:v>
      </x:c>
      <x:c r="E1495" s="2" t="str">
        <x:v>unhedged</x:v>
      </x:c>
      <x:c r="F1495" s="37" t="n">
        <x:v>1274752.9686895243</x:v>
      </x:c>
      <x:c r="G1495" s="37" t="n">
        <x:v>10473519.125240158</x:v>
      </x:c>
      <x:c r="H1495" s="37" t="n">
        <x:v>36322.213547922176</x:v>
      </x:c>
      <x:c r="I1495" s="37" t="n">
        <x:v>10437196.911692236</x:v>
      </x:c>
      <x:c r="J1495" s="37" t="n">
        <x:v>10473519.125240158</x:v>
      </x:c>
      <x:c r="K1495" s="37" t="n">
        <x:v>0</x:v>
      </x:c>
      <x:c r="L1495" s="37" t="n">
        <x:v>11748272.093929682</x:v>
      </x:c>
      <x:c r="M1495" s="37" t="n">
        <x:v>0</x:v>
      </x:c>
      <x:c r="N1495" s="37" t="n">
        <x:v>0</x:v>
      </x:c>
      <x:c r="O1495" s="37" t="n">
        <x:v>69.84565057768486</x:v>
      </x:c>
      <x:c r="P1495" s="37" t="n">
        <x:v>0</x:v>
      </x:c>
      <x:c r="Q1495" s="37" t="n">
        <x:v>0</x:v>
      </x:c>
      <x:c r="R1495" s="37" t="n">
        <x:v>0</x:v>
      </x:c>
      <x:c r="S1495" s="37" t="n">
        <x:v>0</x:v>
      </x:c>
      <x:c r="T1495" s="37" t="n">
        <x:v>0</x:v>
      </x:c>
      <x:c r="U1495" s="37" t="n">
        <x:v>63750</x:v>
      </x:c>
      <x:c r="V1495" s="37" t="n">
        <x:v>0</x:v>
      </x:c>
      <x:c r="W1495" s="37" t="n">
        <x:v>12045.838031646563</x:v>
      </x:c>
      <x:c r="X1495" s="37" t="n">
        <x:v>0</x:v>
      </x:c>
      <x:c r="Y1495" s="37" t="n">
        <x:v>1042.869342122179</x:v>
      </x:c>
      <x:c r="Z1495" s="37" t="n">
        <x:v>0</x:v>
      </x:c>
      <x:c r="AA1495" s="37" t="n">
        <x:v>0</x:v>
      </x:c>
      <x:c r="AB1495" s="37" t="n">
        <x:v>0</x:v>
      </x:c>
      <x:c r="AC1495" s="37" t="n">
        <x:v>1274752.9686895243</x:v>
      </x:c>
      <x:c r="AD1495" s="37" t="n">
        <x:v>0</x:v>
      </x:c>
      <x:c r="AE1495" s="37" t="n">
        <x:v>0</x:v>
      </x:c>
      <x:c r="AF1495" s="47" t="b">
        <x:v>0</x:v>
      </x:c>
      <x:c r="AG1495" s="47" t="b">
        <x:v>0</x:v>
      </x:c>
      <x:c r="AH1495" s="48" t="n">
        <x:v>0</x:v>
      </x:c>
      <x:c r="AI1495" s="48" t="n">
        <x:v>1.1920928955078125e-7</x:v>
      </x:c>
      <x:c r="AJ1495" s="37" t="str">
        <x:v>passed</x:v>
      </x:c>
    </x:row>
    <x:row r="1496" ht="21" customHeight="1">
      <x:c r="A1496" s="2"/>
      <x:c r="B1496" s="2"/>
      <x:c r="C1496" s="2" t="str">
        <x:v>2023</x:v>
      </x:c>
      <x:c r="D1496" s="5" t="n">
        <x:v>45106</x:v>
      </x:c>
      <x:c r="E1496" s="2" t="str">
        <x:v>duration</x:v>
      </x:c>
      <x:c r="F1496" s="37" t="n">
        <x:v>7666413.625809269</x:v>
      </x:c>
      <x:c r="G1496" s="37" t="n">
        <x:v>4085844.6441610195</x:v>
      </x:c>
      <x:c r="H1496" s="37" t="n">
        <x:v>23210.098609029792</x:v>
      </x:c>
      <x:c r="I1496" s="37" t="n">
        <x:v>4062634.5455519897</x:v>
      </x:c>
      <x:c r="J1496" s="37" t="n">
        <x:v>10473519.125240158</x:v>
      </x:c>
      <x:c r="K1496" s="37" t="n">
        <x:v>6387674.48107914</x:v>
      </x:c>
      <x:c r="L1496" s="37" t="n">
        <x:v>11752258.269970289</x:v>
      </x:c>
      <x:c r="M1496" s="37" t="n">
        <x:v>0</x:v>
      </x:c>
      <x:c r="N1496" s="37" t="n">
        <x:v>0</x:v>
      </x:c>
      <x:c r="O1496" s="37" t="n">
        <x:v>420.0544422660023</x:v>
      </x:c>
      <x:c r="P1496" s="37" t="n">
        <x:v>0</x:v>
      </x:c>
      <x:c r="Q1496" s="37" t="n">
        <x:v>0</x:v>
      </x:c>
      <x:c r="R1496" s="37" t="n">
        <x:v>0</x:v>
      </x:c>
      <x:c r="S1496" s="37" t="n">
        <x:v>0</x:v>
      </x:c>
      <x:c r="T1496" s="37" t="n">
        <x:v>0</x:v>
      </x:c>
      <x:c r="U1496" s="37" t="n">
        <x:v>9917.381478397001</x:v>
      </x:c>
      <x:c r="V1496" s="37" t="n">
        <x:v>0</x:v>
      </x:c>
      <x:c r="W1496" s="37" t="n">
        <x:v>75128.09096296597</x:v>
      </x:c>
      <x:c r="X1496" s="37" t="n">
        <x:v>0</x:v>
      </x:c>
      <x:c r="Y1496" s="37" t="n">
        <x:v>1727.9174649817678</x:v>
      </x:c>
      <x:c r="Z1496" s="37" t="n">
        <x:v>6515427.970700723</x:v>
      </x:c>
      <x:c r="AA1496" s="37" t="n">
        <x:v>0</x:v>
      </x:c>
      <x:c r="AB1496" s="37" t="n">
        <x:v>6515427.970700723</x:v>
      </x:c>
      <x:c r="AC1496" s="37" t="n">
        <x:v>1150985.655108546</x:v>
      </x:c>
      <x:c r="AD1496" s="37" t="n">
        <x:v>0</x:v>
      </x:c>
      <x:c r="AE1496" s="37" t="n">
        <x:v>0</x:v>
      </x:c>
      <x:c r="AF1496" s="47" t="b">
        <x:v>0</x:v>
      </x:c>
      <x:c r="AG1496" s="47" t="b">
        <x:v>0</x:v>
      </x:c>
      <x:c r="AH1496" s="48" t="n">
        <x:v>0</x:v>
      </x:c>
      <x:c r="AI1496" s="48" t="n">
        <x:v>5.960464477539063e-8</x:v>
      </x:c>
      <x:c r="AJ1496" s="37" t="str">
        <x:v>passed</x:v>
      </x:c>
    </x:row>
    <x:row r="1497" ht="21" customHeight="1">
      <x:c r="A1497" s="2"/>
      <x:c r="B1497" s="2"/>
      <x:c r="C1497" s="2" t="str">
        <x:v>2023</x:v>
      </x:c>
      <x:c r="D1497" s="5" t="n">
        <x:v>45106</x:v>
      </x:c>
      <x:c r="E1497" s="2" t="str">
        <x:v>unweighted</x:v>
      </x:c>
      <x:c r="F1497" s="37" t="n">
        <x:v>11318093.426471794</x:v>
      </x:c>
      <x:c r="G1497" s="37" t="n">
        <x:v>430326.80216350354</x:v>
      </x:c>
      <x:c r="H1497" s="37" t="n">
        <x:v>21958.87349463742</x:v>
      </x:c>
      <x:c r="I1497" s="37" t="n">
        <x:v>408367.9286688661</x:v>
      </x:c>
      <x:c r="J1497" s="37" t="n">
        <x:v>10546093.206473399</x:v>
      </x:c>
      <x:c r="K1497" s="37" t="n">
        <x:v>10115766.404309895</x:v>
      </x:c>
      <x:c r="L1497" s="37" t="n">
        <x:v>11748420.228635298</x:v>
      </x:c>
      <x:c r="M1497" s="37" t="n">
        <x:v>0</x:v>
      </x:c>
      <x:c r="N1497" s="37" t="n">
        <x:v>0</x:v>
      </x:c>
      <x:c r="O1497" s="37" t="n">
        <x:v>620.1355227921158</x:v>
      </x:c>
      <x:c r="P1497" s="37" t="n">
        <x:v>0</x:v>
      </x:c>
      <x:c r="Q1497" s="37" t="n">
        <x:v>0</x:v>
      </x:c>
      <x:c r="R1497" s="37" t="n">
        <x:v>0</x:v>
      </x:c>
      <x:c r="S1497" s="37" t="n">
        <x:v>0</x:v>
      </x:c>
      <x:c r="T1497" s="37" t="n">
        <x:v>0</x:v>
      </x:c>
      <x:c r="U1497" s="37" t="n">
        <x:v>-5694.19584657007</x:v>
      </x:c>
      <x:c r="V1497" s="37" t="n">
        <x:v>0</x:v>
      </x:c>
      <x:c r="W1497" s="37" t="n">
        <x:v>109041.205522703</x:v>
      </x:c>
      <x:c r="X1497" s="37" t="n">
        <x:v>0</x:v>
      </x:c>
      <x:c r="Y1497" s="37" t="n">
        <x:v>2117.7401952623777</x:v>
      </x:c>
      <x:c r="Z1497" s="37" t="n">
        <x:v>10318081.732396092</x:v>
      </x:c>
      <x:c r="AA1497" s="37" t="n">
        <x:v>0</x:v>
      </x:c>
      <x:c r="AB1497" s="37" t="n">
        <x:v>10318081.732396092</x:v>
      </x:c>
      <x:c r="AC1497" s="37" t="n">
        <x:v>1000011.6940757018</x:v>
      </x:c>
      <x:c r="AD1497" s="37" t="n">
        <x:v>0</x:v>
      </x:c>
      <x:c r="AE1497" s="37" t="n">
        <x:v>0</x:v>
      </x:c>
      <x:c r="AF1497" s="47" t="b">
        <x:v>0</x:v>
      </x:c>
      <x:c r="AG1497" s="47" t="b">
        <x:v>0</x:v>
      </x:c>
      <x:c r="AH1497" s="48" t="n">
        <x:v>0</x:v>
      </x:c>
      <x:c r="AI1497" s="48" t="n">
        <x:v>1.1920928955078125e-7</x:v>
      </x:c>
      <x:c r="AJ1497" s="37" t="str">
        <x:v>passed</x:v>
      </x:c>
    </x:row>
    <x:row r="1498" ht="21" customHeight="1">
      <x:c r="A1498" s="2"/>
      <x:c r="B1498" s="2"/>
      <x:c r="C1498" s="2" t="str">
        <x:v>2023</x:v>
      </x:c>
      <x:c r="D1498" s="5" t="n">
        <x:v>45106</x:v>
      </x:c>
      <x:c r="E1498" s="2" t="str">
        <x:v>constrained</x:v>
      </x:c>
      <x:c r="F1498" s="37" t="n">
        <x:v>11678345.664746545</x:v>
      </x:c>
      <x:c r="G1498" s="37" t="n">
        <x:v>63346.3295429625</x:v>
      </x:c>
      <x:c r="H1498" s="37" t="n">
        <x:v>21814.962021803218</x:v>
      </x:c>
      <x:c r="I1498" s="37" t="n">
        <x:v>41531.36752115928</x:v>
      </x:c>
      <x:c r="J1498" s="37" t="n">
        <x:v>10554728.840193499</x:v>
      </x:c>
      <x:c r="K1498" s="37" t="n">
        <x:v>10491382.510650538</x:v>
      </x:c>
      <x:c r="L1498" s="37" t="n">
        <x:v>11741691.994289508</x:v>
      </x:c>
      <x:c r="M1498" s="37" t="n">
        <x:v>0</x:v>
      </x:c>
      <x:c r="N1498" s="37" t="n">
        <x:v>0</x:v>
      </x:c>
      <x:c r="O1498" s="37" t="n">
        <x:v>639.874289887026</x:v>
      </x:c>
      <x:c r="P1498" s="37" t="n">
        <x:v>0</x:v>
      </x:c>
      <x:c r="Q1498" s="37" t="n">
        <x:v>0</x:v>
      </x:c>
      <x:c r="R1498" s="37" t="n">
        <x:v>0</x:v>
      </x:c>
      <x:c r="S1498" s="37" t="n">
        <x:v>0</x:v>
      </x:c>
      <x:c r="T1498" s="37" t="n">
        <x:v>0</x:v>
      </x:c>
      <x:c r="U1498" s="37" t="n">
        <x:v>-6779.554702527748</x:v>
      </x:c>
      <x:c r="V1498" s="37" t="n">
        <x:v>0</x:v>
      </x:c>
      <x:c r="W1498" s="37" t="n">
        <x:v>113971.88099021465</x:v>
      </x:c>
      <x:c r="X1498" s="37" t="n">
        <x:v>0</x:v>
      </x:c>
      <x:c r="Y1498" s="37" t="n">
        <x:v>2160.99430510938</x:v>
      </x:c>
      <x:c r="Z1498" s="37" t="n">
        <x:v>10701210.160863549</x:v>
      </x:c>
      <x:c r="AA1498" s="37" t="n">
        <x:v>0</x:v>
      </x:c>
      <x:c r="AB1498" s="37" t="n">
        <x:v>10701210.160863549</x:v>
      </x:c>
      <x:c r="AC1498" s="37" t="n">
        <x:v>977135.5038829967</x:v>
      </x:c>
      <x:c r="AD1498" s="37" t="n">
        <x:v>0</x:v>
      </x:c>
      <x:c r="AE1498" s="37" t="n">
        <x:v>0</x:v>
      </x:c>
      <x:c r="AF1498" s="47" t="b">
        <x:v>0</x:v>
      </x:c>
      <x:c r="AG1498" s="47" t="b">
        <x:v>0</x:v>
      </x:c>
      <x:c r="AH1498" s="48" t="n">
        <x:v>0</x:v>
      </x:c>
      <x:c r="AI1498" s="48" t="n">
        <x:v>1.1920928955078125e-7</x:v>
      </x:c>
      <x:c r="AJ1498" s="37" t="str">
        <x:v>passed</x:v>
      </x:c>
    </x:row>
    <x:row r="1499" ht="21" customHeight="1">
      <x:c r="A1499" s="2"/>
      <x:c r="B1499" s="2"/>
      <x:c r="C1499" s="2" t="str">
        <x:v>2023</x:v>
      </x:c>
      <x:c r="D1499" s="5" t="n">
        <x:v>45107</x:v>
      </x:c>
      <x:c r="E1499" s="2" t="str">
        <x:v>unhedged</x:v>
      </x:c>
      <x:c r="F1499" s="37" t="n">
        <x:v>1274822.8181672608</x:v>
      </x:c>
      <x:c r="G1499" s="37" t="n">
        <x:v>10493043.553390324</x:v>
      </x:c>
      <x:c r="H1499" s="37" t="n">
        <x:v>36672.058911842425</x:v>
      </x:c>
      <x:c r="I1499" s="37" t="n">
        <x:v>10456371.49447848</x:v>
      </x:c>
      <x:c r="J1499" s="37" t="n">
        <x:v>10493043.553390324</x:v>
      </x:c>
      <x:c r="K1499" s="37" t="n">
        <x:v>0</x:v>
      </x:c>
      <x:c r="L1499" s="37" t="n">
        <x:v>11767866.371557586</x:v>
      </x:c>
      <x:c r="M1499" s="37" t="n">
        <x:v>0</x:v>
      </x:c>
      <x:c r="N1499" s="37" t="n">
        <x:v>0</x:v>
      </x:c>
      <x:c r="O1499" s="37" t="n">
        <x:v>69.8494777365122</x:v>
      </x:c>
      <x:c r="P1499" s="37" t="n">
        <x:v>0</x:v>
      </x:c>
      <x:c r="Q1499" s="37" t="n">
        <x:v>0</x:v>
      </x:c>
      <x:c r="R1499" s="37" t="n">
        <x:v>0</x:v>
      </x:c>
      <x:c r="S1499" s="37" t="n">
        <x:v>0</x:v>
      </x:c>
      <x:c r="T1499" s="37" t="n">
        <x:v>0</x:v>
      </x:c>
      <x:c r="U1499" s="37" t="n">
        <x:v>63750</x:v>
      </x:c>
      <x:c r="V1499" s="37" t="n">
        <x:v>0</x:v>
      </x:c>
      <x:c r="W1499" s="37" t="n">
        <x:v>12115.687509383075</x:v>
      </x:c>
      <x:c r="X1499" s="37" t="n">
        <x:v>0</x:v>
      </x:c>
      <x:c r="Y1499" s="37" t="n">
        <x:v>1042.869342122179</x:v>
      </x:c>
      <x:c r="Z1499" s="37" t="n">
        <x:v>0</x:v>
      </x:c>
      <x:c r="AA1499" s="37" t="n">
        <x:v>0</x:v>
      </x:c>
      <x:c r="AB1499" s="37" t="n">
        <x:v>0</x:v>
      </x:c>
      <x:c r="AC1499" s="37" t="n">
        <x:v>1274822.8181672608</x:v>
      </x:c>
      <x:c r="AD1499" s="37" t="n">
        <x:v>0</x:v>
      </x:c>
      <x:c r="AE1499" s="37" t="n">
        <x:v>0</x:v>
      </x:c>
      <x:c r="AF1499" s="47" t="b">
        <x:v>0</x:v>
      </x:c>
      <x:c r="AG1499" s="47" t="b">
        <x:v>0</x:v>
      </x:c>
      <x:c r="AH1499" s="48" t="n">
        <x:v>0</x:v>
      </x:c>
      <x:c r="AI1499" s="48" t="n">
        <x:v>1.1920928955078125e-7</x:v>
      </x:c>
      <x:c r="AJ1499" s="37" t="str">
        <x:v>passed</x:v>
      </x:c>
    </x:row>
    <x:row r="1500" ht="21" customHeight="1">
      <x:c r="A1500" s="2"/>
      <x:c r="B1500" s="2"/>
      <x:c r="C1500" s="2" t="str">
        <x:v>2023</x:v>
      </x:c>
      <x:c r="D1500" s="5" t="n">
        <x:v>45107</x:v>
      </x:c>
      <x:c r="E1500" s="2" t="str">
        <x:v>duration</x:v>
      </x:c>
      <x:c r="F1500" s="37" t="n">
        <x:v>7666833.703268218</x:v>
      </x:c>
      <x:c r="G1500" s="37" t="n">
        <x:v>4086995.820470343</x:v>
      </x:c>
      <x:c r="H1500" s="37" t="n">
        <x:v>23268.56364097465</x:v>
      </x:c>
      <x:c r="I1500" s="37" t="n">
        <x:v>4063727.2568293684</x:v>
      </x:c>
      <x:c r="J1500" s="37" t="n">
        <x:v>10493043.553390324</x:v>
      </x:c>
      <x:c r="K1500" s="37" t="n">
        <x:v>6406047.732919982</x:v>
      </x:c>
      <x:c r="L1500" s="37" t="n">
        <x:v>11753829.523738561</x:v>
      </x:c>
      <x:c r="M1500" s="37" t="n">
        <x:v>0</x:v>
      </x:c>
      <x:c r="N1500" s="37" t="n">
        <x:v>0</x:v>
      </x:c>
      <x:c r="O1500" s="37" t="n">
        <x:v>420.0774589488283</x:v>
      </x:c>
      <x:c r="P1500" s="37" t="n">
        <x:v>0</x:v>
      </x:c>
      <x:c r="Q1500" s="37" t="n">
        <x:v>0</x:v>
      </x:c>
      <x:c r="R1500" s="37" t="n">
        <x:v>0</x:v>
      </x:c>
      <x:c r="S1500" s="37" t="n">
        <x:v>0</x:v>
      </x:c>
      <x:c r="T1500" s="37" t="n">
        <x:v>0</x:v>
      </x:c>
      <x:c r="U1500" s="37" t="n">
        <x:v>9917.381478397001</x:v>
      </x:c>
      <x:c r="V1500" s="37" t="n">
        <x:v>0</x:v>
      </x:c>
      <x:c r="W1500" s="37" t="n">
        <x:v>75548.1684219148</x:v>
      </x:c>
      <x:c r="X1500" s="37" t="n">
        <x:v>0</x:v>
      </x:c>
      <x:c r="Y1500" s="37" t="n">
        <x:v>1727.9174649817678</x:v>
      </x:c>
      <x:c r="Z1500" s="37" t="n">
        <x:v>6534168.687578381</x:v>
      </x:c>
      <x:c r="AA1500" s="37" t="n">
        <x:v>0</x:v>
      </x:c>
      <x:c r="AB1500" s="37" t="n">
        <x:v>6534168.687578381</x:v>
      </x:c>
      <x:c r="AC1500" s="37" t="n">
        <x:v>1132665.0156898368</x:v>
      </x:c>
      <x:c r="AD1500" s="37" t="n">
        <x:v>0</x:v>
      </x:c>
      <x:c r="AE1500" s="37" t="n">
        <x:v>0</x:v>
      </x:c>
      <x:c r="AF1500" s="47" t="b">
        <x:v>0</x:v>
      </x:c>
      <x:c r="AG1500" s="47" t="b">
        <x:v>0</x:v>
      </x:c>
      <x:c r="AH1500" s="48" t="n">
        <x:v>0</x:v>
      </x:c>
      <x:c r="AI1500" s="48" t="n">
        <x:v>5.960464477539063e-8</x:v>
      </x:c>
      <x:c r="AJ1500" s="37" t="str">
        <x:v>passed</x:v>
      </x:c>
    </x:row>
    <x:row r="1501" ht="21" customHeight="1">
      <x:c r="A1501" s="2"/>
      <x:c r="B1501" s="2"/>
      <x:c r="C1501" s="2" t="str">
        <x:v>2023</x:v>
      </x:c>
      <x:c r="D1501" s="5" t="n">
        <x:v>45107</x:v>
      </x:c>
      <x:c r="E1501" s="2" t="str">
        <x:v>unweighted</x:v>
      </x:c>
      <x:c r="F1501" s="37" t="n">
        <x:v>11318713.595974615</x:v>
      </x:c>
      <x:c r="G1501" s="37" t="n">
        <x:v>430540.8493101172</x:v>
      </x:c>
      <x:c r="H1501" s="37" t="n">
        <x:v>21932.56372848401</x:v>
      </x:c>
      <x:c r="I1501" s="37" t="n">
        <x:v>408608.28558163316</x:v>
      </x:c>
      <x:c r="J1501" s="37" t="n">
        <x:v>10566501.068259444</x:v>
      </x:c>
      <x:c r="K1501" s="37" t="n">
        <x:v>10135960.218949327</x:v>
      </x:c>
      <x:c r="L1501" s="37" t="n">
        <x:v>11749254.445284732</x:v>
      </x:c>
      <x:c r="M1501" s="37" t="n">
        <x:v>0</x:v>
      </x:c>
      <x:c r="N1501" s="37" t="n">
        <x:v>0</x:v>
      </x:c>
      <x:c r="O1501" s="37" t="n">
        <x:v>620.1695028208196</x:v>
      </x:c>
      <x:c r="P1501" s="37" t="n">
        <x:v>0</x:v>
      </x:c>
      <x:c r="Q1501" s="37" t="n">
        <x:v>0</x:v>
      </x:c>
      <x:c r="R1501" s="37" t="n">
        <x:v>0</x:v>
      </x:c>
      <x:c r="S1501" s="37" t="n">
        <x:v>0</x:v>
      </x:c>
      <x:c r="T1501" s="37" t="n">
        <x:v>0</x:v>
      </x:c>
      <x:c r="U1501" s="37" t="n">
        <x:v>-5694.19584657007</x:v>
      </x:c>
      <x:c r="V1501" s="37" t="n">
        <x:v>0</x:v>
      </x:c>
      <x:c r="W1501" s="37" t="n">
        <x:v>109661.37502552383</x:v>
      </x:c>
      <x:c r="X1501" s="37" t="n">
        <x:v>0</x:v>
      </x:c>
      <x:c r="Y1501" s="37" t="n">
        <x:v>2117.7401952623777</x:v>
      </x:c>
      <x:c r="Z1501" s="37" t="n">
        <x:v>10338679.423328314</x:v>
      </x:c>
      <x:c r="AA1501" s="37" t="n">
        <x:v>0</x:v>
      </x:c>
      <x:c r="AB1501" s="37" t="n">
        <x:v>10338679.423328314</x:v>
      </x:c>
      <x:c r="AC1501" s="37" t="n">
        <x:v>980034.1726463009</x:v>
      </x:c>
      <x:c r="AD1501" s="37" t="n">
        <x:v>0</x:v>
      </x:c>
      <x:c r="AE1501" s="37" t="n">
        <x:v>0</x:v>
      </x:c>
      <x:c r="AF1501" s="47" t="b">
        <x:v>0</x:v>
      </x:c>
      <x:c r="AG1501" s="47" t="b">
        <x:v>0</x:v>
      </x:c>
      <x:c r="AH1501" s="48" t="n">
        <x:v>0</x:v>
      </x:c>
      <x:c r="AI1501" s="48" t="n">
        <x:v>1.1920928955078125e-7</x:v>
      </x:c>
      <x:c r="AJ1501" s="37" t="str">
        <x:v>passed</x:v>
      </x:c>
    </x:row>
    <x:row r="1502" ht="21" customHeight="1">
      <x:c r="A1502" s="2"/>
      <x:c r="B1502" s="2"/>
      <x:c r="C1502" s="2" t="str">
        <x:v>2023</x:v>
      </x:c>
      <x:c r="D1502" s="5" t="n">
        <x:v>45107</x:v>
      </x:c>
      <x:c r="E1502" s="2" t="str">
        <x:v>constrained</x:v>
      </x:c>
      <x:c r="F1502" s="37" t="n">
        <x:v>11678985.57409804</x:v>
      </x:c>
      <x:c r="G1502" s="37" t="n">
        <x:v>63119.89945860757</x:v>
      </x:c>
      <x:c r="H1502" s="37" t="n">
        <x:v>21782.69754923594</x:v>
      </x:c>
      <x:c r="I1502" s="37" t="n">
        <x:v>41337.20190937163</x:v>
      </x:c>
      <x:c r="J1502" s="37" t="n">
        <x:v>10575241.822280979</x:v>
      </x:c>
      <x:c r="K1502" s="37" t="n">
        <x:v>10512121.922822371</x:v>
      </x:c>
      <x:c r="L1502" s="37" t="n">
        <x:v>11742105.473556647</x:v>
      </x:c>
      <x:c r="M1502" s="37" t="n">
        <x:v>0</x:v>
      </x:c>
      <x:c r="N1502" s="37" t="n">
        <x:v>0</x:v>
      </x:c>
      <x:c r="O1502" s="37" t="n">
        <x:v>639.9093514941633</x:v>
      </x:c>
      <x:c r="P1502" s="37" t="n">
        <x:v>0</x:v>
      </x:c>
      <x:c r="Q1502" s="37" t="n">
        <x:v>0</x:v>
      </x:c>
      <x:c r="R1502" s="37" t="n">
        <x:v>0</x:v>
      </x:c>
      <x:c r="S1502" s="37" t="n">
        <x:v>0</x:v>
      </x:c>
      <x:c r="T1502" s="37" t="n">
        <x:v>0</x:v>
      </x:c>
      <x:c r="U1502" s="37" t="n">
        <x:v>-6779.554702527748</x:v>
      </x:c>
      <x:c r="V1502" s="37" t="n">
        <x:v>0</x:v>
      </x:c>
      <x:c r="W1502" s="37" t="n">
        <x:v>114611.79034170881</x:v>
      </x:c>
      <x:c r="X1502" s="37" t="n">
        <x:v>0</x:v>
      </x:c>
      <x:c r="Y1502" s="37" t="n">
        <x:v>2160.99430510938</x:v>
      </x:c>
      <x:c r="Z1502" s="37" t="n">
        <x:v>10722364.361278819</x:v>
      </x:c>
      <x:c r="AA1502" s="37" t="n">
        <x:v>0</x:v>
      </x:c>
      <x:c r="AB1502" s="37" t="n">
        <x:v>10722364.361278819</x:v>
      </x:c>
      <x:c r="AC1502" s="37" t="n">
        <x:v>956621.2128192205</x:v>
      </x:c>
      <x:c r="AD1502" s="37" t="n">
        <x:v>0</x:v>
      </x:c>
      <x:c r="AE1502" s="37" t="n">
        <x:v>0</x:v>
      </x:c>
      <x:c r="AF1502" s="47" t="b">
        <x:v>0</x:v>
      </x:c>
      <x:c r="AG1502" s="47" t="b">
        <x:v>0</x:v>
      </x:c>
      <x:c r="AH1502" s="48" t="n">
        <x:v>0</x:v>
      </x:c>
      <x:c r="AI1502" s="48" t="n">
        <x:v>1.1920928955078125e-7</x:v>
      </x:c>
      <x:c r="AJ1502" s="37" t="str">
        <x:v>passed</x:v>
      </x:c>
    </x:row>
    <x:row r="1503" ht="21" customHeight="1">
      <x:c r="A1503" s="2"/>
      <x:c r="B1503" s="2"/>
      <x:c r="C1503" s="2" t="str">
        <x:v>2023</x:v>
      </x:c>
      <x:c r="D1503" s="5" t="n">
        <x:v>45110</x:v>
      </x:c>
      <x:c r="E1503" s="2" t="str">
        <x:v>unhedged</x:v>
      </x:c>
      <x:c r="F1503" s="37" t="n">
        <x:v>1275032.389565521</x:v>
      </x:c>
      <x:c r="G1503" s="37" t="n">
        <x:v>10469322.610331744</x:v>
      </x:c>
      <x:c r="H1503" s="37" t="n">
        <x:v>37721.59500360317</x:v>
      </x:c>
      <x:c r="I1503" s="37" t="n">
        <x:v>10431601.01532814</x:v>
      </x:c>
      <x:c r="J1503" s="37" t="n">
        <x:v>10469322.610331744</x:v>
      </x:c>
      <x:c r="K1503" s="37" t="n">
        <x:v>0</x:v>
      </x:c>
      <x:c r="L1503" s="37" t="n">
        <x:v>11744354.999897264</x:v>
      </x:c>
      <x:c r="M1503" s="37" t="n">
        <x:v>0</x:v>
      </x:c>
      <x:c r="N1503" s="37" t="n">
        <x:v>0</x:v>
      </x:c>
      <x:c r="O1503" s="37" t="n">
        <x:v>209.57139826007187</x:v>
      </x:c>
      <x:c r="P1503" s="37" t="n">
        <x:v>0</x:v>
      </x:c>
      <x:c r="Q1503" s="37" t="n">
        <x:v>0</x:v>
      </x:c>
      <x:c r="R1503" s="37" t="n">
        <x:v>0</x:v>
      </x:c>
      <x:c r="S1503" s="37" t="n">
        <x:v>0</x:v>
      </x:c>
      <x:c r="T1503" s="37" t="n">
        <x:v>0</x:v>
      </x:c>
      <x:c r="U1503" s="37" t="n">
        <x:v>63750</x:v>
      </x:c>
      <x:c r="V1503" s="37" t="n">
        <x:v>0</x:v>
      </x:c>
      <x:c r="W1503" s="37" t="n">
        <x:v>12325.258907643147</x:v>
      </x:c>
      <x:c r="X1503" s="37" t="n">
        <x:v>0</x:v>
      </x:c>
      <x:c r="Y1503" s="37" t="n">
        <x:v>1042.869342122179</x:v>
      </x:c>
      <x:c r="Z1503" s="37" t="n">
        <x:v>0</x:v>
      </x:c>
      <x:c r="AA1503" s="37" t="n">
        <x:v>0</x:v>
      </x:c>
      <x:c r="AB1503" s="37" t="n">
        <x:v>0</x:v>
      </x:c>
      <x:c r="AC1503" s="37" t="n">
        <x:v>1275032.389565521</x:v>
      </x:c>
      <x:c r="AD1503" s="37" t="n">
        <x:v>0</x:v>
      </x:c>
      <x:c r="AE1503" s="37" t="n">
        <x:v>0</x:v>
      </x:c>
      <x:c r="AF1503" s="47" t="b">
        <x:v>0</x:v>
      </x:c>
      <x:c r="AG1503" s="47" t="b">
        <x:v>0</x:v>
      </x:c>
      <x:c r="AH1503" s="48" t="n">
        <x:v>0</x:v>
      </x:c>
      <x:c r="AI1503" s="48" t="n">
        <x:v>1.1920928955078125e-7</x:v>
      </x:c>
      <x:c r="AJ1503" s="37" t="str">
        <x:v>passed</x:v>
      </x:c>
    </x:row>
    <x:row r="1504" ht="21" customHeight="1">
      <x:c r="A1504" s="2"/>
      <x:c r="B1504" s="2"/>
      <x:c r="C1504" s="2" t="str">
        <x:v>2023</x:v>
      </x:c>
      <x:c r="D1504" s="5" t="n">
        <x:v>45110</x:v>
      </x:c>
      <x:c r="E1504" s="2" t="str">
        <x:v>duration</x:v>
      </x:c>
      <x:c r="F1504" s="37" t="n">
        <x:v>7628087.962530563</x:v>
      </x:c>
      <x:c r="G1504" s="37" t="n">
        <x:v>4125557.311695406</x:v>
      </x:c>
      <x:c r="H1504" s="37" t="n">
        <x:v>23533.425591464416</x:v>
      </x:c>
      <x:c r="I1504" s="37" t="n">
        <x:v>4102023.8861039416</x:v>
      </x:c>
      <x:c r="J1504" s="37" t="n">
        <x:v>10469322.610331744</x:v>
      </x:c>
      <x:c r="K1504" s="37" t="n">
        <x:v>6343765.298636338</x:v>
      </x:c>
      <x:c r="L1504" s="37" t="n">
        <x:v>11753645.274225969</x:v>
      </x:c>
      <x:c r="M1504" s="37" t="n">
        <x:v>0</x:v>
      </x:c>
      <x:c r="N1504" s="37" t="n">
        <x:v>0</x:v>
      </x:c>
      <x:c r="O1504" s="37" t="n">
        <x:v>1260.370489549823</x:v>
      </x:c>
      <x:c r="P1504" s="37" t="n">
        <x:v>0</x:v>
      </x:c>
      <x:c r="Q1504" s="37" t="n">
        <x:v>4.000211101610284</x:v>
      </x:c>
      <x:c r="R1504" s="37" t="n">
        <x:v>-40002.11101610284</x:v>
      </x:c>
      <x:c r="S1504" s="37" t="n">
        <x:v>40002.11101610284</x:v>
      </x:c>
      <x:c r="T1504" s="37" t="n">
        <x:v>0</x:v>
      </x:c>
      <x:c r="U1504" s="37" t="n">
        <x:v>9917.381478397001</x:v>
      </x:c>
      <x:c r="V1504" s="37" t="n">
        <x:v>0</x:v>
      </x:c>
      <x:c r="W1504" s="37" t="n">
        <x:v>76808.53891146462</x:v>
      </x:c>
      <x:c r="X1504" s="37" t="n">
        <x:v>0</x:v>
      </x:c>
      <x:c r="Y1504" s="37" t="n">
        <x:v>1731.9176760833782</x:v>
      </x:c>
      <x:c r="Z1504" s="37" t="n">
        <x:v>6470640.604609065</x:v>
      </x:c>
      <x:c r="AA1504" s="37" t="n">
        <x:v>0</x:v>
      </x:c>
      <x:c r="AB1504" s="37" t="n">
        <x:v>6470640.604609065</x:v>
      </x:c>
      <x:c r="AC1504" s="37" t="n">
        <x:v>1157447.357921498</x:v>
      </x:c>
      <x:c r="AD1504" s="37" t="n">
        <x:v>0</x:v>
      </x:c>
      <x:c r="AE1504" s="37" t="n">
        <x:v>0</x:v>
      </x:c>
      <x:c r="AF1504" s="47" t="b">
        <x:v>0</x:v>
      </x:c>
      <x:c r="AG1504" s="47" t="b">
        <x:v>0</x:v>
      </x:c>
      <x:c r="AH1504" s="48" t="n">
        <x:v>-5.719362761169577e-10</x:v>
      </x:c>
      <x:c r="AI1504" s="48" t="n">
        <x:v>5.960464477539063e-8</x:v>
      </x:c>
      <x:c r="AJ1504" s="37" t="str">
        <x:v>passed</x:v>
      </x:c>
    </x:row>
    <x:row r="1505" ht="21" customHeight="1">
      <x:c r="A1505" s="2"/>
      <x:c r="B1505" s="2"/>
      <x:c r="C1505" s="2" t="str">
        <x:v>2023</x:v>
      </x:c>
      <x:c r="D1505" s="5" t="n">
        <x:v>45110</x:v>
      </x:c>
      <x:c r="E1505" s="2" t="str">
        <x:v>unweighted</x:v>
      </x:c>
      <x:c r="F1505" s="37" t="n">
        <x:v>11290156.27401596</x:v>
      </x:c>
      <x:c r="G1505" s="37" t="n">
        <x:v>460836.36748683354</x:v>
      </x:c>
      <x:c r="H1505" s="37" t="n">
        <x:v>21798.592080994636</x:v>
      </x:c>
      <x:c r="I1505" s="37" t="n">
        <x:v>439037.7754058389</x:v>
      </x:c>
      <x:c r="J1505" s="37" t="n">
        <x:v>10549274.96063494</x:v>
      </x:c>
      <x:c r="K1505" s="37" t="n">
        <x:v>10088438.593148107</x:v>
      </x:c>
      <x:c r="L1505" s="37" t="n">
        <x:v>11750992.641502792</x:v>
      </x:c>
      <x:c r="M1505" s="37" t="n">
        <x:v>0</x:v>
      </x:c>
      <x:c r="N1505" s="37" t="n">
        <x:v>0</x:v>
      </x:c>
      <x:c r="O1505" s="37" t="n">
        <x:v>1860.7124072555453</x:v>
      </x:c>
      <x:c r="P1505" s="37" t="n">
        <x:v>0</x:v>
      </x:c>
      <x:c r="Q1505" s="37" t="n">
        <x:v>13.854516120931205</x:v>
      </x:c>
      <x:c r="R1505" s="37" t="n">
        <x:v>-30404.17984979083</x:v>
      </x:c>
      <x:c r="S1505" s="37" t="n">
        <x:v>138545.16120931203</x:v>
      </x:c>
      <x:c r="T1505" s="37" t="n">
        <x:v>0</x:v>
      </x:c>
      <x:c r="U1505" s="37" t="n">
        <x:v>-5694.19584657007</x:v>
      </x:c>
      <x:c r="V1505" s="37" t="n">
        <x:v>0</x:v>
      </x:c>
      <x:c r="W1505" s="37" t="n">
        <x:v>111522.08743277937</x:v>
      </x:c>
      <x:c r="X1505" s="37" t="n">
        <x:v>0</x:v>
      </x:c>
      <x:c r="Y1505" s="37" t="n">
        <x:v>2131.594711383309</x:v>
      </x:c>
      <x:c r="Z1505" s="37" t="n">
        <x:v>10290207.36501107</x:v>
      </x:c>
      <x:c r="AA1505" s="37" t="n">
        <x:v>0</x:v>
      </x:c>
      <x:c r="AB1505" s="37" t="n">
        <x:v>10290207.36501107</x:v>
      </x:c>
      <x:c r="AC1505" s="37" t="n">
        <x:v>999948.9090048894</x:v>
      </x:c>
      <x:c r="AD1505" s="37" t="n">
        <x:v>0</x:v>
      </x:c>
      <x:c r="AE1505" s="37" t="n">
        <x:v>0</x:v>
      </x:c>
      <x:c r="AF1505" s="47" t="b">
        <x:v>0</x:v>
      </x:c>
      <x:c r="AG1505" s="47" t="b">
        <x:v>0</x:v>
      </x:c>
      <x:c r="AH1505" s="48" t="n">
        <x:v>7.256879541728267e-10</x:v>
      </x:c>
      <x:c r="AI1505" s="48" t="n">
        <x:v>1.1920928955078125e-7</x:v>
      </x:c>
      <x:c r="AJ1505" s="37" t="str">
        <x:v>passed</x:v>
      </x:c>
    </x:row>
    <x:row r="1506" ht="21" customHeight="1">
      <x:c r="A1506" s="2"/>
      <x:c r="B1506" s="2"/>
      <x:c r="C1506" s="2" t="str">
        <x:v>2023</x:v>
      </x:c>
      <x:c r="D1506" s="5" t="n">
        <x:v>45110</x:v>
      </x:c>
      <x:c r="E1506" s="2" t="str">
        <x:v>constrained</x:v>
      </x:c>
      <x:c r="F1506" s="37" t="n">
        <x:v>11656637.990717888</x:v>
      </x:c>
      <x:c r="G1506" s="37" t="n">
        <x:v>87207.12030100984</x:v>
      </x:c>
      <x:c r="H1506" s="37" t="n">
        <x:v>21692.824336970956</x:v>
      </x:c>
      <x:c r="I1506" s="37" t="n">
        <x:v>65514.29596403889</x:v>
      </x:c>
      <x:c r="J1506" s="37" t="n">
        <x:v>10553870.669759054</x:v>
      </x:c>
      <x:c r="K1506" s="37" t="n">
        <x:v>10466663.549458044</x:v>
      </x:c>
      <x:c r="L1506" s="37" t="n">
        <x:v>11743845.111018898</x:v>
      </x:c>
      <x:c r="M1506" s="37" t="n">
        <x:v>0</x:v>
      </x:c>
      <x:c r="N1506" s="37" t="n">
        <x:v>0</x:v>
      </x:c>
      <x:c r="O1506" s="37" t="n">
        <x:v>1919.9384433235973</x:v>
      </x:c>
      <x:c r="P1506" s="37" t="n">
        <x:v>0</x:v>
      </x:c>
      <x:c r="Q1506" s="37" t="n">
        <x:v>5.502710276222006</x:v>
      </x:c>
      <x:c r="R1506" s="37" t="n">
        <x:v>-24262.019113200513</x:v>
      </x:c>
      <x:c r="S1506" s="37" t="n">
        <x:v>55027.102762220056</x:v>
      </x:c>
      <x:c r="T1506" s="37" t="n">
        <x:v>0</x:v>
      </x:c>
      <x:c r="U1506" s="37" t="n">
        <x:v>-6779.554702527748</x:v>
      </x:c>
      <x:c r="V1506" s="37" t="n">
        <x:v>0</x:v>
      </x:c>
      <x:c r="W1506" s="37" t="n">
        <x:v>116531.7287850324</x:v>
      </x:c>
      <x:c r="X1506" s="37" t="n">
        <x:v>0</x:v>
      </x:c>
      <x:c r="Y1506" s="37" t="n">
        <x:v>2166.497015385602</x:v>
      </x:c>
      <x:c r="Z1506" s="37" t="n">
        <x:v>10675996.820447205</x:v>
      </x:c>
      <x:c r="AA1506" s="37" t="n">
        <x:v>0</x:v>
      </x:c>
      <x:c r="AB1506" s="37" t="n">
        <x:v>10675996.820447205</x:v>
      </x:c>
      <x:c r="AC1506" s="37" t="n">
        <x:v>980641.1702706832</x:v>
      </x:c>
      <x:c r="AD1506" s="37" t="n">
        <x:v>0</x:v>
      </x:c>
      <x:c r="AE1506" s="37" t="n">
        <x:v>0</x:v>
      </x:c>
      <x:c r="AF1506" s="47" t="b">
        <x:v>0</x:v>
      </x:c>
      <x:c r="AG1506" s="47" t="b">
        <x:v>0</x:v>
      </x:c>
      <x:c r="AH1506" s="48" t="n">
        <x:v>1.5976002742945639e-9</x:v>
      </x:c>
      <x:c r="AI1506" s="48" t="n">
        <x:v>1.1920928955078125e-7</x:v>
      </x:c>
      <x:c r="AJ1506" s="37" t="str">
        <x:v>passed</x:v>
      </x:c>
    </x:row>
    <x:row r="1507" ht="21" customHeight="1">
      <x:c r="A1507" s="2"/>
      <x:c r="B1507" s="2"/>
      <x:c r="C1507" s="2" t="str">
        <x:v>2023</x:v>
      </x:c>
      <x:c r="D1507" s="5" t="n">
        <x:v>45112</x:v>
      </x:c>
      <x:c r="E1507" s="2" t="str">
        <x:v>unhedged</x:v>
      </x:c>
      <x:c r="F1507" s="37" t="n">
        <x:v>1275172.1229706677</x:v>
      </x:c>
      <x:c r="G1507" s="37" t="n">
        <x:v>10438799.822987013</x:v>
      </x:c>
      <x:c r="H1507" s="37" t="n">
        <x:v>38421.28573144367</x:v>
      </x:c>
      <x:c r="I1507" s="37" t="n">
        <x:v>10400378.537255568</x:v>
      </x:c>
      <x:c r="J1507" s="37" t="n">
        <x:v>10438799.822987013</x:v>
      </x:c>
      <x:c r="K1507" s="37" t="n">
        <x:v>0</x:v>
      </x:c>
      <x:c r="L1507" s="37" t="n">
        <x:v>11713971.94595768</x:v>
      </x:c>
      <x:c r="M1507" s="37" t="n">
        <x:v>0</x:v>
      </x:c>
      <x:c r="N1507" s="37" t="n">
        <x:v>0</x:v>
      </x:c>
      <x:c r="O1507" s="37" t="n">
        <x:v>139.73340514674783</x:v>
      </x:c>
      <x:c r="P1507" s="37" t="n">
        <x:v>0</x:v>
      </x:c>
      <x:c r="Q1507" s="37" t="n">
        <x:v>0</x:v>
      </x:c>
      <x:c r="R1507" s="37" t="n">
        <x:v>0</x:v>
      </x:c>
      <x:c r="S1507" s="37" t="n">
        <x:v>0</x:v>
      </x:c>
      <x:c r="T1507" s="37" t="n">
        <x:v>0</x:v>
      </x:c>
      <x:c r="U1507" s="37" t="n">
        <x:v>63750</x:v>
      </x:c>
      <x:c r="V1507" s="37" t="n">
        <x:v>0</x:v>
      </x:c>
      <x:c r="W1507" s="37" t="n">
        <x:v>12464.992312789895</x:v>
      </x:c>
      <x:c r="X1507" s="37" t="n">
        <x:v>0</x:v>
      </x:c>
      <x:c r="Y1507" s="37" t="n">
        <x:v>1042.869342122179</x:v>
      </x:c>
      <x:c r="Z1507" s="37" t="n">
        <x:v>0</x:v>
      </x:c>
      <x:c r="AA1507" s="37" t="n">
        <x:v>0</x:v>
      </x:c>
      <x:c r="AB1507" s="37" t="n">
        <x:v>0</x:v>
      </x:c>
      <x:c r="AC1507" s="37" t="n">
        <x:v>1275172.1229706677</x:v>
      </x:c>
      <x:c r="AD1507" s="37" t="n">
        <x:v>0</x:v>
      </x:c>
      <x:c r="AE1507" s="37" t="n">
        <x:v>0</x:v>
      </x:c>
      <x:c r="AF1507" s="47" t="b">
        <x:v>0</x:v>
      </x:c>
      <x:c r="AG1507" s="47" t="b">
        <x:v>0</x:v>
      </x:c>
      <x:c r="AH1507" s="48" t="n">
        <x:v>0</x:v>
      </x:c>
      <x:c r="AI1507" s="48" t="n">
        <x:v>1.1920928955078125e-7</x:v>
      </x:c>
      <x:c r="AJ1507" s="37" t="str">
        <x:v>passed</x:v>
      </x:c>
    </x:row>
    <x:row r="1508" ht="21" customHeight="1">
      <x:c r="A1508" s="2"/>
      <x:c r="B1508" s="2"/>
      <x:c r="C1508" s="2" t="str">
        <x:v>2023</x:v>
      </x:c>
      <x:c r="D1508" s="5" t="n">
        <x:v>45112</x:v>
      </x:c>
      <x:c r="E1508" s="2" t="str">
        <x:v>duration</x:v>
      </x:c>
      <x:c r="F1508" s="37" t="n">
        <x:v>7628923.940278645</x:v>
      </x:c>
      <x:c r="G1508" s="37" t="n">
        <x:v>4133927.659375568</x:v>
      </x:c>
      <x:c r="H1508" s="37" t="n">
        <x:v>23654.00736370742</x:v>
      </x:c>
      <x:c r="I1508" s="37" t="n">
        <x:v>4110273.6520118606</x:v>
      </x:c>
      <x:c r="J1508" s="37" t="n">
        <x:v>10438799.822987013</x:v>
      </x:c>
      <x:c r="K1508" s="37" t="n">
        <x:v>6304872.163611445</x:v>
      </x:c>
      <x:c r="L1508" s="37" t="n">
        <x:v>11762851.599654213</x:v>
      </x:c>
      <x:c r="M1508" s="37" t="n">
        <x:v>0</x:v>
      </x:c>
      <x:c r="N1508" s="37" t="n">
        <x:v>0</x:v>
      </x:c>
      <x:c r="O1508" s="37" t="n">
        <x:v>835.9777480820194</x:v>
      </x:c>
      <x:c r="P1508" s="37" t="n">
        <x:v>0</x:v>
      </x:c>
      <x:c r="Q1508" s="37" t="n">
        <x:v>0</x:v>
      </x:c>
      <x:c r="R1508" s="37" t="n">
        <x:v>0</x:v>
      </x:c>
      <x:c r="S1508" s="37" t="n">
        <x:v>0</x:v>
      </x:c>
      <x:c r="T1508" s="37" t="n">
        <x:v>0</x:v>
      </x:c>
      <x:c r="U1508" s="37" t="n">
        <x:v>9917.381478397001</x:v>
      </x:c>
      <x:c r="V1508" s="37" t="n">
        <x:v>0</x:v>
      </x:c>
      <x:c r="W1508" s="37" t="n">
        <x:v>77644.51665954664</x:v>
      </x:c>
      <x:c r="X1508" s="37" t="n">
        <x:v>0</x:v>
      </x:c>
      <x:c r="Y1508" s="37" t="n">
        <x:v>1731.9176760833782</x:v>
      </x:c>
      <x:c r="Z1508" s="37" t="n">
        <x:v>6430969.606883674</x:v>
      </x:c>
      <x:c r="AA1508" s="37" t="n">
        <x:v>0</x:v>
      </x:c>
      <x:c r="AB1508" s="37" t="n">
        <x:v>6430969.606883674</x:v>
      </x:c>
      <x:c r="AC1508" s="37" t="n">
        <x:v>1197954.3333949707</x:v>
      </x:c>
      <x:c r="AD1508" s="37" t="n">
        <x:v>0</x:v>
      </x:c>
      <x:c r="AE1508" s="37" t="n">
        <x:v>0</x:v>
      </x:c>
      <x:c r="AF1508" s="47" t="b">
        <x:v>0</x:v>
      </x:c>
      <x:c r="AG1508" s="47" t="b">
        <x:v>0</x:v>
      </x:c>
      <x:c r="AH1508" s="48" t="n">
        <x:v>0</x:v>
      </x:c>
      <x:c r="AI1508" s="48" t="n">
        <x:v>5.960464477539063e-8</x:v>
      </x:c>
      <x:c r="AJ1508" s="37" t="str">
        <x:v>passed</x:v>
      </x:c>
    </x:row>
    <x:row r="1509" ht="21" customHeight="1">
      <x:c r="A1509" s="2"/>
      <x:c r="B1509" s="2"/>
      <x:c r="C1509" s="2" t="str">
        <x:v>2023</x:v>
      </x:c>
      <x:c r="D1509" s="5" t="n">
        <x:v>45112</x:v>
      </x:c>
      <x:c r="E1509" s="2" t="str">
        <x:v>unweighted</x:v>
      </x:c>
      <x:c r="F1509" s="37" t="n">
        <x:v>11291393.585313864</x:v>
      </x:c>
      <x:c r="G1509" s="37" t="n">
        <x:v>461475.5237047068</x:v>
      </x:c>
      <x:c r="H1509" s="37" t="n">
        <x:v>21744.216534591404</x:v>
      </x:c>
      <x:c r="I1509" s="37" t="n">
        <x:v>439731.3071701154</x:v>
      </x:c>
      <x:c r="J1509" s="37" t="n">
        <x:v>10517724.610310083</x:v>
      </x:c>
      <x:c r="K1509" s="37" t="n">
        <x:v>10056249.086605377</x:v>
      </x:c>
      <x:c r="L1509" s="37" t="n">
        <x:v>11752869.109018572</x:v>
      </x:c>
      <x:c r="M1509" s="37" t="n">
        <x:v>0</x:v>
      </x:c>
      <x:c r="N1509" s="37" t="n">
        <x:v>0</x:v>
      </x:c>
      <x:c r="O1509" s="37" t="n">
        <x:v>1237.3112979047</x:v>
      </x:c>
      <x:c r="P1509" s="37" t="n">
        <x:v>0</x:v>
      </x:c>
      <x:c r="Q1509" s="37" t="n">
        <x:v>0</x:v>
      </x:c>
      <x:c r="R1509" s="37" t="n">
        <x:v>0</x:v>
      </x:c>
      <x:c r="S1509" s="37" t="n">
        <x:v>0</x:v>
      </x:c>
      <x:c r="T1509" s="37" t="n">
        <x:v>0</x:v>
      </x:c>
      <x:c r="U1509" s="37" t="n">
        <x:v>-5694.19584657007</x:v>
      </x:c>
      <x:c r="V1509" s="37" t="n">
        <x:v>0</x:v>
      </x:c>
      <x:c r="W1509" s="37" t="n">
        <x:v>112759.39873068407</x:v>
      </x:c>
      <x:c r="X1509" s="37" t="n">
        <x:v>0</x:v>
      </x:c>
      <x:c r="Y1509" s="37" t="n">
        <x:v>2131.594711383309</x:v>
      </x:c>
      <x:c r="Z1509" s="37" t="n">
        <x:v>10257374.068337485</x:v>
      </x:c>
      <x:c r="AA1509" s="37" t="n">
        <x:v>0</x:v>
      </x:c>
      <x:c r="AB1509" s="37" t="n">
        <x:v>10257374.068337485</x:v>
      </x:c>
      <x:c r="AC1509" s="37" t="n">
        <x:v>1034019.5169763789</x:v>
      </x:c>
      <x:c r="AD1509" s="37" t="n">
        <x:v>0</x:v>
      </x:c>
      <x:c r="AE1509" s="37" t="n">
        <x:v>0</x:v>
      </x:c>
      <x:c r="AF1509" s="47" t="b">
        <x:v>0</x:v>
      </x:c>
      <x:c r="AG1509" s="47" t="b">
        <x:v>0</x:v>
      </x:c>
      <x:c r="AH1509" s="48" t="n">
        <x:v>0</x:v>
      </x:c>
      <x:c r="AI1509" s="48" t="n">
        <x:v>1.1920928955078125e-7</x:v>
      </x:c>
      <x:c r="AJ1509" s="37" t="str">
        <x:v>passed</x:v>
      </x:c>
    </x:row>
    <x:row r="1510" ht="21" customHeight="1">
      <x:c r="A1510" s="2"/>
      <x:c r="B1510" s="2"/>
      <x:c r="C1510" s="2" t="str">
        <x:v>2023</x:v>
      </x:c>
      <x:c r="D1510" s="5" t="n">
        <x:v>45112</x:v>
      </x:c>
      <x:c r="E1510" s="2" t="str">
        <x:v>constrained</x:v>
      </x:c>
      <x:c r="F1510" s="37" t="n">
        <x:v>11657915.465496043</x:v>
      </x:c>
      <x:c r="G1510" s="37" t="n">
        <x:v>87282.78319113428</x:v>
      </x:c>
      <x:c r="H1510" s="37" t="n">
        <x:v>21629.087958580018</x:v>
      </x:c>
      <x:c r="I1510" s="37" t="n">
        <x:v>65653.69523255427</x:v>
      </x:c>
      <x:c r="J1510" s="37" t="n">
        <x:v>10522261.254496826</x:v>
      </x:c>
      <x:c r="K1510" s="37" t="n">
        <x:v>10434978.47130569</x:v>
      </x:c>
      <x:c r="L1510" s="37" t="n">
        <x:v>11745198.248687178</x:v>
      </x:c>
      <x:c r="M1510" s="37" t="n">
        <x:v>0</x:v>
      </x:c>
      <x:c r="N1510" s="37" t="n">
        <x:v>0</x:v>
      </x:c>
      <x:c r="O1510" s="37" t="n">
        <x:v>1277.474778154865</x:v>
      </x:c>
      <x:c r="P1510" s="37" t="n">
        <x:v>0</x:v>
      </x:c>
      <x:c r="Q1510" s="37" t="n">
        <x:v>0</x:v>
      </x:c>
      <x:c r="R1510" s="37" t="n">
        <x:v>0</x:v>
      </x:c>
      <x:c r="S1510" s="37" t="n">
        <x:v>0</x:v>
      </x:c>
      <x:c r="T1510" s="37" t="n">
        <x:v>0</x:v>
      </x:c>
      <x:c r="U1510" s="37" t="n">
        <x:v>-6779.554702527748</x:v>
      </x:c>
      <x:c r="V1510" s="37" t="n">
        <x:v>0</x:v>
      </x:c>
      <x:c r="W1510" s="37" t="n">
        <x:v>117809.20356318727</x:v>
      </x:c>
      <x:c r="X1510" s="37" t="n">
        <x:v>0</x:v>
      </x:c>
      <x:c r="Y1510" s="37" t="n">
        <x:v>2166.497015385602</x:v>
      </x:c>
      <x:c r="Z1510" s="37" t="n">
        <x:v>10643678.040731804</x:v>
      </x:c>
      <x:c r="AA1510" s="37" t="n">
        <x:v>0</x:v>
      </x:c>
      <x:c r="AB1510" s="37" t="n">
        <x:v>10643678.040731804</x:v>
      </x:c>
      <x:c r="AC1510" s="37" t="n">
        <x:v>1014237.4247642383</x:v>
      </x:c>
      <x:c r="AD1510" s="37" t="n">
        <x:v>0</x:v>
      </x:c>
      <x:c r="AE1510" s="37" t="n">
        <x:v>0</x:v>
      </x:c>
      <x:c r="AF1510" s="47" t="b">
        <x:v>0</x:v>
      </x:c>
      <x:c r="AG1510" s="47" t="b">
        <x:v>0</x:v>
      </x:c>
      <x:c r="AH1510" s="48" t="n">
        <x:v>0</x:v>
      </x:c>
      <x:c r="AI1510" s="48" t="n">
        <x:v>1.1920928955078125e-7</x:v>
      </x:c>
      <x:c r="AJ1510" s="37" t="str">
        <x:v>passed</x:v>
      </x:c>
    </x:row>
    <x:row r="1511" ht="21" customHeight="1">
      <x:c r="A1511" s="2"/>
      <x:c r="B1511" s="2"/>
      <x:c r="C1511" s="2" t="str">
        <x:v>2023</x:v>
      </x:c>
      <x:c r="D1511" s="5" t="n">
        <x:v>45113</x:v>
      </x:c>
      <x:c r="E1511" s="2" t="str">
        <x:v>unhedged</x:v>
      </x:c>
      <x:c r="F1511" s="37" t="n">
        <x:v>1275241.9954157618</x:v>
      </x:c>
      <x:c r="G1511" s="37" t="n">
        <x:v>10387097.970998757</x:v>
      </x:c>
      <x:c r="H1511" s="37" t="n">
        <x:v>38771.13109536392</x:v>
      </x:c>
      <x:c r="I1511" s="37" t="n">
        <x:v>10348326.839903392</x:v>
      </x:c>
      <x:c r="J1511" s="37" t="n">
        <x:v>10387097.970998757</x:v>
      </x:c>
      <x:c r="K1511" s="37" t="n">
        <x:v>0</x:v>
      </x:c>
      <x:c r="L1511" s="37" t="n">
        <x:v>11662339.966414519</x:v>
      </x:c>
      <x:c r="M1511" s="37" t="n">
        <x:v>0</x:v>
      </x:c>
      <x:c r="N1511" s="37" t="n">
        <x:v>0</x:v>
      </x:c>
      <x:c r="O1511" s="37" t="n">
        <x:v>69.87244509416632</x:v>
      </x:c>
      <x:c r="P1511" s="37" t="n">
        <x:v>0</x:v>
      </x:c>
      <x:c r="Q1511" s="37" t="n">
        <x:v>0</x:v>
      </x:c>
      <x:c r="R1511" s="37" t="n">
        <x:v>0</x:v>
      </x:c>
      <x:c r="S1511" s="37" t="n">
        <x:v>0</x:v>
      </x:c>
      <x:c r="T1511" s="37" t="n">
        <x:v>0</x:v>
      </x:c>
      <x:c r="U1511" s="37" t="n">
        <x:v>63750</x:v>
      </x:c>
      <x:c r="V1511" s="37" t="n">
        <x:v>0</x:v>
      </x:c>
      <x:c r="W1511" s="37" t="n">
        <x:v>12534.864757884061</x:v>
      </x:c>
      <x:c r="X1511" s="37" t="n">
        <x:v>0</x:v>
      </x:c>
      <x:c r="Y1511" s="37" t="n">
        <x:v>1042.869342122179</x:v>
      </x:c>
      <x:c r="Z1511" s="37" t="n">
        <x:v>0</x:v>
      </x:c>
      <x:c r="AA1511" s="37" t="n">
        <x:v>0</x:v>
      </x:c>
      <x:c r="AB1511" s="37" t="n">
        <x:v>0</x:v>
      </x:c>
      <x:c r="AC1511" s="37" t="n">
        <x:v>1275241.9954157618</x:v>
      </x:c>
      <x:c r="AD1511" s="37" t="n">
        <x:v>0</x:v>
      </x:c>
      <x:c r="AE1511" s="37" t="n">
        <x:v>0</x:v>
      </x:c>
      <x:c r="AF1511" s="47" t="b">
        <x:v>0</x:v>
      </x:c>
      <x:c r="AG1511" s="47" t="b">
        <x:v>0</x:v>
      </x:c>
      <x:c r="AH1511" s="48" t="n">
        <x:v>0</x:v>
      </x:c>
      <x:c r="AI1511" s="48" t="n">
        <x:v>1.1920928955078125e-7</x:v>
      </x:c>
      <x:c r="AJ1511" s="37" t="str">
        <x:v>passed</x:v>
      </x:c>
    </x:row>
    <x:row r="1512" ht="21" customHeight="1">
      <x:c r="A1512" s="2"/>
      <x:c r="B1512" s="2"/>
      <x:c r="C1512" s="2" t="str">
        <x:v>2023</x:v>
      </x:c>
      <x:c r="D1512" s="5" t="n">
        <x:v>45113</x:v>
      </x:c>
      <x:c r="E1512" s="2" t="str">
        <x:v>duration</x:v>
      </x:c>
      <x:c r="F1512" s="37" t="n">
        <x:v>7629341.96350825</x:v>
      </x:c>
      <x:c r="G1512" s="37" t="n">
        <x:v>4137377.7829784816</x:v>
      </x:c>
      <x:c r="H1512" s="37" t="n">
        <x:v>23714.29824982892</x:v>
      </x:c>
      <x:c r="I1512" s="37" t="n">
        <x:v>4113663.4847286525</x:v>
      </x:c>
      <x:c r="J1512" s="37" t="n">
        <x:v>10387097.970998757</x:v>
      </x:c>
      <x:c r="K1512" s="37" t="n">
        <x:v>6249720.188020275</x:v>
      </x:c>
      <x:c r="L1512" s="37" t="n">
        <x:v>11766719.74648673</x:v>
      </x:c>
      <x:c r="M1512" s="37" t="n">
        <x:v>0</x:v>
      </x:c>
      <x:c r="N1512" s="37" t="n">
        <x:v>0</x:v>
      </x:c>
      <x:c r="O1512" s="37" t="n">
        <x:v>418.0232296055183</x:v>
      </x:c>
      <x:c r="P1512" s="37" t="n">
        <x:v>0</x:v>
      </x:c>
      <x:c r="Q1512" s="37" t="n">
        <x:v>0</x:v>
      </x:c>
      <x:c r="R1512" s="37" t="n">
        <x:v>0</x:v>
      </x:c>
      <x:c r="S1512" s="37" t="n">
        <x:v>0</x:v>
      </x:c>
      <x:c r="T1512" s="37" t="n">
        <x:v>0</x:v>
      </x:c>
      <x:c r="U1512" s="37" t="n">
        <x:v>9917.381478397001</x:v>
      </x:c>
      <x:c r="V1512" s="37" t="n">
        <x:v>0</x:v>
      </x:c>
      <x:c r="W1512" s="37" t="n">
        <x:v>78062.53988915216</x:v>
      </x:c>
      <x:c r="X1512" s="37" t="n">
        <x:v>0</x:v>
      </x:c>
      <x:c r="Y1512" s="37" t="n">
        <x:v>1731.9176760833782</x:v>
      </x:c>
      <x:c r="Z1512" s="37" t="n">
        <x:v>6374714.59178068</x:v>
      </x:c>
      <x:c r="AA1512" s="37" t="n">
        <x:v>0</x:v>
      </x:c>
      <x:c r="AB1512" s="37" t="n">
        <x:v>6374714.59178068</x:v>
      </x:c>
      <x:c r="AC1512" s="37" t="n">
        <x:v>1254627.37172757</x:v>
      </x:c>
      <x:c r="AD1512" s="37" t="n">
        <x:v>0</x:v>
      </x:c>
      <x:c r="AE1512" s="37" t="n">
        <x:v>0</x:v>
      </x:c>
      <x:c r="AF1512" s="47" t="b">
        <x:v>0</x:v>
      </x:c>
      <x:c r="AG1512" s="47" t="b">
        <x:v>0</x:v>
      </x:c>
      <x:c r="AH1512" s="48" t="n">
        <x:v>0</x:v>
      </x:c>
      <x:c r="AI1512" s="48" t="n">
        <x:v>5.960464477539063e-8</x:v>
      </x:c>
      <x:c r="AJ1512" s="37" t="str">
        <x:v>passed</x:v>
      </x:c>
    </x:row>
    <x:row r="1513" ht="21" customHeight="1">
      <x:c r="A1513" s="2"/>
      <x:c r="B1513" s="2"/>
      <x:c r="C1513" s="2" t="str">
        <x:v>2023</x:v>
      </x:c>
      <x:c r="D1513" s="5" t="n">
        <x:v>45113</x:v>
      </x:c>
      <x:c r="E1513" s="2" t="str">
        <x:v>unweighted</x:v>
      </x:c>
      <x:c r="F1513" s="37" t="n">
        <x:v>11292012.29181169</x:v>
      </x:c>
      <x:c r="G1513" s="37" t="n">
        <x:v>461991.1811840813</x:v>
      </x:c>
      <x:c r="H1513" s="37" t="n">
        <x:v>21717.02876138979</x:v>
      </x:c>
      <x:c r="I1513" s="37" t="n">
        <x:v>440274.1524226915</x:v>
      </x:c>
      <x:c r="J1513" s="37" t="n">
        <x:v>10465172.237736735</x:v>
      </x:c>
      <x:c r="K1513" s="37" t="n">
        <x:v>10003181.056552654</x:v>
      </x:c>
      <x:c r="L1513" s="37" t="n">
        <x:v>11754003.472995771</x:v>
      </x:c>
      <x:c r="M1513" s="37" t="n">
        <x:v>0</x:v>
      </x:c>
      <x:c r="N1513" s="37" t="n">
        <x:v>0</x:v>
      </x:c>
      <x:c r="O1513" s="37" t="n">
        <x:v>618.7064978256822</x:v>
      </x:c>
      <x:c r="P1513" s="37" t="n">
        <x:v>0</x:v>
      </x:c>
      <x:c r="Q1513" s="37" t="n">
        <x:v>0</x:v>
      </x:c>
      <x:c r="R1513" s="37" t="n">
        <x:v>0</x:v>
      </x:c>
      <x:c r="S1513" s="37" t="n">
        <x:v>0</x:v>
      </x:c>
      <x:c r="T1513" s="37" t="n">
        <x:v>0</x:v>
      </x:c>
      <x:c r="U1513" s="37" t="n">
        <x:v>-5694.19584657007</x:v>
      </x:c>
      <x:c r="V1513" s="37" t="n">
        <x:v>0</x:v>
      </x:c>
      <x:c r="W1513" s="37" t="n">
        <x:v>113378.10522850975</x:v>
      </x:c>
      <x:c r="X1513" s="37" t="n">
        <x:v>0</x:v>
      </x:c>
      <x:c r="Y1513" s="37" t="n">
        <x:v>2131.594711383309</x:v>
      </x:c>
      <x:c r="Z1513" s="37" t="n">
        <x:v>10203244.677683707</x:v>
      </x:c>
      <x:c r="AA1513" s="37" t="n">
        <x:v>0</x:v>
      </x:c>
      <x:c r="AB1513" s="37" t="n">
        <x:v>10203244.677683707</x:v>
      </x:c>
      <x:c r="AC1513" s="37" t="n">
        <x:v>1088767.6141279824</x:v>
      </x:c>
      <x:c r="AD1513" s="37" t="n">
        <x:v>0</x:v>
      </x:c>
      <x:c r="AE1513" s="37" t="n">
        <x:v>0</x:v>
      </x:c>
      <x:c r="AF1513" s="47" t="b">
        <x:v>0</x:v>
      </x:c>
      <x:c r="AG1513" s="47" t="b">
        <x:v>0</x:v>
      </x:c>
      <x:c r="AH1513" s="48" t="n">
        <x:v>0</x:v>
      </x:c>
      <x:c r="AI1513" s="48" t="n">
        <x:v>1.1920928955078125e-7</x:v>
      </x:c>
      <x:c r="AJ1513" s="37" t="str">
        <x:v>passed</x:v>
      </x:c>
    </x:row>
    <x:row r="1514" ht="21" customHeight="1">
      <x:c r="A1514" s="2"/>
      <x:c r="B1514" s="2"/>
      <x:c r="C1514" s="2" t="str">
        <x:v>2023</x:v>
      </x:c>
      <x:c r="D1514" s="5" t="n">
        <x:v>45113</x:v>
      </x:c>
      <x:c r="E1514" s="2" t="str">
        <x:v>constrained</x:v>
      </x:c>
      <x:c r="F1514" s="37" t="n">
        <x:v>11658554.255384566</x:v>
      </x:c>
      <x:c r="G1514" s="37" t="n">
        <x:v>87389.58798341182</x:v>
      </x:c>
      <x:c r="H1514" s="37" t="n">
        <x:v>21597.219769384545</x:v>
      </x:c>
      <x:c r="I1514" s="37" t="n">
        <x:v>65792.36821402729</x:v>
      </x:c>
      <x:c r="J1514" s="37" t="n">
        <x:v>10469659.993489325</x:v>
      </x:c>
      <x:c r="K1514" s="37" t="n">
        <x:v>10382270.405505914</x:v>
      </x:c>
      <x:c r="L1514" s="37" t="n">
        <x:v>11745943.843367979</x:v>
      </x:c>
      <x:c r="M1514" s="37" t="n">
        <x:v>0</x:v>
      </x:c>
      <x:c r="N1514" s="37" t="n">
        <x:v>0</x:v>
      </x:c>
      <x:c r="O1514" s="37" t="n">
        <x:v>638.789888523519</x:v>
      </x:c>
      <x:c r="P1514" s="37" t="n">
        <x:v>0</x:v>
      </x:c>
      <x:c r="Q1514" s="37" t="n">
        <x:v>0</x:v>
      </x:c>
      <x:c r="R1514" s="37" t="n">
        <x:v>0</x:v>
      </x:c>
      <x:c r="S1514" s="37" t="n">
        <x:v>0</x:v>
      </x:c>
      <x:c r="T1514" s="37" t="n">
        <x:v>0</x:v>
      </x:c>
      <x:c r="U1514" s="37" t="n">
        <x:v>-6779.554702527748</x:v>
      </x:c>
      <x:c r="V1514" s="37" t="n">
        <x:v>0</x:v>
      </x:c>
      <x:c r="W1514" s="37" t="n">
        <x:v>118447.99345171079</x:v>
      </x:c>
      <x:c r="X1514" s="37" t="n">
        <x:v>0</x:v>
      </x:c>
      <x:c r="Y1514" s="37" t="n">
        <x:v>2166.497015385602</x:v>
      </x:c>
      <x:c r="Z1514" s="37" t="n">
        <x:v>10589915.813616032</x:v>
      </x:c>
      <x:c r="AA1514" s="37" t="n">
        <x:v>0</x:v>
      </x:c>
      <x:c r="AB1514" s="37" t="n">
        <x:v>10589915.813616032</x:v>
      </x:c>
      <x:c r="AC1514" s="37" t="n">
        <x:v>1068638.4417685345</x:v>
      </x:c>
      <x:c r="AD1514" s="37" t="n">
        <x:v>0</x:v>
      </x:c>
      <x:c r="AE1514" s="37" t="n">
        <x:v>0</x:v>
      </x:c>
      <x:c r="AF1514" s="47" t="b">
        <x:v>0</x:v>
      </x:c>
      <x:c r="AG1514" s="47" t="b">
        <x:v>0</x:v>
      </x:c>
      <x:c r="AH1514" s="48" t="n">
        <x:v>0</x:v>
      </x:c>
      <x:c r="AI1514" s="48" t="n">
        <x:v>1.1920928955078125e-7</x:v>
      </x:c>
      <x:c r="AJ1514" s="37" t="str">
        <x:v>passed</x:v>
      </x:c>
    </x:row>
    <x:row r="1515" ht="21" customHeight="1">
      <x:c r="A1515" s="2"/>
      <x:c r="B1515" s="2"/>
      <x:c r="C1515" s="2" t="str">
        <x:v>2023</x:v>
      </x:c>
      <x:c r="D1515" s="5" t="n">
        <x:v>45114</x:v>
      </x:c>
      <x:c r="E1515" s="2" t="str">
        <x:v>unhedged</x:v>
      </x:c>
      <x:c r="F1515" s="37" t="n">
        <x:v>1275311.8716894833</x:v>
      </x:c>
      <x:c r="G1515" s="37" t="n">
        <x:v>10390399.921886034</x:v>
      </x:c>
      <x:c r="H1515" s="37" t="n">
        <x:v>39120.97645928417</x:v>
      </x:c>
      <x:c r="I1515" s="37" t="n">
        <x:v>10351278.94542675</x:v>
      </x:c>
      <x:c r="J1515" s="37" t="n">
        <x:v>10390399.921886034</x:v>
      </x:c>
      <x:c r="K1515" s="37" t="n">
        <x:v>0</x:v>
      </x:c>
      <x:c r="L1515" s="37" t="n">
        <x:v>11665711.793575518</x:v>
      </x:c>
      <x:c r="M1515" s="37" t="n">
        <x:v>0</x:v>
      </x:c>
      <x:c r="N1515" s="37" t="n">
        <x:v>0</x:v>
      </x:c>
      <x:c r="O1515" s="37" t="n">
        <x:v>69.87627372145653</x:v>
      </x:c>
      <x:c r="P1515" s="37" t="n">
        <x:v>0</x:v>
      </x:c>
      <x:c r="Q1515" s="37" t="n">
        <x:v>0</x:v>
      </x:c>
      <x:c r="R1515" s="37" t="n">
        <x:v>0</x:v>
      </x:c>
      <x:c r="S1515" s="37" t="n">
        <x:v>0</x:v>
      </x:c>
      <x:c r="T1515" s="37" t="n">
        <x:v>0</x:v>
      </x:c>
      <x:c r="U1515" s="37" t="n">
        <x:v>63750</x:v>
      </x:c>
      <x:c r="V1515" s="37" t="n">
        <x:v>0</x:v>
      </x:c>
      <x:c r="W1515" s="37" t="n">
        <x:v>12604.741031605517</x:v>
      </x:c>
      <x:c r="X1515" s="37" t="n">
        <x:v>0</x:v>
      </x:c>
      <x:c r="Y1515" s="37" t="n">
        <x:v>1042.869342122179</x:v>
      </x:c>
      <x:c r="Z1515" s="37" t="n">
        <x:v>0</x:v>
      </x:c>
      <x:c r="AA1515" s="37" t="n">
        <x:v>0</x:v>
      </x:c>
      <x:c r="AB1515" s="37" t="n">
        <x:v>0</x:v>
      </x:c>
      <x:c r="AC1515" s="37" t="n">
        <x:v>1275311.8716894833</x:v>
      </x:c>
      <x:c r="AD1515" s="37" t="n">
        <x:v>0</x:v>
      </x:c>
      <x:c r="AE1515" s="37" t="n">
        <x:v>0</x:v>
      </x:c>
      <x:c r="AF1515" s="47" t="b">
        <x:v>0</x:v>
      </x:c>
      <x:c r="AG1515" s="47" t="b">
        <x:v>0</x:v>
      </x:c>
      <x:c r="AH1515" s="48" t="n">
        <x:v>0</x:v>
      </x:c>
      <x:c r="AI1515" s="48" t="n">
        <x:v>1.1920928955078125e-7</x:v>
      </x:c>
      <x:c r="AJ1515" s="37" t="str">
        <x:v>passed</x:v>
      </x:c>
    </x:row>
    <x:row r="1516" ht="21" customHeight="1">
      <x:c r="A1516" s="2"/>
      <x:c r="B1516" s="2"/>
      <x:c r="C1516" s="2" t="str">
        <x:v>2023</x:v>
      </x:c>
      <x:c r="D1516" s="5" t="n">
        <x:v>45114</x:v>
      </x:c>
      <x:c r="E1516" s="2" t="str">
        <x:v>duration</x:v>
      </x:c>
      <x:c r="F1516" s="37" t="n">
        <x:v>7629760.009643238</x:v>
      </x:c>
      <x:c r="G1516" s="37" t="n">
        <x:v>4143205.5639106515</x:v>
      </x:c>
      <x:c r="H1516" s="37" t="n">
        <x:v>23774.589135950417</x:v>
      </x:c>
      <x:c r="I1516" s="37" t="n">
        <x:v>4119430.974774701</x:v>
      </x:c>
      <x:c r="J1516" s="37" t="n">
        <x:v>10390399.921886034</x:v>
      </x:c>
      <x:c r="K1516" s="37" t="n">
        <x:v>6247194.357975383</x:v>
      </x:c>
      <x:c r="L1516" s="37" t="n">
        <x:v>11772965.57355389</x:v>
      </x:c>
      <x:c r="M1516" s="37" t="n">
        <x:v>0</x:v>
      </x:c>
      <x:c r="N1516" s="37" t="n">
        <x:v>0</x:v>
      </x:c>
      <x:c r="O1516" s="37" t="n">
        <x:v>418.046134987846</x:v>
      </x:c>
      <x:c r="P1516" s="37" t="n">
        <x:v>0</x:v>
      </x:c>
      <x:c r="Q1516" s="37" t="n">
        <x:v>0</x:v>
      </x:c>
      <x:c r="R1516" s="37" t="n">
        <x:v>0</x:v>
      </x:c>
      <x:c r="S1516" s="37" t="n">
        <x:v>0</x:v>
      </x:c>
      <x:c r="T1516" s="37" t="n">
        <x:v>0</x:v>
      </x:c>
      <x:c r="U1516" s="37" t="n">
        <x:v>9917.381478397001</x:v>
      </x:c>
      <x:c r="V1516" s="37" t="n">
        <x:v>0</x:v>
      </x:c>
      <x:c r="W1516" s="37" t="n">
        <x:v>78480.58602414001</x:v>
      </x:c>
      <x:c r="X1516" s="37" t="n">
        <x:v>0</x:v>
      </x:c>
      <x:c r="Y1516" s="37" t="n">
        <x:v>1731.9176760833782</x:v>
      </x:c>
      <x:c r="Z1516" s="37" t="n">
        <x:v>6372138.245134891</x:v>
      </x:c>
      <x:c r="AA1516" s="37" t="n">
        <x:v>0</x:v>
      </x:c>
      <x:c r="AB1516" s="37" t="n">
        <x:v>6372138.245134891</x:v>
      </x:c>
      <x:c r="AC1516" s="37" t="n">
        <x:v>1257621.764508347</x:v>
      </x:c>
      <x:c r="AD1516" s="37" t="n">
        <x:v>0</x:v>
      </x:c>
      <x:c r="AE1516" s="37" t="n">
        <x:v>0</x:v>
      </x:c>
      <x:c r="AF1516" s="47" t="b">
        <x:v>0</x:v>
      </x:c>
      <x:c r="AG1516" s="47" t="b">
        <x:v>0</x:v>
      </x:c>
      <x:c r="AH1516" s="48" t="n">
        <x:v>0</x:v>
      </x:c>
      <x:c r="AI1516" s="48" t="n">
        <x:v>5.960464477539063e-8</x:v>
      </x:c>
      <x:c r="AJ1516" s="37" t="str">
        <x:v>passed</x:v>
      </x:c>
    </x:row>
    <x:row r="1517" ht="21" customHeight="1">
      <x:c r="A1517" s="2"/>
      <x:c r="B1517" s="2"/>
      <x:c r="C1517" s="2" t="str">
        <x:v>2023</x:v>
      </x:c>
      <x:c r="D1517" s="5" t="n">
        <x:v>45114</x:v>
      </x:c>
      <x:c r="E1517" s="2" t="str">
        <x:v>unweighted</x:v>
      </x:c>
      <x:c r="F1517" s="37" t="n">
        <x:v>11292631.032211244</x:v>
      </x:c>
      <x:c r="G1517" s="37" t="n">
        <x:v>462247.6934815055</x:v>
      </x:c>
      <x:c r="H1517" s="37" t="n">
        <x:v>21689.84098818817</x:v>
      </x:c>
      <x:c r="I1517" s="37" t="n">
        <x:v>440557.85249331733</x:v>
      </x:c>
      <x:c r="J1517" s="37" t="n">
        <x:v>10468094.335704967</x:v>
      </x:c>
      <x:c r="K1517" s="37" t="n">
        <x:v>10005846.642223462</x:v>
      </x:c>
      <x:c r="L1517" s="37" t="n">
        <x:v>11754878.725692749</x:v>
      </x:c>
      <x:c r="M1517" s="37" t="n">
        <x:v>0</x:v>
      </x:c>
      <x:c r="N1517" s="37" t="n">
        <x:v>0</x:v>
      </x:c>
      <x:c r="O1517" s="37" t="n">
        <x:v>618.7403995543718</x:v>
      </x:c>
      <x:c r="P1517" s="37" t="n">
        <x:v>0</x:v>
      </x:c>
      <x:c r="Q1517" s="37" t="n">
        <x:v>0</x:v>
      </x:c>
      <x:c r="R1517" s="37" t="n">
        <x:v>0</x:v>
      </x:c>
      <x:c r="S1517" s="37" t="n">
        <x:v>0</x:v>
      </x:c>
      <x:c r="T1517" s="37" t="n">
        <x:v>0</x:v>
      </x:c>
      <x:c r="U1517" s="37" t="n">
        <x:v>-5694.19584657007</x:v>
      </x:c>
      <x:c r="V1517" s="37" t="n">
        <x:v>0</x:v>
      </x:c>
      <x:c r="W1517" s="37" t="n">
        <x:v>113996.84562806413</x:v>
      </x:c>
      <x:c r="X1517" s="37" t="n">
        <x:v>0</x:v>
      </x:c>
      <x:c r="Y1517" s="37" t="n">
        <x:v>2131.594711383309</x:v>
      </x:c>
      <x:c r="Z1517" s="37" t="n">
        <x:v>10205963.575067932</x:v>
      </x:c>
      <x:c r="AA1517" s="37" t="n">
        <x:v>0</x:v>
      </x:c>
      <x:c r="AB1517" s="37" t="n">
        <x:v>10205963.575067932</x:v>
      </x:c>
      <x:c r="AC1517" s="37" t="n">
        <x:v>1086667.4571433123</x:v>
      </x:c>
      <x:c r="AD1517" s="37" t="n">
        <x:v>0</x:v>
      </x:c>
      <x:c r="AE1517" s="37" t="n">
        <x:v>0</x:v>
      </x:c>
      <x:c r="AF1517" s="47" t="b">
        <x:v>0</x:v>
      </x:c>
      <x:c r="AG1517" s="47" t="b">
        <x:v>0</x:v>
      </x:c>
      <x:c r="AH1517" s="48" t="n">
        <x:v>0</x:v>
      </x:c>
      <x:c r="AI1517" s="48" t="n">
        <x:v>1.1920928955078125e-7</x:v>
      </x:c>
      <x:c r="AJ1517" s="37" t="str">
        <x:v>passed</x:v>
      </x:c>
    </x:row>
    <x:row r="1518" ht="21" customHeight="1">
      <x:c r="A1518" s="2"/>
      <x:c r="B1518" s="2"/>
      <x:c r="C1518" s="2" t="str">
        <x:v>2023</x:v>
      </x:c>
      <x:c r="D1518" s="5" t="n">
        <x:v>45114</x:v>
      </x:c>
      <x:c r="E1518" s="2" t="str">
        <x:v>constrained</x:v>
      </x:c>
      <x:c r="F1518" s="37" t="n">
        <x:v>11659193.080275273</x:v>
      </x:c>
      <x:c r="G1518" s="37" t="n">
        <x:v>87473.89580501558</x:v>
      </x:c>
      <x:c r="H1518" s="37" t="n">
        <x:v>21565.35158018907</x:v>
      </x:c>
      <x:c r="I1518" s="37" t="n">
        <x:v>65908.5442248265</x:v>
      </x:c>
      <x:c r="J1518" s="37" t="n">
        <x:v>10472560.257283587</x:v>
      </x:c>
      <x:c r="K1518" s="37" t="n">
        <x:v>10385086.36147857</x:v>
      </x:c>
      <x:c r="L1518" s="37" t="n">
        <x:v>11746666.97608029</x:v>
      </x:c>
      <x:c r="M1518" s="37" t="n">
        <x:v>0</x:v>
      </x:c>
      <x:c r="N1518" s="37" t="n">
        <x:v>0</x:v>
      </x:c>
      <x:c r="O1518" s="37" t="n">
        <x:v>638.8248907066882</x:v>
      </x:c>
      <x:c r="P1518" s="37" t="n">
        <x:v>0</x:v>
      </x:c>
      <x:c r="Q1518" s="37" t="n">
        <x:v>0</x:v>
      </x:c>
      <x:c r="R1518" s="37" t="n">
        <x:v>0</x:v>
      </x:c>
      <x:c r="S1518" s="37" t="n">
        <x:v>0</x:v>
      </x:c>
      <x:c r="T1518" s="37" t="n">
        <x:v>0</x:v>
      </x:c>
      <x:c r="U1518" s="37" t="n">
        <x:v>-6779.554702527748</x:v>
      </x:c>
      <x:c r="V1518" s="37" t="n">
        <x:v>0</x:v>
      </x:c>
      <x:c r="W1518" s="37" t="n">
        <x:v>119086.81834241748</x:v>
      </x:c>
      <x:c r="X1518" s="37" t="n">
        <x:v>0</x:v>
      </x:c>
      <x:c r="Y1518" s="37" t="n">
        <x:v>2166.497015385602</x:v>
      </x:c>
      <x:c r="Z1518" s="37" t="n">
        <x:v>10592788.088708142</x:v>
      </x:c>
      <x:c r="AA1518" s="37" t="n">
        <x:v>0</x:v>
      </x:c>
      <x:c r="AB1518" s="37" t="n">
        <x:v>10592788.088708142</x:v>
      </x:c>
      <x:c r="AC1518" s="37" t="n">
        <x:v>1066404.9915671311</x:v>
      </x:c>
      <x:c r="AD1518" s="37" t="n">
        <x:v>0</x:v>
      </x:c>
      <x:c r="AE1518" s="37" t="n">
        <x:v>0</x:v>
      </x:c>
      <x:c r="AF1518" s="47" t="b">
        <x:v>0</x:v>
      </x:c>
      <x:c r="AG1518" s="47" t="b">
        <x:v>0</x:v>
      </x:c>
      <x:c r="AH1518" s="48" t="n">
        <x:v>0</x:v>
      </x:c>
      <x:c r="AI1518" s="48" t="n">
        <x:v>1.1920928955078125e-7</x:v>
      </x:c>
      <x:c r="AJ1518" s="37" t="str">
        <x:v>passed</x:v>
      </x:c>
    </x:row>
    <x:row r="1519" ht="21" customHeight="1">
      <x:c r="A1519" s="2"/>
      <x:c r="B1519" s="2"/>
      <x:c r="C1519" s="2" t="str">
        <x:v>2023</x:v>
      </x:c>
      <x:c r="D1519" s="5" t="n">
        <x:v>45117</x:v>
      </x:c>
      <x:c r="E1519" s="2" t="str">
        <x:v>unhedged</x:v>
      </x:c>
      <x:c r="F1519" s="37" t="n">
        <x:v>1275521.5234845087</x:v>
      </x:c>
      <x:c r="G1519" s="37" t="n">
        <x:v>10433714.65626627</x:v>
      </x:c>
      <x:c r="H1519" s="37" t="n">
        <x:v>40170.51255104492</x:v>
      </x:c>
      <x:c r="I1519" s="37" t="n">
        <x:v>10393544.143715225</x:v>
      </x:c>
      <x:c r="J1519" s="37" t="n">
        <x:v>10433714.65626627</x:v>
      </x:c>
      <x:c r="K1519" s="37" t="n">
        <x:v>0</x:v>
      </x:c>
      <x:c r="L1519" s="37" t="n">
        <x:v>11709236.17975078</x:v>
      </x:c>
      <x:c r="M1519" s="37" t="n">
        <x:v>0</x:v>
      </x:c>
      <x:c r="N1519" s="37" t="n">
        <x:v>0</x:v>
      </x:c>
      <x:c r="O1519" s="37" t="n">
        <x:v>209.65179502544925</x:v>
      </x:c>
      <x:c r="P1519" s="37" t="n">
        <x:v>0</x:v>
      </x:c>
      <x:c r="Q1519" s="37" t="n">
        <x:v>0</x:v>
      </x:c>
      <x:c r="R1519" s="37" t="n">
        <x:v>0</x:v>
      </x:c>
      <x:c r="S1519" s="37" t="n">
        <x:v>0</x:v>
      </x:c>
      <x:c r="T1519" s="37" t="n">
        <x:v>0</x:v>
      </x:c>
      <x:c r="U1519" s="37" t="n">
        <x:v>63750</x:v>
      </x:c>
      <x:c r="V1519" s="37" t="n">
        <x:v>0</x:v>
      </x:c>
      <x:c r="W1519" s="37" t="n">
        <x:v>12814.392826630967</x:v>
      </x:c>
      <x:c r="X1519" s="37" t="n">
        <x:v>0</x:v>
      </x:c>
      <x:c r="Y1519" s="37" t="n">
        <x:v>1042.869342122179</x:v>
      </x:c>
      <x:c r="Z1519" s="37" t="n">
        <x:v>0</x:v>
      </x:c>
      <x:c r="AA1519" s="37" t="n">
        <x:v>0</x:v>
      </x:c>
      <x:c r="AB1519" s="37" t="n">
        <x:v>0</x:v>
      </x:c>
      <x:c r="AC1519" s="37" t="n">
        <x:v>1275521.5234845087</x:v>
      </x:c>
      <x:c r="AD1519" s="37" t="n">
        <x:v>0</x:v>
      </x:c>
      <x:c r="AE1519" s="37" t="n">
        <x:v>0</x:v>
      </x:c>
      <x:c r="AF1519" s="47" t="b">
        <x:v>0</x:v>
      </x:c>
      <x:c r="AG1519" s="47" t="b">
        <x:v>0</x:v>
      </x:c>
      <x:c r="AH1519" s="48" t="n">
        <x:v>0</x:v>
      </x:c>
      <x:c r="AI1519" s="48" t="n">
        <x:v>1.1920928955078125e-7</x:v>
      </x:c>
      <x:c r="AJ1519" s="37" t="str">
        <x:v>passed</x:v>
      </x:c>
    </x:row>
    <x:row r="1520" ht="21" customHeight="1">
      <x:c r="A1520" s="2"/>
      <x:c r="B1520" s="2"/>
      <x:c r="C1520" s="2" t="str">
        <x:v>2023</x:v>
      </x:c>
      <x:c r="D1520" s="5" t="n">
        <x:v>45117</x:v>
      </x:c>
      <x:c r="E1520" s="2" t="str">
        <x:v>duration</x:v>
      </x:c>
      <x:c r="F1520" s="37" t="n">
        <x:v>7631014.285493046</x:v>
      </x:c>
      <x:c r="G1520" s="37" t="n">
        <x:v>4137659.7426583944</x:v>
      </x:c>
      <x:c r="H1520" s="37" t="n">
        <x:v>23955.46179431492</x:v>
      </x:c>
      <x:c r="I1520" s="37" t="n">
        <x:v>4113704.2808640795</x:v>
      </x:c>
      <x:c r="J1520" s="37" t="n">
        <x:v>10433714.65626627</x:v>
      </x:c>
      <x:c r="K1520" s="37" t="n">
        <x:v>6296054.913607877</x:v>
      </x:c>
      <x:c r="L1520" s="37" t="n">
        <x:v>11768674.028151441</x:v>
      </x:c>
      <x:c r="M1520" s="37" t="n">
        <x:v>0</x:v>
      </x:c>
      <x:c r="N1520" s="37" t="n">
        <x:v>0</x:v>
      </x:c>
      <x:c r="O1520" s="37" t="n">
        <x:v>1254.2758498080075</x:v>
      </x:c>
      <x:c r="P1520" s="37" t="n">
        <x:v>0</x:v>
      </x:c>
      <x:c r="Q1520" s="37" t="n">
        <x:v>0</x:v>
      </x:c>
      <x:c r="R1520" s="37" t="n">
        <x:v>0</x:v>
      </x:c>
      <x:c r="S1520" s="37" t="n">
        <x:v>0</x:v>
      </x:c>
      <x:c r="T1520" s="37" t="n">
        <x:v>0</x:v>
      </x:c>
      <x:c r="U1520" s="37" t="n">
        <x:v>9917.381478397001</x:v>
      </x:c>
      <x:c r="V1520" s="37" t="n">
        <x:v>0</x:v>
      </x:c>
      <x:c r="W1520" s="37" t="n">
        <x:v>79734.86187394802</x:v>
      </x:c>
      <x:c r="X1520" s="37" t="n">
        <x:v>0</x:v>
      </x:c>
      <x:c r="Y1520" s="37" t="n">
        <x:v>1731.9176760833782</x:v>
      </x:c>
      <x:c r="Z1520" s="37" t="n">
        <x:v>6421976.011880035</x:v>
      </x:c>
      <x:c r="AA1520" s="37" t="n">
        <x:v>0</x:v>
      </x:c>
      <x:c r="AB1520" s="37" t="n">
        <x:v>6421976.011880035</x:v>
      </x:c>
      <x:c r="AC1520" s="37" t="n">
        <x:v>1209038.2736130115</x:v>
      </x:c>
      <x:c r="AD1520" s="37" t="n">
        <x:v>0</x:v>
      </x:c>
      <x:c r="AE1520" s="37" t="n">
        <x:v>0</x:v>
      </x:c>
      <x:c r="AF1520" s="47" t="b">
        <x:v>0</x:v>
      </x:c>
      <x:c r="AG1520" s="47" t="b">
        <x:v>0</x:v>
      </x:c>
      <x:c r="AH1520" s="48" t="n">
        <x:v>0</x:v>
      </x:c>
      <x:c r="AI1520" s="48" t="n">
        <x:v>5.960464477539063e-8</x:v>
      </x:c>
      <x:c r="AJ1520" s="37" t="str">
        <x:v>passed</x:v>
      </x:c>
    </x:row>
    <x:row r="1521" ht="21" customHeight="1">
      <x:c r="A1521" s="2"/>
      <x:c r="B1521" s="2"/>
      <x:c r="C1521" s="2" t="str">
        <x:v>2023</x:v>
      </x:c>
      <x:c r="D1521" s="5" t="n">
        <x:v>45117</x:v>
      </x:c>
      <x:c r="E1521" s="2" t="str">
        <x:v>unweighted</x:v>
      </x:c>
      <x:c r="F1521" s="37" t="n">
        <x:v>11294487.456838831</x:v>
      </x:c>
      <x:c r="G1521" s="37" t="n">
        <x:v>460877.9633023703</x:v>
      </x:c>
      <x:c r="H1521" s="37" t="n">
        <x:v>21608.277668583316</x:v>
      </x:c>
      <x:c r="I1521" s="37" t="n">
        <x:v>439269.68563378695</x:v>
      </x:c>
      <x:c r="J1521" s="37" t="n">
        <x:v>10511555.136697032</x:v>
      </x:c>
      <x:c r="K1521" s="37" t="n">
        <x:v>10050677.173394661</x:v>
      </x:c>
      <x:c r="L1521" s="37" t="n">
        <x:v>11755365.420141201</x:v>
      </x:c>
      <x:c r="M1521" s="37" t="n">
        <x:v>0</x:v>
      </x:c>
      <x:c r="N1521" s="37" t="n">
        <x:v>0</x:v>
      </x:c>
      <x:c r="O1521" s="37" t="n">
        <x:v>1856.4246275871992</x:v>
      </x:c>
      <x:c r="P1521" s="37" t="n">
        <x:v>0</x:v>
      </x:c>
      <x:c r="Q1521" s="37" t="n">
        <x:v>0</x:v>
      </x:c>
      <x:c r="R1521" s="37" t="n">
        <x:v>0</x:v>
      </x:c>
      <x:c r="S1521" s="37" t="n">
        <x:v>0</x:v>
      </x:c>
      <x:c r="T1521" s="37" t="n">
        <x:v>0</x:v>
      </x:c>
      <x:c r="U1521" s="37" t="n">
        <x:v>-5694.19584657007</x:v>
      </x:c>
      <x:c r="V1521" s="37" t="n">
        <x:v>0</x:v>
      </x:c>
      <x:c r="W1521" s="37" t="n">
        <x:v>115853.27025565132</x:v>
      </x:c>
      <x:c r="X1521" s="37" t="n">
        <x:v>0</x:v>
      </x:c>
      <x:c r="Y1521" s="37" t="n">
        <x:v>2131.594711383309</x:v>
      </x:c>
      <x:c r="Z1521" s="37" t="n">
        <x:v>10251690.716862556</x:v>
      </x:c>
      <x:c r="AA1521" s="37" t="n">
        <x:v>0</x:v>
      </x:c>
      <x:c r="AB1521" s="37" t="n">
        <x:v>10251690.716862556</x:v>
      </x:c>
      <x:c r="AC1521" s="37" t="n">
        <x:v>1042796.7399762757</x:v>
      </x:c>
      <x:c r="AD1521" s="37" t="n">
        <x:v>0</x:v>
      </x:c>
      <x:c r="AE1521" s="37" t="n">
        <x:v>0</x:v>
      </x:c>
      <x:c r="AF1521" s="47" t="b">
        <x:v>0</x:v>
      </x:c>
      <x:c r="AG1521" s="47" t="b">
        <x:v>0</x:v>
      </x:c>
      <x:c r="AH1521" s="48" t="n">
        <x:v>0</x:v>
      </x:c>
      <x:c r="AI1521" s="48" t="n">
        <x:v>1.1920928955078125e-7</x:v>
      </x:c>
      <x:c r="AJ1521" s="37" t="str">
        <x:v>passed</x:v>
      </x:c>
    </x:row>
    <x:row r="1522" ht="21" customHeight="1">
      <x:c r="A1522" s="2"/>
      <x:c r="B1522" s="2"/>
      <x:c r="C1522" s="2" t="str">
        <x:v>2023</x:v>
      </x:c>
      <x:c r="D1522" s="5" t="n">
        <x:v>45117</x:v>
      </x:c>
      <x:c r="E1522" s="2" t="str">
        <x:v>constrained</x:v>
      </x:c>
      <x:c r="F1522" s="37" t="n">
        <x:v>11661109.764979688</x:v>
      </x:c>
      <x:c r="G1522" s="37" t="n">
        <x:v>86916.69057280784</x:v>
      </x:c>
      <x:c r="H1522" s="37" t="n">
        <x:v>21469.74701260266</x:v>
      </x:c>
      <x:c r="I1522" s="37" t="n">
        <x:v>65446.94356020518</x:v>
      </x:c>
      <x:c r="J1522" s="37" t="n">
        <x:v>10516029.454272242</x:v>
      </x:c>
      <x:c r="K1522" s="37" t="n">
        <x:v>10429112.763699435</x:v>
      </x:c>
      <x:c r="L1522" s="37" t="n">
        <x:v>11748026.455552496</x:v>
      </x:c>
      <x:c r="M1522" s="37" t="n">
        <x:v>0</x:v>
      </x:c>
      <x:c r="N1522" s="37" t="n">
        <x:v>0</x:v>
      </x:c>
      <x:c r="O1522" s="37" t="n">
        <x:v>1916.6847044155002</x:v>
      </x:c>
      <x:c r="P1522" s="37" t="n">
        <x:v>0</x:v>
      </x:c>
      <x:c r="Q1522" s="37" t="n">
        <x:v>0</x:v>
      </x:c>
      <x:c r="R1522" s="37" t="n">
        <x:v>0</x:v>
      </x:c>
      <x:c r="S1522" s="37" t="n">
        <x:v>0</x:v>
      </x:c>
      <x:c r="T1522" s="37" t="n">
        <x:v>0</x:v>
      </x:c>
      <x:c r="U1522" s="37" t="n">
        <x:v>-6779.554702527748</x:v>
      </x:c>
      <x:c r="V1522" s="37" t="n">
        <x:v>0</x:v>
      </x:c>
      <x:c r="W1522" s="37" t="n">
        <x:v>121003.50304683298</x:v>
      </x:c>
      <x:c r="X1522" s="37" t="n">
        <x:v>0</x:v>
      </x:c>
      <x:c r="Y1522" s="37" t="n">
        <x:v>2166.497015385602</x:v>
      </x:c>
      <x:c r="Z1522" s="37" t="n">
        <x:v>10637695.018973423</x:v>
      </x:c>
      <x:c r="AA1522" s="37" t="n">
        <x:v>0</x:v>
      </x:c>
      <x:c r="AB1522" s="37" t="n">
        <x:v>10637695.018973423</x:v>
      </x:c>
      <x:c r="AC1522" s="37" t="n">
        <x:v>1023414.7460062653</x:v>
      </x:c>
      <x:c r="AD1522" s="37" t="n">
        <x:v>0</x:v>
      </x:c>
      <x:c r="AE1522" s="37" t="n">
        <x:v>0</x:v>
      </x:c>
      <x:c r="AF1522" s="47" t="b">
        <x:v>0</x:v>
      </x:c>
      <x:c r="AG1522" s="47" t="b">
        <x:v>0</x:v>
      </x:c>
      <x:c r="AH1522" s="48" t="n">
        <x:v>0</x:v>
      </x:c>
      <x:c r="AI1522" s="48" t="n">
        <x:v>1.1920928955078125e-7</x:v>
      </x:c>
      <x:c r="AJ1522" s="37" t="str">
        <x:v>passed</x:v>
      </x:c>
    </x:row>
    <x:row r="1523" ht="21" customHeight="1">
      <x:c r="A1523" s="2"/>
      <x:c r="B1523" s="2"/>
      <x:c r="C1523" s="2" t="str">
        <x:v>2023</x:v>
      </x:c>
      <x:c r="D1523" s="5" t="n">
        <x:v>45118</x:v>
      </x:c>
      <x:c r="E1523" s="2" t="str">
        <x:v>unhedged</x:v>
      </x:c>
      <x:c r="F1523" s="37" t="n">
        <x:v>1275591.4150748367</x:v>
      </x:c>
      <x:c r="G1523" s="37" t="n">
        <x:v>10441084.771256957</x:v>
      </x:c>
      <x:c r="H1523" s="37" t="n">
        <x:v>40520.35791496517</x:v>
      </x:c>
      <x:c r="I1523" s="37" t="n">
        <x:v>10400564.413341992</x:v>
      </x:c>
      <x:c r="J1523" s="37" t="n">
        <x:v>10441084.771256957</x:v>
      </x:c>
      <x:c r="K1523" s="37" t="n">
        <x:v>0</x:v>
      </x:c>
      <x:c r="L1523" s="37" t="n">
        <x:v>11716676.186331794</x:v>
      </x:c>
      <x:c r="M1523" s="37" t="n">
        <x:v>0</x:v>
      </x:c>
      <x:c r="N1523" s="37" t="n">
        <x:v>0</x:v>
      </x:c>
      <x:c r="O1523" s="37" t="n">
        <x:v>69.89159032795578</x:v>
      </x:c>
      <x:c r="P1523" s="37" t="n">
        <x:v>0</x:v>
      </x:c>
      <x:c r="Q1523" s="37" t="n">
        <x:v>0</x:v>
      </x:c>
      <x:c r="R1523" s="37" t="n">
        <x:v>0</x:v>
      </x:c>
      <x:c r="S1523" s="37" t="n">
        <x:v>0</x:v>
      </x:c>
      <x:c r="T1523" s="37" t="n">
        <x:v>0</x:v>
      </x:c>
      <x:c r="U1523" s="37" t="n">
        <x:v>63750</x:v>
      </x:c>
      <x:c r="V1523" s="37" t="n">
        <x:v>0</x:v>
      </x:c>
      <x:c r="W1523" s="37" t="n">
        <x:v>12884.284416958923</x:v>
      </x:c>
      <x:c r="X1523" s="37" t="n">
        <x:v>0</x:v>
      </x:c>
      <x:c r="Y1523" s="37" t="n">
        <x:v>1042.869342122179</x:v>
      </x:c>
      <x:c r="Z1523" s="37" t="n">
        <x:v>0</x:v>
      </x:c>
      <x:c r="AA1523" s="37" t="n">
        <x:v>0</x:v>
      </x:c>
      <x:c r="AB1523" s="37" t="n">
        <x:v>0</x:v>
      </x:c>
      <x:c r="AC1523" s="37" t="n">
        <x:v>1275591.4150748367</x:v>
      </x:c>
      <x:c r="AD1523" s="37" t="n">
        <x:v>0</x:v>
      </x:c>
      <x:c r="AE1523" s="37" t="n">
        <x:v>0</x:v>
      </x:c>
      <x:c r="AF1523" s="47" t="b">
        <x:v>0</x:v>
      </x:c>
      <x:c r="AG1523" s="47" t="b">
        <x:v>0</x:v>
      </x:c>
      <x:c r="AH1523" s="48" t="n">
        <x:v>0</x:v>
      </x:c>
      <x:c r="AI1523" s="48" t="n">
        <x:v>1.1920928955078125e-7</x:v>
      </x:c>
      <x:c r="AJ1523" s="37" t="str">
        <x:v>passed</x:v>
      </x:c>
    </x:row>
    <x:row r="1524" ht="21" customHeight="1">
      <x:c r="A1524" s="2"/>
      <x:c r="B1524" s="2"/>
      <x:c r="C1524" s="2" t="str">
        <x:v>2023</x:v>
      </x:c>
      <x:c r="D1524" s="5" t="n">
        <x:v>45118</x:v>
      </x:c>
      <x:c r="E1524" s="2" t="str">
        <x:v>duration</x:v>
      </x:c>
      <x:c r="F1524" s="37" t="n">
        <x:v>7631432.423262115</x:v>
      </x:c>
      <x:c r="G1524" s="37" t="n">
        <x:v>4133589.8404109683</x:v>
      </x:c>
      <x:c r="H1524" s="37" t="n">
        <x:v>24015.752680436417</x:v>
      </x:c>
      <x:c r="I1524" s="37" t="n">
        <x:v>4109574.087730532</x:v>
      </x:c>
      <x:c r="J1524" s="37" t="n">
        <x:v>10441084.771256957</x:v>
      </x:c>
      <x:c r="K1524" s="37" t="n">
        <x:v>6307494.930845989</x:v>
      </x:c>
      <x:c r="L1524" s="37" t="n">
        <x:v>11765022.263673082</x:v>
      </x:c>
      <x:c r="M1524" s="37" t="n">
        <x:v>0</x:v>
      </x:c>
      <x:c r="N1524" s="37" t="n">
        <x:v>0</x:v>
      </x:c>
      <x:c r="O1524" s="37" t="n">
        <x:v>418.1377690685913</x:v>
      </x:c>
      <x:c r="P1524" s="37" t="n">
        <x:v>0</x:v>
      </x:c>
      <x:c r="Q1524" s="37" t="n">
        <x:v>0</x:v>
      </x:c>
      <x:c r="R1524" s="37" t="n">
        <x:v>0</x:v>
      </x:c>
      <x:c r="S1524" s="37" t="n">
        <x:v>0</x:v>
      </x:c>
      <x:c r="T1524" s="37" t="n">
        <x:v>0</x:v>
      </x:c>
      <x:c r="U1524" s="37" t="n">
        <x:v>9917.381478397001</x:v>
      </x:c>
      <x:c r="V1524" s="37" t="n">
        <x:v>0</x:v>
      </x:c>
      <x:c r="W1524" s="37" t="n">
        <x:v>80152.9996430166</x:v>
      </x:c>
      <x:c r="X1524" s="37" t="n">
        <x:v>0</x:v>
      </x:c>
      <x:c r="Y1524" s="37" t="n">
        <x:v>1731.9176760833782</x:v>
      </x:c>
      <x:c r="Z1524" s="37" t="n">
        <x:v>6433644.829462909</x:v>
      </x:c>
      <x:c r="AA1524" s="37" t="n">
        <x:v>0</x:v>
      </x:c>
      <x:c r="AB1524" s="37" t="n">
        <x:v>6433644.829462909</x:v>
      </x:c>
      <x:c r="AC1524" s="37" t="n">
        <x:v>1197787.5937992055</x:v>
      </x:c>
      <x:c r="AD1524" s="37" t="n">
        <x:v>0</x:v>
      </x:c>
      <x:c r="AE1524" s="37" t="n">
        <x:v>0</x:v>
      </x:c>
      <x:c r="AF1524" s="47" t="b">
        <x:v>0</x:v>
      </x:c>
      <x:c r="AG1524" s="47" t="b">
        <x:v>0</x:v>
      </x:c>
      <x:c r="AH1524" s="48" t="n">
        <x:v>0</x:v>
      </x:c>
      <x:c r="AI1524" s="48" t="n">
        <x:v>5.960464477539063e-8</x:v>
      </x:c>
      <x:c r="AJ1524" s="37" t="str">
        <x:v>passed</x:v>
      </x:c>
    </x:row>
    <x:row r="1525" ht="21" customHeight="1">
      <x:c r="A1525" s="2"/>
      <x:c r="B1525" s="2"/>
      <x:c r="C1525" s="2" t="str">
        <x:v>2023</x:v>
      </x:c>
      <x:c r="D1525" s="5" t="n">
        <x:v>45118</x:v>
      </x:c>
      <x:c r="E1525" s="2" t="str">
        <x:v>unweighted</x:v>
      </x:c>
      <x:c r="F1525" s="37" t="n">
        <x:v>11295106.332863865</x:v>
      </x:c>
      <x:c r="G1525" s="37" t="n">
        <x:v>460471.85677636083</x:v>
      </x:c>
      <x:c r="H1525" s="37" t="n">
        <x:v>21581.089895381698</x:v>
      </x:c>
      <x:c r="I1525" s="37" t="n">
        <x:v>438890.7668809791</x:v>
      </x:c>
      <x:c r="J1525" s="37" t="n">
        <x:v>10519295.295086574</x:v>
      </x:c>
      <x:c r="K1525" s="37" t="n">
        <x:v>10058823.438310213</x:v>
      </x:c>
      <x:c r="L1525" s="37" t="n">
        <x:v>11755578.189640226</x:v>
      </x:c>
      <x:c r="M1525" s="37" t="n">
        <x:v>0</x:v>
      </x:c>
      <x:c r="N1525" s="37" t="n">
        <x:v>0</x:v>
      </x:c>
      <x:c r="O1525" s="37" t="n">
        <x:v>618.8760250341147</x:v>
      </x:c>
      <x:c r="P1525" s="37" t="n">
        <x:v>0</x:v>
      </x:c>
      <x:c r="Q1525" s="37" t="n">
        <x:v>0</x:v>
      </x:c>
      <x:c r="R1525" s="37" t="n">
        <x:v>0</x:v>
      </x:c>
      <x:c r="S1525" s="37" t="n">
        <x:v>0</x:v>
      </x:c>
      <x:c r="T1525" s="37" t="n">
        <x:v>0</x:v>
      </x:c>
      <x:c r="U1525" s="37" t="n">
        <x:v>-5694.19584657007</x:v>
      </x:c>
      <x:c r="V1525" s="37" t="n">
        <x:v>0</x:v>
      </x:c>
      <x:c r="W1525" s="37" t="n">
        <x:v>116472.14628068544</x:v>
      </x:c>
      <x:c r="X1525" s="37" t="n">
        <x:v>0</x:v>
      </x:c>
      <x:c r="Y1525" s="37" t="n">
        <x:v>2131.594711383309</x:v>
      </x:c>
      <x:c r="Z1525" s="37" t="n">
        <x:v>10259999.907076418</x:v>
      </x:c>
      <x:c r="AA1525" s="37" t="n">
        <x:v>0</x:v>
      </x:c>
      <x:c r="AB1525" s="37" t="n">
        <x:v>10259999.907076418</x:v>
      </x:c>
      <x:c r="AC1525" s="37" t="n">
        <x:v>1035106.425787447</x:v>
      </x:c>
      <x:c r="AD1525" s="37" t="n">
        <x:v>0</x:v>
      </x:c>
      <x:c r="AE1525" s="37" t="n">
        <x:v>0</x:v>
      </x:c>
      <x:c r="AF1525" s="47" t="b">
        <x:v>0</x:v>
      </x:c>
      <x:c r="AG1525" s="47" t="b">
        <x:v>0</x:v>
      </x:c>
      <x:c r="AH1525" s="48" t="n">
        <x:v>0</x:v>
      </x:c>
      <x:c r="AI1525" s="48" t="n">
        <x:v>1.1920928955078125e-7</x:v>
      </x:c>
      <x:c r="AJ1525" s="37" t="str">
        <x:v>passed</x:v>
      </x:c>
    </x:row>
    <x:row r="1526" ht="21" customHeight="1">
      <x:c r="A1526" s="2"/>
      <x:c r="B1526" s="2"/>
      <x:c r="C1526" s="2" t="str">
        <x:v>2023</x:v>
      </x:c>
      <x:c r="D1526" s="5" t="n">
        <x:v>45118</x:v>
      </x:c>
      <x:c r="E1526" s="2" t="str">
        <x:v>constrained</x:v>
      </x:c>
      <x:c r="F1526" s="37" t="n">
        <x:v>11661748.729898317</x:v>
      </x:c>
      <x:c r="G1526" s="37" t="n">
        <x:v>86646.00520320433</x:v>
      </x:c>
      <x:c r="H1526" s="37" t="n">
        <x:v>21437.878823407187</x:v>
      </x:c>
      <x:c r="I1526" s="37" t="n">
        <x:v>65208.12637979715</x:v>
      </x:c>
      <x:c r="J1526" s="37" t="n">
        <x:v>10523790.882978644</x:v>
      </x:c>
      <x:c r="K1526" s="37" t="n">
        <x:v>10437144.87777544</x:v>
      </x:c>
      <x:c r="L1526" s="37" t="n">
        <x:v>11748394.735101521</x:v>
      </x:c>
      <x:c r="M1526" s="37" t="n">
        <x:v>0</x:v>
      </x:c>
      <x:c r="N1526" s="37" t="n">
        <x:v>0</x:v>
      </x:c>
      <x:c r="O1526" s="37" t="n">
        <x:v>638.964918628335</x:v>
      </x:c>
      <x:c r="P1526" s="37" t="n">
        <x:v>0</x:v>
      </x:c>
      <x:c r="Q1526" s="37" t="n">
        <x:v>0</x:v>
      </x:c>
      <x:c r="R1526" s="37" t="n">
        <x:v>0</x:v>
      </x:c>
      <x:c r="S1526" s="37" t="n">
        <x:v>0</x:v>
      </x:c>
      <x:c r="T1526" s="37" t="n">
        <x:v>0</x:v>
      </x:c>
      <x:c r="U1526" s="37" t="n">
        <x:v>-6779.554702527748</x:v>
      </x:c>
      <x:c r="V1526" s="37" t="n">
        <x:v>0</x:v>
      </x:c>
      <x:c r="W1526" s="37" t="n">
        <x:v>121642.46796546131</x:v>
      </x:c>
      <x:c r="X1526" s="37" t="n">
        <x:v>0</x:v>
      </x:c>
      <x:c r="Y1526" s="37" t="n">
        <x:v>2166.497015385602</x:v>
      </x:c>
      <x:c r="Z1526" s="37" t="n">
        <x:v>10645887.77533095</x:v>
      </x:c>
      <x:c r="AA1526" s="37" t="n">
        <x:v>0</x:v>
      </x:c>
      <x:c r="AB1526" s="37" t="n">
        <x:v>10645887.77533095</x:v>
      </x:c>
      <x:c r="AC1526" s="37" t="n">
        <x:v>1015860.9545673672</x:v>
      </x:c>
      <x:c r="AD1526" s="37" t="n">
        <x:v>0</x:v>
      </x:c>
      <x:c r="AE1526" s="37" t="n">
        <x:v>0</x:v>
      </x:c>
      <x:c r="AF1526" s="47" t="b">
        <x:v>0</x:v>
      </x:c>
      <x:c r="AG1526" s="47" t="b">
        <x:v>0</x:v>
      </x:c>
      <x:c r="AH1526" s="48" t="n">
        <x:v>0</x:v>
      </x:c>
      <x:c r="AI1526" s="48" t="n">
        <x:v>1.1920928955078125e-7</x:v>
      </x:c>
      <x:c r="AJ1526" s="37" t="str">
        <x:v>passed</x:v>
      </x:c>
    </x:row>
    <x:row r="1527" ht="21" customHeight="1">
      <x:c r="A1527" s="2"/>
      <x:c r="B1527" s="2"/>
      <x:c r="C1527" s="2" t="str">
        <x:v>2023</x:v>
      </x:c>
      <x:c r="D1527" s="5" t="n">
        <x:v>45119</x:v>
      </x:c>
      <x:c r="E1527" s="2" t="str">
        <x:v>unhedged</x:v>
      </x:c>
      <x:c r="F1527" s="37" t="n">
        <x:v>1275661.3104948408</x:v>
      </x:c>
      <x:c r="G1527" s="37" t="n">
        <x:v>10519090.593864918</x:v>
      </x:c>
      <x:c r="H1527" s="37" t="n">
        <x:v>40870.20327888542</x:v>
      </x:c>
      <x:c r="I1527" s="37" t="n">
        <x:v>10478220.390586032</x:v>
      </x:c>
      <x:c r="J1527" s="37" t="n">
        <x:v>10519090.593864918</x:v>
      </x:c>
      <x:c r="K1527" s="37" t="n">
        <x:v>0</x:v>
      </x:c>
      <x:c r="L1527" s="37" t="n">
        <x:v>11794751.904359758</x:v>
      </x:c>
      <x:c r="M1527" s="37" t="n">
        <x:v>0</x:v>
      </x:c>
      <x:c r="N1527" s="37" t="n">
        <x:v>0</x:v>
      </x:c>
      <x:c r="O1527" s="37" t="n">
        <x:v>69.89542000414804</x:v>
      </x:c>
      <x:c r="P1527" s="37" t="n">
        <x:v>0</x:v>
      </x:c>
      <x:c r="Q1527" s="37" t="n">
        <x:v>0</x:v>
      </x:c>
      <x:c r="R1527" s="37" t="n">
        <x:v>0</x:v>
      </x:c>
      <x:c r="S1527" s="37" t="n">
        <x:v>0</x:v>
      </x:c>
      <x:c r="T1527" s="37" t="n">
        <x:v>0</x:v>
      </x:c>
      <x:c r="U1527" s="37" t="n">
        <x:v>63750</x:v>
      </x:c>
      <x:c r="V1527" s="37" t="n">
        <x:v>0</x:v>
      </x:c>
      <x:c r="W1527" s="37" t="n">
        <x:v>12954.17983696307</x:v>
      </x:c>
      <x:c r="X1527" s="37" t="n">
        <x:v>0</x:v>
      </x:c>
      <x:c r="Y1527" s="37" t="n">
        <x:v>1042.869342122179</x:v>
      </x:c>
      <x:c r="Z1527" s="37" t="n">
        <x:v>0</x:v>
      </x:c>
      <x:c r="AA1527" s="37" t="n">
        <x:v>0</x:v>
      </x:c>
      <x:c r="AB1527" s="37" t="n">
        <x:v>0</x:v>
      </x:c>
      <x:c r="AC1527" s="37" t="n">
        <x:v>1275661.3104948408</x:v>
      </x:c>
      <x:c r="AD1527" s="37" t="n">
        <x:v>0</x:v>
      </x:c>
      <x:c r="AE1527" s="37" t="n">
        <x:v>0</x:v>
      </x:c>
      <x:c r="AF1527" s="47" t="b">
        <x:v>0</x:v>
      </x:c>
      <x:c r="AG1527" s="47" t="b">
        <x:v>0</x:v>
      </x:c>
      <x:c r="AH1527" s="48" t="n">
        <x:v>0</x:v>
      </x:c>
      <x:c r="AI1527" s="48" t="n">
        <x:v>1.1920928955078125e-7</x:v>
      </x:c>
      <x:c r="AJ1527" s="37" t="str">
        <x:v>passed</x:v>
      </x:c>
    </x:row>
    <x:row r="1528" ht="21" customHeight="1">
      <x:c r="A1528" s="2"/>
      <x:c r="B1528" s="2"/>
      <x:c r="C1528" s="2" t="str">
        <x:v>2023</x:v>
      </x:c>
      <x:c r="D1528" s="5" t="n">
        <x:v>45119</x:v>
      </x:c>
      <x:c r="E1528" s="2" t="str">
        <x:v>duration</x:v>
      </x:c>
      <x:c r="F1528" s="37" t="n">
        <x:v>7631850.583942841</x:v>
      </x:c>
      <x:c r="G1528" s="37" t="n">
        <x:v>4136914.5884757116</x:v>
      </x:c>
      <x:c r="H1528" s="37" t="n">
        <x:v>24076.043566557917</x:v>
      </x:c>
      <x:c r="I1528" s="37" t="n">
        <x:v>4112838.5449091536</x:v>
      </x:c>
      <x:c r="J1528" s="37" t="n">
        <x:v>10519090.593864918</x:v>
      </x:c>
      <x:c r="K1528" s="37" t="n">
        <x:v>6382176.005389206</x:v>
      </x:c>
      <x:c r="L1528" s="37" t="n">
        <x:v>11768765.172418553</x:v>
      </x:c>
      <x:c r="M1528" s="37" t="n">
        <x:v>0</x:v>
      </x:c>
      <x:c r="N1528" s="37" t="n">
        <x:v>0</x:v>
      </x:c>
      <x:c r="O1528" s="37" t="n">
        <x:v>418.16068072617054</x:v>
      </x:c>
      <x:c r="P1528" s="37" t="n">
        <x:v>0</x:v>
      </x:c>
      <x:c r="Q1528" s="37" t="n">
        <x:v>0</x:v>
      </x:c>
      <x:c r="R1528" s="37" t="n">
        <x:v>0</x:v>
      </x:c>
      <x:c r="S1528" s="37" t="n">
        <x:v>0</x:v>
      </x:c>
      <x:c r="T1528" s="37" t="n">
        <x:v>0</x:v>
      </x:c>
      <x:c r="U1528" s="37" t="n">
        <x:v>9917.381478397001</x:v>
      </x:c>
      <x:c r="V1528" s="37" t="n">
        <x:v>0</x:v>
      </x:c>
      <x:c r="W1528" s="37" t="n">
        <x:v>80571.16032374278</x:v>
      </x:c>
      <x:c r="X1528" s="37" t="n">
        <x:v>0</x:v>
      </x:c>
      <x:c r="Y1528" s="37" t="n">
        <x:v>1731.9176760833782</x:v>
      </x:c>
      <x:c r="Z1528" s="37" t="n">
        <x:v>6509819.52549699</x:v>
      </x:c>
      <x:c r="AA1528" s="37" t="n">
        <x:v>0</x:v>
      </x:c>
      <x:c r="AB1528" s="37" t="n">
        <x:v>6509819.52549699</x:v>
      </x:c>
      <x:c r="AC1528" s="37" t="n">
        <x:v>1122031.0584458504</x:v>
      </x:c>
      <x:c r="AD1528" s="37" t="n">
        <x:v>0</x:v>
      </x:c>
      <x:c r="AE1528" s="37" t="n">
        <x:v>0</x:v>
      </x:c>
      <x:c r="AF1528" s="47" t="b">
        <x:v>0</x:v>
      </x:c>
      <x:c r="AG1528" s="47" t="b">
        <x:v>0</x:v>
      </x:c>
      <x:c r="AH1528" s="48" t="n">
        <x:v>0</x:v>
      </x:c>
      <x:c r="AI1528" s="48" t="n">
        <x:v>5.960464477539063e-8</x:v>
      </x:c>
      <x:c r="AJ1528" s="37" t="str">
        <x:v>passed</x:v>
      </x:c>
    </x:row>
    <x:row r="1529" ht="21" customHeight="1">
      <x:c r="A1529" s="2"/>
      <x:c r="B1529" s="2"/>
      <x:c r="C1529" s="2" t="str">
        <x:v>2023</x:v>
      </x:c>
      <x:c r="D1529" s="5" t="n">
        <x:v>45119</x:v>
      </x:c>
      <x:c r="E1529" s="2" t="str">
        <x:v>unweighted</x:v>
      </x:c>
      <x:c r="F1529" s="37" t="n">
        <x:v>11295725.242799912</x:v>
      </x:c>
      <x:c r="G1529" s="37" t="n">
        <x:v>460172.8440979909</x:v>
      </x:c>
      <x:c r="H1529" s="37" t="n">
        <x:v>21553.90212218008</x:v>
      </x:c>
      <x:c r="I1529" s="37" t="n">
        <x:v>438618.9419758108</x:v>
      </x:c>
      <x:c r="J1529" s="37" t="n">
        <x:v>10597795.14800651</x:v>
      </x:c>
      <x:c r="K1529" s="37" t="n">
        <x:v>10137622.30390852</x:v>
      </x:c>
      <x:c r="L1529" s="37" t="n">
        <x:v>11755898.086897902</x:v>
      </x:c>
      <x:c r="M1529" s="37" t="n">
        <x:v>0</x:v>
      </x:c>
      <x:c r="N1529" s="37" t="n">
        <x:v>0</x:v>
      </x:c>
      <x:c r="O1529" s="37" t="n">
        <x:v>618.9099360462278</x:v>
      </x:c>
      <x:c r="P1529" s="37" t="n">
        <x:v>0</x:v>
      </x:c>
      <x:c r="Q1529" s="37" t="n">
        <x:v>0</x:v>
      </x:c>
      <x:c r="R1529" s="37" t="n">
        <x:v>0</x:v>
      </x:c>
      <x:c r="S1529" s="37" t="n">
        <x:v>0</x:v>
      </x:c>
      <x:c r="T1529" s="37" t="n">
        <x:v>0</x:v>
      </x:c>
      <x:c r="U1529" s="37" t="n">
        <x:v>-5694.19584657007</x:v>
      </x:c>
      <x:c r="V1529" s="37" t="n">
        <x:v>0</x:v>
      </x:c>
      <x:c r="W1529" s="37" t="n">
        <x:v>117091.05621673167</x:v>
      </x:c>
      <x:c r="X1529" s="37" t="n">
        <x:v>0</x:v>
      </x:c>
      <x:c r="Y1529" s="37" t="n">
        <x:v>2131.594711383309</x:v>
      </x:c>
      <x:c r="Z1529" s="37" t="n">
        <x:v>10340374.74998669</x:v>
      </x:c>
      <x:c r="AA1529" s="37" t="n">
        <x:v>0</x:v>
      </x:c>
      <x:c r="AB1529" s="37" t="n">
        <x:v>10340374.74998669</x:v>
      </x:c>
      <x:c r="AC1529" s="37" t="n">
        <x:v>955350.4928132221</x:v>
      </x:c>
      <x:c r="AD1529" s="37" t="n">
        <x:v>0</x:v>
      </x:c>
      <x:c r="AE1529" s="37" t="n">
        <x:v>0</x:v>
      </x:c>
      <x:c r="AF1529" s="47" t="b">
        <x:v>0</x:v>
      </x:c>
      <x:c r="AG1529" s="47" t="b">
        <x:v>0</x:v>
      </x:c>
      <x:c r="AH1529" s="48" t="n">
        <x:v>0</x:v>
      </x:c>
      <x:c r="AI1529" s="48" t="n">
        <x:v>1.1920928955078125e-7</x:v>
      </x:c>
      <x:c r="AJ1529" s="37" t="str">
        <x:v>passed</x:v>
      </x:c>
    </x:row>
    <x:row r="1530" ht="21" customHeight="1">
      <x:c r="A1530" s="2"/>
      <x:c r="B1530" s="2"/>
      <x:c r="C1530" s="2" t="str">
        <x:v>2023</x:v>
      </x:c>
      <x:c r="D1530" s="5" t="n">
        <x:v>45119</x:v>
      </x:c>
      <x:c r="E1530" s="2" t="str">
        <x:v>constrained</x:v>
      </x:c>
      <x:c r="F1530" s="37" t="n">
        <x:v>11662387.729828723</x:v>
      </x:c>
      <x:c r="G1530" s="37" t="n">
        <x:v>86563.27522883806</x:v>
      </x:c>
      <x:c r="H1530" s="37" t="n">
        <x:v>21406.010634211714</x:v>
      </x:c>
      <x:c r="I1530" s="37" t="n">
        <x:v>65157.264594626344</x:v>
      </x:c>
      <x:c r="J1530" s="37" t="n">
        <x:v>10602319.133057684</x:v>
      </x:c>
      <x:c r="K1530" s="37" t="n">
        <x:v>10515755.857828846</x:v>
      </x:c>
      <x:c r="L1530" s="37" t="n">
        <x:v>11748951.00505756</x:v>
      </x:c>
      <x:c r="M1530" s="37" t="n">
        <x:v>0</x:v>
      </x:c>
      <x:c r="N1530" s="37" t="n">
        <x:v>0</x:v>
      </x:c>
      <x:c r="O1530" s="37" t="n">
        <x:v>638.9999304059893</x:v>
      </x:c>
      <x:c r="P1530" s="37" t="n">
        <x:v>0</x:v>
      </x:c>
      <x:c r="Q1530" s="37" t="n">
        <x:v>0</x:v>
      </x:c>
      <x:c r="R1530" s="37" t="n">
        <x:v>0</x:v>
      </x:c>
      <x:c r="S1530" s="37" t="n">
        <x:v>0</x:v>
      </x:c>
      <x:c r="T1530" s="37" t="n">
        <x:v>0</x:v>
      </x:c>
      <x:c r="U1530" s="37" t="n">
        <x:v>-6779.554702527748</x:v>
      </x:c>
      <x:c r="V1530" s="37" t="n">
        <x:v>0</x:v>
      </x:c>
      <x:c r="W1530" s="37" t="n">
        <x:v>122281.4678958673</x:v>
      </x:c>
      <x:c r="X1530" s="37" t="n">
        <x:v>0</x:v>
      </x:c>
      <x:c r="Y1530" s="37" t="n">
        <x:v>2166.497015385602</x:v>
      </x:c>
      <x:c r="Z1530" s="37" t="n">
        <x:v>10726070.974985423</x:v>
      </x:c>
      <x:c r="AA1530" s="37" t="n">
        <x:v>0</x:v>
      </x:c>
      <x:c r="AB1530" s="37" t="n">
        <x:v>10726070.974985423</x:v>
      </x:c>
      <x:c r="AC1530" s="37" t="n">
        <x:v>936316.7548433002</x:v>
      </x:c>
      <x:c r="AD1530" s="37" t="n">
        <x:v>0</x:v>
      </x:c>
      <x:c r="AE1530" s="37" t="n">
        <x:v>0</x:v>
      </x:c>
      <x:c r="AF1530" s="47" t="b">
        <x:v>0</x:v>
      </x:c>
      <x:c r="AG1530" s="47" t="b">
        <x:v>0</x:v>
      </x:c>
      <x:c r="AH1530" s="48" t="n">
        <x:v>0</x:v>
      </x:c>
      <x:c r="AI1530" s="48" t="n">
        <x:v>1.1920928955078125e-7</x:v>
      </x:c>
      <x:c r="AJ1530" s="37" t="str">
        <x:v>passed</x:v>
      </x:c>
    </x:row>
    <x:row r="1531" ht="21" customHeight="1">
      <x:c r="A1531" s="2"/>
      <x:c r="B1531" s="2"/>
      <x:c r="C1531" s="2" t="str">
        <x:v>2023</x:v>
      </x:c>
      <x:c r="D1531" s="5" t="n">
        <x:v>45120</x:v>
      </x:c>
      <x:c r="E1531" s="2" t="str">
        <x:v>unhedged</x:v>
      </x:c>
      <x:c r="F1531" s="37" t="n">
        <x:v>1275731.2097447312</x:v>
      </x:c>
      <x:c r="G1531" s="37" t="n">
        <x:v>10578084.82517001</x:v>
      </x:c>
      <x:c r="H1531" s="37" t="n">
        <x:v>41220.04864280567</x:v>
      </x:c>
      <x:c r="I1531" s="37" t="n">
        <x:v>10536864.776527205</x:v>
      </x:c>
      <x:c r="J1531" s="37" t="n">
        <x:v>10578084.82517001</x:v>
      </x:c>
      <x:c r="K1531" s="37" t="n">
        <x:v>0</x:v>
      </x:c>
      <x:c r="L1531" s="37" t="n">
        <x:v>11853816.034914741</x:v>
      </x:c>
      <x:c r="M1531" s="37" t="n">
        <x:v>0</x:v>
      </x:c>
      <x:c r="N1531" s="37" t="n">
        <x:v>0</x:v>
      </x:c>
      <x:c r="O1531" s="37" t="n">
        <x:v>69.89924989035353</x:v>
      </x:c>
      <x:c r="P1531" s="37" t="n">
        <x:v>0</x:v>
      </x:c>
      <x:c r="Q1531" s="37" t="n">
        <x:v>0</x:v>
      </x:c>
      <x:c r="R1531" s="37" t="n">
        <x:v>0</x:v>
      </x:c>
      <x:c r="S1531" s="37" t="n">
        <x:v>0</x:v>
      </x:c>
      <x:c r="T1531" s="37" t="n">
        <x:v>0</x:v>
      </x:c>
      <x:c r="U1531" s="37" t="n">
        <x:v>63750</x:v>
      </x:c>
      <x:c r="V1531" s="37" t="n">
        <x:v>0</x:v>
      </x:c>
      <x:c r="W1531" s="37" t="n">
        <x:v>13024.079086853424</x:v>
      </x:c>
      <x:c r="X1531" s="37" t="n">
        <x:v>0</x:v>
      </x:c>
      <x:c r="Y1531" s="37" t="n">
        <x:v>1042.869342122179</x:v>
      </x:c>
      <x:c r="Z1531" s="37" t="n">
        <x:v>0</x:v>
      </x:c>
      <x:c r="AA1531" s="37" t="n">
        <x:v>0</x:v>
      </x:c>
      <x:c r="AB1531" s="37" t="n">
        <x:v>0</x:v>
      </x:c>
      <x:c r="AC1531" s="37" t="n">
        <x:v>1275731.2097447312</x:v>
      </x:c>
      <x:c r="AD1531" s="37" t="n">
        <x:v>0</x:v>
      </x:c>
      <x:c r="AE1531" s="37" t="n">
        <x:v>0</x:v>
      </x:c>
      <x:c r="AF1531" s="47" t="b">
        <x:v>0</x:v>
      </x:c>
      <x:c r="AG1531" s="47" t="b">
        <x:v>0</x:v>
      </x:c>
      <x:c r="AH1531" s="48" t="n">
        <x:v>0</x:v>
      </x:c>
      <x:c r="AI1531" s="48" t="n">
        <x:v>1.1920928955078125e-7</x:v>
      </x:c>
      <x:c r="AJ1531" s="37" t="str">
        <x:v>passed</x:v>
      </x:c>
    </x:row>
    <x:row r="1532" ht="21" customHeight="1">
      <x:c r="A1532" s="2"/>
      <x:c r="B1532" s="2"/>
      <x:c r="C1532" s="2" t="str">
        <x:v>2023</x:v>
      </x:c>
      <x:c r="D1532" s="5" t="n">
        <x:v>45120</x:v>
      </x:c>
      <x:c r="E1532" s="2" t="str">
        <x:v>duration</x:v>
      </x:c>
      <x:c r="F1532" s="37" t="n">
        <x:v>7632268.767536483</x:v>
      </x:c>
      <x:c r="G1532" s="37" t="n">
        <x:v>4142963.743770991</x:v>
      </x:c>
      <x:c r="H1532" s="37" t="n">
        <x:v>24136.334452679417</x:v>
      </x:c>
      <x:c r="I1532" s="37" t="n">
        <x:v>4118827.4093183116</x:v>
      </x:c>
      <x:c r="J1532" s="37" t="n">
        <x:v>10578084.82517001</x:v>
      </x:c>
      <x:c r="K1532" s="37" t="n">
        <x:v>6435121.08139902</x:v>
      </x:c>
      <x:c r="L1532" s="37" t="n">
        <x:v>11775232.511307474</x:v>
      </x:c>
      <x:c r="M1532" s="37" t="n">
        <x:v>0</x:v>
      </x:c>
      <x:c r="N1532" s="37" t="n">
        <x:v>0</x:v>
      </x:c>
      <x:c r="O1532" s="37" t="n">
        <x:v>418.1835936419666</x:v>
      </x:c>
      <x:c r="P1532" s="37" t="n">
        <x:v>0</x:v>
      </x:c>
      <x:c r="Q1532" s="37" t="n">
        <x:v>0</x:v>
      </x:c>
      <x:c r="R1532" s="37" t="n">
        <x:v>0</x:v>
      </x:c>
      <x:c r="S1532" s="37" t="n">
        <x:v>0</x:v>
      </x:c>
      <x:c r="T1532" s="37" t="n">
        <x:v>0</x:v>
      </x:c>
      <x:c r="U1532" s="37" t="n">
        <x:v>9917.381478397001</x:v>
      </x:c>
      <x:c r="V1532" s="37" t="n">
        <x:v>0</x:v>
      </x:c>
      <x:c r="W1532" s="37" t="n">
        <x:v>80989.34391738474</x:v>
      </x:c>
      <x:c r="X1532" s="37" t="n">
        <x:v>0</x:v>
      </x:c>
      <x:c r="Y1532" s="37" t="n">
        <x:v>1731.9176760833782</x:v>
      </x:c>
      <x:c r="Z1532" s="37" t="n">
        <x:v>6563823.503027</x:v>
      </x:c>
      <x:c r="AA1532" s="37" t="n">
        <x:v>0</x:v>
      </x:c>
      <x:c r="AB1532" s="37" t="n">
        <x:v>6563823.503027</x:v>
      </x:c>
      <x:c r="AC1532" s="37" t="n">
        <x:v>1068445.2645094823</x:v>
      </x:c>
      <x:c r="AD1532" s="37" t="n">
        <x:v>0</x:v>
      </x:c>
      <x:c r="AE1532" s="37" t="n">
        <x:v>0</x:v>
      </x:c>
      <x:c r="AF1532" s="47" t="b">
        <x:v>0</x:v>
      </x:c>
      <x:c r="AG1532" s="47" t="b">
        <x:v>0</x:v>
      </x:c>
      <x:c r="AH1532" s="48" t="n">
        <x:v>0</x:v>
      </x:c>
      <x:c r="AI1532" s="48" t="n">
        <x:v>5.960464477539063e-8</x:v>
      </x:c>
      <x:c r="AJ1532" s="37" t="str">
        <x:v>passed</x:v>
      </x:c>
    </x:row>
    <x:row r="1533" ht="21" customHeight="1">
      <x:c r="A1533" s="2"/>
      <x:c r="B1533" s="2"/>
      <x:c r="C1533" s="2" t="str">
        <x:v>2023</x:v>
      </x:c>
      <x:c r="D1533" s="5" t="n">
        <x:v>45120</x:v>
      </x:c>
      <x:c r="E1533" s="2" t="str">
        <x:v>unweighted</x:v>
      </x:c>
      <x:c r="F1533" s="37" t="n">
        <x:v>11296344.186648834</x:v>
      </x:c>
      <x:c r="G1533" s="37" t="n">
        <x:v>460280.36828643456</x:v>
      </x:c>
      <x:c r="H1533" s="37" t="n">
        <x:v>21526.714348978465</x:v>
      </x:c>
      <x:c r="I1533" s="37" t="n">
        <x:v>438753.6539374561</x:v>
      </x:c>
      <x:c r="J1533" s="37" t="n">
        <x:v>10657645.522317698</x:v>
      </x:c>
      <x:c r="K1533" s="37" t="n">
        <x:v>10197365.154031264</x:v>
      </x:c>
      <x:c r="L1533" s="37" t="n">
        <x:v>11756624.554935269</x:v>
      </x:c>
      <x:c r="M1533" s="37" t="n">
        <x:v>0</x:v>
      </x:c>
      <x:c r="N1533" s="37" t="n">
        <x:v>0</x:v>
      </x:c>
      <x:c r="O1533" s="37" t="n">
        <x:v>618.9438489228487</x:v>
      </x:c>
      <x:c r="P1533" s="37" t="n">
        <x:v>0</x:v>
      </x:c>
      <x:c r="Q1533" s="37" t="n">
        <x:v>0</x:v>
      </x:c>
      <x:c r="R1533" s="37" t="n">
        <x:v>0</x:v>
      </x:c>
      <x:c r="S1533" s="37" t="n">
        <x:v>0</x:v>
      </x:c>
      <x:c r="T1533" s="37" t="n">
        <x:v>0</x:v>
      </x:c>
      <x:c r="U1533" s="37" t="n">
        <x:v>-5694.19584657007</x:v>
      </x:c>
      <x:c r="V1533" s="37" t="n">
        <x:v>0</x:v>
      </x:c>
      <x:c r="W1533" s="37" t="n">
        <x:v>117710.00006565452</x:v>
      </x:c>
      <x:c r="X1533" s="37" t="n">
        <x:v>0</x:v>
      </x:c>
      <x:c r="Y1533" s="37" t="n">
        <x:v>2131.594711383309</x:v>
      </x:c>
      <x:c r="Z1533" s="37" t="n">
        <x:v>10401312.45711189</x:v>
      </x:c>
      <x:c r="AA1533" s="37" t="n">
        <x:v>0</x:v>
      </x:c>
      <x:c r="AB1533" s="37" t="n">
        <x:v>10401312.45711189</x:v>
      </x:c>
      <x:c r="AC1533" s="37" t="n">
        <x:v>895031.729536945</x:v>
      </x:c>
      <x:c r="AD1533" s="37" t="n">
        <x:v>0</x:v>
      </x:c>
      <x:c r="AE1533" s="37" t="n">
        <x:v>0</x:v>
      </x:c>
      <x:c r="AF1533" s="47" t="b">
        <x:v>0</x:v>
      </x:c>
      <x:c r="AG1533" s="47" t="b">
        <x:v>0</x:v>
      </x:c>
      <x:c r="AH1533" s="48" t="n">
        <x:v>0</x:v>
      </x:c>
      <x:c r="AI1533" s="48" t="n">
        <x:v>1.1920928955078125e-7</x:v>
      </x:c>
      <x:c r="AJ1533" s="37" t="str">
        <x:v>passed</x:v>
      </x:c>
    </x:row>
    <x:row r="1534" ht="21" customHeight="1">
      <x:c r="A1534" s="2"/>
      <x:c r="B1534" s="2"/>
      <x:c r="C1534" s="2" t="str">
        <x:v>2023</x:v>
      </x:c>
      <x:c r="D1534" s="5" t="n">
        <x:v>45120</x:v>
      </x:c>
      <x:c r="E1534" s="2" t="str">
        <x:v>constrained</x:v>
      </x:c>
      <x:c r="F1534" s="37" t="n">
        <x:v>11663026.764772825</x:v>
      </x:c>
      <x:c r="G1534" s="37" t="n">
        <x:v>86769.2380791166</x:v>
      </x:c>
      <x:c r="H1534" s="37" t="n">
        <x:v>21374.142445016245</x:v>
      </x:c>
      <x:c r="I1534" s="37" t="n">
        <x:v>65395.09563410036</x:v>
      </x:c>
      <x:c r="J1534" s="37" t="n">
        <x:v>10662218.71898316</x:v>
      </x:c>
      <x:c r="K1534" s="37" t="n">
        <x:v>10575449.480904045</x:v>
      </x:c>
      <x:c r="L1534" s="37" t="n">
        <x:v>11749796.00285194</x:v>
      </x:c>
      <x:c r="M1534" s="37" t="n">
        <x:v>0</x:v>
      </x:c>
      <x:c r="N1534" s="37" t="n">
        <x:v>0</x:v>
      </x:c>
      <x:c r="O1534" s="37" t="n">
        <x:v>639.0349441021681</x:v>
      </x:c>
      <x:c r="P1534" s="37" t="n">
        <x:v>0</x:v>
      </x:c>
      <x:c r="Q1534" s="37" t="n">
        <x:v>0</x:v>
      </x:c>
      <x:c r="R1534" s="37" t="n">
        <x:v>0</x:v>
      </x:c>
      <x:c r="S1534" s="37" t="n">
        <x:v>0</x:v>
      </x:c>
      <x:c r="T1534" s="37" t="n">
        <x:v>0</x:v>
      </x:c>
      <x:c r="U1534" s="37" t="n">
        <x:v>-6779.554702527748</x:v>
      </x:c>
      <x:c r="V1534" s="37" t="n">
        <x:v>0</x:v>
      </x:c>
      <x:c r="W1534" s="37" t="n">
        <x:v>122920.50283996947</x:v>
      </x:c>
      <x:c r="X1534" s="37" t="n">
        <x:v>0</x:v>
      </x:c>
      <x:c r="Y1534" s="37" t="n">
        <x:v>2166.497015385602</x:v>
      </x:c>
      <x:c r="Z1534" s="37" t="n">
        <x:v>10786958.470522126</x:v>
      </x:c>
      <x:c r="AA1534" s="37" t="n">
        <x:v>0</x:v>
      </x:c>
      <x:c r="AB1534" s="37" t="n">
        <x:v>10786958.470522126</x:v>
      </x:c>
      <x:c r="AC1534" s="37" t="n">
        <x:v>876068.2942506988</x:v>
      </x:c>
      <x:c r="AD1534" s="37" t="n">
        <x:v>0</x:v>
      </x:c>
      <x:c r="AE1534" s="37" t="n">
        <x:v>0</x:v>
      </x:c>
      <x:c r="AF1534" s="47" t="b">
        <x:v>0</x:v>
      </x:c>
      <x:c r="AG1534" s="47" t="b">
        <x:v>0</x:v>
      </x:c>
      <x:c r="AH1534" s="48" t="n">
        <x:v>0</x:v>
      </x:c>
      <x:c r="AI1534" s="48" t="n">
        <x:v>1.1920928955078125e-7</x:v>
      </x:c>
      <x:c r="AJ1534" s="37" t="str">
        <x:v>passed</x:v>
      </x:c>
    </x:row>
    <x:row r="1535" ht="21" customHeight="1">
      <x:c r="A1535" s="2"/>
      <x:c r="B1535" s="2"/>
      <x:c r="C1535" s="2" t="str">
        <x:v>2023</x:v>
      </x:c>
      <x:c r="D1535" s="5" t="n">
        <x:v>45121</x:v>
      </x:c>
      <x:c r="E1535" s="2" t="str">
        <x:v>unhedged</x:v>
      </x:c>
      <x:c r="F1535" s="37" t="n">
        <x:v>1275801.1128247173</x:v>
      </x:c>
      <x:c r="G1535" s="37" t="n">
        <x:v>10545708.512675006</x:v>
      </x:c>
      <x:c r="H1535" s="37" t="n">
        <x:v>41569.89400672592</x:v>
      </x:c>
      <x:c r="I1535" s="37" t="n">
        <x:v>10504138.61866828</x:v>
      </x:c>
      <x:c r="J1535" s="37" t="n">
        <x:v>10545708.512675006</x:v>
      </x:c>
      <x:c r="K1535" s="37" t="n">
        <x:v>0</x:v>
      </x:c>
      <x:c r="L1535" s="37" t="n">
        <x:v>11821509.625499723</x:v>
      </x:c>
      <x:c r="M1535" s="37" t="n">
        <x:v>0</x:v>
      </x:c>
      <x:c r="N1535" s="37" t="n">
        <x:v>0</x:v>
      </x:c>
      <x:c r="O1535" s="37" t="n">
        <x:v>69.9030799861066</x:v>
      </x:c>
      <x:c r="P1535" s="37" t="n">
        <x:v>0</x:v>
      </x:c>
      <x:c r="Q1535" s="37" t="n">
        <x:v>0</x:v>
      </x:c>
      <x:c r="R1535" s="37" t="n">
        <x:v>0</x:v>
      </x:c>
      <x:c r="S1535" s="37" t="n">
        <x:v>0</x:v>
      </x:c>
      <x:c r="T1535" s="37" t="n">
        <x:v>0</x:v>
      </x:c>
      <x:c r="U1535" s="37" t="n">
        <x:v>63750</x:v>
      </x:c>
      <x:c r="V1535" s="37" t="n">
        <x:v>0</x:v>
      </x:c>
      <x:c r="W1535" s="37" t="n">
        <x:v>13093.98216683953</x:v>
      </x:c>
      <x:c r="X1535" s="37" t="n">
        <x:v>0</x:v>
      </x:c>
      <x:c r="Y1535" s="37" t="n">
        <x:v>1042.869342122179</x:v>
      </x:c>
      <x:c r="Z1535" s="37" t="n">
        <x:v>0</x:v>
      </x:c>
      <x:c r="AA1535" s="37" t="n">
        <x:v>0</x:v>
      </x:c>
      <x:c r="AB1535" s="37" t="n">
        <x:v>0</x:v>
      </x:c>
      <x:c r="AC1535" s="37" t="n">
        <x:v>1275801.1128247173</x:v>
      </x:c>
      <x:c r="AD1535" s="37" t="n">
        <x:v>0</x:v>
      </x:c>
      <x:c r="AE1535" s="37" t="n">
        <x:v>0</x:v>
      </x:c>
      <x:c r="AF1535" s="47" t="b">
        <x:v>0</x:v>
      </x:c>
      <x:c r="AG1535" s="47" t="b">
        <x:v>0</x:v>
      </x:c>
      <x:c r="AH1535" s="48" t="n">
        <x:v>0</x:v>
      </x:c>
      <x:c r="AI1535" s="48" t="n">
        <x:v>1.1920928955078125e-7</x:v>
      </x:c>
      <x:c r="AJ1535" s="37" t="str">
        <x:v>passed</x:v>
      </x:c>
    </x:row>
    <x:row r="1536" ht="21" customHeight="1">
      <x:c r="A1536" s="2"/>
      <x:c r="B1536" s="2"/>
      <x:c r="C1536" s="2" t="str">
        <x:v>2023</x:v>
      </x:c>
      <x:c r="D1536" s="5" t="n">
        <x:v>45121</x:v>
      </x:c>
      <x:c r="E1536" s="2" t="str">
        <x:v>duration</x:v>
      </x:c>
      <x:c r="F1536" s="37" t="n">
        <x:v>7632686.974044292</x:v>
      </x:c>
      <x:c r="G1536" s="37" t="n">
        <x:v>4131152.887325767</x:v>
      </x:c>
      <x:c r="H1536" s="37" t="n">
        <x:v>24196.625338800914</x:v>
      </x:c>
      <x:c r="I1536" s="37" t="n">
        <x:v>4106956.2619869662</x:v>
      </x:c>
      <x:c r="J1536" s="37" t="n">
        <x:v>10545708.512675006</x:v>
      </x:c>
      <x:c r="K1536" s="37" t="n">
        <x:v>6414555.625349239</x:v>
      </x:c>
      <x:c r="L1536" s="37" t="n">
        <x:v>11763839.861370059</x:v>
      </x:c>
      <x:c r="M1536" s="37" t="n">
        <x:v>0</x:v>
      </x:c>
      <x:c r="N1536" s="37" t="n">
        <x:v>0</x:v>
      </x:c>
      <x:c r="O1536" s="37" t="n">
        <x:v>418.20650780946016</x:v>
      </x:c>
      <x:c r="P1536" s="37" t="n">
        <x:v>0</x:v>
      </x:c>
      <x:c r="Q1536" s="37" t="n">
        <x:v>0</x:v>
      </x:c>
      <x:c r="R1536" s="37" t="n">
        <x:v>0</x:v>
      </x:c>
      <x:c r="S1536" s="37" t="n">
        <x:v>0</x:v>
      </x:c>
      <x:c r="T1536" s="37" t="n">
        <x:v>0</x:v>
      </x:c>
      <x:c r="U1536" s="37" t="n">
        <x:v>9917.381478397001</x:v>
      </x:c>
      <x:c r="V1536" s="37" t="n">
        <x:v>0</x:v>
      </x:c>
      <x:c r="W1536" s="37" t="n">
        <x:v>81407.5504251942</x:v>
      </x:c>
      <x:c r="X1536" s="37" t="n">
        <x:v>0</x:v>
      </x:c>
      <x:c r="Y1536" s="37" t="n">
        <x:v>1731.9176760833782</x:v>
      </x:c>
      <x:c r="Z1536" s="37" t="n">
        <x:v>6542846.737856224</x:v>
      </x:c>
      <x:c r="AA1536" s="37" t="n">
        <x:v>0</x:v>
      </x:c>
      <x:c r="AB1536" s="37" t="n">
        <x:v>6542846.737856224</x:v>
      </x:c>
      <x:c r="AC1536" s="37" t="n">
        <x:v>1089840.236188068</x:v>
      </x:c>
      <x:c r="AD1536" s="37" t="n">
        <x:v>0</x:v>
      </x:c>
      <x:c r="AE1536" s="37" t="n">
        <x:v>0</x:v>
      </x:c>
      <x:c r="AF1536" s="47" t="b">
        <x:v>0</x:v>
      </x:c>
      <x:c r="AG1536" s="47" t="b">
        <x:v>0</x:v>
      </x:c>
      <x:c r="AH1536" s="48" t="n">
        <x:v>0</x:v>
      </x:c>
      <x:c r="AI1536" s="48" t="n">
        <x:v>5.960464477539063e-8</x:v>
      </x:c>
      <x:c r="AJ1536" s="37" t="str">
        <x:v>passed</x:v>
      </x:c>
    </x:row>
    <x:row r="1537" ht="21" customHeight="1">
      <x:c r="A1537" s="2"/>
      <x:c r="B1537" s="2"/>
      <x:c r="C1537" s="2" t="str">
        <x:v>2023</x:v>
      </x:c>
      <x:c r="D1537" s="5" t="n">
        <x:v>45121</x:v>
      </x:c>
      <x:c r="E1537" s="2" t="str">
        <x:v>unweighted</x:v>
      </x:c>
      <x:c r="F1537" s="37" t="n">
        <x:v>11296963.164412485</x:v>
      </x:c>
      <x:c r="G1537" s="37" t="n">
        <x:v>459611.89598835766</x:v>
      </x:c>
      <x:c r="H1537" s="37" t="n">
        <x:v>21499.526575776843</x:v>
      </x:c>
      <x:c r="I1537" s="37" t="n">
        <x:v>438112.3694125808</x:v>
      </x:c>
      <x:c r="J1537" s="37" t="n">
        <x:v>10624706.64872304</x:v>
      </x:c>
      <x:c r="K1537" s="37" t="n">
        <x:v>10165094.752734683</x:v>
      </x:c>
      <x:c r="L1537" s="37" t="n">
        <x:v>11756575.060400844</x:v>
      </x:c>
      <x:c r="M1537" s="37" t="n">
        <x:v>0</x:v>
      </x:c>
      <x:c r="N1537" s="37" t="n">
        <x:v>0</x:v>
      </x:c>
      <x:c r="O1537" s="37" t="n">
        <x:v>618.9777636509389</x:v>
      </x:c>
      <x:c r="P1537" s="37" t="n">
        <x:v>0</x:v>
      </x:c>
      <x:c r="Q1537" s="37" t="n">
        <x:v>0</x:v>
      </x:c>
      <x:c r="R1537" s="37" t="n">
        <x:v>0</x:v>
      </x:c>
      <x:c r="S1537" s="37" t="n">
        <x:v>0</x:v>
      </x:c>
      <x:c r="T1537" s="37" t="n">
        <x:v>0</x:v>
      </x:c>
      <x:c r="U1537" s="37" t="n">
        <x:v>-5694.19584657007</x:v>
      </x:c>
      <x:c r="V1537" s="37" t="n">
        <x:v>0</x:v>
      </x:c>
      <x:c r="W1537" s="37" t="n">
        <x:v>118328.97782930546</x:v>
      </x:c>
      <x:c r="X1537" s="37" t="n">
        <x:v>0</x:v>
      </x:c>
      <x:c r="Y1537" s="37" t="n">
        <x:v>2131.594711383309</x:v>
      </x:c>
      <x:c r="Z1537" s="37" t="n">
        <x:v>10368396.647789378</x:v>
      </x:c>
      <x:c r="AA1537" s="37" t="n">
        <x:v>0</x:v>
      </x:c>
      <x:c r="AB1537" s="37" t="n">
        <x:v>10368396.647789378</x:v>
      </x:c>
      <x:c r="AC1537" s="37" t="n">
        <x:v>928566.5166231077</x:v>
      </x:c>
      <x:c r="AD1537" s="37" t="n">
        <x:v>0</x:v>
      </x:c>
      <x:c r="AE1537" s="37" t="n">
        <x:v>0</x:v>
      </x:c>
      <x:c r="AF1537" s="47" t="b">
        <x:v>0</x:v>
      </x:c>
      <x:c r="AG1537" s="47" t="b">
        <x:v>0</x:v>
      </x:c>
      <x:c r="AH1537" s="48" t="n">
        <x:v>0</x:v>
      </x:c>
      <x:c r="AI1537" s="48" t="n">
        <x:v>1.1920928955078125e-7</x:v>
      </x:c>
      <x:c r="AJ1537" s="37" t="str">
        <x:v>passed</x:v>
      </x:c>
    </x:row>
    <x:row r="1538" ht="21" customHeight="1">
      <x:c r="A1538" s="2"/>
      <x:c r="B1538" s="2"/>
      <x:c r="C1538" s="2" t="str">
        <x:v>2023</x:v>
      </x:c>
      <x:c r="D1538" s="5" t="n">
        <x:v>45121</x:v>
      </x:c>
      <x:c r="E1538" s="2" t="str">
        <x:v>constrained</x:v>
      </x:c>
      <x:c r="F1538" s="37" t="n">
        <x:v>11663665.834732538</x:v>
      </x:c>
      <x:c r="G1538" s="37" t="n">
        <x:v>86130.24596890176</x:v>
      </x:c>
      <x:c r="H1538" s="37" t="n">
        <x:v>21342.27425582077</x:v>
      </x:c>
      <x:c r="I1538" s="37" t="n">
        <x:v>64787.97171308099</x:v>
      </x:c>
      <x:c r="J1538" s="37" t="n">
        <x:v>10629247.509038556</x:v>
      </x:c>
      <x:c r="K1538" s="37" t="n">
        <x:v>10543117.263069654</x:v>
      </x:c>
      <x:c r="L1538" s="37" t="n">
        <x:v>11749796.08070144</x:v>
      </x:c>
      <x:c r="M1538" s="37" t="n">
        <x:v>0</x:v>
      </x:c>
      <x:c r="N1538" s="37" t="n">
        <x:v>0</x:v>
      </x:c>
      <x:c r="O1538" s="37" t="n">
        <x:v>639.0699597131461</x:v>
      </x:c>
      <x:c r="P1538" s="37" t="n">
        <x:v>0</x:v>
      </x:c>
      <x:c r="Q1538" s="37" t="n">
        <x:v>0</x:v>
      </x:c>
      <x:c r="R1538" s="37" t="n">
        <x:v>0</x:v>
      </x:c>
      <x:c r="S1538" s="37" t="n">
        <x:v>0</x:v>
      </x:c>
      <x:c r="T1538" s="37" t="n">
        <x:v>0</x:v>
      </x:c>
      <x:c r="U1538" s="37" t="n">
        <x:v>-6779.554702527748</x:v>
      </x:c>
      <x:c r="V1538" s="37" t="n">
        <x:v>0</x:v>
      </x:c>
      <x:c r="W1538" s="37" t="n">
        <x:v>123559.57279968262</x:v>
      </x:c>
      <x:c r="X1538" s="37" t="n">
        <x:v>0</x:v>
      </x:c>
      <x:c r="Y1538" s="37" t="n">
        <x:v>2166.497015385602</x:v>
      </x:c>
      <x:c r="Z1538" s="37" t="n">
        <x:v>10753979.608331047</x:v>
      </x:c>
      <x:c r="AA1538" s="37" t="n">
        <x:v>0</x:v>
      </x:c>
      <x:c r="AB1538" s="37" t="n">
        <x:v>10753979.608331047</x:v>
      </x:c>
      <x:c r="AC1538" s="37" t="n">
        <x:v>909686.2264014911</x:v>
      </x:c>
      <x:c r="AD1538" s="37" t="n">
        <x:v>0</x:v>
      </x:c>
      <x:c r="AE1538" s="37" t="n">
        <x:v>0</x:v>
      </x:c>
      <x:c r="AF1538" s="47" t="b">
        <x:v>0</x:v>
      </x:c>
      <x:c r="AG1538" s="47" t="b">
        <x:v>0</x:v>
      </x:c>
      <x:c r="AH1538" s="48" t="n">
        <x:v>0</x:v>
      </x:c>
      <x:c r="AI1538" s="48" t="n">
        <x:v>1.1920928955078125e-7</x:v>
      </x:c>
      <x:c r="AJ1538" s="37" t="str">
        <x:v>passed</x:v>
      </x:c>
    </x:row>
    <x:row r="1539" ht="21" customHeight="1">
      <x:c r="A1539" s="2"/>
      <x:c r="B1539" s="2"/>
      <x:c r="C1539" s="2" t="str">
        <x:v>2023</x:v>
      </x:c>
      <x:c r="D1539" s="5" t="n">
        <x:v>45124</x:v>
      </x:c>
      <x:c r="E1539" s="2" t="str">
        <x:v>unhedged</x:v>
      </x:c>
      <x:c r="F1539" s="37" t="n">
        <x:v>1276010.8450473498</x:v>
      </x:c>
      <x:c r="G1539" s="37" t="n">
        <x:v>10558442.053923443</x:v>
      </x:c>
      <x:c r="H1539" s="37" t="n">
        <x:v>42619.43009848667</x:v>
      </x:c>
      <x:c r="I1539" s="37" t="n">
        <x:v>10515822.623824956</x:v>
      </x:c>
      <x:c r="J1539" s="37" t="n">
        <x:v>10558442.053923443</x:v>
      </x:c>
      <x:c r="K1539" s="37" t="n">
        <x:v>0</x:v>
      </x:c>
      <x:c r="L1539" s="37" t="n">
        <x:v>11834452.898970792</x:v>
      </x:c>
      <x:c r="M1539" s="37" t="n">
        <x:v>0</x:v>
      </x:c>
      <x:c r="N1539" s="37" t="n">
        <x:v>0</x:v>
      </x:c>
      <x:c r="O1539" s="37" t="n">
        <x:v>209.732222632505</x:v>
      </x:c>
      <x:c r="P1539" s="37" t="n">
        <x:v>0</x:v>
      </x:c>
      <x:c r="Q1539" s="37" t="n">
        <x:v>0</x:v>
      </x:c>
      <x:c r="R1539" s="37" t="n">
        <x:v>0</x:v>
      </x:c>
      <x:c r="S1539" s="37" t="n">
        <x:v>0</x:v>
      </x:c>
      <x:c r="T1539" s="37" t="n">
        <x:v>0</x:v>
      </x:c>
      <x:c r="U1539" s="37" t="n">
        <x:v>63750</x:v>
      </x:c>
      <x:c r="V1539" s="37" t="n">
        <x:v>0</x:v>
      </x:c>
      <x:c r="W1539" s="37" t="n">
        <x:v>13303.714389472036</x:v>
      </x:c>
      <x:c r="X1539" s="37" t="n">
        <x:v>0</x:v>
      </x:c>
      <x:c r="Y1539" s="37" t="n">
        <x:v>1042.869342122179</x:v>
      </x:c>
      <x:c r="Z1539" s="37" t="n">
        <x:v>0</x:v>
      </x:c>
      <x:c r="AA1539" s="37" t="n">
        <x:v>0</x:v>
      </x:c>
      <x:c r="AB1539" s="37" t="n">
        <x:v>0</x:v>
      </x:c>
      <x:c r="AC1539" s="37" t="n">
        <x:v>1276010.8450473498</x:v>
      </x:c>
      <x:c r="AD1539" s="37" t="n">
        <x:v>0</x:v>
      </x:c>
      <x:c r="AE1539" s="37" t="n">
        <x:v>0</x:v>
      </x:c>
      <x:c r="AF1539" s="47" t="b">
        <x:v>0</x:v>
      </x:c>
      <x:c r="AG1539" s="47" t="b">
        <x:v>0</x:v>
      </x:c>
      <x:c r="AH1539" s="48" t="n">
        <x:v>0</x:v>
      </x:c>
      <x:c r="AI1539" s="48" t="n">
        <x:v>1.1920928955078125e-7</x:v>
      </x:c>
      <x:c r="AJ1539" s="37" t="str">
        <x:v>passed</x:v>
      </x:c>
    </x:row>
    <x:row r="1540" ht="21" customHeight="1">
      <x:c r="A1540" s="2"/>
      <x:c r="B1540" s="2"/>
      <x:c r="C1540" s="2" t="str">
        <x:v>2023</x:v>
      </x:c>
      <x:c r="D1540" s="5" t="n">
        <x:v>45124</x:v>
      </x:c>
      <x:c r="E1540" s="2" t="str">
        <x:v>duration</x:v>
      </x:c>
      <x:c r="F1540" s="37" t="n">
        <x:v>7633941.731065299</x:v>
      </x:c>
      <x:c r="G1540" s="37" t="n">
        <x:v>4133307.3205315256</x:v>
      </x:c>
      <x:c r="H1540" s="37" t="n">
        <x:v>24377.497997165414</x:v>
      </x:c>
      <x:c r="I1540" s="37" t="n">
        <x:v>4108929.8225343605</x:v>
      </x:c>
      <x:c r="J1540" s="37" t="n">
        <x:v>10558442.053923443</x:v>
      </x:c>
      <x:c r="K1540" s="37" t="n">
        <x:v>6425134.733391916</x:v>
      </x:c>
      <x:c r="L1540" s="37" t="n">
        <x:v>11767249.051596824</x:v>
      </x:c>
      <x:c r="M1540" s="37" t="n">
        <x:v>0</x:v>
      </x:c>
      <x:c r="N1540" s="37" t="n">
        <x:v>0</x:v>
      </x:c>
      <x:c r="O1540" s="37" t="n">
        <x:v>1254.757021007128</x:v>
      </x:c>
      <x:c r="P1540" s="37" t="n">
        <x:v>0</x:v>
      </x:c>
      <x:c r="Q1540" s="37" t="n">
        <x:v>0</x:v>
      </x:c>
      <x:c r="R1540" s="37" t="n">
        <x:v>0</x:v>
      </x:c>
      <x:c r="S1540" s="37" t="n">
        <x:v>0</x:v>
      </x:c>
      <x:c r="T1540" s="37" t="n">
        <x:v>0</x:v>
      </x:c>
      <x:c r="U1540" s="37" t="n">
        <x:v>9917.381478397001</x:v>
      </x:c>
      <x:c r="V1540" s="37" t="n">
        <x:v>0</x:v>
      </x:c>
      <x:c r="W1540" s="37" t="n">
        <x:v>82662.30744620133</x:v>
      </x:c>
      <x:c r="X1540" s="37" t="n">
        <x:v>0</x:v>
      </x:c>
      <x:c r="Y1540" s="37" t="n">
        <x:v>1731.9176760833782</x:v>
      </x:c>
      <x:c r="Z1540" s="37" t="n">
        <x:v>6553637.428059755</x:v>
      </x:c>
      <x:c r="AA1540" s="37" t="n">
        <x:v>0</x:v>
      </x:c>
      <x:c r="AB1540" s="37" t="n">
        <x:v>6553637.428059755</x:v>
      </x:c>
      <x:c r="AC1540" s="37" t="n">
        <x:v>1080304.3030055445</x:v>
      </x:c>
      <x:c r="AD1540" s="37" t="n">
        <x:v>0</x:v>
      </x:c>
      <x:c r="AE1540" s="37" t="n">
        <x:v>0</x:v>
      </x:c>
      <x:c r="AF1540" s="47" t="b">
        <x:v>0</x:v>
      </x:c>
      <x:c r="AG1540" s="47" t="b">
        <x:v>0</x:v>
      </x:c>
      <x:c r="AH1540" s="48" t="n">
        <x:v>0</x:v>
      </x:c>
      <x:c r="AI1540" s="48" t="n">
        <x:v>5.960464477539063e-8</x:v>
      </x:c>
      <x:c r="AJ1540" s="37" t="str">
        <x:v>passed</x:v>
      </x:c>
    </x:row>
    <x:row r="1541" ht="21" customHeight="1">
      <x:c r="A1541" s="2"/>
      <x:c r="B1541" s="2"/>
      <x:c r="C1541" s="2" t="str">
        <x:v>2023</x:v>
      </x:c>
      <x:c r="D1541" s="5" t="n">
        <x:v>45124</x:v>
      </x:c>
      <x:c r="E1541" s="2" t="str">
        <x:v>unweighted</x:v>
      </x:c>
      <x:c r="F1541" s="37" t="n">
        <x:v>11298820.301210418</x:v>
      </x:c>
      <x:c r="G1541" s="37" t="n">
        <x:v>459799.64766292745</x:v>
      </x:c>
      <x:c r="H1541" s="37" t="n">
        <x:v>21417.96325617199</x:v>
      </x:c>
      <x:c r="I1541" s="37" t="n">
        <x:v>438381.6844067555</x:v>
      </x:c>
      <x:c r="J1541" s="37" t="n">
        <x:v>10637517.362796202</x:v>
      </x:c>
      <x:c r="K1541" s="37" t="n">
        <x:v>10177717.715133274</x:v>
      </x:c>
      <x:c r="L1541" s="37" t="n">
        <x:v>11758619.948873347</x:v>
      </x:c>
      <x:c r="M1541" s="37" t="n">
        <x:v>0</x:v>
      </x:c>
      <x:c r="N1541" s="37" t="n">
        <x:v>0</x:v>
      </x:c>
      <x:c r="O1541" s="37" t="n">
        <x:v>1857.136797932908</x:v>
      </x:c>
      <x:c r="P1541" s="37" t="n">
        <x:v>0</x:v>
      </x:c>
      <x:c r="Q1541" s="37" t="n">
        <x:v>0</x:v>
      </x:c>
      <x:c r="R1541" s="37" t="n">
        <x:v>0</x:v>
      </x:c>
      <x:c r="S1541" s="37" t="n">
        <x:v>0</x:v>
      </x:c>
      <x:c r="T1541" s="37" t="n">
        <x:v>0</x:v>
      </x:c>
      <x:c r="U1541" s="37" t="n">
        <x:v>-5694.19584657007</x:v>
      </x:c>
      <x:c r="V1541" s="37" t="n">
        <x:v>0</x:v>
      </x:c>
      <x:c r="W1541" s="37" t="n">
        <x:v>120186.11462723836</x:v>
      </x:c>
      <x:c r="X1541" s="37" t="n">
        <x:v>0</x:v>
      </x:c>
      <x:c r="Y1541" s="37" t="n">
        <x:v>2131.594711383309</x:v>
      </x:c>
      <x:c r="Z1541" s="37" t="n">
        <x:v>10381272.06943594</x:v>
      </x:c>
      <x:c r="AA1541" s="37" t="n">
        <x:v>0</x:v>
      </x:c>
      <x:c r="AB1541" s="37" t="n">
        <x:v>10381272.06943594</x:v>
      </x:c>
      <x:c r="AC1541" s="37" t="n">
        <x:v>917548.2317744792</x:v>
      </x:c>
      <x:c r="AD1541" s="37" t="n">
        <x:v>0</x:v>
      </x:c>
      <x:c r="AE1541" s="37" t="n">
        <x:v>0</x:v>
      </x:c>
      <x:c r="AF1541" s="47" t="b">
        <x:v>0</x:v>
      </x:c>
      <x:c r="AG1541" s="47" t="b">
        <x:v>0</x:v>
      </x:c>
      <x:c r="AH1541" s="48" t="n">
        <x:v>0</x:v>
      </x:c>
      <x:c r="AI1541" s="48" t="n">
        <x:v>1.1920928955078125e-7</x:v>
      </x:c>
      <x:c r="AJ1541" s="37" t="str">
        <x:v>passed</x:v>
      </x:c>
    </x:row>
    <x:row r="1542" ht="21" customHeight="1">
      <x:c r="A1542" s="2"/>
      <x:c r="B1542" s="2"/>
      <x:c r="C1542" s="2" t="str">
        <x:v>2023</x:v>
      </x:c>
      <x:c r="D1542" s="5" t="n">
        <x:v>45124</x:v>
      </x:c>
      <x:c r="E1542" s="2" t="str">
        <x:v>constrained</x:v>
      </x:c>
      <x:c r="F1542" s="37" t="n">
        <x:v>11665583.25472455</x:v>
      </x:c>
      <x:c r="G1542" s="37" t="n">
        <x:v>86183.25234768286</x:v>
      </x:c>
      <x:c r="H1542" s="37" t="n">
        <x:v>21246.669688234357</x:v>
      </x:c>
      <x:c r="I1542" s="37" t="n">
        <x:v>64936.58265944851</x:v>
      </x:c>
      <x:c r="J1542" s="37" t="n">
        <x:v>10642062.65905204</x:v>
      </x:c>
      <x:c r="K1542" s="37" t="n">
        <x:v>10555879.406704359</x:v>
      </x:c>
      <x:c r="L1542" s="37" t="n">
        <x:v>11751766.507072233</x:v>
      </x:c>
      <x:c r="M1542" s="37" t="n">
        <x:v>0</x:v>
      </x:c>
      <x:c r="N1542" s="37" t="n">
        <x:v>0</x:v>
      </x:c>
      <x:c r="O1542" s="37" t="n">
        <x:v>1917.4199920110404</x:v>
      </x:c>
      <x:c r="P1542" s="37" t="n">
        <x:v>0</x:v>
      </x:c>
      <x:c r="Q1542" s="37" t="n">
        <x:v>0</x:v>
      </x:c>
      <x:c r="R1542" s="37" t="n">
        <x:v>0</x:v>
      </x:c>
      <x:c r="S1542" s="37" t="n">
        <x:v>0</x:v>
      </x:c>
      <x:c r="T1542" s="37" t="n">
        <x:v>0</x:v>
      </x:c>
      <x:c r="U1542" s="37" t="n">
        <x:v>-6779.554702527748</x:v>
      </x:c>
      <x:c r="V1542" s="37" t="n">
        <x:v>0</x:v>
      </x:c>
      <x:c r="W1542" s="37" t="n">
        <x:v>125476.99279169366</x:v>
      </x:c>
      <x:c r="X1542" s="37" t="n">
        <x:v>0</x:v>
      </x:c>
      <x:c r="Y1542" s="37" t="n">
        <x:v>2166.497015385602</x:v>
      </x:c>
      <x:c r="Z1542" s="37" t="n">
        <x:v>10766996.994838446</x:v>
      </x:c>
      <x:c r="AA1542" s="37" t="n">
        <x:v>0</x:v>
      </x:c>
      <x:c r="AB1542" s="37" t="n">
        <x:v>10766996.994838446</x:v>
      </x:c>
      <x:c r="AC1542" s="37" t="n">
        <x:v>898586.2598861028</x:v>
      </x:c>
      <x:c r="AD1542" s="37" t="n">
        <x:v>0</x:v>
      </x:c>
      <x:c r="AE1542" s="37" t="n">
        <x:v>0</x:v>
      </x:c>
      <x:c r="AF1542" s="47" t="b">
        <x:v>0</x:v>
      </x:c>
      <x:c r="AG1542" s="47" t="b">
        <x:v>0</x:v>
      </x:c>
      <x:c r="AH1542" s="48" t="n">
        <x:v>0</x:v>
      </x:c>
      <x:c r="AI1542" s="48" t="n">
        <x:v>1.1920928955078125e-7</x:v>
      </x:c>
      <x:c r="AJ1542" s="37" t="str">
        <x:v>passed</x:v>
      </x:c>
    </x:row>
    <x:row r="1543" ht="21" customHeight="1">
      <x:c r="A1543" s="2"/>
      <x:c r="B1543" s="2"/>
      <x:c r="C1543" s="2" t="str">
        <x:v>2023</x:v>
      </x:c>
      <x:c r="D1543" s="5" t="n">
        <x:v>45125</x:v>
      </x:c>
      <x:c r="E1543" s="2" t="str">
        <x:v>unhedged</x:v>
      </x:c>
      <x:c r="F1543" s="37" t="n">
        <x:v>1276080.763449818</x:v>
      </x:c>
      <x:c r="G1543" s="37" t="n">
        <x:v>10567931.82130787</x:v>
      </x:c>
      <x:c r="H1543" s="37" t="n">
        <x:v>42969.27546240692</x:v>
      </x:c>
      <x:c r="I1543" s="37" t="n">
        <x:v>10524962.545845462</x:v>
      </x:c>
      <x:c r="J1543" s="37" t="n">
        <x:v>10567931.82130787</x:v>
      </x:c>
      <x:c r="K1543" s="37" t="n">
        <x:v>0</x:v>
      </x:c>
      <x:c r="L1543" s="37" t="n">
        <x:v>11844012.584757688</x:v>
      </x:c>
      <x:c r="M1543" s="37" t="n">
        <x:v>0</x:v>
      </x:c>
      <x:c r="N1543" s="37" t="n">
        <x:v>0</x:v>
      </x:c>
      <x:c r="O1543" s="37" t="n">
        <x:v>69.91840246808715</x:v>
      </x:c>
      <x:c r="P1543" s="37" t="n">
        <x:v>0</x:v>
      </x:c>
      <x:c r="Q1543" s="37" t="n">
        <x:v>0</x:v>
      </x:c>
      <x:c r="R1543" s="37" t="n">
        <x:v>0</x:v>
      </x:c>
      <x:c r="S1543" s="37" t="n">
        <x:v>0</x:v>
      </x:c>
      <x:c r="T1543" s="37" t="n">
        <x:v>0</x:v>
      </x:c>
      <x:c r="U1543" s="37" t="n">
        <x:v>63750</x:v>
      </x:c>
      <x:c r="V1543" s="37" t="n">
        <x:v>0</x:v>
      </x:c>
      <x:c r="W1543" s="37" t="n">
        <x:v>13373.632791940123</x:v>
      </x:c>
      <x:c r="X1543" s="37" t="n">
        <x:v>0</x:v>
      </x:c>
      <x:c r="Y1543" s="37" t="n">
        <x:v>1042.869342122179</x:v>
      </x:c>
      <x:c r="Z1543" s="37" t="n">
        <x:v>0</x:v>
      </x:c>
      <x:c r="AA1543" s="37" t="n">
        <x:v>0</x:v>
      </x:c>
      <x:c r="AB1543" s="37" t="n">
        <x:v>0</x:v>
      </x:c>
      <x:c r="AC1543" s="37" t="n">
        <x:v>1276080.763449818</x:v>
      </x:c>
      <x:c r="AD1543" s="37" t="n">
        <x:v>0</x:v>
      </x:c>
      <x:c r="AE1543" s="37" t="n">
        <x:v>0</x:v>
      </x:c>
      <x:c r="AF1543" s="47" t="b">
        <x:v>0</x:v>
      </x:c>
      <x:c r="AG1543" s="47" t="b">
        <x:v>0</x:v>
      </x:c>
      <x:c r="AH1543" s="48" t="n">
        <x:v>0</x:v>
      </x:c>
      <x:c r="AI1543" s="48" t="n">
        <x:v>1.1920928955078125e-7</x:v>
      </x:c>
      <x:c r="AJ1543" s="37" t="str">
        <x:v>passed</x:v>
      </x:c>
    </x:row>
    <x:row r="1544" ht="21" customHeight="1">
      <x:c r="A1544" s="2"/>
      <x:c r="B1544" s="2"/>
      <x:c r="C1544" s="2" t="str">
        <x:v>2023</x:v>
      </x:c>
      <x:c r="D1544" s="5" t="n">
        <x:v>45125</x:v>
      </x:c>
      <x:c r="E1544" s="2" t="str">
        <x:v>duration</x:v>
      </x:c>
      <x:c r="F1544" s="37" t="n">
        <x:v>7634360.029242344</x:v>
      </x:c>
      <x:c r="G1544" s="37" t="n">
        <x:v>4130538.78501915</x:v>
      </x:c>
      <x:c r="H1544" s="37" t="n">
        <x:v>24437.788883286914</x:v>
      </x:c>
      <x:c r="I1544" s="37" t="n">
        <x:v>4106100.996135863</x:v>
      </x:c>
      <x:c r="J1544" s="37" t="n">
        <x:v>10567931.82130787</x:v>
      </x:c>
      <x:c r="K1544" s="37" t="n">
        <x:v>6437393.036288721</x:v>
      </x:c>
      <x:c r="L1544" s="37" t="n">
        <x:v>11764898.814261494</x:v>
      </x:c>
      <x:c r="M1544" s="37" t="n">
        <x:v>0</x:v>
      </x:c>
      <x:c r="N1544" s="37" t="n">
        <x:v>0</x:v>
      </x:c>
      <x:c r="O1544" s="37" t="n">
        <x:v>418.29817704483867</x:v>
      </x:c>
      <x:c r="P1544" s="37" t="n">
        <x:v>0</x:v>
      </x:c>
      <x:c r="Q1544" s="37" t="n">
        <x:v>0</x:v>
      </x:c>
      <x:c r="R1544" s="37" t="n">
        <x:v>0</x:v>
      </x:c>
      <x:c r="S1544" s="37" t="n">
        <x:v>0</x:v>
      </x:c>
      <x:c r="T1544" s="37" t="n">
        <x:v>0</x:v>
      </x:c>
      <x:c r="U1544" s="37" t="n">
        <x:v>9917.381478397001</x:v>
      </x:c>
      <x:c r="V1544" s="37" t="n">
        <x:v>0</x:v>
      </x:c>
      <x:c r="W1544" s="37" t="n">
        <x:v>83080.60562324617</x:v>
      </x:c>
      <x:c r="X1544" s="37" t="n">
        <x:v>0</x:v>
      </x:c>
      <x:c r="Y1544" s="37" t="n">
        <x:v>1731.9176760833782</x:v>
      </x:c>
      <x:c r="Z1544" s="37" t="n">
        <x:v>6566140.897014495</x:v>
      </x:c>
      <x:c r="AA1544" s="37" t="n">
        <x:v>0</x:v>
      </x:c>
      <x:c r="AB1544" s="37" t="n">
        <x:v>6566140.897014495</x:v>
      </x:c>
      <x:c r="AC1544" s="37" t="n">
        <x:v>1068219.1322278492</x:v>
      </x:c>
      <x:c r="AD1544" s="37" t="n">
        <x:v>0</x:v>
      </x:c>
      <x:c r="AE1544" s="37" t="n">
        <x:v>0</x:v>
      </x:c>
      <x:c r="AF1544" s="47" t="b">
        <x:v>0</x:v>
      </x:c>
      <x:c r="AG1544" s="47" t="b">
        <x:v>0</x:v>
      </x:c>
      <x:c r="AH1544" s="48" t="n">
        <x:v>0</x:v>
      </x:c>
      <x:c r="AI1544" s="48" t="n">
        <x:v>5.960464477539063e-8</x:v>
      </x:c>
      <x:c r="AJ1544" s="37" t="str">
        <x:v>passed</x:v>
      </x:c>
    </x:row>
    <x:row r="1545" ht="21" customHeight="1">
      <x:c r="A1545" s="2"/>
      <x:c r="B1545" s="2"/>
      <x:c r="C1545" s="2" t="str">
        <x:v>2023</x:v>
      </x:c>
      <x:c r="D1545" s="5" t="n">
        <x:v>45125</x:v>
      </x:c>
      <x:c r="E1545" s="2" t="str">
        <x:v>unweighted</x:v>
      </x:c>
      <x:c r="F1545" s="37" t="n">
        <x:v>11299439.414651582</x:v>
      </x:c>
      <x:c r="G1545" s="37" t="n">
        <x:v>459580.5472292789</x:v>
      </x:c>
      <x:c r="H1545" s="37" t="n">
        <x:v>21390.775482970377</x:v>
      </x:c>
      <x:c r="I1545" s="37" t="n">
        <x:v>438189.77174630854</x:v>
      </x:c>
      <x:c r="J1545" s="37" t="n">
        <x:v>10647239.857026177</x:v>
      </x:c>
      <x:c r="K1545" s="37" t="n">
        <x:v>10187659.309796898</x:v>
      </x:c>
      <x:c r="L1545" s="37" t="n">
        <x:v>11759019.96188086</x:v>
      </x:c>
      <x:c r="M1545" s="37" t="n">
        <x:v>0</x:v>
      </x:c>
      <x:c r="N1545" s="37" t="n">
        <x:v>0</x:v>
      </x:c>
      <x:c r="O1545" s="37" t="n">
        <x:v>619.113441163674</x:v>
      </x:c>
      <x:c r="P1545" s="37" t="n">
        <x:v>0</x:v>
      </x:c>
      <x:c r="Q1545" s="37" t="n">
        <x:v>0</x:v>
      </x:c>
      <x:c r="R1545" s="37" t="n">
        <x:v>0</x:v>
      </x:c>
      <x:c r="S1545" s="37" t="n">
        <x:v>0</x:v>
      </x:c>
      <x:c r="T1545" s="37" t="n">
        <x:v>0</x:v>
      </x:c>
      <x:c r="U1545" s="37" t="n">
        <x:v>-5694.19584657007</x:v>
      </x:c>
      <x:c r="V1545" s="37" t="n">
        <x:v>0</x:v>
      </x:c>
      <x:c r="W1545" s="37" t="n">
        <x:v>120805.22806840204</x:v>
      </x:c>
      <x:c r="X1545" s="37" t="n">
        <x:v>0</x:v>
      </x:c>
      <x:c r="Y1545" s="37" t="n">
        <x:v>2131.594711383309</x:v>
      </x:c>
      <x:c r="Z1545" s="37" t="n">
        <x:v>10391412.495992836</x:v>
      </x:c>
      <x:c r="AA1545" s="37" t="n">
        <x:v>0</x:v>
      </x:c>
      <x:c r="AB1545" s="37" t="n">
        <x:v>10391412.495992836</x:v>
      </x:c>
      <x:c r="AC1545" s="37" t="n">
        <x:v>908026.9186587464</x:v>
      </x:c>
      <x:c r="AD1545" s="37" t="n">
        <x:v>0</x:v>
      </x:c>
      <x:c r="AE1545" s="37" t="n">
        <x:v>0</x:v>
      </x:c>
      <x:c r="AF1545" s="47" t="b">
        <x:v>0</x:v>
      </x:c>
      <x:c r="AG1545" s="47" t="b">
        <x:v>0</x:v>
      </x:c>
      <x:c r="AH1545" s="48" t="n">
        <x:v>0</x:v>
      </x:c>
      <x:c r="AI1545" s="48" t="n">
        <x:v>1.1920928955078125e-7</x:v>
      </x:c>
      <x:c r="AJ1545" s="37" t="str">
        <x:v>passed</x:v>
      </x:c>
    </x:row>
    <x:row r="1546" ht="21" customHeight="1">
      <x:c r="A1546" s="2"/>
      <x:c r="B1546" s="2"/>
      <x:c r="C1546" s="2" t="str">
        <x:v>2023</x:v>
      </x:c>
      <x:c r="D1546" s="5" t="n">
        <x:v>45125</x:v>
      </x:c>
      <x:c r="E1546" s="2" t="str">
        <x:v>constrained</x:v>
      </x:c>
      <x:c r="F1546" s="37" t="n">
        <x:v>11666222.464765904</x:v>
      </x:c>
      <x:c r="G1546" s="37" t="n">
        <x:v>86029.25505716038</x:v>
      </x:c>
      <x:c r="H1546" s="37" t="n">
        <x:v>21214.801499038884</x:v>
      </x:c>
      <x:c r="I1546" s="37" t="n">
        <x:v>64814.453558121495</x:v>
      </x:c>
      <x:c r="J1546" s="37" t="n">
        <x:v>10651798.530560901</x:v>
      </x:c>
      <x:c r="K1546" s="37" t="n">
        <x:v>10565769.27550374</x:v>
      </x:c>
      <x:c r="L1546" s="37" t="n">
        <x:v>11752251.719823064</x:v>
      </x:c>
      <x:c r="M1546" s="37" t="n">
        <x:v>0</x:v>
      </x:c>
      <x:c r="N1546" s="37" t="n">
        <x:v>0</x:v>
      </x:c>
      <x:c r="O1546" s="37" t="n">
        <x:v>639.2100413553417</x:v>
      </x:c>
      <x:c r="P1546" s="37" t="n">
        <x:v>0</x:v>
      </x:c>
      <x:c r="Q1546" s="37" t="n">
        <x:v>0</x:v>
      </x:c>
      <x:c r="R1546" s="37" t="n">
        <x:v>0</x:v>
      </x:c>
      <x:c r="S1546" s="37" t="n">
        <x:v>0</x:v>
      </x:c>
      <x:c r="T1546" s="37" t="n">
        <x:v>0</x:v>
      </x:c>
      <x:c r="U1546" s="37" t="n">
        <x:v>-6779.554702527748</x:v>
      </x:c>
      <x:c r="V1546" s="37" t="n">
        <x:v>0</x:v>
      </x:c>
      <x:c r="W1546" s="37" t="n">
        <x:v>126116.202833049</x:v>
      </x:c>
      <x:c r="X1546" s="37" t="n">
        <x:v>0</x:v>
      </x:c>
      <x:c r="Y1546" s="37" t="n">
        <x:v>2166.497015385602</x:v>
      </x:c>
      <x:c r="Z1546" s="37" t="n">
        <x:v>10777084.661013816</x:v>
      </x:c>
      <x:c r="AA1546" s="37" t="n">
        <x:v>0</x:v>
      </x:c>
      <x:c r="AB1546" s="37" t="n">
        <x:v>10777084.661013816</x:v>
      </x:c>
      <x:c r="AC1546" s="37" t="n">
        <x:v>889137.8037520889</x:v>
      </x:c>
      <x:c r="AD1546" s="37" t="n">
        <x:v>0</x:v>
      </x:c>
      <x:c r="AE1546" s="37" t="n">
        <x:v>0</x:v>
      </x:c>
      <x:c r="AF1546" s="47" t="b">
        <x:v>0</x:v>
      </x:c>
      <x:c r="AG1546" s="47" t="b">
        <x:v>0</x:v>
      </x:c>
      <x:c r="AH1546" s="48" t="n">
        <x:v>0</x:v>
      </x:c>
      <x:c r="AI1546" s="48" t="n">
        <x:v>1.1920928955078125e-7</x:v>
      </x:c>
      <x:c r="AJ1546" s="37" t="str">
        <x:v>passed</x:v>
      </x:c>
    </x:row>
    <x:row r="1547" ht="21" customHeight="1">
      <x:c r="A1547" s="2"/>
      <x:c r="B1547" s="2"/>
      <x:c r="C1547" s="2" t="str">
        <x:v>2023</x:v>
      </x:c>
      <x:c r="D1547" s="5" t="n">
        <x:v>45126</x:v>
      </x:c>
      <x:c r="E1547" s="2" t="str">
        <x:v>unhedged</x:v>
      </x:c>
      <x:c r="F1547" s="37" t="n">
        <x:v>1276150.6856834318</x:v>
      </x:c>
      <x:c r="G1547" s="37" t="n">
        <x:v>10587963.762489973</x:v>
      </x:c>
      <x:c r="H1547" s="37" t="n">
        <x:v>43319.12082632716</x:v>
      </x:c>
      <x:c r="I1547" s="37" t="n">
        <x:v>10544644.641663646</x:v>
      </x:c>
      <x:c r="J1547" s="37" t="n">
        <x:v>10587963.762489973</x:v>
      </x:c>
      <x:c r="K1547" s="37" t="n">
        <x:v>0</x:v>
      </x:c>
      <x:c r="L1547" s="37" t="n">
        <x:v>11864114.448173404</x:v>
      </x:c>
      <x:c r="M1547" s="37" t="n">
        <x:v>0</x:v>
      </x:c>
      <x:c r="N1547" s="37" t="n">
        <x:v>0</x:v>
      </x:c>
      <x:c r="O1547" s="37" t="n">
        <x:v>69.92223361390643</x:v>
      </x:c>
      <x:c r="P1547" s="37" t="n">
        <x:v>0</x:v>
      </x:c>
      <x:c r="Q1547" s="37" t="n">
        <x:v>0</x:v>
      </x:c>
      <x:c r="R1547" s="37" t="n">
        <x:v>0</x:v>
      </x:c>
      <x:c r="S1547" s="37" t="n">
        <x:v>0</x:v>
      </x:c>
      <x:c r="T1547" s="37" t="n">
        <x:v>0</x:v>
      </x:c>
      <x:c r="U1547" s="37" t="n">
        <x:v>63750</x:v>
      </x:c>
      <x:c r="V1547" s="37" t="n">
        <x:v>0</x:v>
      </x:c>
      <x:c r="W1547" s="37" t="n">
        <x:v>13443.55502555403</x:v>
      </x:c>
      <x:c r="X1547" s="37" t="n">
        <x:v>0</x:v>
      </x:c>
      <x:c r="Y1547" s="37" t="n">
        <x:v>1042.869342122179</x:v>
      </x:c>
      <x:c r="Z1547" s="37" t="n">
        <x:v>0</x:v>
      </x:c>
      <x:c r="AA1547" s="37" t="n">
        <x:v>0</x:v>
      </x:c>
      <x:c r="AB1547" s="37" t="n">
        <x:v>0</x:v>
      </x:c>
      <x:c r="AC1547" s="37" t="n">
        <x:v>1276150.6856834318</x:v>
      </x:c>
      <x:c r="AD1547" s="37" t="n">
        <x:v>0</x:v>
      </x:c>
      <x:c r="AE1547" s="37" t="n">
        <x:v>0</x:v>
      </x:c>
      <x:c r="AF1547" s="47" t="b">
        <x:v>0</x:v>
      </x:c>
      <x:c r="AG1547" s="47" t="b">
        <x:v>0</x:v>
      </x:c>
      <x:c r="AH1547" s="48" t="n">
        <x:v>0</x:v>
      </x:c>
      <x:c r="AI1547" s="48" t="n">
        <x:v>1.1920928955078125e-7</x:v>
      </x:c>
      <x:c r="AJ1547" s="37" t="str">
        <x:v>passed</x:v>
      </x:c>
    </x:row>
    <x:row r="1548" ht="21" customHeight="1">
      <x:c r="A1548" s="2"/>
      <x:c r="B1548" s="2"/>
      <x:c r="C1548" s="2" t="str">
        <x:v>2023</x:v>
      </x:c>
      <x:c r="D1548" s="5" t="n">
        <x:v>45126</x:v>
      </x:c>
      <x:c r="E1548" s="2" t="str">
        <x:v>duration</x:v>
      </x:c>
      <x:c r="F1548" s="37" t="n">
        <x:v>7634778.350339837</x:v>
      </x:c>
      <x:c r="G1548" s="37" t="n">
        <x:v>4125818.173925227</x:v>
      </x:c>
      <x:c r="H1548" s="37" t="n">
        <x:v>24498.07976940841</x:v>
      </x:c>
      <x:c r="I1548" s="37" t="n">
        <x:v>4101320.0941558187</x:v>
      </x:c>
      <x:c r="J1548" s="37" t="n">
        <x:v>10587963.762489973</x:v>
      </x:c>
      <x:c r="K1548" s="37" t="n">
        <x:v>6462145.588564745</x:v>
      </x:c>
      <x:c r="L1548" s="37" t="n">
        <x:v>11760596.524265064</x:v>
      </x:c>
      <x:c r="M1548" s="37" t="n">
        <x:v>0</x:v>
      </x:c>
      <x:c r="N1548" s="37" t="n">
        <x:v>0</x:v>
      </x:c>
      <x:c r="O1548" s="37" t="n">
        <x:v>418.3210974931717</x:v>
      </x:c>
      <x:c r="P1548" s="37" t="n">
        <x:v>0</x:v>
      </x:c>
      <x:c r="Q1548" s="37" t="n">
        <x:v>0</x:v>
      </x:c>
      <x:c r="R1548" s="37" t="n">
        <x:v>0</x:v>
      </x:c>
      <x:c r="S1548" s="37" t="n">
        <x:v>0</x:v>
      </x:c>
      <x:c r="T1548" s="37" t="n">
        <x:v>0</x:v>
      </x:c>
      <x:c r="U1548" s="37" t="n">
        <x:v>9917.381478397001</x:v>
      </x:c>
      <x:c r="V1548" s="37" t="n">
        <x:v>0</x:v>
      </x:c>
      <x:c r="W1548" s="37" t="n">
        <x:v>83498.92672073934</x:v>
      </x:c>
      <x:c r="X1548" s="37" t="n">
        <x:v>0</x:v>
      </x:c>
      <x:c r="Y1548" s="37" t="n">
        <x:v>1731.9176760833782</x:v>
      </x:c>
      <x:c r="Z1548" s="37" t="n">
        <x:v>6591388.50033604</x:v>
      </x:c>
      <x:c r="AA1548" s="37" t="n">
        <x:v>0</x:v>
      </x:c>
      <x:c r="AB1548" s="37" t="n">
        <x:v>6591388.50033604</x:v>
      </x:c>
      <x:c r="AC1548" s="37" t="n">
        <x:v>1043389.8500037976</x:v>
      </x:c>
      <x:c r="AD1548" s="37" t="n">
        <x:v>0</x:v>
      </x:c>
      <x:c r="AE1548" s="37" t="n">
        <x:v>0</x:v>
      </x:c>
      <x:c r="AF1548" s="47" t="b">
        <x:v>0</x:v>
      </x:c>
      <x:c r="AG1548" s="47" t="b">
        <x:v>0</x:v>
      </x:c>
      <x:c r="AH1548" s="48" t="n">
        <x:v>0</x:v>
      </x:c>
      <x:c r="AI1548" s="48" t="n">
        <x:v>5.960464477539063e-8</x:v>
      </x:c>
      <x:c r="AJ1548" s="37" t="str">
        <x:v>passed</x:v>
      </x:c>
    </x:row>
    <x:row r="1549" ht="21" customHeight="1">
      <x:c r="A1549" s="2"/>
      <x:c r="B1549" s="2"/>
      <x:c r="C1549" s="2" t="str">
        <x:v>2023</x:v>
      </x:c>
      <x:c r="D1549" s="5" t="n">
        <x:v>45126</x:v>
      </x:c>
      <x:c r="E1549" s="2" t="str">
        <x:v>unweighted</x:v>
      </x:c>
      <x:c r="F1549" s="37" t="n">
        <x:v>11300058.562016768</x:v>
      </x:c>
      <x:c r="G1549" s="37" t="n">
        <x:v>459295.5240722411</x:v>
      </x:c>
      <x:c r="H1549" s="37" t="n">
        <x:v>21363.587709768755</x:v>
      </x:c>
      <x:c r="I1549" s="37" t="n">
        <x:v>437931.93636247236</x:v>
      </x:c>
      <x:c r="J1549" s="37" t="n">
        <x:v>10667963.238223068</x:v>
      </x:c>
      <x:c r="K1549" s="37" t="n">
        <x:v>10208667.714150827</x:v>
      </x:c>
      <x:c r="L1549" s="37" t="n">
        <x:v>11759354.08608901</x:v>
      </x:c>
      <x:c r="M1549" s="37" t="n">
        <x:v>0</x:v>
      </x:c>
      <x:c r="N1549" s="37" t="n">
        <x:v>0</x:v>
      </x:c>
      <x:c r="O1549" s="37" t="n">
        <x:v>619.1473651863635</x:v>
      </x:c>
      <x:c r="P1549" s="37" t="n">
        <x:v>0</x:v>
      </x:c>
      <x:c r="Q1549" s="37" t="n">
        <x:v>0</x:v>
      </x:c>
      <x:c r="R1549" s="37" t="n">
        <x:v>0</x:v>
      </x:c>
      <x:c r="S1549" s="37" t="n">
        <x:v>0</x:v>
      </x:c>
      <x:c r="T1549" s="37" t="n">
        <x:v>0</x:v>
      </x:c>
      <x:c r="U1549" s="37" t="n">
        <x:v>-5694.19584657007</x:v>
      </x:c>
      <x:c r="V1549" s="37" t="n">
        <x:v>0</x:v>
      </x:c>
      <x:c r="W1549" s="37" t="n">
        <x:v>121424.3754335884</x:v>
      </x:c>
      <x:c r="X1549" s="37" t="n">
        <x:v>0</x:v>
      </x:c>
      <x:c r="Y1549" s="37" t="n">
        <x:v>2131.594711383309</x:v>
      </x:c>
      <x:c r="Z1549" s="37" t="n">
        <x:v>10412841.068433844</x:v>
      </x:c>
      <x:c r="AA1549" s="37" t="n">
        <x:v>0</x:v>
      </x:c>
      <x:c r="AB1549" s="37" t="n">
        <x:v>10412841.068433844</x:v>
      </x:c>
      <x:c r="AC1549" s="37" t="n">
        <x:v>887217.4935829248</x:v>
      </x:c>
      <x:c r="AD1549" s="37" t="n">
        <x:v>0</x:v>
      </x:c>
      <x:c r="AE1549" s="37" t="n">
        <x:v>0</x:v>
      </x:c>
      <x:c r="AF1549" s="47" t="b">
        <x:v>0</x:v>
      </x:c>
      <x:c r="AG1549" s="47" t="b">
        <x:v>0</x:v>
      </x:c>
      <x:c r="AH1549" s="48" t="n">
        <x:v>0</x:v>
      </x:c>
      <x:c r="AI1549" s="48" t="n">
        <x:v>1.1920928955078125e-7</x:v>
      </x:c>
      <x:c r="AJ1549" s="37" t="str">
        <x:v>passed</x:v>
      </x:c>
    </x:row>
    <x:row r="1550" ht="21" customHeight="1">
      <x:c r="A1550" s="2"/>
      <x:c r="B1550" s="2"/>
      <x:c r="C1550" s="2" t="str">
        <x:v>2023</x:v>
      </x:c>
      <x:c r="D1550" s="5" t="n">
        <x:v>45126</x:v>
      </x:c>
      <x:c r="E1550" s="2" t="str">
        <x:v>constrained</x:v>
      </x:c>
      <x:c r="F1550" s="37" t="n">
        <x:v>11666861.709832469</x:v>
      </x:c>
      <x:c r="G1550" s="37" t="n">
        <x:v>85954.29593662698</x:v>
      </x:c>
      <x:c r="H1550" s="37" t="n">
        <x:v>21182.93330984341</x:v>
      </x:c>
      <x:c r="I1550" s="37" t="n">
        <x:v>64771.362626783564</x:v>
      </x:c>
      <x:c r="J1550" s="37" t="n">
        <x:v>10672561.656145202</x:v>
      </x:c>
      <x:c r="K1550" s="37" t="n">
        <x:v>10586607.360208575</x:v>
      </x:c>
      <x:c r="L1550" s="37" t="n">
        <x:v>11752816.005769096</x:v>
      </x:c>
      <x:c r="M1550" s="37" t="n">
        <x:v>0</x:v>
      </x:c>
      <x:c r="N1550" s="37" t="n">
        <x:v>0</x:v>
      </x:c>
      <x:c r="O1550" s="37" t="n">
        <x:v>639.2450665645301</x:v>
      </x:c>
      <x:c r="P1550" s="37" t="n">
        <x:v>0</x:v>
      </x:c>
      <x:c r="Q1550" s="37" t="n">
        <x:v>0</x:v>
      </x:c>
      <x:c r="R1550" s="37" t="n">
        <x:v>0</x:v>
      </x:c>
      <x:c r="S1550" s="37" t="n">
        <x:v>0</x:v>
      </x:c>
      <x:c r="T1550" s="37" t="n">
        <x:v>0</x:v>
      </x:c>
      <x:c r="U1550" s="37" t="n">
        <x:v>-6779.554702527748</x:v>
      </x:c>
      <x:c r="V1550" s="37" t="n">
        <x:v>0</x:v>
      </x:c>
      <x:c r="W1550" s="37" t="n">
        <x:v>126755.44789961353</x:v>
      </x:c>
      <x:c r="X1550" s="37" t="n">
        <x:v>0</x:v>
      </x:c>
      <x:c r="Y1550" s="37" t="n">
        <x:v>2166.497015385602</x:v>
      </x:c>
      <x:c r="Z1550" s="37" t="n">
        <x:v>10798339.507412747</x:v>
      </x:c>
      <x:c r="AA1550" s="37" t="n">
        <x:v>0</x:v>
      </x:c>
      <x:c r="AB1550" s="37" t="n">
        <x:v>10798339.507412747</x:v>
      </x:c>
      <x:c r="AC1550" s="37" t="n">
        <x:v>868522.2024197225</x:v>
      </x:c>
      <x:c r="AD1550" s="37" t="n">
        <x:v>0</x:v>
      </x:c>
      <x:c r="AE1550" s="37" t="n">
        <x:v>0</x:v>
      </x:c>
      <x:c r="AF1550" s="47" t="b">
        <x:v>0</x:v>
      </x:c>
      <x:c r="AG1550" s="47" t="b">
        <x:v>0</x:v>
      </x:c>
      <x:c r="AH1550" s="48" t="n">
        <x:v>0</x:v>
      </x:c>
      <x:c r="AI1550" s="48" t="n">
        <x:v>1.1920928955078125e-7</x:v>
      </x:c>
      <x:c r="AJ1550" s="37" t="str">
        <x:v>passed</x:v>
      </x:c>
    </x:row>
    <x:row r="1551" ht="21" customHeight="1">
      <x:c r="A1551" s="2"/>
      <x:c r="B1551" s="2"/>
      <x:c r="C1551" s="2" t="str">
        <x:v>2023</x:v>
      </x:c>
      <x:c r="D1551" s="5" t="n">
        <x:v>45127</x:v>
      </x:c>
      <x:c r="E1551" s="2" t="str">
        <x:v>unhedged</x:v>
      </x:c>
      <x:c r="F1551" s="37" t="n">
        <x:v>1276220.6117484008</x:v>
      </x:c>
      <x:c r="G1551" s="37" t="n">
        <x:v>10538980.172731679</x:v>
      </x:c>
      <x:c r="H1551" s="37" t="n">
        <x:v>43668.96619024742</x:v>
      </x:c>
      <x:c r="I1551" s="37" t="n">
        <x:v>10495311.206541432</x:v>
      </x:c>
      <x:c r="J1551" s="37" t="n">
        <x:v>10538980.172731679</x:v>
      </x:c>
      <x:c r="K1551" s="37" t="n">
        <x:v>0</x:v>
      </x:c>
      <x:c r="L1551" s="37" t="n">
        <x:v>11815200.78448008</x:v>
      </x:c>
      <x:c r="M1551" s="37" t="n">
        <x:v>0</x:v>
      </x:c>
      <x:c r="N1551" s="37" t="n">
        <x:v>0</x:v>
      </x:c>
      <x:c r="O1551" s="37" t="n">
        <x:v>69.92606496904045</x:v>
      </x:c>
      <x:c r="P1551" s="37" t="n">
        <x:v>0</x:v>
      </x:c>
      <x:c r="Q1551" s="37" t="n">
        <x:v>0</x:v>
      </x:c>
      <x:c r="R1551" s="37" t="n">
        <x:v>0</x:v>
      </x:c>
      <x:c r="S1551" s="37" t="n">
        <x:v>0</x:v>
      </x:c>
      <x:c r="T1551" s="37" t="n">
        <x:v>0</x:v>
      </x:c>
      <x:c r="U1551" s="37" t="n">
        <x:v>63750</x:v>
      </x:c>
      <x:c r="V1551" s="37" t="n">
        <x:v>0</x:v>
      </x:c>
      <x:c r="W1551" s="37" t="n">
        <x:v>13513.48109052307</x:v>
      </x:c>
      <x:c r="X1551" s="37" t="n">
        <x:v>0</x:v>
      </x:c>
      <x:c r="Y1551" s="37" t="n">
        <x:v>1042.869342122179</x:v>
      </x:c>
      <x:c r="Z1551" s="37" t="n">
        <x:v>0</x:v>
      </x:c>
      <x:c r="AA1551" s="37" t="n">
        <x:v>0</x:v>
      </x:c>
      <x:c r="AB1551" s="37" t="n">
        <x:v>0</x:v>
      </x:c>
      <x:c r="AC1551" s="37" t="n">
        <x:v>1276220.6117484008</x:v>
      </x:c>
      <x:c r="AD1551" s="37" t="n">
        <x:v>0</x:v>
      </x:c>
      <x:c r="AE1551" s="37" t="n">
        <x:v>0</x:v>
      </x:c>
      <x:c r="AF1551" s="47" t="b">
        <x:v>0</x:v>
      </x:c>
      <x:c r="AG1551" s="47" t="b">
        <x:v>0</x:v>
      </x:c>
      <x:c r="AH1551" s="48" t="n">
        <x:v>0</x:v>
      </x:c>
      <x:c r="AI1551" s="48" t="n">
        <x:v>1.1920928955078125e-7</x:v>
      </x:c>
      <x:c r="AJ1551" s="37" t="str">
        <x:v>passed</x:v>
      </x:c>
    </x:row>
    <x:row r="1552" ht="21" customHeight="1">
      <x:c r="A1552" s="2"/>
      <x:c r="B1552" s="2"/>
      <x:c r="C1552" s="2" t="str">
        <x:v>2023</x:v>
      </x:c>
      <x:c r="D1552" s="5" t="n">
        <x:v>45127</x:v>
      </x:c>
      <x:c r="E1552" s="2" t="str">
        <x:v>duration</x:v>
      </x:c>
      <x:c r="F1552" s="37" t="n">
        <x:v>7635196.694359033</x:v>
      </x:c>
      <x:c r="G1552" s="37" t="n">
        <x:v>4128794.795345325</x:v>
      </x:c>
      <x:c r="H1552" s="37" t="n">
        <x:v>24558.370655529918</x:v>
      </x:c>
      <x:c r="I1552" s="37" t="n">
        <x:v>4104236.424689795</x:v>
      </x:c>
      <x:c r="J1552" s="37" t="n">
        <x:v>10538980.172731679</x:v>
      </x:c>
      <x:c r="K1552" s="37" t="n">
        <x:v>6410185.377386353</x:v>
      </x:c>
      <x:c r="L1552" s="37" t="n">
        <x:v>11763991.48970436</x:v>
      </x:c>
      <x:c r="M1552" s="37" t="n">
        <x:v>0</x:v>
      </x:c>
      <x:c r="N1552" s="37" t="n">
        <x:v>0</x:v>
      </x:c>
      <x:c r="O1552" s="37" t="n">
        <x:v>418.3440191959962</x:v>
      </x:c>
      <x:c r="P1552" s="37" t="n">
        <x:v>0</x:v>
      </x:c>
      <x:c r="Q1552" s="37" t="n">
        <x:v>0</x:v>
      </x:c>
      <x:c r="R1552" s="37" t="n">
        <x:v>0</x:v>
      </x:c>
      <x:c r="S1552" s="37" t="n">
        <x:v>0</x:v>
      </x:c>
      <x:c r="T1552" s="37" t="n">
        <x:v>0</x:v>
      </x:c>
      <x:c r="U1552" s="37" t="n">
        <x:v>9917.381478397001</x:v>
      </x:c>
      <x:c r="V1552" s="37" t="n">
        <x:v>0</x:v>
      </x:c>
      <x:c r="W1552" s="37" t="n">
        <x:v>83917.27073993534</x:v>
      </x:c>
      <x:c r="X1552" s="37" t="n">
        <x:v>0</x:v>
      </x:c>
      <x:c r="Y1552" s="37" t="n">
        <x:v>1731.9176760833782</x:v>
      </x:c>
      <x:c r="Z1552" s="37" t="n">
        <x:v>6538389.08493408</x:v>
      </x:c>
      <x:c r="AA1552" s="37" t="n">
        <x:v>0</x:v>
      </x:c>
      <x:c r="AB1552" s="37" t="n">
        <x:v>6538389.08493408</x:v>
      </x:c>
      <x:c r="AC1552" s="37" t="n">
        <x:v>1096807.6094249533</x:v>
      </x:c>
      <x:c r="AD1552" s="37" t="n">
        <x:v>0</x:v>
      </x:c>
      <x:c r="AE1552" s="37" t="n">
        <x:v>0</x:v>
      </x:c>
      <x:c r="AF1552" s="47" t="b">
        <x:v>0</x:v>
      </x:c>
      <x:c r="AG1552" s="47" t="b">
        <x:v>0</x:v>
      </x:c>
      <x:c r="AH1552" s="48" t="n">
        <x:v>0</x:v>
      </x:c>
      <x:c r="AI1552" s="48" t="n">
        <x:v>5.960464477539063e-8</x:v>
      </x:c>
      <x:c r="AJ1552" s="37" t="str">
        <x:v>passed</x:v>
      </x:c>
    </x:row>
    <x:row r="1553" ht="21" customHeight="1">
      <x:c r="A1553" s="2"/>
      <x:c r="B1553" s="2"/>
      <x:c r="C1553" s="2" t="str">
        <x:v>2023</x:v>
      </x:c>
      <x:c r="D1553" s="5" t="n">
        <x:v>45127</x:v>
      </x:c>
      <x:c r="E1553" s="2" t="str">
        <x:v>unweighted</x:v>
      </x:c>
      <x:c r="F1553" s="37" t="n">
        <x:v>11300677.743307838</x:v>
      </x:c>
      <x:c r="G1553" s="37" t="n">
        <x:v>459693.3860277943</x:v>
      </x:c>
      <x:c r="H1553" s="37" t="n">
        <x:v>21336.399936567144</x:v>
      </x:c>
      <x:c r="I1553" s="37" t="n">
        <x:v>438356.98609122715</x:v>
      </x:c>
      <x:c r="J1553" s="37" t="n">
        <x:v>10618025.842574159</x:v>
      </x:c>
      <x:c r="K1553" s="37" t="n">
        <x:v>10158332.456546366</x:v>
      </x:c>
      <x:c r="L1553" s="37" t="n">
        <x:v>11760371.129335633</x:v>
      </x:c>
      <x:c r="M1553" s="37" t="n">
        <x:v>0</x:v>
      </x:c>
      <x:c r="N1553" s="37" t="n">
        <x:v>0</x:v>
      </x:c>
      <x:c r="O1553" s="37" t="n">
        <x:v>619.1812910698354</x:v>
      </x:c>
      <x:c r="P1553" s="37" t="n">
        <x:v>0</x:v>
      </x:c>
      <x:c r="Q1553" s="37" t="n">
        <x:v>0</x:v>
      </x:c>
      <x:c r="R1553" s="37" t="n">
        <x:v>0</x:v>
      </x:c>
      <x:c r="S1553" s="37" t="n">
        <x:v>0</x:v>
      </x:c>
      <x:c r="T1553" s="37" t="n">
        <x:v>0</x:v>
      </x:c>
      <x:c r="U1553" s="37" t="n">
        <x:v>-5694.19584657007</x:v>
      </x:c>
      <x:c r="V1553" s="37" t="n">
        <x:v>0</x:v>
      </x:c>
      <x:c r="W1553" s="37" t="n">
        <x:v>122043.55672465824</x:v>
      </x:c>
      <x:c r="X1553" s="37" t="n">
        <x:v>0</x:v>
      </x:c>
      <x:c r="Y1553" s="37" t="n">
        <x:v>2131.594711383309</x:v>
      </x:c>
      <x:c r="Z1553" s="37" t="n">
        <x:v>10361499.105677294</x:v>
      </x:c>
      <x:c r="AA1553" s="37" t="n">
        <x:v>0</x:v>
      </x:c>
      <x:c r="AB1553" s="37" t="n">
        <x:v>10361499.105677294</x:v>
      </x:c>
      <x:c r="AC1553" s="37" t="n">
        <x:v>939178.6376305446</x:v>
      </x:c>
      <x:c r="AD1553" s="37" t="n">
        <x:v>0</x:v>
      </x:c>
      <x:c r="AE1553" s="37" t="n">
        <x:v>0</x:v>
      </x:c>
      <x:c r="AF1553" s="47" t="b">
        <x:v>0</x:v>
      </x:c>
      <x:c r="AG1553" s="47" t="b">
        <x:v>0</x:v>
      </x:c>
      <x:c r="AH1553" s="48" t="n">
        <x:v>0</x:v>
      </x:c>
      <x:c r="AI1553" s="48" t="n">
        <x:v>1.1920928955078125e-7</x:v>
      </x:c>
      <x:c r="AJ1553" s="37" t="str">
        <x:v>passed</x:v>
      </x:c>
    </x:row>
    <x:row r="1554" ht="21" customHeight="1">
      <x:c r="A1554" s="2"/>
      <x:c r="B1554" s="2"/>
      <x:c r="C1554" s="2" t="str">
        <x:v>2023</x:v>
      </x:c>
      <x:c r="D1554" s="5" t="n">
        <x:v>45127</x:v>
      </x:c>
      <x:c r="E1554" s="2" t="str">
        <x:v>constrained</x:v>
      </x:c>
      <x:c r="F1554" s="37" t="n">
        <x:v>11667500.989926158</x:v>
      </x:c>
      <x:c r="G1554" s="37" t="n">
        <x:v>85966.86640593236</x:v>
      </x:c>
      <x:c r="H1554" s="37" t="n">
        <x:v>21151.065120647945</x:v>
      </x:c>
      <x:c r="I1554" s="37" t="n">
        <x:v>64815.80128528442</x:v>
      </x:c>
      <x:c r="J1554" s="37" t="n">
        <x:v>10622569.435160734</x:v>
      </x:c>
      <x:c r="K1554" s="37" t="n">
        <x:v>10536602.568754802</x:v>
      </x:c>
      <x:c r="L1554" s="37" t="n">
        <x:v>11753467.85633209</x:v>
      </x:c>
      <x:c r="M1554" s="37" t="n">
        <x:v>0</x:v>
      </x:c>
      <x:c r="N1554" s="37" t="n">
        <x:v>0</x:v>
      </x:c>
      <x:c r="O1554" s="37" t="n">
        <x:v>639.2800936885178</x:v>
      </x:c>
      <x:c r="P1554" s="37" t="n">
        <x:v>0</x:v>
      </x:c>
      <x:c r="Q1554" s="37" t="n">
        <x:v>0</x:v>
      </x:c>
      <x:c r="R1554" s="37" t="n">
        <x:v>0</x:v>
      </x:c>
      <x:c r="S1554" s="37" t="n">
        <x:v>0</x:v>
      </x:c>
      <x:c r="T1554" s="37" t="n">
        <x:v>0</x:v>
      </x:c>
      <x:c r="U1554" s="37" t="n">
        <x:v>-6779.554702527748</x:v>
      </x:c>
      <x:c r="V1554" s="37" t="n">
        <x:v>0</x:v>
      </x:c>
      <x:c r="W1554" s="37" t="n">
        <x:v>127394.72799330205</x:v>
      </x:c>
      <x:c r="X1554" s="37" t="n">
        <x:v>0</x:v>
      </x:c>
      <x:c r="Y1554" s="37" t="n">
        <x:v>2166.497015385602</x:v>
      </x:c>
      <x:c r="Z1554" s="37" t="n">
        <x:v>10747334.620129898</x:v>
      </x:c>
      <x:c r="AA1554" s="37" t="n">
        <x:v>0</x:v>
      </x:c>
      <x:c r="AB1554" s="37" t="n">
        <x:v>10747334.620129898</x:v>
      </x:c>
      <x:c r="AC1554" s="37" t="n">
        <x:v>920166.3697962593</x:v>
      </x:c>
      <x:c r="AD1554" s="37" t="n">
        <x:v>0</x:v>
      </x:c>
      <x:c r="AE1554" s="37" t="n">
        <x:v>0</x:v>
      </x:c>
      <x:c r="AF1554" s="47" t="b">
        <x:v>0</x:v>
      </x:c>
      <x:c r="AG1554" s="47" t="b">
        <x:v>0</x:v>
      </x:c>
      <x:c r="AH1554" s="48" t="n">
        <x:v>0</x:v>
      </x:c>
      <x:c r="AI1554" s="48" t="n">
        <x:v>1.1920928955078125e-7</x:v>
      </x:c>
      <x:c r="AJ1554" s="37" t="str">
        <x:v>passed</x:v>
      </x:c>
    </x:row>
    <x:row r="1555" ht="21" customHeight="1">
      <x:c r="A1555" s="2"/>
      <x:c r="B1555" s="2"/>
      <x:c r="C1555" s="2" t="str">
        <x:v>2023</x:v>
      </x:c>
      <x:c r="D1555" s="5" t="n">
        <x:v>45128</x:v>
      </x:c>
      <x:c r="E1555" s="2" t="str">
        <x:v>unhedged</x:v>
      </x:c>
      <x:c r="F1555" s="37" t="n">
        <x:v>1276290.5416449353</x:v>
      </x:c>
      <x:c r="G1555" s="37" t="n">
        <x:v>10537981.600265585</x:v>
      </x:c>
      <x:c r="H1555" s="37" t="n">
        <x:v>44018.811554167674</x:v>
      </x:c>
      <x:c r="I1555" s="37" t="n">
        <x:v>10493962.788711417</x:v>
      </x:c>
      <x:c r="J1555" s="37" t="n">
        <x:v>10537981.600265585</x:v>
      </x:c>
      <x:c r="K1555" s="37" t="n">
        <x:v>0</x:v>
      </x:c>
      <x:c r="L1555" s="37" t="n">
        <x:v>11814272.14191052</x:v>
      </x:c>
      <x:c r="M1555" s="37" t="n">
        <x:v>0</x:v>
      </x:c>
      <x:c r="N1555" s="37" t="n">
        <x:v>0</x:v>
      </x:c>
      <x:c r="O1555" s="37" t="n">
        <x:v>69.92989653442055</x:v>
      </x:c>
      <x:c r="P1555" s="37" t="n">
        <x:v>0</x:v>
      </x:c>
      <x:c r="Q1555" s="37" t="n">
        <x:v>0</x:v>
      </x:c>
      <x:c r="R1555" s="37" t="n">
        <x:v>0</x:v>
      </x:c>
      <x:c r="S1555" s="37" t="n">
        <x:v>0</x:v>
      </x:c>
      <x:c r="T1555" s="37" t="n">
        <x:v>0</x:v>
      </x:c>
      <x:c r="U1555" s="37" t="n">
        <x:v>63750</x:v>
      </x:c>
      <x:c r="V1555" s="37" t="n">
        <x:v>0</x:v>
      </x:c>
      <x:c r="W1555" s="37" t="n">
        <x:v>13583.41098705749</x:v>
      </x:c>
      <x:c r="X1555" s="37" t="n">
        <x:v>0</x:v>
      </x:c>
      <x:c r="Y1555" s="37" t="n">
        <x:v>1042.869342122179</x:v>
      </x:c>
      <x:c r="Z1555" s="37" t="n">
        <x:v>0</x:v>
      </x:c>
      <x:c r="AA1555" s="37" t="n">
        <x:v>0</x:v>
      </x:c>
      <x:c r="AB1555" s="37" t="n">
        <x:v>0</x:v>
      </x:c>
      <x:c r="AC1555" s="37" t="n">
        <x:v>1276290.5416449353</x:v>
      </x:c>
      <x:c r="AD1555" s="37" t="n">
        <x:v>0</x:v>
      </x:c>
      <x:c r="AE1555" s="37" t="n">
        <x:v>0</x:v>
      </x:c>
      <x:c r="AF1555" s="47" t="b">
        <x:v>0</x:v>
      </x:c>
      <x:c r="AG1555" s="47" t="b">
        <x:v>0</x:v>
      </x:c>
      <x:c r="AH1555" s="48" t="n">
        <x:v>0</x:v>
      </x:c>
      <x:c r="AI1555" s="48" t="n">
        <x:v>1.1920928955078125e-7</x:v>
      </x:c>
      <x:c r="AJ1555" s="37" t="str">
        <x:v>passed</x:v>
      </x:c>
    </x:row>
    <x:row r="1556" ht="21" customHeight="1">
      <x:c r="A1556" s="2"/>
      <x:c r="B1556" s="2"/>
      <x:c r="C1556" s="2" t="str">
        <x:v>2023</x:v>
      </x:c>
      <x:c r="D1556" s="5" t="n">
        <x:v>45128</x:v>
      </x:c>
      <x:c r="E1556" s="2" t="str">
        <x:v>duration</x:v>
      </x:c>
      <x:c r="F1556" s="37" t="n">
        <x:v>7635615.061301192</x:v>
      </x:c>
      <x:c r="G1556" s="37" t="n">
        <x:v>4127771.2081228653</x:v>
      </x:c>
      <x:c r="H1556" s="37" t="n">
        <x:v>24618.661541651418</x:v>
      </x:c>
      <x:c r="I1556" s="37" t="n">
        <x:v>4103152.546581214</x:v>
      </x:c>
      <x:c r="J1556" s="37" t="n">
        <x:v>10537981.600265585</x:v>
      </x:c>
      <x:c r="K1556" s="37" t="n">
        <x:v>6410210.3921427205</x:v>
      </x:c>
      <x:c r="L1556" s="37" t="n">
        <x:v>11763386.269424058</x:v>
      </x:c>
      <x:c r="M1556" s="37" t="n">
        <x:v>0</x:v>
      </x:c>
      <x:c r="N1556" s="37" t="n">
        <x:v>0</x:v>
      </x:c>
      <x:c r="O1556" s="37" t="n">
        <x:v>418.3669421589002</x:v>
      </x:c>
      <x:c r="P1556" s="37" t="n">
        <x:v>0</x:v>
      </x:c>
      <x:c r="Q1556" s="37" t="n">
        <x:v>0</x:v>
      </x:c>
      <x:c r="R1556" s="37" t="n">
        <x:v>0</x:v>
      </x:c>
      <x:c r="S1556" s="37" t="n">
        <x:v>0</x:v>
      </x:c>
      <x:c r="T1556" s="37" t="n">
        <x:v>0</x:v>
      </x:c>
      <x:c r="U1556" s="37" t="n">
        <x:v>9917.381478397001</x:v>
      </x:c>
      <x:c r="V1556" s="37" t="n">
        <x:v>0</x:v>
      </x:c>
      <x:c r="W1556" s="37" t="n">
        <x:v>84335.63768209424</x:v>
      </x:c>
      <x:c r="X1556" s="37" t="n">
        <x:v>0</x:v>
      </x:c>
      <x:c r="Y1556" s="37" t="n">
        <x:v>1731.9176760833782</x:v>
      </x:c>
      <x:c r="Z1556" s="37" t="n">
        <x:v>6538414.599985575</x:v>
      </x:c>
      <x:c r="AA1556" s="37" t="n">
        <x:v>0</x:v>
      </x:c>
      <x:c r="AB1556" s="37" t="n">
        <x:v>6538414.599985575</x:v>
      </x:c>
      <x:c r="AC1556" s="37" t="n">
        <x:v>1097200.461315617</x:v>
      </x:c>
      <x:c r="AD1556" s="37" t="n">
        <x:v>0</x:v>
      </x:c>
      <x:c r="AE1556" s="37" t="n">
        <x:v>0</x:v>
      </x:c>
      <x:c r="AF1556" s="47" t="b">
        <x:v>0</x:v>
      </x:c>
      <x:c r="AG1556" s="47" t="b">
        <x:v>0</x:v>
      </x:c>
      <x:c r="AH1556" s="48" t="n">
        <x:v>0</x:v>
      </x:c>
      <x:c r="AI1556" s="48" t="n">
        <x:v>5.960464477539063e-8</x:v>
      </x:c>
      <x:c r="AJ1556" s="37" t="str">
        <x:v>passed</x:v>
      </x:c>
    </x:row>
    <x:row r="1557" ht="21" customHeight="1">
      <x:c r="A1557" s="2"/>
      <x:c r="B1557" s="2"/>
      <x:c r="C1557" s="2" t="str">
        <x:v>2023</x:v>
      </x:c>
      <x:c r="D1557" s="5" t="n">
        <x:v>45128</x:v>
      </x:c>
      <x:c r="E1557" s="2" t="str">
        <x:v>unweighted</x:v>
      </x:c>
      <x:c r="F1557" s="37" t="n">
        <x:v>11301296.95852665</x:v>
      </x:c>
      <x:c r="G1557" s="37" t="n">
        <x:v>459666.1778939866</x:v>
      </x:c>
      <x:c r="H1557" s="37" t="n">
        <x:v>21309.21216336553</x:v>
      </x:c>
      <x:c r="I1557" s="37" t="n">
        <x:v>438356.9657306211</x:v>
      </x:c>
      <x:c r="J1557" s="37" t="n">
        <x:v>10617140.511533905</x:v>
      </x:c>
      <x:c r="K1557" s="37" t="n">
        <x:v>10157474.33363992</x:v>
      </x:c>
      <x:c r="L1557" s="37" t="n">
        <x:v>11760963.136420637</x:v>
      </x:c>
      <x:c r="M1557" s="37" t="n">
        <x:v>0</x:v>
      </x:c>
      <x:c r="N1557" s="37" t="n">
        <x:v>0</x:v>
      </x:c>
      <x:c r="O1557" s="37" t="n">
        <x:v>619.2152188122272</x:v>
      </x:c>
      <x:c r="P1557" s="37" t="n">
        <x:v>0</x:v>
      </x:c>
      <x:c r="Q1557" s="37" t="n">
        <x:v>0</x:v>
      </x:c>
      <x:c r="R1557" s="37" t="n">
        <x:v>0</x:v>
      </x:c>
      <x:c r="S1557" s="37" t="n">
        <x:v>0</x:v>
      </x:c>
      <x:c r="T1557" s="37" t="n">
        <x:v>0</x:v>
      </x:c>
      <x:c r="U1557" s="37" t="n">
        <x:v>-5694.19584657007</x:v>
      </x:c>
      <x:c r="V1557" s="37" t="n">
        <x:v>0</x:v>
      </x:c>
      <x:c r="W1557" s="37" t="n">
        <x:v>122662.77194347046</x:v>
      </x:c>
      <x:c r="X1557" s="37" t="n">
        <x:v>0</x:v>
      </x:c>
      <x:c r="Y1557" s="37" t="n">
        <x:v>2131.594711383309</x:v>
      </x:c>
      <x:c r="Z1557" s="37" t="n">
        <x:v>10360623.820312718</x:v>
      </x:c>
      <x:c r="AA1557" s="37" t="n">
        <x:v>0</x:v>
      </x:c>
      <x:c r="AB1557" s="37" t="n">
        <x:v>10360623.820312718</x:v>
      </x:c>
      <x:c r="AC1557" s="37" t="n">
        <x:v>940673.1382139325</x:v>
      </x:c>
      <x:c r="AD1557" s="37" t="n">
        <x:v>0</x:v>
      </x:c>
      <x:c r="AE1557" s="37" t="n">
        <x:v>0</x:v>
      </x:c>
      <x:c r="AF1557" s="47" t="b">
        <x:v>0</x:v>
      </x:c>
      <x:c r="AG1557" s="47" t="b">
        <x:v>0</x:v>
      </x:c>
      <x:c r="AH1557" s="48" t="n">
        <x:v>0</x:v>
      </x:c>
      <x:c r="AI1557" s="48" t="n">
        <x:v>1.1920928955078125e-7</x:v>
      </x:c>
      <x:c r="AJ1557" s="37" t="str">
        <x:v>passed</x:v>
      </x:c>
    </x:row>
    <x:row r="1558" ht="21" customHeight="1">
      <x:c r="A1558" s="2"/>
      <x:c r="B1558" s="2"/>
      <x:c r="C1558" s="2" t="str">
        <x:v>2023</x:v>
      </x:c>
      <x:c r="D1558" s="5" t="n">
        <x:v>45128</x:v>
      </x:c>
      <x:c r="E1558" s="2" t="str">
        <x:v>constrained</x:v>
      </x:c>
      <x:c r="F1558" s="37" t="n">
        <x:v>11668140.305048896</x:v>
      </x:c>
      <x:c r="G1558" s="37" t="n">
        <x:v>85912.94159882188</x:v>
      </x:c>
      <x:c r="H1558" s="37" t="n">
        <x:v>21119.196931452476</x:v>
      </x:c>
      <x:c r="I1558" s="37" t="n">
        <x:v>64793.74466736941</x:v>
      </x:c>
      <x:c r="J1558" s="37" t="n">
        <x:v>10621690.613305664</x:v>
      </x:c>
      <x:c r="K1558" s="37" t="n">
        <x:v>10535777.67170684</x:v>
      </x:c>
      <x:c r="L1558" s="37" t="n">
        <x:v>11754053.246647717</x:v>
      </x:c>
      <x:c r="M1558" s="37" t="n">
        <x:v>0</x:v>
      </x:c>
      <x:c r="N1558" s="37" t="n">
        <x:v>0</x:v>
      </x:c>
      <x:c r="O1558" s="37" t="n">
        <x:v>639.3151227384806</x:v>
      </x:c>
      <x:c r="P1558" s="37" t="n">
        <x:v>0</x:v>
      </x:c>
      <x:c r="Q1558" s="37" t="n">
        <x:v>0</x:v>
      </x:c>
      <x:c r="R1558" s="37" t="n">
        <x:v>0</x:v>
      </x:c>
      <x:c r="S1558" s="37" t="n">
        <x:v>0</x:v>
      </x:c>
      <x:c r="T1558" s="37" t="n">
        <x:v>0</x:v>
      </x:c>
      <x:c r="U1558" s="37" t="n">
        <x:v>-6779.554702527748</x:v>
      </x:c>
      <x:c r="V1558" s="37" t="n">
        <x:v>0</x:v>
      </x:c>
      <x:c r="W1558" s="37" t="n">
        <x:v>128034.04311604053</x:v>
      </x:c>
      <x:c r="X1558" s="37" t="n">
        <x:v>0</x:v>
      </x:c>
      <x:c r="Y1558" s="37" t="n">
        <x:v>2166.497015385602</x:v>
      </x:c>
      <x:c r="Z1558" s="37" t="n">
        <x:v>10746493.225140978</x:v>
      </x:c>
      <x:c r="AA1558" s="37" t="n">
        <x:v>0</x:v>
      </x:c>
      <x:c r="AB1558" s="37" t="n">
        <x:v>10746493.225140978</x:v>
      </x:c>
      <x:c r="AC1558" s="37" t="n">
        <x:v>921647.0799079183</x:v>
      </x:c>
      <x:c r="AD1558" s="37" t="n">
        <x:v>0</x:v>
      </x:c>
      <x:c r="AE1558" s="37" t="n">
        <x:v>0</x:v>
      </x:c>
      <x:c r="AF1558" s="47" t="b">
        <x:v>0</x:v>
      </x:c>
      <x:c r="AG1558" s="47" t="b">
        <x:v>0</x:v>
      </x:c>
      <x:c r="AH1558" s="48" t="n">
        <x:v>0</x:v>
      </x:c>
      <x:c r="AI1558" s="48" t="n">
        <x:v>1.1920928955078125e-7</x:v>
      </x:c>
      <x:c r="AJ1558" s="37" t="str">
        <x:v>passed</x:v>
      </x:c>
    </x:row>
    <x:row r="1559" ht="21" customHeight="1">
      <x:c r="A1559" s="2"/>
      <x:c r="B1559" s="2"/>
      <x:c r="C1559" s="2" t="str">
        <x:v>2023</x:v>
      </x:c>
      <x:c r="D1559" s="5" t="n">
        <x:v>45131</x:v>
      </x:c>
      <x:c r="E1559" s="2" t="str">
        <x:v>unhedged</x:v>
      </x:c>
      <x:c r="F1559" s="37" t="n">
        <x:v>1276500.3543260286</x:v>
      </x:c>
      <x:c r="G1559" s="37" t="n">
        <x:v>10514623.479954585</x:v>
      </x:c>
      <x:c r="H1559" s="37" t="n">
        <x:v>45068.34764592842</x:v>
      </x:c>
      <x:c r="I1559" s="37" t="n">
        <x:v>10469555.132308656</x:v>
      </x:c>
      <x:c r="J1559" s="37" t="n">
        <x:v>10514623.479954585</x:v>
      </x:c>
      <x:c r="K1559" s="37" t="n">
        <x:v>0</x:v>
      </x:c>
      <x:c r="L1559" s="37" t="n">
        <x:v>11791123.834280614</x:v>
      </x:c>
      <x:c r="M1559" s="37" t="n">
        <x:v>0</x:v>
      </x:c>
      <x:c r="N1559" s="37" t="n">
        <x:v>0</x:v>
      </x:c>
      <x:c r="O1559" s="37" t="n">
        <x:v>209.81268109334633</x:v>
      </x:c>
      <x:c r="P1559" s="37" t="n">
        <x:v>0</x:v>
      </x:c>
      <x:c r="Q1559" s="37" t="n">
        <x:v>0</x:v>
      </x:c>
      <x:c r="R1559" s="37" t="n">
        <x:v>0</x:v>
      </x:c>
      <x:c r="S1559" s="37" t="n">
        <x:v>0</x:v>
      </x:c>
      <x:c r="T1559" s="37" t="n">
        <x:v>0</x:v>
      </x:c>
      <x:c r="U1559" s="37" t="n">
        <x:v>63750</x:v>
      </x:c>
      <x:c r="V1559" s="37" t="n">
        <x:v>0</x:v>
      </x:c>
      <x:c r="W1559" s="37" t="n">
        <x:v>13793.223668150837</x:v>
      </x:c>
      <x:c r="X1559" s="37" t="n">
        <x:v>0</x:v>
      </x:c>
      <x:c r="Y1559" s="37" t="n">
        <x:v>1042.869342122179</x:v>
      </x:c>
      <x:c r="Z1559" s="37" t="n">
        <x:v>0</x:v>
      </x:c>
      <x:c r="AA1559" s="37" t="n">
        <x:v>0</x:v>
      </x:c>
      <x:c r="AB1559" s="37" t="n">
        <x:v>0</x:v>
      </x:c>
      <x:c r="AC1559" s="37" t="n">
        <x:v>1276500.3543260286</x:v>
      </x:c>
      <x:c r="AD1559" s="37" t="n">
        <x:v>0</x:v>
      </x:c>
      <x:c r="AE1559" s="37" t="n">
        <x:v>0</x:v>
      </x:c>
      <x:c r="AF1559" s="47" t="b">
        <x:v>0</x:v>
      </x:c>
      <x:c r="AG1559" s="47" t="b">
        <x:v>0</x:v>
      </x:c>
      <x:c r="AH1559" s="48" t="n">
        <x:v>0</x:v>
      </x:c>
      <x:c r="AI1559" s="48" t="n">
        <x:v>1.1920928955078125e-7</x:v>
      </x:c>
      <x:c r="AJ1559" s="37" t="str">
        <x:v>passed</x:v>
      </x:c>
    </x:row>
    <x:row r="1560" ht="21" customHeight="1">
      <x:c r="A1560" s="2"/>
      <x:c r="B1560" s="2"/>
      <x:c r="C1560" s="2" t="str">
        <x:v>2023</x:v>
      </x:c>
      <x:c r="D1560" s="5" t="n">
        <x:v>45131</x:v>
      </x:c>
      <x:c r="E1560" s="2" t="str">
        <x:v>duration</x:v>
      </x:c>
      <x:c r="F1560" s="37" t="n">
        <x:v>7636870.299677984</x:v>
      </x:c>
      <x:c r="G1560" s="37" t="n">
        <x:v>4131638.7153382907</x:v>
      </x:c>
      <x:c r="H1560" s="37" t="n">
        <x:v>24799.534200015914</x:v>
      </x:c>
      <x:c r="I1560" s="37" t="n">
        <x:v>4106839.1811382747</x:v>
      </x:c>
      <x:c r="J1560" s="37" t="n">
        <x:v>10514623.479954585</x:v>
      </x:c>
      <x:c r="K1560" s="37" t="n">
        <x:v>6382984.764616296</x:v>
      </x:c>
      <x:c r="L1560" s="37" t="n">
        <x:v>11768509.015016275</x:v>
      </x:c>
      <x:c r="M1560" s="37" t="n">
        <x:v>0</x:v>
      </x:c>
      <x:c r="N1560" s="37" t="n">
        <x:v>0</x:v>
      </x:c>
      <x:c r="O1560" s="37" t="n">
        <x:v>1255.238376791589</x:v>
      </x:c>
      <x:c r="P1560" s="37" t="n">
        <x:v>0</x:v>
      </x:c>
      <x:c r="Q1560" s="37" t="n">
        <x:v>0</x:v>
      </x:c>
      <x:c r="R1560" s="37" t="n">
        <x:v>0</x:v>
      </x:c>
      <x:c r="S1560" s="37" t="n">
        <x:v>0</x:v>
      </x:c>
      <x:c r="T1560" s="37" t="n">
        <x:v>0</x:v>
      </x:c>
      <x:c r="U1560" s="37" t="n">
        <x:v>9917.381478397001</x:v>
      </x:c>
      <x:c r="V1560" s="37" t="n">
        <x:v>0</x:v>
      </x:c>
      <x:c r="W1560" s="37" t="n">
        <x:v>85590.87605888583</x:v>
      </x:c>
      <x:c r="X1560" s="37" t="n">
        <x:v>0</x:v>
      </x:c>
      <x:c r="Y1560" s="37" t="n">
        <x:v>1731.9176760833782</x:v>
      </x:c>
      <x:c r="Z1560" s="37" t="n">
        <x:v>6510644.459908621</x:v>
      </x:c>
      <x:c r="AA1560" s="37" t="n">
        <x:v>0</x:v>
      </x:c>
      <x:c r="AB1560" s="37" t="n">
        <x:v>6510644.459908621</x:v>
      </x:c>
      <x:c r="AC1560" s="37" t="n">
        <x:v>1126225.8397693625</x:v>
      </x:c>
      <x:c r="AD1560" s="37" t="n">
        <x:v>0</x:v>
      </x:c>
      <x:c r="AE1560" s="37" t="n">
        <x:v>0</x:v>
      </x:c>
      <x:c r="AF1560" s="47" t="b">
        <x:v>0</x:v>
      </x:c>
      <x:c r="AG1560" s="47" t="b">
        <x:v>0</x:v>
      </x:c>
      <x:c r="AH1560" s="48" t="n">
        <x:v>0</x:v>
      </x:c>
      <x:c r="AI1560" s="48" t="n">
        <x:v>5.960464477539063e-8</x:v>
      </x:c>
      <x:c r="AJ1560" s="37" t="str">
        <x:v>passed</x:v>
      </x:c>
    </x:row>
    <x:row r="1561" ht="21" customHeight="1">
      <x:c r="A1561" s="2"/>
      <x:c r="B1561" s="2"/>
      <x:c r="C1561" s="2" t="str">
        <x:v>2023</x:v>
      </x:c>
      <x:c r="D1561" s="5" t="n">
        <x:v>45131</x:v>
      </x:c>
      <x:c r="E1561" s="2" t="str">
        <x:v>unweighted</x:v>
      </x:c>
      <x:c r="F1561" s="37" t="n">
        <x:v>11303154.807768129</x:v>
      </x:c>
      <x:c r="G1561" s="37" t="n">
        <x:v>460789.84133995575</x:v>
      </x:c>
      <x:c r="H1561" s="37" t="n">
        <x:v>21227.648843760675</x:v>
      </x:c>
      <x:c r="I1561" s="37" t="n">
        <x:v>439562.1924961951</x:v>
      </x:c>
      <x:c r="J1561" s="37" t="n">
        <x:v>10594355.214899646</x:v>
      </x:c>
      <x:c r="K1561" s="37" t="n">
        <x:v>10133565.373559691</x:v>
      </x:c>
      <x:c r="L1561" s="37" t="n">
        <x:v>11763944.649108084</x:v>
      </x:c>
      <x:c r="M1561" s="37" t="n">
        <x:v>0</x:v>
      </x:c>
      <x:c r="N1561" s="37" t="n">
        <x:v>0</x:v>
      </x:c>
      <x:c r="O1561" s="37" t="n">
        <x:v>1857.8492414783686</x:v>
      </x:c>
      <x:c r="P1561" s="37" t="n">
        <x:v>0</x:v>
      </x:c>
      <x:c r="Q1561" s="37" t="n">
        <x:v>0</x:v>
      </x:c>
      <x:c r="R1561" s="37" t="n">
        <x:v>0</x:v>
      </x:c>
      <x:c r="S1561" s="37" t="n">
        <x:v>0</x:v>
      </x:c>
      <x:c r="T1561" s="37" t="n">
        <x:v>0</x:v>
      </x:c>
      <x:c r="U1561" s="37" t="n">
        <x:v>-5694.19584657007</x:v>
      </x:c>
      <x:c r="V1561" s="37" t="n">
        <x:v>0</x:v>
      </x:c>
      <x:c r="W1561" s="37" t="n">
        <x:v>124520.62118494883</x:v>
      </x:c>
      <x:c r="X1561" s="37" t="n">
        <x:v>0</x:v>
      </x:c>
      <x:c r="Y1561" s="37" t="n">
        <x:v>2131.594711383309</x:v>
      </x:c>
      <x:c r="Z1561" s="37" t="n">
        <x:v>10336236.681030884</x:v>
      </x:c>
      <x:c r="AA1561" s="37" t="n">
        <x:v>0</x:v>
      </x:c>
      <x:c r="AB1561" s="37" t="n">
        <x:v>10336236.681030884</x:v>
      </x:c>
      <x:c r="AC1561" s="37" t="n">
        <x:v>966918.1267372444</x:v>
      </x:c>
      <x:c r="AD1561" s="37" t="n">
        <x:v>0</x:v>
      </x:c>
      <x:c r="AE1561" s="37" t="n">
        <x:v>0</x:v>
      </x:c>
      <x:c r="AF1561" s="47" t="b">
        <x:v>0</x:v>
      </x:c>
      <x:c r="AG1561" s="47" t="b">
        <x:v>0</x:v>
      </x:c>
      <x:c r="AH1561" s="48" t="n">
        <x:v>0</x:v>
      </x:c>
      <x:c r="AI1561" s="48" t="n">
        <x:v>1.1920928955078125e-7</x:v>
      </x:c>
      <x:c r="AJ1561" s="37" t="str">
        <x:v>passed</x:v>
      </x:c>
    </x:row>
    <x:row r="1562" ht="21" customHeight="1">
      <x:c r="A1562" s="2"/>
      <x:c r="B1562" s="2"/>
      <x:c r="C1562" s="2" t="str">
        <x:v>2023</x:v>
      </x:c>
      <x:c r="D1562" s="5" t="n">
        <x:v>45131</x:v>
      </x:c>
      <x:c r="E1562" s="2" t="str">
        <x:v>constrained</x:v>
      </x:c>
      <x:c r="F1562" s="37" t="n">
        <x:v>11670058.460610576</x:v>
      </x:c>
      <x:c r="G1562" s="37" t="n">
        <x:v>86740.53930974084</x:v>
      </x:c>
      <x:c r="H1562" s="37" t="n">
        <x:v>21023.592363866053</x:v>
      </x:c>
      <x:c r="I1562" s="37" t="n">
        <x:v>65716.94694587478</x:v>
      </x:c>
      <x:c r="J1562" s="37" t="n">
        <x:v>10598938.242920447</x:v>
      </x:c>
      <x:c r="K1562" s="37" t="n">
        <x:v>10512197.703610707</x:v>
      </x:c>
      <x:c r="L1562" s="37" t="n">
        <x:v>11756798.999920316</x:v>
      </x:c>
      <x:c r="M1562" s="37" t="n">
        <x:v>0</x:v>
      </x:c>
      <x:c r="N1562" s="37" t="n">
        <x:v>0</x:v>
      </x:c>
      <x:c r="O1562" s="37" t="n">
        <x:v>1918.1555616799742</x:v>
      </x:c>
      <x:c r="P1562" s="37" t="n">
        <x:v>0</x:v>
      </x:c>
      <x:c r="Q1562" s="37" t="n">
        <x:v>0</x:v>
      </x:c>
      <x:c r="R1562" s="37" t="n">
        <x:v>0</x:v>
      </x:c>
      <x:c r="S1562" s="37" t="n">
        <x:v>0</x:v>
      </x:c>
      <x:c r="T1562" s="37" t="n">
        <x:v>0</x:v>
      </x:c>
      <x:c r="U1562" s="37" t="n">
        <x:v>-6779.554702527748</x:v>
      </x:c>
      <x:c r="V1562" s="37" t="n">
        <x:v>0</x:v>
      </x:c>
      <x:c r="W1562" s="37" t="n">
        <x:v>129952.1986777205</x:v>
      </x:c>
      <x:c r="X1562" s="37" t="n">
        <x:v>0</x:v>
      </x:c>
      <x:c r="Y1562" s="37" t="n">
        <x:v>2166.497015385602</x:v>
      </x:c>
      <x:c r="Z1562" s="37" t="n">
        <x:v>10722441.657682922</x:v>
      </x:c>
      <x:c r="AA1562" s="37" t="n">
        <x:v>0</x:v>
      </x:c>
      <x:c r="AB1562" s="37" t="n">
        <x:v>10722441.657682922</x:v>
      </x:c>
      <x:c r="AC1562" s="37" t="n">
        <x:v>947616.8029276542</x:v>
      </x:c>
      <x:c r="AD1562" s="37" t="n">
        <x:v>0</x:v>
      </x:c>
      <x:c r="AE1562" s="37" t="n">
        <x:v>0</x:v>
      </x:c>
      <x:c r="AF1562" s="47" t="b">
        <x:v>0</x:v>
      </x:c>
      <x:c r="AG1562" s="47" t="b">
        <x:v>0</x:v>
      </x:c>
      <x:c r="AH1562" s="48" t="n">
        <x:v>0</x:v>
      </x:c>
      <x:c r="AI1562" s="48" t="n">
        <x:v>1.1920928955078125e-7</x:v>
      </x:c>
      <x:c r="AJ1562" s="37" t="str">
        <x:v>passed</x:v>
      </x:c>
    </x:row>
    <x:row r="1563" ht="21" customHeight="1">
      <x:c r="A1563" s="2"/>
      <x:c r="B1563" s="2"/>
      <x:c r="C1563" s="2" t="str">
        <x:v>2023</x:v>
      </x:c>
      <x:c r="D1563" s="5" t="n">
        <x:v>45132</x:v>
      </x:c>
      <x:c r="E1563" s="2" t="str">
        <x:v>unhedged</x:v>
      </x:c>
      <x:c r="F1563" s="37" t="n">
        <x:v>1276570.2995509233</x:v>
      </x:c>
      <x:c r="G1563" s="37" t="n">
        <x:v>10489687.505907115</x:v>
      </x:c>
      <x:c r="H1563" s="37" t="n">
        <x:v>45418.19300984866</x:v>
      </x:c>
      <x:c r="I1563" s="37" t="n">
        <x:v>10444269.312897267</x:v>
      </x:c>
      <x:c r="J1563" s="37" t="n">
        <x:v>10489687.505907115</x:v>
      </x:c>
      <x:c r="K1563" s="37" t="n">
        <x:v>0</x:v>
      </x:c>
      <x:c r="L1563" s="37" t="n">
        <x:v>11766257.805458037</x:v>
      </x:c>
      <x:c r="M1563" s="37" t="n">
        <x:v>0</x:v>
      </x:c>
      <x:c r="N1563" s="37" t="n">
        <x:v>0</x:v>
      </x:c>
      <x:c r="O1563" s="37" t="n">
        <x:v>69.94522489467636</x:v>
      </x:c>
      <x:c r="P1563" s="37" t="n">
        <x:v>0</x:v>
      </x:c>
      <x:c r="Q1563" s="37" t="n">
        <x:v>0</x:v>
      </x:c>
      <x:c r="R1563" s="37" t="n">
        <x:v>0</x:v>
      </x:c>
      <x:c r="S1563" s="37" t="n">
        <x:v>0</x:v>
      </x:c>
      <x:c r="T1563" s="37" t="n">
        <x:v>0</x:v>
      </x:c>
      <x:c r="U1563" s="37" t="n">
        <x:v>63750</x:v>
      </x:c>
      <x:c r="V1563" s="37" t="n">
        <x:v>0</x:v>
      </x:c>
      <x:c r="W1563" s="37" t="n">
        <x:v>13863.168893045513</x:v>
      </x:c>
      <x:c r="X1563" s="37" t="n">
        <x:v>0</x:v>
      </x:c>
      <x:c r="Y1563" s="37" t="n">
        <x:v>1042.869342122179</x:v>
      </x:c>
      <x:c r="Z1563" s="37" t="n">
        <x:v>0</x:v>
      </x:c>
      <x:c r="AA1563" s="37" t="n">
        <x:v>0</x:v>
      </x:c>
      <x:c r="AB1563" s="37" t="n">
        <x:v>0</x:v>
      </x:c>
      <x:c r="AC1563" s="37" t="n">
        <x:v>1276570.2995509233</x:v>
      </x:c>
      <x:c r="AD1563" s="37" t="n">
        <x:v>0</x:v>
      </x:c>
      <x:c r="AE1563" s="37" t="n">
        <x:v>0</x:v>
      </x:c>
      <x:c r="AF1563" s="47" t="b">
        <x:v>0</x:v>
      </x:c>
      <x:c r="AG1563" s="47" t="b">
        <x:v>0</x:v>
      </x:c>
      <x:c r="AH1563" s="48" t="n">
        <x:v>0</x:v>
      </x:c>
      <x:c r="AI1563" s="48" t="n">
        <x:v>1.1920928955078125e-7</x:v>
      </x:c>
      <x:c r="AJ1563" s="37" t="str">
        <x:v>passed</x:v>
      </x:c>
    </x:row>
    <x:row r="1564" ht="21" customHeight="1">
      <x:c r="A1564" s="2"/>
      <x:c r="B1564" s="2"/>
      <x:c r="C1564" s="2" t="str">
        <x:v>2023</x:v>
      </x:c>
      <x:c r="D1564" s="5" t="n">
        <x:v>45132</x:v>
      </x:c>
      <x:c r="E1564" s="2" t="str">
        <x:v>duration</x:v>
      </x:c>
      <x:c r="F1564" s="37" t="n">
        <x:v>7637288.758324541</x:v>
      </x:c>
      <x:c r="G1564" s="37" t="n">
        <x:v>4133509.783845131</x:v>
      </x:c>
      <x:c r="H1564" s="37" t="n">
        <x:v>24859.825086137407</x:v>
      </x:c>
      <x:c r="I1564" s="37" t="n">
        <x:v>4108649.9587589935</x:v>
      </x:c>
      <x:c r="J1564" s="37" t="n">
        <x:v>10489687.505907115</x:v>
      </x:c>
      <x:c r="K1564" s="37" t="n">
        <x:v>6356177.722061983</x:v>
      </x:c>
      <x:c r="L1564" s="37" t="n">
        <x:v>11770798.542169672</x:v>
      </x:c>
      <x:c r="M1564" s="37" t="n">
        <x:v>0</x:v>
      </x:c>
      <x:c r="N1564" s="37" t="n">
        <x:v>0</x:v>
      </x:c>
      <x:c r="O1564" s="37" t="n">
        <x:v>418.45864655729383</x:v>
      </x:c>
      <x:c r="P1564" s="37" t="n">
        <x:v>0</x:v>
      </x:c>
      <x:c r="Q1564" s="37" t="n">
        <x:v>0</x:v>
      </x:c>
      <x:c r="R1564" s="37" t="n">
        <x:v>0</x:v>
      </x:c>
      <x:c r="S1564" s="37" t="n">
        <x:v>0</x:v>
      </x:c>
      <x:c r="T1564" s="37" t="n">
        <x:v>0</x:v>
      </x:c>
      <x:c r="U1564" s="37" t="n">
        <x:v>9917.381478397001</x:v>
      </x:c>
      <x:c r="V1564" s="37" t="n">
        <x:v>0</x:v>
      </x:c>
      <x:c r="W1564" s="37" t="n">
        <x:v>86009.33470544312</x:v>
      </x:c>
      <x:c r="X1564" s="37" t="n">
        <x:v>0</x:v>
      </x:c>
      <x:c r="Y1564" s="37" t="n">
        <x:v>1731.9176760833782</x:v>
      </x:c>
      <x:c r="Z1564" s="37" t="n">
        <x:v>6483301.276503223</x:v>
      </x:c>
      <x:c r="AA1564" s="37" t="n">
        <x:v>0</x:v>
      </x:c>
      <x:c r="AB1564" s="37" t="n">
        <x:v>6483301.276503223</x:v>
      </x:c>
      <x:c r="AC1564" s="37" t="n">
        <x:v>1153987.4818213182</x:v>
      </x:c>
      <x:c r="AD1564" s="37" t="n">
        <x:v>0</x:v>
      </x:c>
      <x:c r="AE1564" s="37" t="n">
        <x:v>0</x:v>
      </x:c>
      <x:c r="AF1564" s="47" t="b">
        <x:v>0</x:v>
      </x:c>
      <x:c r="AG1564" s="47" t="b">
        <x:v>0</x:v>
      </x:c>
      <x:c r="AH1564" s="48" t="n">
        <x:v>0</x:v>
      </x:c>
      <x:c r="AI1564" s="48" t="n">
        <x:v>5.960464477539063e-8</x:v>
      </x:c>
      <x:c r="AJ1564" s="37" t="str">
        <x:v>passed</x:v>
      </x:c>
    </x:row>
    <x:row r="1565" ht="21" customHeight="1">
      <x:c r="A1565" s="2"/>
      <x:c r="B1565" s="2"/>
      <x:c r="C1565" s="2" t="str">
        <x:v>2023</x:v>
      </x:c>
      <x:c r="D1565" s="5" t="n">
        <x:v>45132</x:v>
      </x:c>
      <x:c r="E1565" s="2" t="str">
        <x:v>unweighted</x:v>
      </x:c>
      <x:c r="F1565" s="37" t="n">
        <x:v>11303774.158716502</x:v>
      </x:c>
      <x:c r="G1565" s="37" t="n">
        <x:v>460998.5823194434</x:v>
      </x:c>
      <x:c r="H1565" s="37" t="n">
        <x:v>21200.461070559053</x:v>
      </x:c>
      <x:c r="I1565" s="37" t="n">
        <x:v>439798.12124888436</x:v>
      </x:c>
      <x:c r="J1565" s="37" t="n">
        <x:v>10569088.954434691</x:v>
      </x:c>
      <x:c r="K1565" s="37" t="n">
        <x:v>10108090.372115249</x:v>
      </x:c>
      <x:c r="L1565" s="37" t="n">
        <x:v>11764772.741035946</x:v>
      </x:c>
      <x:c r="M1565" s="37" t="n">
        <x:v>0</x:v>
      </x:c>
      <x:c r="N1565" s="37" t="n">
        <x:v>0</x:v>
      </x:c>
      <x:c r="O1565" s="37" t="n">
        <x:v>619.3509483728558</x:v>
      </x:c>
      <x:c r="P1565" s="37" t="n">
        <x:v>0</x:v>
      </x:c>
      <x:c r="Q1565" s="37" t="n">
        <x:v>0</x:v>
      </x:c>
      <x:c r="R1565" s="37" t="n">
        <x:v>0</x:v>
      </x:c>
      <x:c r="S1565" s="37" t="n">
        <x:v>0</x:v>
      </x:c>
      <x:c r="T1565" s="37" t="n">
        <x:v>0</x:v>
      </x:c>
      <x:c r="U1565" s="37" t="n">
        <x:v>-5694.19584657007</x:v>
      </x:c>
      <x:c r="V1565" s="37" t="n">
        <x:v>0</x:v>
      </x:c>
      <x:c r="W1565" s="37" t="n">
        <x:v>125139.97213332169</x:v>
      </x:c>
      <x:c r="X1565" s="37" t="n">
        <x:v>0</x:v>
      </x:c>
      <x:c r="Y1565" s="37" t="n">
        <x:v>2131.594711383309</x:v>
      </x:c>
      <x:c r="Z1565" s="37" t="n">
        <x:v>10310252.179557554</x:v>
      </x:c>
      <x:c r="AA1565" s="37" t="n">
        <x:v>0</x:v>
      </x:c>
      <x:c r="AB1565" s="37" t="n">
        <x:v>10310252.179557554</x:v>
      </x:c>
      <x:c r="AC1565" s="37" t="n">
        <x:v>993521.9791589472</x:v>
      </x:c>
      <x:c r="AD1565" s="37" t="n">
        <x:v>0</x:v>
      </x:c>
      <x:c r="AE1565" s="37" t="n">
        <x:v>0</x:v>
      </x:c>
      <x:c r="AF1565" s="47" t="b">
        <x:v>0</x:v>
      </x:c>
      <x:c r="AG1565" s="47" t="b">
        <x:v>0</x:v>
      </x:c>
      <x:c r="AH1565" s="48" t="n">
        <x:v>0</x:v>
      </x:c>
      <x:c r="AI1565" s="48" t="n">
        <x:v>1.1920928955078125e-7</x:v>
      </x:c>
      <x:c r="AJ1565" s="37" t="str">
        <x:v>passed</x:v>
      </x:c>
    </x:row>
    <x:row r="1566" ht="21" customHeight="1">
      <x:c r="A1566" s="2"/>
      <x:c r="B1566" s="2"/>
      <x:c r="C1566" s="2" t="str">
        <x:v>2023</x:v>
      </x:c>
      <x:c r="D1566" s="5" t="n">
        <x:v>45132</x:v>
      </x:c>
      <x:c r="E1566" s="2" t="str">
        <x:v>constrained</x:v>
      </x:c>
      <x:c r="F1566" s="37" t="n">
        <x:v>11670697.915868692</x:v>
      </x:c>
      <x:c r="G1566" s="37" t="n">
        <x:v>86770.19806075563</x:v>
      </x:c>
      <x:c r="H1566" s="37" t="n">
        <x:v>20991.72417467058</x:v>
      </x:c>
      <x:c r="I1566" s="37" t="n">
        <x:v>65778.47388608505</x:v>
      </x:c>
      <x:c r="J1566" s="37" t="n">
        <x:v>10573652.997393807</x:v>
      </x:c>
      <x:c r="K1566" s="37" t="n">
        <x:v>10486882.79933305</x:v>
      </x:c>
      <x:c r="L1566" s="37" t="n">
        <x:v>11757468.113929449</x:v>
      </x:c>
      <x:c r="M1566" s="37" t="n">
        <x:v>0</x:v>
      </x:c>
      <x:c r="N1566" s="37" t="n">
        <x:v>0</x:v>
      </x:c>
      <x:c r="O1566" s="37" t="n">
        <x:v>639.4552581161261</x:v>
      </x:c>
      <x:c r="P1566" s="37" t="n">
        <x:v>0</x:v>
      </x:c>
      <x:c r="Q1566" s="37" t="n">
        <x:v>0</x:v>
      </x:c>
      <x:c r="R1566" s="37" t="n">
        <x:v>0</x:v>
      </x:c>
      <x:c r="S1566" s="37" t="n">
        <x:v>0</x:v>
      </x:c>
      <x:c r="T1566" s="37" t="n">
        <x:v>0</x:v>
      </x:c>
      <x:c r="U1566" s="37" t="n">
        <x:v>-6779.554702527748</x:v>
      </x:c>
      <x:c r="V1566" s="37" t="n">
        <x:v>0</x:v>
      </x:c>
      <x:c r="W1566" s="37" t="n">
        <x:v>130591.65393583663</x:v>
      </x:c>
      <x:c r="X1566" s="37" t="n">
        <x:v>0</x:v>
      </x:c>
      <x:c r="Y1566" s="37" t="n">
        <x:v>2166.497015385602</x:v>
      </x:c>
      <x:c r="Z1566" s="37" t="n">
        <x:v>10696620.455319712</x:v>
      </x:c>
      <x:c r="AA1566" s="37" t="n">
        <x:v>0</x:v>
      </x:c>
      <x:c r="AB1566" s="37" t="n">
        <x:v>10696620.455319712</x:v>
      </x:c>
      <x:c r="AC1566" s="37" t="n">
        <x:v>974077.4605489802</x:v>
      </x:c>
      <x:c r="AD1566" s="37" t="n">
        <x:v>0</x:v>
      </x:c>
      <x:c r="AE1566" s="37" t="n">
        <x:v>0</x:v>
      </x:c>
      <x:c r="AF1566" s="47" t="b">
        <x:v>0</x:v>
      </x:c>
      <x:c r="AG1566" s="47" t="b">
        <x:v>0</x:v>
      </x:c>
      <x:c r="AH1566" s="48" t="n">
        <x:v>0</x:v>
      </x:c>
      <x:c r="AI1566" s="48" t="n">
        <x:v>1.1920928955078125e-7</x:v>
      </x:c>
      <x:c r="AJ1566" s="37" t="str">
        <x:v>passed</x:v>
      </x:c>
    </x:row>
    <x:row r="1567" ht="21" customHeight="1">
      <x:c r="A1567" s="2"/>
      <x:c r="B1567" s="2"/>
      <x:c r="C1567" s="2" t="str">
        <x:v>2023</x:v>
      </x:c>
      <x:c r="D1567" s="5" t="n">
        <x:v>45133</x:v>
      </x:c>
      <x:c r="E1567" s="2" t="str">
        <x:v>unhedged</x:v>
      </x:c>
      <x:c r="F1567" s="37" t="n">
        <x:v>1276640.248608433</x:v>
      </x:c>
      <x:c r="G1567" s="37" t="n">
        <x:v>10515746.285091016</x:v>
      </x:c>
      <x:c r="H1567" s="37" t="n">
        <x:v>45768.03837376892</x:v>
      </x:c>
      <x:c r="I1567" s="37" t="n">
        <x:v>10469978.246717248</x:v>
      </x:c>
      <x:c r="J1567" s="37" t="n">
        <x:v>10515746.285091016</x:v>
      </x:c>
      <x:c r="K1567" s="37" t="n">
        <x:v>0</x:v>
      </x:c>
      <x:c r="L1567" s="37" t="n">
        <x:v>11792386.53369945</x:v>
      </x:c>
      <x:c r="M1567" s="37" t="n">
        <x:v>0</x:v>
      </x:c>
      <x:c r="N1567" s="37" t="n">
        <x:v>0</x:v>
      </x:c>
      <x:c r="O1567" s="37" t="n">
        <x:v>69.949057509657</x:v>
      </x:c>
      <x:c r="P1567" s="37" t="n">
        <x:v>0</x:v>
      </x:c>
      <x:c r="Q1567" s="37" t="n">
        <x:v>0</x:v>
      </x:c>
      <x:c r="R1567" s="37" t="n">
        <x:v>0</x:v>
      </x:c>
      <x:c r="S1567" s="37" t="n">
        <x:v>0</x:v>
      </x:c>
      <x:c r="T1567" s="37" t="n">
        <x:v>0</x:v>
      </x:c>
      <x:c r="U1567" s="37" t="n">
        <x:v>63750</x:v>
      </x:c>
      <x:c r="V1567" s="37" t="n">
        <x:v>0</x:v>
      </x:c>
      <x:c r="W1567" s="37" t="n">
        <x:v>13933.11795055517</x:v>
      </x:c>
      <x:c r="X1567" s="37" t="n">
        <x:v>0</x:v>
      </x:c>
      <x:c r="Y1567" s="37" t="n">
        <x:v>1042.869342122179</x:v>
      </x:c>
      <x:c r="Z1567" s="37" t="n">
        <x:v>0</x:v>
      </x:c>
      <x:c r="AA1567" s="37" t="n">
        <x:v>0</x:v>
      </x:c>
      <x:c r="AB1567" s="37" t="n">
        <x:v>0</x:v>
      </x:c>
      <x:c r="AC1567" s="37" t="n">
        <x:v>1276640.248608433</x:v>
      </x:c>
      <x:c r="AD1567" s="37" t="n">
        <x:v>0</x:v>
      </x:c>
      <x:c r="AE1567" s="37" t="n">
        <x:v>0</x:v>
      </x:c>
      <x:c r="AF1567" s="47" t="b">
        <x:v>0</x:v>
      </x:c>
      <x:c r="AG1567" s="47" t="b">
        <x:v>0</x:v>
      </x:c>
      <x:c r="AH1567" s="48" t="n">
        <x:v>0</x:v>
      </x:c>
      <x:c r="AI1567" s="48" t="n">
        <x:v>1.1920928955078125e-7</x:v>
      </x:c>
      <x:c r="AJ1567" s="37" t="str">
        <x:v>passed</x:v>
      </x:c>
    </x:row>
    <x:row r="1568" ht="21" customHeight="1">
      <x:c r="A1568" s="2"/>
      <x:c r="B1568" s="2"/>
      <x:c r="C1568" s="2" t="str">
        <x:v>2023</x:v>
      </x:c>
      <x:c r="D1568" s="5" t="n">
        <x:v>45133</x:v>
      </x:c>
      <x:c r="E1568" s="2" t="str">
        <x:v>duration</x:v>
      </x:c>
      <x:c r="F1568" s="37" t="n">
        <x:v>7637707.239900342</x:v>
      </x:c>
      <x:c r="G1568" s="37" t="n">
        <x:v>4140743.032341051</x:v>
      </x:c>
      <x:c r="H1568" s="37" t="n">
        <x:v>24920.11597225892</x:v>
      </x:c>
      <x:c r="I1568" s="37" t="n">
        <x:v>4115822.916368792</x:v>
      </x:c>
      <x:c r="J1568" s="37" t="n">
        <x:v>10515746.285091016</x:v>
      </x:c>
      <x:c r="K1568" s="37" t="n">
        <x:v>6375003.2527499655</x:v>
      </x:c>
      <x:c r="L1568" s="37" t="n">
        <x:v>11778450.272241393</x:v>
      </x:c>
      <x:c r="M1568" s="37" t="n">
        <x:v>0</x:v>
      </x:c>
      <x:c r="N1568" s="37" t="n">
        <x:v>0</x:v>
      </x:c>
      <x:c r="O1568" s="37" t="n">
        <x:v>418.48157580103725</x:v>
      </x:c>
      <x:c r="P1568" s="37" t="n">
        <x:v>0</x:v>
      </x:c>
      <x:c r="Q1568" s="37" t="n">
        <x:v>0</x:v>
      </x:c>
      <x:c r="R1568" s="37" t="n">
        <x:v>0</x:v>
      </x:c>
      <x:c r="S1568" s="37" t="n">
        <x:v>0</x:v>
      </x:c>
      <x:c r="T1568" s="37" t="n">
        <x:v>0</x:v>
      </x:c>
      <x:c r="U1568" s="37" t="n">
        <x:v>9917.381478397001</x:v>
      </x:c>
      <x:c r="V1568" s="37" t="n">
        <x:v>0</x:v>
      </x:c>
      <x:c r="W1568" s="37" t="n">
        <x:v>86427.81628124416</x:v>
      </x:c>
      <x:c r="X1568" s="37" t="n">
        <x:v>0</x:v>
      </x:c>
      <x:c r="Y1568" s="37" t="n">
        <x:v>1731.9176760833782</x:v>
      </x:c>
      <x:c r="Z1568" s="37" t="n">
        <x:v>6502503.317804965</x:v>
      </x:c>
      <x:c r="AA1568" s="37" t="n">
        <x:v>0</x:v>
      </x:c>
      <x:c r="AB1568" s="37" t="n">
        <x:v>6502503.317804965</x:v>
      </x:c>
      <x:c r="AC1568" s="37" t="n">
        <x:v>1135203.922095377</x:v>
      </x:c>
      <x:c r="AD1568" s="37" t="n">
        <x:v>0</x:v>
      </x:c>
      <x:c r="AE1568" s="37" t="n">
        <x:v>0</x:v>
      </x:c>
      <x:c r="AF1568" s="47" t="b">
        <x:v>0</x:v>
      </x:c>
      <x:c r="AG1568" s="47" t="b">
        <x:v>0</x:v>
      </x:c>
      <x:c r="AH1568" s="48" t="n">
        <x:v>0</x:v>
      </x:c>
      <x:c r="AI1568" s="48" t="n">
        <x:v>5.960464477539063e-8</x:v>
      </x:c>
      <x:c r="AJ1568" s="37" t="str">
        <x:v>passed</x:v>
      </x:c>
    </x:row>
    <x:row r="1569" ht="21" customHeight="1">
      <x:c r="A1569" s="2"/>
      <x:c r="B1569" s="2"/>
      <x:c r="C1569" s="2" t="str">
        <x:v>2023</x:v>
      </x:c>
      <x:c r="D1569" s="5" t="n">
        <x:v>45133</x:v>
      </x:c>
      <x:c r="E1569" s="2" t="str">
        <x:v>unweighted</x:v>
      </x:c>
      <x:c r="F1569" s="37" t="n">
        <x:v>11304393.543601913</x:v>
      </x:c>
      <x:c r="G1569" s="37" t="n">
        <x:v>462211.2752273403</x:v>
      </x:c>
      <x:c r="H1569" s="37" t="n">
        <x:v>21173.273297357442</x:v>
      </x:c>
      <x:c r="I1569" s="37" t="n">
        <x:v>441038.00192998286</x:v>
      </x:c>
      <x:c r="J1569" s="37" t="n">
        <x:v>10595078.417478543</x:v>
      </x:c>
      <x:c r="K1569" s="37" t="n">
        <x:v>10132867.142251203</x:v>
      </x:c>
      <x:c r="L1569" s="37" t="n">
        <x:v>11766604.818829253</x:v>
      </x:c>
      <x:c r="M1569" s="37" t="n">
        <x:v>0</x:v>
      </x:c>
      <x:c r="N1569" s="37" t="n">
        <x:v>0</x:v>
      </x:c>
      <x:c r="O1569" s="37" t="n">
        <x:v>619.3848854117095</x:v>
      </x:c>
      <x:c r="P1569" s="37" t="n">
        <x:v>0</x:v>
      </x:c>
      <x:c r="Q1569" s="37" t="n">
        <x:v>0</x:v>
      </x:c>
      <x:c r="R1569" s="37" t="n">
        <x:v>0</x:v>
      </x:c>
      <x:c r="S1569" s="37" t="n">
        <x:v>0</x:v>
      </x:c>
      <x:c r="T1569" s="37" t="n">
        <x:v>0</x:v>
      </x:c>
      <x:c r="U1569" s="37" t="n">
        <x:v>-5694.19584657007</x:v>
      </x:c>
      <x:c r="V1569" s="37" t="n">
        <x:v>0</x:v>
      </x:c>
      <x:c r="W1569" s="37" t="n">
        <x:v>125759.3570187334</x:v>
      </x:c>
      <x:c r="X1569" s="37" t="n">
        <x:v>0</x:v>
      </x:c>
      <x:c r="Y1569" s="37" t="n">
        <x:v>2131.594711383309</x:v>
      </x:c>
      <x:c r="Z1569" s="37" t="n">
        <x:v>10335524.485096227</x:v>
      </x:c>
      <x:c r="AA1569" s="37" t="n">
        <x:v>0</x:v>
      </x:c>
      <x:c r="AB1569" s="37" t="n">
        <x:v>10335524.485096227</x:v>
      </x:c>
      <x:c r="AC1569" s="37" t="n">
        <x:v>968869.058505686</x:v>
      </x:c>
      <x:c r="AD1569" s="37" t="n">
        <x:v>0</x:v>
      </x:c>
      <x:c r="AE1569" s="37" t="n">
        <x:v>0</x:v>
      </x:c>
      <x:c r="AF1569" s="47" t="b">
        <x:v>0</x:v>
      </x:c>
      <x:c r="AG1569" s="47" t="b">
        <x:v>0</x:v>
      </x:c>
      <x:c r="AH1569" s="48" t="n">
        <x:v>0</x:v>
      </x:c>
      <x:c r="AI1569" s="48" t="n">
        <x:v>1.1920928955078125e-7</x:v>
      </x:c>
      <x:c r="AJ1569" s="37" t="str">
        <x:v>passed</x:v>
      </x:c>
    </x:row>
    <x:row r="1570" ht="21" customHeight="1">
      <x:c r="A1570" s="2"/>
      <x:c r="B1570" s="2"/>
      <x:c r="C1570" s="2" t="str">
        <x:v>2023</x:v>
      </x:c>
      <x:c r="D1570" s="5" t="n">
        <x:v>45133</x:v>
      </x:c>
      <x:c r="E1570" s="2" t="str">
        <x:v>constrained</x:v>
      </x:c>
      <x:c r="F1570" s="37" t="n">
        <x:v>11671337.406165455</x:v>
      </x:c>
      <x:c r="G1570" s="37" t="n">
        <x:v>87728.87753286632</x:v>
      </x:c>
      <x:c r="H1570" s="37" t="n">
        <x:v>20959.855985475115</x:v>
      </x:c>
      <x:c r="I1570" s="37" t="n">
        <x:v>66769.0215473912</x:v>
      </x:c>
      <x:c r="J1570" s="37" t="n">
        <x:v>10599638.47610429</x:v>
      </x:c>
      <x:c r="K1570" s="37" t="n">
        <x:v>10511909.598571423</x:v>
      </x:c>
      <x:c r="L1570" s="37" t="n">
        <x:v>11759066.28369832</x:v>
      </x:c>
      <x:c r="M1570" s="37" t="n">
        <x:v>0</x:v>
      </x:c>
      <x:c r="N1570" s="37" t="n">
        <x:v>0</x:v>
      </x:c>
      <x:c r="O1570" s="37" t="n">
        <x:v>639.4902967624366</x:v>
      </x:c>
      <x:c r="P1570" s="37" t="n">
        <x:v>0</x:v>
      </x:c>
      <x:c r="Q1570" s="37" t="n">
        <x:v>0</x:v>
      </x:c>
      <x:c r="R1570" s="37" t="n">
        <x:v>0</x:v>
      </x:c>
      <x:c r="S1570" s="37" t="n">
        <x:v>0</x:v>
      </x:c>
      <x:c r="T1570" s="37" t="n">
        <x:v>0</x:v>
      </x:c>
      <x:c r="U1570" s="37" t="n">
        <x:v>-6779.554702527748</x:v>
      </x:c>
      <x:c r="V1570" s="37" t="n">
        <x:v>0</x:v>
      </x:c>
      <x:c r="W1570" s="37" t="n">
        <x:v>131231.14423259906</x:v>
      </x:c>
      <x:c r="X1570" s="37" t="n">
        <x:v>0</x:v>
      </x:c>
      <x:c r="Y1570" s="37" t="n">
        <x:v>2166.497015385602</x:v>
      </x:c>
      <x:c r="Z1570" s="37" t="n">
        <x:v>10722147.790542852</x:v>
      </x:c>
      <x:c r="AA1570" s="37" t="n">
        <x:v>0</x:v>
      </x:c>
      <x:c r="AB1570" s="37" t="n">
        <x:v>10722147.790542852</x:v>
      </x:c>
      <x:c r="AC1570" s="37" t="n">
        <x:v>949189.6156226024</x:v>
      </x:c>
      <x:c r="AD1570" s="37" t="n">
        <x:v>0</x:v>
      </x:c>
      <x:c r="AE1570" s="37" t="n">
        <x:v>0</x:v>
      </x:c>
      <x:c r="AF1570" s="47" t="b">
        <x:v>0</x:v>
      </x:c>
      <x:c r="AG1570" s="47" t="b">
        <x:v>0</x:v>
      </x:c>
      <x:c r="AH1570" s="48" t="n">
        <x:v>0</x:v>
      </x:c>
      <x:c r="AI1570" s="48" t="n">
        <x:v>1.1920928955078125e-7</x:v>
      </x:c>
      <x:c r="AJ1570" s="37" t="str">
        <x:v>passed</x:v>
      </x:c>
    </x:row>
    <x:row r="1571" ht="21" customHeight="1">
      <x:c r="A1571" s="2"/>
      <x:c r="B1571" s="2"/>
      <x:c r="C1571" s="2" t="str">
        <x:v>2023</x:v>
      </x:c>
      <x:c r="D1571" s="5" t="n">
        <x:v>45134</x:v>
      </x:c>
      <x:c r="E1571" s="2" t="str">
        <x:v>unhedged</x:v>
      </x:c>
      <x:c r="F1571" s="37" t="n">
        <x:v>1276710.2014987678</x:v>
      </x:c>
      <x:c r="G1571" s="37" t="n">
        <x:v>10449902.57153396</x:v>
      </x:c>
      <x:c r="H1571" s="37" t="n">
        <x:v>46117.88373768916</x:v>
      </x:c>
      <x:c r="I1571" s="37" t="n">
        <x:v>10403784.68779627</x:v>
      </x:c>
      <x:c r="J1571" s="37" t="n">
        <x:v>10449902.57153396</x:v>
      </x:c>
      <x:c r="K1571" s="37" t="n">
        <x:v>0</x:v>
      </x:c>
      <x:c r="L1571" s="37" t="n">
        <x:v>11726612.773032727</x:v>
      </x:c>
      <x:c r="M1571" s="37" t="n">
        <x:v>0</x:v>
      </x:c>
      <x:c r="N1571" s="37" t="n">
        <x:v>0</x:v>
      </x:c>
      <x:c r="O1571" s="37" t="n">
        <x:v>69.9528903348837</x:v>
      </x:c>
      <x:c r="P1571" s="37" t="n">
        <x:v>0</x:v>
      </x:c>
      <x:c r="Q1571" s="37" t="n">
        <x:v>0</x:v>
      </x:c>
      <x:c r="R1571" s="37" t="n">
        <x:v>0</x:v>
      </x:c>
      <x:c r="S1571" s="37" t="n">
        <x:v>0</x:v>
      </x:c>
      <x:c r="T1571" s="37" t="n">
        <x:v>0</x:v>
      </x:c>
      <x:c r="U1571" s="37" t="n">
        <x:v>63750</x:v>
      </x:c>
      <x:c r="V1571" s="37" t="n">
        <x:v>0</x:v>
      </x:c>
      <x:c r="W1571" s="37" t="n">
        <x:v>14003.070840890054</x:v>
      </x:c>
      <x:c r="X1571" s="37" t="n">
        <x:v>0</x:v>
      </x:c>
      <x:c r="Y1571" s="37" t="n">
        <x:v>1042.869342122179</x:v>
      </x:c>
      <x:c r="Z1571" s="37" t="n">
        <x:v>0</x:v>
      </x:c>
      <x:c r="AA1571" s="37" t="n">
        <x:v>0</x:v>
      </x:c>
      <x:c r="AB1571" s="37" t="n">
        <x:v>0</x:v>
      </x:c>
      <x:c r="AC1571" s="37" t="n">
        <x:v>1276710.2014987678</x:v>
      </x:c>
      <x:c r="AD1571" s="37" t="n">
        <x:v>0</x:v>
      </x:c>
      <x:c r="AE1571" s="37" t="n">
        <x:v>0</x:v>
      </x:c>
      <x:c r="AF1571" s="47" t="b">
        <x:v>0</x:v>
      </x:c>
      <x:c r="AG1571" s="47" t="b">
        <x:v>0</x:v>
      </x:c>
      <x:c r="AH1571" s="48" t="n">
        <x:v>0</x:v>
      </x:c>
      <x:c r="AI1571" s="48" t="n">
        <x:v>1.1920928955078125e-7</x:v>
      </x:c>
      <x:c r="AJ1571" s="37" t="str">
        <x:v>passed</x:v>
      </x:c>
    </x:row>
    <x:row r="1572" ht="21" customHeight="1">
      <x:c r="A1572" s="2"/>
      <x:c r="B1572" s="2"/>
      <x:c r="C1572" s="2" t="str">
        <x:v>2023</x:v>
      </x:c>
      <x:c r="D1572" s="5" t="n">
        <x:v>45134</x:v>
      </x:c>
      <x:c r="E1572" s="2" t="str">
        <x:v>duration</x:v>
      </x:c>
      <x:c r="F1572" s="37" t="n">
        <x:v>7638125.744406638</x:v>
      </x:c>
      <x:c r="G1572" s="37" t="n">
        <x:v>4139035.7887980137</x:v>
      </x:c>
      <x:c r="H1572" s="37" t="n">
        <x:v>24980.40685838041</x:v>
      </x:c>
      <x:c r="I1572" s="37" t="n">
        <x:v>4114055.3819396333</x:v>
      </x:c>
      <x:c r="J1572" s="37" t="n">
        <x:v>10449902.57153396</x:v>
      </x:c>
      <x:c r="K1572" s="37" t="n">
        <x:v>6310866.782735946</x:v>
      </x:c>
      <x:c r="L1572" s="37" t="n">
        <x:v>11777161.533204652</x:v>
      </x:c>
      <x:c r="M1572" s="37" t="n">
        <x:v>0</x:v>
      </x:c>
      <x:c r="N1572" s="37" t="n">
        <x:v>0</x:v>
      </x:c>
      <x:c r="O1572" s="37" t="n">
        <x:v>418.5045062955469</x:v>
      </x:c>
      <x:c r="P1572" s="37" t="n">
        <x:v>0</x:v>
      </x:c>
      <x:c r="Q1572" s="37" t="n">
        <x:v>0</x:v>
      </x:c>
      <x:c r="R1572" s="37" t="n">
        <x:v>0</x:v>
      </x:c>
      <x:c r="S1572" s="37" t="n">
        <x:v>0</x:v>
      </x:c>
      <x:c r="T1572" s="37" t="n">
        <x:v>0</x:v>
      </x:c>
      <x:c r="U1572" s="37" t="n">
        <x:v>9917.381478397001</x:v>
      </x:c>
      <x:c r="V1572" s="37" t="n">
        <x:v>0</x:v>
      </x:c>
      <x:c r="W1572" s="37" t="n">
        <x:v>86846.3207875397</x:v>
      </x:c>
      <x:c r="X1572" s="37" t="n">
        <x:v>0</x:v>
      </x:c>
      <x:c r="Y1572" s="37" t="n">
        <x:v>1731.9176760833782</x:v>
      </x:c>
      <x:c r="Z1572" s="37" t="n">
        <x:v>6437084.118390664</x:v>
      </x:c>
      <x:c r="AA1572" s="37" t="n">
        <x:v>0</x:v>
      </x:c>
      <x:c r="AB1572" s="37" t="n">
        <x:v>6437084.118390664</x:v>
      </x:c>
      <x:c r="AC1572" s="37" t="n">
        <x:v>1201041.6260159733</x:v>
      </x:c>
      <x:c r="AD1572" s="37" t="n">
        <x:v>0</x:v>
      </x:c>
      <x:c r="AE1572" s="37" t="n">
        <x:v>0</x:v>
      </x:c>
      <x:c r="AF1572" s="47" t="b">
        <x:v>0</x:v>
      </x:c>
      <x:c r="AG1572" s="47" t="b">
        <x:v>0</x:v>
      </x:c>
      <x:c r="AH1572" s="48" t="n">
        <x:v>0</x:v>
      </x:c>
      <x:c r="AI1572" s="48" t="n">
        <x:v>5.960464477539063e-8</x:v>
      </x:c>
      <x:c r="AJ1572" s="37" t="str">
        <x:v>passed</x:v>
      </x:c>
    </x:row>
    <x:row r="1573" ht="21" customHeight="1">
      <x:c r="A1573" s="2"/>
      <x:c r="B1573" s="2"/>
      <x:c r="C1573" s="2" t="str">
        <x:v>2023</x:v>
      </x:c>
      <x:c r="D1573" s="5" t="n">
        <x:v>45134</x:v>
      </x:c>
      <x:c r="E1573" s="2" t="str">
        <x:v>unweighted</x:v>
      </x:c>
      <x:c r="F1573" s="37" t="n">
        <x:v>11305012.96242622</x:v>
      </x:c>
      <x:c r="G1573" s="37" t="n">
        <x:v>461455.1428506728</x:v>
      </x:c>
      <x:c r="H1573" s="37" t="n">
        <x:v>21146.08552415582</x:v>
      </x:c>
      <x:c r="I1573" s="37" t="n">
        <x:v>440309.057326517</x:v>
      </x:c>
      <x:c r="J1573" s="37" t="n">
        <x:v>10528032.417118879</x:v>
      </x:c>
      <x:c r="K1573" s="37" t="n">
        <x:v>10066577.274268206</x:v>
      </x:c>
      <x:c r="L1573" s="37" t="n">
        <x:v>11766468.105276892</x:v>
      </x:c>
      <x:c r="M1573" s="37" t="n">
        <x:v>0</x:v>
      </x:c>
      <x:c r="N1573" s="37" t="n">
        <x:v>0</x:v>
      </x:c>
      <x:c r="O1573" s="37" t="n">
        <x:v>619.4188243057579</x:v>
      </x:c>
      <x:c r="P1573" s="37" t="n">
        <x:v>0</x:v>
      </x:c>
      <x:c r="Q1573" s="37" t="n">
        <x:v>0</x:v>
      </x:c>
      <x:c r="R1573" s="37" t="n">
        <x:v>0</x:v>
      </x:c>
      <x:c r="S1573" s="37" t="n">
        <x:v>0</x:v>
      </x:c>
      <x:c r="T1573" s="37" t="n">
        <x:v>0</x:v>
      </x:c>
      <x:c r="U1573" s="37" t="n">
        <x:v>-5694.19584657007</x:v>
      </x:c>
      <x:c r="V1573" s="37" t="n">
        <x:v>0</x:v>
      </x:c>
      <x:c r="W1573" s="37" t="n">
        <x:v>126378.77584303916</x:v>
      </x:c>
      <x:c r="X1573" s="37" t="n">
        <x:v>0</x:v>
      </x:c>
      <x:c r="Y1573" s="37" t="n">
        <x:v>2131.594711383309</x:v>
      </x:c>
      <x:c r="Z1573" s="37" t="n">
        <x:v>10267908.81975357</x:v>
      </x:c>
      <x:c r="AA1573" s="37" t="n">
        <x:v>0</x:v>
      </x:c>
      <x:c r="AB1573" s="37" t="n">
        <x:v>10267908.81975357</x:v>
      </x:c>
      <x:c r="AC1573" s="37" t="n">
        <x:v>1037104.1426726487</x:v>
      </x:c>
      <x:c r="AD1573" s="37" t="n">
        <x:v>0</x:v>
      </x:c>
      <x:c r="AE1573" s="37" t="n">
        <x:v>0</x:v>
      </x:c>
      <x:c r="AF1573" s="47" t="b">
        <x:v>0</x:v>
      </x:c>
      <x:c r="AG1573" s="47" t="b">
        <x:v>0</x:v>
      </x:c>
      <x:c r="AH1573" s="48" t="n">
        <x:v>0</x:v>
      </x:c>
      <x:c r="AI1573" s="48" t="n">
        <x:v>1.1920928955078125e-7</x:v>
      </x:c>
      <x:c r="AJ1573" s="37" t="str">
        <x:v>passed</x:v>
      </x:c>
    </x:row>
    <x:row r="1574" ht="21" customHeight="1">
      <x:c r="A1574" s="2"/>
      <x:c r="B1574" s="2"/>
      <x:c r="C1574" s="2" t="str">
        <x:v>2023</x:v>
      </x:c>
      <x:c r="D1574" s="5" t="n">
        <x:v>45134</x:v>
      </x:c>
      <x:c r="E1574" s="2" t="str">
        <x:v>constrained</x:v>
      </x:c>
      <x:c r="F1574" s="37" t="n">
        <x:v>11671976.93150278</x:v>
      </x:c>
      <x:c r="G1574" s="37" t="n">
        <x:v>86726.09552466556</x:v>
      </x:c>
      <x:c r="H1574" s="37" t="n">
        <x:v>20927.987796279638</x:v>
      </x:c>
      <x:c r="I1574" s="37" t="n">
        <x:v>65798.10772838592</x:v>
      </x:c>
      <x:c r="J1574" s="37" t="n">
        <x:v>10532523.367576977</x:v>
      </x:c>
      <x:c r="K1574" s="37" t="n">
        <x:v>10445797.272052312</x:v>
      </x:c>
      <x:c r="L1574" s="37" t="n">
        <x:v>11758703.027027445</x:v>
      </x:c>
      <x:c r="M1574" s="37" t="n">
        <x:v>0</x:v>
      </x:c>
      <x:c r="N1574" s="37" t="n">
        <x:v>0</x:v>
      </x:c>
      <x:c r="O1574" s="37" t="n">
        <x:v>639.525337325409</x:v>
      </x:c>
      <x:c r="P1574" s="37" t="n">
        <x:v>0</x:v>
      </x:c>
      <x:c r="Q1574" s="37" t="n">
        <x:v>0</x:v>
      </x:c>
      <x:c r="R1574" s="37" t="n">
        <x:v>0</x:v>
      </x:c>
      <x:c r="S1574" s="37" t="n">
        <x:v>0</x:v>
      </x:c>
      <x:c r="T1574" s="37" t="n">
        <x:v>0</x:v>
      </x:c>
      <x:c r="U1574" s="37" t="n">
        <x:v>-6779.554702527748</x:v>
      </x:c>
      <x:c r="V1574" s="37" t="n">
        <x:v>0</x:v>
      </x:c>
      <x:c r="W1574" s="37" t="n">
        <x:v>131870.66956992447</x:v>
      </x:c>
      <x:c r="X1574" s="37" t="n">
        <x:v>0</x:v>
      </x:c>
      <x:c r="Y1574" s="37" t="n">
        <x:v>2166.497015385602</x:v>
      </x:c>
      <x:c r="Z1574" s="37" t="n">
        <x:v>10654713.217493359</x:v>
      </x:c>
      <x:c r="AA1574" s="37" t="n">
        <x:v>0</x:v>
      </x:c>
      <x:c r="AB1574" s="37" t="n">
        <x:v>10654713.217493359</x:v>
      </x:c>
      <x:c r="AC1574" s="37" t="n">
        <x:v>1017263.714009421</x:v>
      </x:c>
      <x:c r="AD1574" s="37" t="n">
        <x:v>0</x:v>
      </x:c>
      <x:c r="AE1574" s="37" t="n">
        <x:v>0</x:v>
      </x:c>
      <x:c r="AF1574" s="47" t="b">
        <x:v>0</x:v>
      </x:c>
      <x:c r="AG1574" s="47" t="b">
        <x:v>0</x:v>
      </x:c>
      <x:c r="AH1574" s="48" t="n">
        <x:v>0</x:v>
      </x:c>
      <x:c r="AI1574" s="48" t="n">
        <x:v>1.1920928955078125e-7</x:v>
      </x:c>
      <x:c r="AJ1574" s="37" t="str">
        <x:v>passed</x:v>
      </x:c>
    </x:row>
    <x:row r="1575" ht="21" customHeight="1">
      <x:c r="A1575" s="2"/>
      <x:c r="B1575" s="2"/>
      <x:c r="C1575" s="2" t="str">
        <x:v>2023</x:v>
      </x:c>
      <x:c r="D1575" s="5" t="n">
        <x:v>45135</x:v>
      </x:c>
      <x:c r="E1575" s="2" t="str">
        <x:v>unhedged</x:v>
      </x:c>
      <x:c r="F1575" s="37" t="n">
        <x:v>1276780.1582221377</x:v>
      </x:c>
      <x:c r="G1575" s="37" t="n">
        <x:v>10481150.067561565</x:v>
      </x:c>
      <x:c r="H1575" s="37" t="n">
        <x:v>46467.72910160941</x:v>
      </x:c>
      <x:c r="I1575" s="37" t="n">
        <x:v>10434682.338459956</x:v>
      </x:c>
      <x:c r="J1575" s="37" t="n">
        <x:v>10481150.067561565</x:v>
      </x:c>
      <x:c r="K1575" s="37" t="n">
        <x:v>0</x:v>
      </x:c>
      <x:c r="L1575" s="37" t="n">
        <x:v>11757930.225783702</x:v>
      </x:c>
      <x:c r="M1575" s="37" t="n">
        <x:v>0</x:v>
      </x:c>
      <x:c r="N1575" s="37" t="n">
        <x:v>0</x:v>
      </x:c>
      <x:c r="O1575" s="37" t="n">
        <x:v>69.95672336989082</x:v>
      </x:c>
      <x:c r="P1575" s="37" t="n">
        <x:v>0</x:v>
      </x:c>
      <x:c r="Q1575" s="37" t="n">
        <x:v>0</x:v>
      </x:c>
      <x:c r="R1575" s="37" t="n">
        <x:v>0</x:v>
      </x:c>
      <x:c r="S1575" s="37" t="n">
        <x:v>0</x:v>
      </x:c>
      <x:c r="T1575" s="37" t="n">
        <x:v>0</x:v>
      </x:c>
      <x:c r="U1575" s="37" t="n">
        <x:v>63750</x:v>
      </x:c>
      <x:c r="V1575" s="37" t="n">
        <x:v>0</x:v>
      </x:c>
      <x:c r="W1575" s="37" t="n">
        <x:v>14073.027564259944</x:v>
      </x:c>
      <x:c r="X1575" s="37" t="n">
        <x:v>0</x:v>
      </x:c>
      <x:c r="Y1575" s="37" t="n">
        <x:v>1042.869342122179</x:v>
      </x:c>
      <x:c r="Z1575" s="37" t="n">
        <x:v>0</x:v>
      </x:c>
      <x:c r="AA1575" s="37" t="n">
        <x:v>0</x:v>
      </x:c>
      <x:c r="AB1575" s="37" t="n">
        <x:v>0</x:v>
      </x:c>
      <x:c r="AC1575" s="37" t="n">
        <x:v>1276780.1582221377</x:v>
      </x:c>
      <x:c r="AD1575" s="37" t="n">
        <x:v>0</x:v>
      </x:c>
      <x:c r="AE1575" s="37" t="n">
        <x:v>0</x:v>
      </x:c>
      <x:c r="AF1575" s="47" t="b">
        <x:v>0</x:v>
      </x:c>
      <x:c r="AG1575" s="47" t="b">
        <x:v>0</x:v>
      </x:c>
      <x:c r="AH1575" s="48" t="n">
        <x:v>0</x:v>
      </x:c>
      <x:c r="AI1575" s="48" t="n">
        <x:v>1.1920928955078125e-7</x:v>
      </x:c>
      <x:c r="AJ1575" s="37" t="str">
        <x:v>passed</x:v>
      </x:c>
    </x:row>
    <x:row r="1576" ht="21" customHeight="1">
      <x:c r="A1576" s="2"/>
      <x:c r="B1576" s="2"/>
      <x:c r="C1576" s="2" t="str">
        <x:v>2023</x:v>
      </x:c>
      <x:c r="D1576" s="5" t="n">
        <x:v>45135</x:v>
      </x:c>
      <x:c r="E1576" s="2" t="str">
        <x:v>duration</x:v>
      </x:c>
      <x:c r="F1576" s="37" t="n">
        <x:v>7638544.271844688</x:v>
      </x:c>
      <x:c r="G1576" s="37" t="n">
        <x:v>4139547.7421424375</x:v>
      </x:c>
      <x:c r="H1576" s="37" t="n">
        <x:v>25040.697744501907</x:v>
      </x:c>
      <x:c r="I1576" s="37" t="n">
        <x:v>4114507.0443979357</x:v>
      </x:c>
      <x:c r="J1576" s="37" t="n">
        <x:v>10481150.067561565</x:v>
      </x:c>
      <x:c r="K1576" s="37" t="n">
        <x:v>6341602.325419128</x:v>
      </x:c>
      <x:c r="L1576" s="37" t="n">
        <x:v>11778092.013987126</x:v>
      </x:c>
      <x:c r="M1576" s="37" t="n">
        <x:v>0</x:v>
      </x:c>
      <x:c r="N1576" s="37" t="n">
        <x:v>0</x:v>
      </x:c>
      <x:c r="O1576" s="37" t="n">
        <x:v>418.52743805013597</x:v>
      </x:c>
      <x:c r="P1576" s="37" t="n">
        <x:v>0</x:v>
      </x:c>
      <x:c r="Q1576" s="37" t="n">
        <x:v>0</x:v>
      </x:c>
      <x:c r="R1576" s="37" t="n">
        <x:v>0</x:v>
      </x:c>
      <x:c r="S1576" s="37" t="n">
        <x:v>0</x:v>
      </x:c>
      <x:c r="T1576" s="37" t="n">
        <x:v>0</x:v>
      </x:c>
      <x:c r="U1576" s="37" t="n">
        <x:v>9917.381478397001</x:v>
      </x:c>
      <x:c r="V1576" s="37" t="n">
        <x:v>0</x:v>
      </x:c>
      <x:c r="W1576" s="37" t="n">
        <x:v>87264.84822558984</x:v>
      </x:c>
      <x:c r="X1576" s="37" t="n">
        <x:v>0</x:v>
      </x:c>
      <x:c r="Y1576" s="37" t="n">
        <x:v>1731.9176760833782</x:v>
      </x:c>
      <x:c r="Z1576" s="37" t="n">
        <x:v>6468434.371927511</x:v>
      </x:c>
      <x:c r="AA1576" s="37" t="n">
        <x:v>0</x:v>
      </x:c>
      <x:c r="AB1576" s="37" t="n">
        <x:v>6468434.371927511</x:v>
      </x:c>
      <x:c r="AC1576" s="37" t="n">
        <x:v>1170109.899917177</x:v>
      </x:c>
      <x:c r="AD1576" s="37" t="n">
        <x:v>0</x:v>
      </x:c>
      <x:c r="AE1576" s="37" t="n">
        <x:v>0</x:v>
      </x:c>
      <x:c r="AF1576" s="47" t="b">
        <x:v>0</x:v>
      </x:c>
      <x:c r="AG1576" s="47" t="b">
        <x:v>0</x:v>
      </x:c>
      <x:c r="AH1576" s="48" t="n">
        <x:v>0</x:v>
      </x:c>
      <x:c r="AI1576" s="48" t="n">
        <x:v>5.960464477539063e-8</x:v>
      </x:c>
      <x:c r="AJ1576" s="37" t="str">
        <x:v>passed</x:v>
      </x:c>
    </x:row>
    <x:row r="1577" ht="21" customHeight="1">
      <x:c r="A1577" s="2"/>
      <x:c r="B1577" s="2"/>
      <x:c r="C1577" s="2" t="str">
        <x:v>2023</x:v>
      </x:c>
      <x:c r="D1577" s="5" t="n">
        <x:v>45135</x:v>
      </x:c>
      <x:c r="E1577" s="2" t="str">
        <x:v>unweighted</x:v>
      </x:c>
      <x:c r="F1577" s="37" t="n">
        <x:v>11305632.415191285</x:v>
      </x:c>
      <x:c r="G1577" s="37" t="n">
        <x:v>461221.7408461701</x:v>
      </x:c>
      <x:c r="H1577" s="37" t="n">
        <x:v>21118.8977509542</x:v>
      </x:c>
      <x:c r="I1577" s="37" t="n">
        <x:v>440102.8430952159</x:v>
      </x:c>
      <x:c r="J1577" s="37" t="n">
        <x:v>10559583.874260295</x:v>
      </x:c>
      <x:c r="K1577" s="37" t="n">
        <x:v>10098362.133414125</x:v>
      </x:c>
      <x:c r="L1577" s="37" t="n">
        <x:v>11766854.156037455</x:v>
      </x:c>
      <x:c r="M1577" s="37" t="n">
        <x:v>0</x:v>
      </x:c>
      <x:c r="N1577" s="37" t="n">
        <x:v>0</x:v>
      </x:c>
      <x:c r="O1577" s="37" t="n">
        <x:v>619.4527650661767</x:v>
      </x:c>
      <x:c r="P1577" s="37" t="n">
        <x:v>0</x:v>
      </x:c>
      <x:c r="Q1577" s="37" t="n">
        <x:v>0</x:v>
      </x:c>
      <x:c r="R1577" s="37" t="n">
        <x:v>0</x:v>
      </x:c>
      <x:c r="S1577" s="37" t="n">
        <x:v>0</x:v>
      </x:c>
      <x:c r="T1577" s="37" t="n">
        <x:v>0</x:v>
      </x:c>
      <x:c r="U1577" s="37" t="n">
        <x:v>-5694.19584657007</x:v>
      </x:c>
      <x:c r="V1577" s="37" t="n">
        <x:v>0</x:v>
      </x:c>
      <x:c r="W1577" s="37" t="n">
        <x:v>126998.22860810533</x:v>
      </x:c>
      <x:c r="X1577" s="37" t="n">
        <x:v>0</x:v>
      </x:c>
      <x:c r="Y1577" s="37" t="n">
        <x:v>2131.594711383309</x:v>
      </x:c>
      <x:c r="Z1577" s="37" t="n">
        <x:v>10300329.376082407</x:v>
      </x:c>
      <x:c r="AA1577" s="37" t="n">
        <x:v>0</x:v>
      </x:c>
      <x:c r="AB1577" s="37" t="n">
        <x:v>10300329.376082407</x:v>
      </x:c>
      <x:c r="AC1577" s="37" t="n">
        <x:v>1005303.039108878</x:v>
      </x:c>
      <x:c r="AD1577" s="37" t="n">
        <x:v>0</x:v>
      </x:c>
      <x:c r="AE1577" s="37" t="n">
        <x:v>0</x:v>
      </x:c>
      <x:c r="AF1577" s="47" t="b">
        <x:v>0</x:v>
      </x:c>
      <x:c r="AG1577" s="47" t="b">
        <x:v>0</x:v>
      </x:c>
      <x:c r="AH1577" s="48" t="n">
        <x:v>0</x:v>
      </x:c>
      <x:c r="AI1577" s="48" t="n">
        <x:v>1.1920928955078125e-7</x:v>
      </x:c>
      <x:c r="AJ1577" s="37" t="str">
        <x:v>passed</x:v>
      </x:c>
    </x:row>
    <x:row r="1578" ht="21" customHeight="1">
      <x:c r="A1578" s="2"/>
      <x:c r="B1578" s="2"/>
      <x:c r="C1578" s="2" t="str">
        <x:v>2023</x:v>
      </x:c>
      <x:c r="D1578" s="5" t="n">
        <x:v>45135</x:v>
      </x:c>
      <x:c r="E1578" s="2" t="str">
        <x:v>constrained</x:v>
      </x:c>
      <x:c r="F1578" s="37" t="n">
        <x:v>11672616.491882589</x:v>
      </x:c>
      <x:c r="G1578" s="37" t="n">
        <x:v>86583.87625821047</x:v>
      </x:c>
      <x:c r="H1578" s="37" t="n">
        <x:v>20896.119607084165</x:v>
      </x:c>
      <x:c r="I1578" s="37" t="n">
        <x:v>65687.7566511263</x:v>
      </x:c>
      <x:c r="J1578" s="37" t="n">
        <x:v>10564092.296585811</x:v>
      </x:c>
      <x:c r="K1578" s="37" t="n">
        <x:v>10477508.4203276</x:v>
      </x:c>
      <x:c r="L1578" s="37" t="n">
        <x:v>11759200.3681408</x:v>
      </x:c>
      <x:c r="M1578" s="37" t="n">
        <x:v>0</x:v>
      </x:c>
      <x:c r="N1578" s="37" t="n">
        <x:v>0</x:v>
      </x:c>
      <x:c r="O1578" s="37" t="n">
        <x:v>639.5603798087686</x:v>
      </x:c>
      <x:c r="P1578" s="37" t="n">
        <x:v>0</x:v>
      </x:c>
      <x:c r="Q1578" s="37" t="n">
        <x:v>0</x:v>
      </x:c>
      <x:c r="R1578" s="37" t="n">
        <x:v>0</x:v>
      </x:c>
      <x:c r="S1578" s="37" t="n">
        <x:v>0</x:v>
      </x:c>
      <x:c r="T1578" s="37" t="n">
        <x:v>0</x:v>
      </x:c>
      <x:c r="U1578" s="37" t="n">
        <x:v>-6779.554702527748</x:v>
      </x:c>
      <x:c r="V1578" s="37" t="n">
        <x:v>0</x:v>
      </x:c>
      <x:c r="W1578" s="37" t="n">
        <x:v>132510.22994973324</x:v>
      </x:c>
      <x:c r="X1578" s="37" t="n">
        <x:v>0</x:v>
      </x:c>
      <x:c r="Y1578" s="37" t="n">
        <x:v>2166.497015385602</x:v>
      </x:c>
      <x:c r="Z1578" s="37" t="n">
        <x:v>10687058.588734152</x:v>
      </x:c>
      <x:c r="AA1578" s="37" t="n">
        <x:v>0</x:v>
      </x:c>
      <x:c r="AB1578" s="37" t="n">
        <x:v>10687058.588734152</x:v>
      </x:c>
      <x:c r="AC1578" s="37" t="n">
        <x:v>985557.9031484369</x:v>
      </x:c>
      <x:c r="AD1578" s="37" t="n">
        <x:v>0</x:v>
      </x:c>
      <x:c r="AE1578" s="37" t="n">
        <x:v>0</x:v>
      </x:c>
      <x:c r="AF1578" s="47" t="b">
        <x:v>0</x:v>
      </x:c>
      <x:c r="AG1578" s="47" t="b">
        <x:v>0</x:v>
      </x:c>
      <x:c r="AH1578" s="48" t="n">
        <x:v>0</x:v>
      </x:c>
      <x:c r="AI1578" s="48" t="n">
        <x:v>1.1920928955078125e-7</x:v>
      </x:c>
      <x:c r="AJ1578" s="37" t="str">
        <x:v>passed</x:v>
      </x:c>
    </x:row>
    <x:row r="1579" ht="21" customHeight="1">
      <x:c r="A1579" s="2"/>
      <x:c r="B1579" s="2"/>
      <x:c r="C1579" s="2" t="str">
        <x:v>2023</x:v>
      </x:c>
      <x:c r="D1579" s="5" t="n">
        <x:v>45138</x:v>
      </x:c>
      <x:c r="E1579" s="2" t="str">
        <x:v>unhedged</x:v>
      </x:c>
      <x:c r="F1579" s="37" t="n">
        <x:v>1276990.0513925583</x:v>
      </x:c>
      <x:c r="G1579" s="37" t="n">
        <x:v>10481638.041476524</x:v>
      </x:c>
      <x:c r="H1579" s="37" t="n">
        <x:v>47517.26519337016</x:v>
      </x:c>
      <x:c r="I1579" s="37" t="n">
        <x:v>10434120.776283154</x:v>
      </x:c>
      <x:c r="J1579" s="37" t="n">
        <x:v>10481638.041476524</x:v>
      </x:c>
      <x:c r="K1579" s="37" t="n">
        <x:v>0</x:v>
      </x:c>
      <x:c r="L1579" s="37" t="n">
        <x:v>11758628.092869082</x:v>
      </x:c>
      <x:c r="M1579" s="37" t="n">
        <x:v>0</x:v>
      </x:c>
      <x:c r="N1579" s="37" t="n">
        <x:v>0</x:v>
      </x:c>
      <x:c r="O1579" s="37" t="n">
        <x:v>209.89317042054608</x:v>
      </x:c>
      <x:c r="P1579" s="37" t="n">
        <x:v>0</x:v>
      </x:c>
      <x:c r="Q1579" s="37" t="n">
        <x:v>0</x:v>
      </x:c>
      <x:c r="R1579" s="37" t="n">
        <x:v>0</x:v>
      </x:c>
      <x:c r="S1579" s="37" t="n">
        <x:v>0</x:v>
      </x:c>
      <x:c r="T1579" s="37" t="n">
        <x:v>0</x:v>
      </x:c>
      <x:c r="U1579" s="37" t="n">
        <x:v>63750</x:v>
      </x:c>
      <x:c r="V1579" s="37" t="n">
        <x:v>0</x:v>
      </x:c>
      <x:c r="W1579" s="37" t="n">
        <x:v>14282.92073468049</x:v>
      </x:c>
      <x:c r="X1579" s="37" t="n">
        <x:v>0</x:v>
      </x:c>
      <x:c r="Y1579" s="37" t="n">
        <x:v>1042.869342122179</x:v>
      </x:c>
      <x:c r="Z1579" s="37" t="n">
        <x:v>0</x:v>
      </x:c>
      <x:c r="AA1579" s="37" t="n">
        <x:v>0</x:v>
      </x:c>
      <x:c r="AB1579" s="37" t="n">
        <x:v>0</x:v>
      </x:c>
      <x:c r="AC1579" s="37" t="n">
        <x:v>1276990.0513925583</x:v>
      </x:c>
      <x:c r="AD1579" s="37" t="n">
        <x:v>0</x:v>
      </x:c>
      <x:c r="AE1579" s="37" t="n">
        <x:v>0</x:v>
      </x:c>
      <x:c r="AF1579" s="47" t="b">
        <x:v>0</x:v>
      </x:c>
      <x:c r="AG1579" s="47" t="b">
        <x:v>0</x:v>
      </x:c>
      <x:c r="AH1579" s="48" t="n">
        <x:v>0</x:v>
      </x:c>
      <x:c r="AI1579" s="48" t="n">
        <x:v>1.1920928955078125e-7</x:v>
      </x:c>
      <x:c r="AJ1579" s="37" t="str">
        <x:v>passed</x:v>
      </x:c>
    </x:row>
    <x:row r="1580" ht="21" customHeight="1">
      <x:c r="A1580" s="2"/>
      <x:c r="B1580" s="2"/>
      <x:c r="C1580" s="2" t="str">
        <x:v>2023</x:v>
      </x:c>
      <x:c r="D1580" s="5" t="n">
        <x:v>45138</x:v>
      </x:c>
      <x:c r="E1580" s="2" t="str">
        <x:v>duration</x:v>
      </x:c>
      <x:c r="F1580" s="37" t="n">
        <x:v>7639799.991761927</x:v>
      </x:c>
      <x:c r="G1580" s="37" t="n">
        <x:v>4147731.9853389794</x:v>
      </x:c>
      <x:c r="H1580" s="37" t="n">
        <x:v>25221.570402866408</x:v>
      </x:c>
      <x:c r="I1580" s="37" t="n">
        <x:v>4122510.414936113</x:v>
      </x:c>
      <x:c r="J1580" s="37" t="n">
        <x:v>10481638.041476524</x:v>
      </x:c>
      <x:c r="K1580" s="37" t="n">
        <x:v>6333906.056137543</x:v>
      </x:c>
      <x:c r="L1580" s="37" t="n">
        <x:v>11787531.977100905</x:v>
      </x:c>
      <x:c r="M1580" s="37" t="n">
        <x:v>0</x:v>
      </x:c>
      <x:c r="N1580" s="37" t="n">
        <x:v>0</x:v>
      </x:c>
      <x:c r="O1580" s="37" t="n">
        <x:v>1255.71991723869</x:v>
      </x:c>
      <x:c r="P1580" s="37" t="n">
        <x:v>0</x:v>
      </x:c>
      <x:c r="Q1580" s="37" t="n">
        <x:v>0</x:v>
      </x:c>
      <x:c r="R1580" s="37" t="n">
        <x:v>0</x:v>
      </x:c>
      <x:c r="S1580" s="37" t="n">
        <x:v>0</x:v>
      </x:c>
      <x:c r="T1580" s="37" t="n">
        <x:v>0</x:v>
      </x:c>
      <x:c r="U1580" s="37" t="n">
        <x:v>9917.381478397001</x:v>
      </x:c>
      <x:c r="V1580" s="37" t="n">
        <x:v>0</x:v>
      </x:c>
      <x:c r="W1580" s="37" t="n">
        <x:v>88520.56814282853</x:v>
      </x:c>
      <x:c r="X1580" s="37" t="n">
        <x:v>0</x:v>
      </x:c>
      <x:c r="Y1580" s="37" t="n">
        <x:v>1731.9176760833782</x:v>
      </x:c>
      <x:c r="Z1580" s="37" t="n">
        <x:v>6460584.177260295</x:v>
      </x:c>
      <x:c r="AA1580" s="37" t="n">
        <x:v>0</x:v>
      </x:c>
      <x:c r="AB1580" s="37" t="n">
        <x:v>6460584.177260295</x:v>
      </x:c>
      <x:c r="AC1580" s="37" t="n">
        <x:v>1179215.814501632</x:v>
      </x:c>
      <x:c r="AD1580" s="37" t="n">
        <x:v>0</x:v>
      </x:c>
      <x:c r="AE1580" s="37" t="n">
        <x:v>0</x:v>
      </x:c>
      <x:c r="AF1580" s="47" t="b">
        <x:v>0</x:v>
      </x:c>
      <x:c r="AG1580" s="47" t="b">
        <x:v>0</x:v>
      </x:c>
      <x:c r="AH1580" s="48" t="n">
        <x:v>0</x:v>
      </x:c>
      <x:c r="AI1580" s="48" t="n">
        <x:v>5.960464477539063e-8</x:v>
      </x:c>
      <x:c r="AJ1580" s="37" t="str">
        <x:v>passed</x:v>
      </x:c>
    </x:row>
    <x:row r="1581" ht="21" customHeight="1">
      <x:c r="A1581" s="2"/>
      <x:c r="B1581" s="2"/>
      <x:c r="C1581" s="2" t="str">
        <x:v>2023</x:v>
      </x:c>
      <x:c r="D1581" s="5" t="n">
        <x:v>45138</x:v>
      </x:c>
      <x:c r="E1581" s="2" t="str">
        <x:v>unweighted</x:v>
      </x:c>
      <x:c r="F1581" s="37" t="n">
        <x:v>11307490.977149623</x:v>
      </x:c>
      <x:c r="G1581" s="37" t="n">
        <x:v>462704.2046617469</x:v>
      </x:c>
      <x:c r="H1581" s="37" t="n">
        <x:v>21037.334431349347</x:v>
      </x:c>
      <x:c r="I1581" s="37" t="n">
        <x:v>441666.87023039756</x:v>
      </x:c>
      <x:c r="J1581" s="37" t="n">
        <x:v>10559953.827685561</x:v>
      </x:c>
      <x:c r="K1581" s="37" t="n">
        <x:v>10097249.623023814</x:v>
      </x:c>
      <x:c r="L1581" s="37" t="n">
        <x:v>11770195.18181137</x:v>
      </x:c>
      <x:c r="M1581" s="37" t="n">
        <x:v>0</x:v>
      </x:c>
      <x:c r="N1581" s="37" t="n">
        <x:v>0</x:v>
      </x:c>
      <x:c r="O1581" s="37" t="n">
        <x:v>1858.5619583372027</x:v>
      </x:c>
      <x:c r="P1581" s="37" t="n">
        <x:v>0</x:v>
      </x:c>
      <x:c r="Q1581" s="37" t="n">
        <x:v>0</x:v>
      </x:c>
      <x:c r="R1581" s="37" t="n">
        <x:v>0</x:v>
      </x:c>
      <x:c r="S1581" s="37" t="n">
        <x:v>0</x:v>
      </x:c>
      <x:c r="T1581" s="37" t="n">
        <x:v>0</x:v>
      </x:c>
      <x:c r="U1581" s="37" t="n">
        <x:v>-5694.19584657007</x:v>
      </x:c>
      <x:c r="V1581" s="37" t="n">
        <x:v>0</x:v>
      </x:c>
      <x:c r="W1581" s="37" t="n">
        <x:v>128856.79056644253</x:v>
      </x:c>
      <x:c r="X1581" s="37" t="n">
        <x:v>0</x:v>
      </x:c>
      <x:c r="Y1581" s="37" t="n">
        <x:v>2131.594711383309</x:v>
      </x:c>
      <x:c r="Z1581" s="37" t="n">
        <x:v>10299194.61548429</x:v>
      </x:c>
      <x:c r="AA1581" s="37" t="n">
        <x:v>0</x:v>
      </x:c>
      <x:c r="AB1581" s="37" t="n">
        <x:v>10299194.61548429</x:v>
      </x:c>
      <x:c r="AC1581" s="37" t="n">
        <x:v>1008296.3616653327</x:v>
      </x:c>
      <x:c r="AD1581" s="37" t="n">
        <x:v>0</x:v>
      </x:c>
      <x:c r="AE1581" s="37" t="n">
        <x:v>0</x:v>
      </x:c>
      <x:c r="AF1581" s="47" t="b">
        <x:v>0</x:v>
      </x:c>
      <x:c r="AG1581" s="47" t="b">
        <x:v>0</x:v>
      </x:c>
      <x:c r="AH1581" s="48" t="n">
        <x:v>0</x:v>
      </x:c>
      <x:c r="AI1581" s="48" t="n">
        <x:v>1.1920928955078125e-7</x:v>
      </x:c>
      <x:c r="AJ1581" s="37" t="str">
        <x:v>passed</x:v>
      </x:c>
    </x:row>
    <x:row r="1582" ht="21" customHeight="1">
      <x:c r="A1582" s="2"/>
      <x:c r="B1582" s="2"/>
      <x:c r="C1582" s="2" t="str">
        <x:v>2023</x:v>
      </x:c>
      <x:c r="D1582" s="5" t="n">
        <x:v>45138</x:v>
      </x:c>
      <x:c r="E1582" s="2" t="str">
        <x:v>constrained</x:v>
      </x:c>
      <x:c r="F1582" s="37" t="n">
        <x:v>11674535.383296123</x:v>
      </x:c>
      <x:c r="G1582" s="37" t="n">
        <x:v>87640.32363480644</x:v>
      </x:c>
      <x:c r="H1582" s="37" t="n">
        <x:v>20800.51503949775</x:v>
      </x:c>
      <x:c r="I1582" s="37" t="n">
        <x:v>66839.80859530868</x:v>
      </x:c>
      <x:c r="J1582" s="37" t="n">
        <x:v>10564455.466122432</x:v>
      </x:c>
      <x:c r="K1582" s="37" t="n">
        <x:v>10476815.142487625</x:v>
      </x:c>
      <x:c r="L1582" s="37" t="n">
        <x:v>11762175.70693093</x:v>
      </x:c>
      <x:c r="M1582" s="37" t="n">
        <x:v>0</x:v>
      </x:c>
      <x:c r="N1582" s="37" t="n">
        <x:v>0</x:v>
      </x:c>
      <x:c r="O1582" s="37" t="n">
        <x:v>1918.8914135340601</x:v>
      </x:c>
      <x:c r="P1582" s="37" t="n">
        <x:v>0</x:v>
      </x:c>
      <x:c r="Q1582" s="37" t="n">
        <x:v>0</x:v>
      </x:c>
      <x:c r="R1582" s="37" t="n">
        <x:v>0</x:v>
      </x:c>
      <x:c r="S1582" s="37" t="n">
        <x:v>0</x:v>
      </x:c>
      <x:c r="T1582" s="37" t="n">
        <x:v>0</x:v>
      </x:c>
      <x:c r="U1582" s="37" t="n">
        <x:v>-6779.554702527748</x:v>
      </x:c>
      <x:c r="V1582" s="37" t="n">
        <x:v>0</x:v>
      </x:c>
      <x:c r="W1582" s="37" t="n">
        <x:v>134429.1213632673</x:v>
      </x:c>
      <x:c r="X1582" s="37" t="n">
        <x:v>0</x:v>
      </x:c>
      <x:c r="Y1582" s="37" t="n">
        <x:v>2166.497015385602</x:v>
      </x:c>
      <x:c r="Z1582" s="37" t="n">
        <x:v>10686351.445337377</x:v>
      </x:c>
      <x:c r="AA1582" s="37" t="n">
        <x:v>0</x:v>
      </x:c>
      <x:c r="AB1582" s="37" t="n">
        <x:v>10686351.445337377</x:v>
      </x:c>
      <x:c r="AC1582" s="37" t="n">
        <x:v>988183.9379587453</x:v>
      </x:c>
      <x:c r="AD1582" s="37" t="n">
        <x:v>0</x:v>
      </x:c>
      <x:c r="AE1582" s="37" t="n">
        <x:v>0</x:v>
      </x:c>
      <x:c r="AF1582" s="47" t="b">
        <x:v>0</x:v>
      </x:c>
      <x:c r="AG1582" s="47" t="b">
        <x:v>0</x:v>
      </x:c>
      <x:c r="AH1582" s="48" t="n">
        <x:v>0</x:v>
      </x:c>
      <x:c r="AI1582" s="48" t="n">
        <x:v>1.1920928955078125e-7</x:v>
      </x:c>
      <x:c r="AJ1582" s="37" t="str">
        <x:v>passed</x:v>
      </x:c>
    </x:row>
    <x:row r="1583" ht="21" customHeight="1">
      <x:c r="A1583" s="2"/>
      <x:c r="B1583" s="2"/>
      <x:c r="C1583" s="2" t="str">
        <x:v>2023</x:v>
      </x:c>
      <x:c r="D1583" s="5" t="n">
        <x:v>45139</x:v>
      </x:c>
      <x:c r="E1583" s="2" t="str">
        <x:v>unhedged</x:v>
      </x:c>
      <x:c r="F1583" s="37" t="n">
        <x:v>1277060.023450169</x:v>
      </x:c>
      <x:c r="G1583" s="37" t="n">
        <x:v>10450538.702012774</x:v>
      </x:c>
      <x:c r="H1583" s="37" t="n">
        <x:v>47867.11055729042</x:v>
      </x:c>
      <x:c r="I1583" s="37" t="n">
        <x:v>10402671.591455484</x:v>
      </x:c>
      <x:c r="J1583" s="37" t="n">
        <x:v>10450538.702012774</x:v>
      </x:c>
      <x:c r="K1583" s="37" t="n">
        <x:v>0</x:v>
      </x:c>
      <x:c r="L1583" s="37" t="n">
        <x:v>11727598.725462943</x:v>
      </x:c>
      <x:c r="M1583" s="37" t="n">
        <x:v>0</x:v>
      </x:c>
      <x:c r="N1583" s="37" t="n">
        <x:v>0</x:v>
      </x:c>
      <x:c r="O1583" s="37" t="n">
        <x:v>69.9720576107502</x:v>
      </x:c>
      <x:c r="P1583" s="37" t="n">
        <x:v>0</x:v>
      </x:c>
      <x:c r="Q1583" s="37" t="n">
        <x:v>0</x:v>
      </x:c>
      <x:c r="R1583" s="37" t="n">
        <x:v>0</x:v>
      </x:c>
      <x:c r="S1583" s="37" t="n">
        <x:v>0</x:v>
      </x:c>
      <x:c r="T1583" s="37" t="n">
        <x:v>0</x:v>
      </x:c>
      <x:c r="U1583" s="37" t="n">
        <x:v>63750</x:v>
      </x:c>
      <x:c r="V1583" s="37" t="n">
        <x:v>0</x:v>
      </x:c>
      <x:c r="W1583" s="37" t="n">
        <x:v>14352.89279229124</x:v>
      </x:c>
      <x:c r="X1583" s="37" t="n">
        <x:v>0</x:v>
      </x:c>
      <x:c r="Y1583" s="37" t="n">
        <x:v>1042.869342122179</x:v>
      </x:c>
      <x:c r="Z1583" s="37" t="n">
        <x:v>0</x:v>
      </x:c>
      <x:c r="AA1583" s="37" t="n">
        <x:v>0</x:v>
      </x:c>
      <x:c r="AB1583" s="37" t="n">
        <x:v>0</x:v>
      </x:c>
      <x:c r="AC1583" s="37" t="n">
        <x:v>1277060.023450169</x:v>
      </x:c>
      <x:c r="AD1583" s="37" t="n">
        <x:v>0</x:v>
      </x:c>
      <x:c r="AE1583" s="37" t="n">
        <x:v>0</x:v>
      </x:c>
      <x:c r="AF1583" s="47" t="b">
        <x:v>0</x:v>
      </x:c>
      <x:c r="AG1583" s="47" t="b">
        <x:v>0</x:v>
      </x:c>
      <x:c r="AH1583" s="48" t="n">
        <x:v>0</x:v>
      </x:c>
      <x:c r="AI1583" s="48" t="n">
        <x:v>1.1920928955078125e-7</x:v>
      </x:c>
      <x:c r="AJ1583" s="37" t="str">
        <x:v>passed</x:v>
      </x:c>
    </x:row>
    <x:row r="1584" ht="21" customHeight="1">
      <x:c r="A1584" s="2"/>
      <x:c r="B1584" s="2"/>
      <x:c r="C1584" s="2" t="str">
        <x:v>2023</x:v>
      </x:c>
      <x:c r="D1584" s="5" t="n">
        <x:v>45139</x:v>
      </x:c>
      <x:c r="E1584" s="2" t="str">
        <x:v>duration</x:v>
      </x:c>
      <x:c r="F1584" s="37" t="n">
        <x:v>7612426.150958532</x:v>
      </x:c>
      <x:c r="G1584" s="37" t="n">
        <x:v>4187568.9350753743</x:v>
      </x:c>
      <x:c r="H1584" s="37" t="n">
        <x:v>25381.63252932171</x:v>
      </x:c>
      <x:c r="I1584" s="37" t="n">
        <x:v>4162187.3025460527</x:v>
      </x:c>
      <x:c r="J1584" s="37" t="n">
        <x:v>10450538.702012774</x:v>
      </x:c>
      <x:c r="K1584" s="37" t="n">
        <x:v>6262969.7669374</x:v>
      </x:c>
      <x:c r="L1584" s="37" t="n">
        <x:v>11799995.086033907</x:v>
      </x:c>
      <x:c r="M1584" s="37" t="n">
        <x:v>0</x:v>
      </x:c>
      <x:c r="N1584" s="37" t="n">
        <x:v>0</x:v>
      </x:c>
      <x:c r="O1584" s="37" t="n">
        <x:v>418.6191776311025</x:v>
      </x:c>
      <x:c r="P1584" s="37" t="n">
        <x:v>0</x:v>
      </x:c>
      <x:c r="Q1584" s="37" t="n">
        <x:v>2.778968101292518</x:v>
      </x:c>
      <x:c r="R1584" s="37" t="n">
        <x:v>-27789.681012925175</x:v>
      </x:c>
      <x:c r="S1584" s="37" t="n">
        <x:v>27789.681012925175</x:v>
      </x:c>
      <x:c r="T1584" s="37" t="n">
        <x:v>0</x:v>
      </x:c>
      <x:c r="U1584" s="37" t="n">
        <x:v>9917.381478397001</x:v>
      </x:c>
      <x:c r="V1584" s="37" t="n">
        <x:v>0</x:v>
      </x:c>
      <x:c r="W1584" s="37" t="n">
        <x:v>88939.18732045963</x:v>
      </x:c>
      <x:c r="X1584" s="37" t="n">
        <x:v>0</x:v>
      </x:c>
      <x:c r="Y1584" s="37" t="n">
        <x:v>1734.6966441846707</x:v>
      </x:c>
      <x:c r="Z1584" s="37" t="n">
        <x:v>6388229.162276148</x:v>
      </x:c>
      <x:c r="AA1584" s="37" t="n">
        <x:v>0</x:v>
      </x:c>
      <x:c r="AB1584" s="37" t="n">
        <x:v>6388229.162276148</x:v>
      </x:c>
      <x:c r="AC1584" s="37" t="n">
        <x:v>1224196.9886823837</x:v>
      </x:c>
      <x:c r="AD1584" s="37" t="n">
        <x:v>0</x:v>
      </x:c>
      <x:c r="AE1584" s="37" t="n">
        <x:v>0</x:v>
      </x:c>
      <x:c r="AF1584" s="47" t="b">
        <x:v>0</x:v>
      </x:c>
      <x:c r="AG1584" s="47" t="b">
        <x:v>0</x:v>
      </x:c>
      <x:c r="AH1584" s="48" t="n">
        <x:v>3.398930026321523e-10</x:v>
      </x:c>
      <x:c r="AI1584" s="48" t="n">
        <x:v>5.960464477539063e-8</x:v>
      </x:c>
      <x:c r="AJ1584" s="37" t="str">
        <x:v>passed</x:v>
      </x:c>
    </x:row>
    <x:row r="1585" ht="21" customHeight="1">
      <x:c r="A1585" s="2"/>
      <x:c r="B1585" s="2"/>
      <x:c r="C1585" s="2" t="str">
        <x:v>2023</x:v>
      </x:c>
      <x:c r="D1585" s="5" t="n">
        <x:v>45139</x:v>
      </x:c>
      <x:c r="E1585" s="2" t="str">
        <x:v>unweighted</x:v>
      </x:c>
      <x:c r="F1585" s="37" t="n">
        <x:v>11240875.498337334</x:v>
      </x:c>
      <x:c r="G1585" s="37" t="n">
        <x:v>530563.9737994852</x:v>
      </x:c>
      <x:c r="H1585" s="37" t="n">
        <x:v>20980.472608877222</x:v>
      </x:c>
      <x:c r="I1585" s="37" t="n">
        <x:v>509583.501190608</x:v>
      </x:c>
      <x:c r="J1585" s="37" t="n">
        <x:v>10537615.157394255</x:v>
      </x:c>
      <x:c r="K1585" s="37" t="n">
        <x:v>10007051.18359477</x:v>
      </x:c>
      <x:c r="L1585" s="37" t="n">
        <x:v>11771439.47213682</x:v>
      </x:c>
      <x:c r="M1585" s="37" t="n">
        <x:v>0</x:v>
      </x:c>
      <x:c r="N1585" s="37" t="n">
        <x:v>0</x:v>
      </x:c>
      <x:c r="O1585" s="37" t="n">
        <x:v>619.588546693325</x:v>
      </x:c>
      <x:c r="P1585" s="37" t="n">
        <x:v>0</x:v>
      </x:c>
      <x:c r="Q1585" s="37" t="n">
        <x:v>16.829597941972533</x:v>
      </x:c>
      <x:c r="R1585" s="37" t="n">
        <x:v>-67218.23776103971</x:v>
      </x:c>
      <x:c r="S1585" s="37" t="n">
        <x:v>168295.97941972534</x:v>
      </x:c>
      <x:c r="T1585" s="37" t="n">
        <x:v>0</x:v>
      </x:c>
      <x:c r="U1585" s="37" t="n">
        <x:v>-5694.19584657007</x:v>
      </x:c>
      <x:c r="V1585" s="37" t="n">
        <x:v>0</x:v>
      </x:c>
      <x:c r="W1585" s="37" t="n">
        <x:v>129476.37911313586</x:v>
      </x:c>
      <x:c r="X1585" s="37" t="n">
        <x:v>0</x:v>
      </x:c>
      <x:c r="Y1585" s="37" t="n">
        <x:v>2148.4243093252817</x:v>
      </x:c>
      <x:c r="Z1585" s="37" t="n">
        <x:v>10207192.207266666</x:v>
      </x:c>
      <x:c r="AA1585" s="37" t="n">
        <x:v>0</x:v>
      </x:c>
      <x:c r="AB1585" s="37" t="n">
        <x:v>10207192.207266666</x:v>
      </x:c>
      <x:c r="AC1585" s="37" t="n">
        <x:v>1033683.291070668</x:v>
      </x:c>
      <x:c r="AD1585" s="37" t="n">
        <x:v>0</x:v>
      </x:c>
      <x:c r="AE1585" s="37" t="n">
        <x:v>0</x:v>
      </x:c>
      <x:c r="AF1585" s="47" t="b">
        <x:v>0</x:v>
      </x:c>
      <x:c r="AG1585" s="47" t="b">
        <x:v>0</x:v>
      </x:c>
      <x:c r="AH1585" s="48" t="n">
        <x:v>-1.3656986652677006e-10</x:v>
      </x:c>
      <x:c r="AI1585" s="48" t="n">
        <x:v>1.1920928955078125e-7</x:v>
      </x:c>
      <x:c r="AJ1585" s="37" t="str">
        <x:v>passed</x:v>
      </x:c>
    </x:row>
    <x:row r="1586" ht="21" customHeight="1">
      <x:c r="A1586" s="2"/>
      <x:c r="B1586" s="2"/>
      <x:c r="C1586" s="2" t="str">
        <x:v>2023</x:v>
      </x:c>
      <x:c r="D1586" s="5" t="n">
        <x:v>45139</x:v>
      </x:c>
      <x:c r="E1586" s="2" t="str">
        <x:v>constrained</x:v>
      </x:c>
      <x:c r="F1586" s="37" t="n">
        <x:v>11670480.723026669</x:v>
      </x:c>
      <x:c r="G1586" s="37" t="n">
        <x:v>91890.98643829986</x:v>
      </x:c>
      <x:c r="H1586" s="37" t="n">
        <x:v>20780.37029129928</x:v>
      </x:c>
      <x:c r="I1586" s="37" t="n">
        <x:v>71110.61614700058</x:v>
      </x:c>
      <x:c r="J1586" s="37" t="n">
        <x:v>10541857.117720386</x:v>
      </x:c>
      <x:c r="K1586" s="37" t="n">
        <x:v>10449966.131282086</x:v>
      </x:c>
      <x:c r="L1586" s="37" t="n">
        <x:v>11762371.70946497</x:v>
      </x:c>
      <x:c r="M1586" s="37" t="n">
        <x:v>0</x:v>
      </x:c>
      <x:c r="N1586" s="37" t="n">
        <x:v>0</x:v>
      </x:c>
      <x:c r="O1586" s="37" t="n">
        <x:v>639.7005689479411</x:v>
      </x:c>
      <x:c r="P1586" s="37" t="n">
        <x:v>0</x:v>
      </x:c>
      <x:c r="Q1586" s="37" t="n">
        <x:v>5.520473942634368</x:v>
      </x:c>
      <x:c r="R1586" s="37" t="n">
        <x:v>-4688.840364460398</x:v>
      </x:c>
      <x:c r="S1586" s="37" t="n">
        <x:v>55204.73942634368</x:v>
      </x:c>
      <x:c r="T1586" s="37" t="n">
        <x:v>0</x:v>
      </x:c>
      <x:c r="U1586" s="37" t="n">
        <x:v>-6779.554702527748</x:v>
      </x:c>
      <x:c r="V1586" s="37" t="n">
        <x:v>0</x:v>
      </x:c>
      <x:c r="W1586" s="37" t="n">
        <x:v>135068.82193221524</x:v>
      </x:c>
      <x:c r="X1586" s="37" t="n">
        <x:v>0</x:v>
      </x:c>
      <x:c r="Y1586" s="37" t="n">
        <x:v>2172.0174893282365</x:v>
      </x:c>
      <x:c r="Z1586" s="37" t="n">
        <x:v>10658965.453907728</x:v>
      </x:c>
      <x:c r="AA1586" s="37" t="n">
        <x:v>0</x:v>
      </x:c>
      <x:c r="AB1586" s="37" t="n">
        <x:v>10658965.453907728</x:v>
      </x:c>
      <x:c r="AC1586" s="37" t="n">
        <x:v>1011515.2691189405</x:v>
      </x:c>
      <x:c r="AD1586" s="37" t="n">
        <x:v>0</x:v>
      </x:c>
      <x:c r="AE1586" s="37" t="n">
        <x:v>0</x:v>
      </x:c>
      <x:c r="AF1586" s="47" t="b">
        <x:v>0</x:v>
      </x:c>
      <x:c r="AG1586" s="47" t="b">
        <x:v>0</x:v>
      </x:c>
      <x:c r="AH1586" s="48" t="n">
        <x:v>9.694360869616503e-10</x:v>
      </x:c>
      <x:c r="AI1586" s="48" t="n">
        <x:v>1.1920928955078125e-7</x:v>
      </x:c>
      <x:c r="AJ1586" s="37" t="str">
        <x:v>passed</x:v>
      </x:c>
    </x:row>
    <x:row r="1587" ht="21" customHeight="1">
      <x:c r="A1587" s="2"/>
      <x:c r="B1587" s="2"/>
      <x:c r="C1587" s="2" t="str">
        <x:v>2023</x:v>
      </x:c>
      <x:c r="D1587" s="5" t="n">
        <x:v>45140</x:v>
      </x:c>
      <x:c r="E1587" s="2" t="str">
        <x:v>unhedged</x:v>
      </x:c>
      <x:c r="F1587" s="37" t="n">
        <x:v>1277129.9993418648</x:v>
      </x:c>
      <x:c r="G1587" s="37" t="n">
        <x:v>10449996.201494474</x:v>
      </x:c>
      <x:c r="H1587" s="37" t="n">
        <x:v>48216.95592121066</x:v>
      </x:c>
      <x:c r="I1587" s="37" t="n">
        <x:v>10401779.245573264</x:v>
      </x:c>
      <x:c r="J1587" s="37" t="n">
        <x:v>10449996.201494474</x:v>
      </x:c>
      <x:c r="K1587" s="37" t="n">
        <x:v>0</x:v>
      </x:c>
      <x:c r="L1587" s="37" t="n">
        <x:v>11727126.200836338</x:v>
      </x:c>
      <x:c r="M1587" s="37" t="n">
        <x:v>0</x:v>
      </x:c>
      <x:c r="N1587" s="37" t="n">
        <x:v>0</x:v>
      </x:c>
      <x:c r="O1587" s="37" t="n">
        <x:v>69.97589169582352</x:v>
      </x:c>
      <x:c r="P1587" s="37" t="n">
        <x:v>0</x:v>
      </x:c>
      <x:c r="Q1587" s="37" t="n">
        <x:v>0</x:v>
      </x:c>
      <x:c r="R1587" s="37" t="n">
        <x:v>0</x:v>
      </x:c>
      <x:c r="S1587" s="37" t="n">
        <x:v>0</x:v>
      </x:c>
      <x:c r="T1587" s="37" t="n">
        <x:v>0</x:v>
      </x:c>
      <x:c r="U1587" s="37" t="n">
        <x:v>63750</x:v>
      </x:c>
      <x:c r="V1587" s="37" t="n">
        <x:v>0</x:v>
      </x:c>
      <x:c r="W1587" s="37" t="n">
        <x:v>14422.868683987064</x:v>
      </x:c>
      <x:c r="X1587" s="37" t="n">
        <x:v>0</x:v>
      </x:c>
      <x:c r="Y1587" s="37" t="n">
        <x:v>1042.869342122179</x:v>
      </x:c>
      <x:c r="Z1587" s="37" t="n">
        <x:v>0</x:v>
      </x:c>
      <x:c r="AA1587" s="37" t="n">
        <x:v>0</x:v>
      </x:c>
      <x:c r="AB1587" s="37" t="n">
        <x:v>0</x:v>
      </x:c>
      <x:c r="AC1587" s="37" t="n">
        <x:v>1277129.9993418648</x:v>
      </x:c>
      <x:c r="AD1587" s="37" t="n">
        <x:v>0</x:v>
      </x:c>
      <x:c r="AE1587" s="37" t="n">
        <x:v>0</x:v>
      </x:c>
      <x:c r="AF1587" s="47" t="b">
        <x:v>0</x:v>
      </x:c>
      <x:c r="AG1587" s="47" t="b">
        <x:v>0</x:v>
      </x:c>
      <x:c r="AH1587" s="48" t="n">
        <x:v>0</x:v>
      </x:c>
      <x:c r="AI1587" s="48" t="n">
        <x:v>1.1920928955078125e-7</x:v>
      </x:c>
      <x:c r="AJ1587" s="37" t="str">
        <x:v>passed</x:v>
      </x:c>
    </x:row>
    <x:row r="1588" ht="21" customHeight="1">
      <x:c r="A1588" s="2"/>
      <x:c r="B1588" s="2"/>
      <x:c r="C1588" s="2" t="str">
        <x:v>2023</x:v>
      </x:c>
      <x:c r="D1588" s="5" t="n">
        <x:v>45140</x:v>
      </x:c>
      <x:c r="E1588" s="2" t="str">
        <x:v>duration</x:v>
      </x:c>
      <x:c r="F1588" s="37" t="n">
        <x:v>7612843.270199681</x:v>
      </x:c>
      <x:c r="G1588" s="37" t="n">
        <x:v>4180759.5012375116</x:v>
      </x:c>
      <x:c r="H1588" s="37" t="n">
        <x:v>25443.202533909018</x:v>
      </x:c>
      <x:c r="I1588" s="37" t="n">
        <x:v>4155316.2987036025</x:v>
      </x:c>
      <x:c r="J1588" s="37" t="n">
        <x:v>10449996.201494474</x:v>
      </x:c>
      <x:c r="K1588" s="37" t="n">
        <x:v>6269236.700256962</x:v>
      </x:c>
      <x:c r="L1588" s="37" t="n">
        <x:v>11793602.771437192</x:v>
      </x:c>
      <x:c r="M1588" s="37" t="n">
        <x:v>0</x:v>
      </x:c>
      <x:c r="N1588" s="37" t="n">
        <x:v>0</x:v>
      </x:c>
      <x:c r="O1588" s="37" t="n">
        <x:v>417.11924114916474</x:v>
      </x:c>
      <x:c r="P1588" s="37" t="n">
        <x:v>0</x:v>
      </x:c>
      <x:c r="Q1588" s="37" t="n">
        <x:v>0</x:v>
      </x:c>
      <x:c r="R1588" s="37" t="n">
        <x:v>0</x:v>
      </x:c>
      <x:c r="S1588" s="37" t="n">
        <x:v>0</x:v>
      </x:c>
      <x:c r="T1588" s="37" t="n">
        <x:v>0</x:v>
      </x:c>
      <x:c r="U1588" s="37" t="n">
        <x:v>9917.381478397001</x:v>
      </x:c>
      <x:c r="V1588" s="37" t="n">
        <x:v>0</x:v>
      </x:c>
      <x:c r="W1588" s="37" t="n">
        <x:v>89356.3065616088</x:v>
      </x:c>
      <x:c r="X1588" s="37" t="n">
        <x:v>0</x:v>
      </x:c>
      <x:c r="Y1588" s="37" t="n">
        <x:v>1734.6966441846707</x:v>
      </x:c>
      <x:c r="Z1588" s="37" t="n">
        <x:v>6394621.434262102</x:v>
      </x:c>
      <x:c r="AA1588" s="37" t="n">
        <x:v>0</x:v>
      </x:c>
      <x:c r="AB1588" s="37" t="n">
        <x:v>6394621.434262102</x:v>
      </x:c>
      <x:c r="AC1588" s="37" t="n">
        <x:v>1218221.8359375792</x:v>
      </x:c>
      <x:c r="AD1588" s="37" t="n">
        <x:v>0</x:v>
      </x:c>
      <x:c r="AE1588" s="37" t="n">
        <x:v>0</x:v>
      </x:c>
      <x:c r="AF1588" s="47" t="b">
        <x:v>0</x:v>
      </x:c>
      <x:c r="AG1588" s="47" t="b">
        <x:v>0</x:v>
      </x:c>
      <x:c r="AH1588" s="48" t="n">
        <x:v>0</x:v>
      </x:c>
      <x:c r="AI1588" s="48" t="n">
        <x:v>5.960464477539063e-8</x:v>
      </x:c>
      <x:c r="AJ1588" s="37" t="str">
        <x:v>passed</x:v>
      </x:c>
    </x:row>
    <x:row r="1589" ht="21" customHeight="1">
      <x:c r="A1589" s="2"/>
      <x:c r="B1589" s="2"/>
      <x:c r="C1589" s="2" t="str">
        <x:v>2023</x:v>
      </x:c>
      <x:c r="D1589" s="5" t="n">
        <x:v>45140</x:v>
      </x:c>
      <x:c r="E1589" s="2" t="str">
        <x:v>unweighted</x:v>
      </x:c>
      <x:c r="F1589" s="37" t="n">
        <x:v>11241491.436720805</x:v>
      </x:c>
      <x:c r="G1589" s="37" t="n">
        <x:v>529415.7884579542</x:v>
      </x:c>
      <x:c r="H1589" s="37" t="n">
        <x:v>20953.171299852722</x:v>
      </x:c>
      <x:c r="I1589" s="37" t="n">
        <x:v>508462.61715810146</x:v>
      </x:c>
      <x:c r="J1589" s="37" t="n">
        <x:v>10536474.126656234</x:v>
      </x:c>
      <x:c r="K1589" s="37" t="n">
        <x:v>10007058.33819828</x:v>
      </x:c>
      <x:c r="L1589" s="37" t="n">
        <x:v>11770907.22517876</x:v>
      </x:c>
      <x:c r="M1589" s="37" t="n">
        <x:v>0</x:v>
      </x:c>
      <x:c r="N1589" s="37" t="n">
        <x:v>0</x:v>
      </x:c>
      <x:c r="O1589" s="37" t="n">
        <x:v>615.9383834712207</x:v>
      </x:c>
      <x:c r="P1589" s="37" t="n">
        <x:v>0</x:v>
      </x:c>
      <x:c r="Q1589" s="37" t="n">
        <x:v>0</x:v>
      </x:c>
      <x:c r="R1589" s="37" t="n">
        <x:v>0</x:v>
      </x:c>
      <x:c r="S1589" s="37" t="n">
        <x:v>0</x:v>
      </x:c>
      <x:c r="T1589" s="37" t="n">
        <x:v>0</x:v>
      </x:c>
      <x:c r="U1589" s="37" t="n">
        <x:v>-5694.19584657007</x:v>
      </x:c>
      <x:c r="V1589" s="37" t="n">
        <x:v>0</x:v>
      </x:c>
      <x:c r="W1589" s="37" t="n">
        <x:v>130092.31749660708</x:v>
      </x:c>
      <x:c r="X1589" s="37" t="n">
        <x:v>0</x:v>
      </x:c>
      <x:c r="Y1589" s="37" t="n">
        <x:v>2148.4243093252817</x:v>
      </x:c>
      <x:c r="Z1589" s="37" t="n">
        <x:v>10207199.504962245</x:v>
      </x:c>
      <x:c r="AA1589" s="37" t="n">
        <x:v>0</x:v>
      </x:c>
      <x:c r="AB1589" s="37" t="n">
        <x:v>10207199.504962245</x:v>
      </x:c>
      <x:c r="AC1589" s="37" t="n">
        <x:v>1034291.9317585602</x:v>
      </x:c>
      <x:c r="AD1589" s="37" t="n">
        <x:v>0</x:v>
      </x:c>
      <x:c r="AE1589" s="37" t="n">
        <x:v>0</x:v>
      </x:c>
      <x:c r="AF1589" s="47" t="b">
        <x:v>0</x:v>
      </x:c>
      <x:c r="AG1589" s="47" t="b">
        <x:v>0</x:v>
      </x:c>
      <x:c r="AH1589" s="48" t="n">
        <x:v>0</x:v>
      </x:c>
      <x:c r="AI1589" s="48" t="n">
        <x:v>1.1920928955078125e-7</x:v>
      </x:c>
      <x:c r="AJ1589" s="37" t="str">
        <x:v>passed</x:v>
      </x:c>
    </x:row>
    <x:row r="1590" ht="21" customHeight="1">
      <x:c r="A1590" s="2"/>
      <x:c r="B1590" s="2"/>
      <x:c r="C1590" s="2" t="str">
        <x:v>2023</x:v>
      </x:c>
      <x:c r="D1590" s="5" t="n">
        <x:v>45140</x:v>
      </x:c>
      <x:c r="E1590" s="2" t="str">
        <x:v>constrained</x:v>
      </x:c>
      <x:c r="F1590" s="37" t="n">
        <x:v>11671120.201422451</x:v>
      </x:c>
      <x:c r="G1590" s="37" t="n">
        <x:v>91558.24912287304</x:v>
      </x:c>
      <x:c r="H1590" s="37" t="n">
        <x:v>20748.79406979834</x:v>
      </x:c>
      <x:c r="I1590" s="37" t="n">
        <x:v>70809.4550530747</x:v>
      </x:c>
      <x:c r="J1590" s="37" t="n">
        <x:v>10540686.92937099</x:v>
      </x:c>
      <x:c r="K1590" s="37" t="n">
        <x:v>10449128.680248115</x:v>
      </x:c>
      <x:c r="L1590" s="37" t="n">
        <x:v>11762678.450545324</x:v>
      </x:c>
      <x:c r="M1590" s="37" t="n">
        <x:v>0</x:v>
      </x:c>
      <x:c r="N1590" s="37" t="n">
        <x:v>0</x:v>
      </x:c>
      <x:c r="O1590" s="37" t="n">
        <x:v>639.4783957824111</x:v>
      </x:c>
      <x:c r="P1590" s="37" t="n">
        <x:v>0</x:v>
      </x:c>
      <x:c r="Q1590" s="37" t="n">
        <x:v>0</x:v>
      </x:c>
      <x:c r="R1590" s="37" t="n">
        <x:v>0</x:v>
      </x:c>
      <x:c r="S1590" s="37" t="n">
        <x:v>0</x:v>
      </x:c>
      <x:c r="T1590" s="37" t="n">
        <x:v>0</x:v>
      </x:c>
      <x:c r="U1590" s="37" t="n">
        <x:v>-6779.554702527748</x:v>
      </x:c>
      <x:c r="V1590" s="37" t="n">
        <x:v>0</x:v>
      </x:c>
      <x:c r="W1590" s="37" t="n">
        <x:v>135708.30032799765</x:v>
      </x:c>
      <x:c r="X1590" s="37" t="n">
        <x:v>0</x:v>
      </x:c>
      <x:c r="Y1590" s="37" t="n">
        <x:v>2172.0174893282365</x:v>
      </x:c>
      <x:c r="Z1590" s="37" t="n">
        <x:v>10658111.253853077</x:v>
      </x:c>
      <x:c r="AA1590" s="37" t="n">
        <x:v>0</x:v>
      </x:c>
      <x:c r="AB1590" s="37" t="n">
        <x:v>10658111.253853077</x:v>
      </x:c>
      <x:c r="AC1590" s="37" t="n">
        <x:v>1013008.947569374</x:v>
      </x:c>
      <x:c r="AD1590" s="37" t="n">
        <x:v>0</x:v>
      </x:c>
      <x:c r="AE1590" s="37" t="n">
        <x:v>0</x:v>
      </x:c>
      <x:c r="AF1590" s="47" t="b">
        <x:v>0</x:v>
      </x:c>
      <x:c r="AG1590" s="47" t="b">
        <x:v>0</x:v>
      </x:c>
      <x:c r="AH1590" s="48" t="n">
        <x:v>0</x:v>
      </x:c>
      <x:c r="AI1590" s="48" t="n">
        <x:v>1.1920928955078125e-7</x:v>
      </x:c>
      <x:c r="AJ1590" s="37" t="str">
        <x:v>passed</x:v>
      </x:c>
    </x:row>
    <x:row r="1591" ht="21" customHeight="1">
      <x:c r="A1591" s="2"/>
      <x:c r="B1591" s="2"/>
      <x:c r="C1591" s="2" t="str">
        <x:v>2023</x:v>
      </x:c>
      <x:c r="D1591" s="5" t="n">
        <x:v>45141</x:v>
      </x:c>
      <x:c r="E1591" s="2" t="str">
        <x:v>unhedged</x:v>
      </x:c>
      <x:c r="F1591" s="37" t="n">
        <x:v>1277199.9790678562</x:v>
      </x:c>
      <x:c r="G1591" s="37" t="n">
        <x:v>10417023.66951893</x:v>
      </x:c>
      <x:c r="H1591" s="37" t="n">
        <x:v>48566.80128513092</x:v>
      </x:c>
      <x:c r="I1591" s="37" t="n">
        <x:v>10368456.8682338</x:v>
      </x:c>
      <x:c r="J1591" s="37" t="n">
        <x:v>10417023.66951893</x:v>
      </x:c>
      <x:c r="K1591" s="37" t="n">
        <x:v>0</x:v>
      </x:c>
      <x:c r="L1591" s="37" t="n">
        <x:v>11694223.648586787</x:v>
      </x:c>
      <x:c r="M1591" s="37" t="n">
        <x:v>0</x:v>
      </x:c>
      <x:c r="N1591" s="37" t="n">
        <x:v>0</x:v>
      </x:c>
      <x:c r="O1591" s="37" t="n">
        <x:v>69.97972599137574</x:v>
      </x:c>
      <x:c r="P1591" s="37" t="n">
        <x:v>0</x:v>
      </x:c>
      <x:c r="Q1591" s="37" t="n">
        <x:v>0</x:v>
      </x:c>
      <x:c r="R1591" s="37" t="n">
        <x:v>0</x:v>
      </x:c>
      <x:c r="S1591" s="37" t="n">
        <x:v>0</x:v>
      </x:c>
      <x:c r="T1591" s="37" t="n">
        <x:v>0</x:v>
      </x:c>
      <x:c r="U1591" s="37" t="n">
        <x:v>63750</x:v>
      </x:c>
      <x:c r="V1591" s="37" t="n">
        <x:v>0</x:v>
      </x:c>
      <x:c r="W1591" s="37" t="n">
        <x:v>14492.84840997844</x:v>
      </x:c>
      <x:c r="X1591" s="37" t="n">
        <x:v>0</x:v>
      </x:c>
      <x:c r="Y1591" s="37" t="n">
        <x:v>1042.869342122179</x:v>
      </x:c>
      <x:c r="Z1591" s="37" t="n">
        <x:v>0</x:v>
      </x:c>
      <x:c r="AA1591" s="37" t="n">
        <x:v>0</x:v>
      </x:c>
      <x:c r="AB1591" s="37" t="n">
        <x:v>0</x:v>
      </x:c>
      <x:c r="AC1591" s="37" t="n">
        <x:v>1277199.9790678562</x:v>
      </x:c>
      <x:c r="AD1591" s="37" t="n">
        <x:v>0</x:v>
      </x:c>
      <x:c r="AE1591" s="37" t="n">
        <x:v>0</x:v>
      </x:c>
      <x:c r="AF1591" s="47" t="b">
        <x:v>0</x:v>
      </x:c>
      <x:c r="AG1591" s="47" t="b">
        <x:v>0</x:v>
      </x:c>
      <x:c r="AH1591" s="48" t="n">
        <x:v>0</x:v>
      </x:c>
      <x:c r="AI1591" s="48" t="n">
        <x:v>1.1920928955078125e-7</x:v>
      </x:c>
      <x:c r="AJ1591" s="37" t="str">
        <x:v>passed</x:v>
      </x:c>
    </x:row>
    <x:row r="1592" ht="21" customHeight="1">
      <x:c r="A1592" s="2"/>
      <x:c r="B1592" s="2"/>
      <x:c r="C1592" s="2" t="str">
        <x:v>2023</x:v>
      </x:c>
      <x:c r="D1592" s="5" t="n">
        <x:v>45141</x:v>
      </x:c>
      <x:c r="E1592" s="2" t="str">
        <x:v>duration</x:v>
      </x:c>
      <x:c r="F1592" s="37" t="n">
        <x:v>7613260.412296678</x:v>
      </x:c>
      <x:c r="G1592" s="37" t="n">
        <x:v>4187414.4737881</x:v>
      </x:c>
      <x:c r="H1592" s="37" t="n">
        <x:v>25504.77253849634</x:v>
      </x:c>
      <x:c r="I1592" s="37" t="n">
        <x:v>4161909.7012496036</x:v>
      </x:c>
      <x:c r="J1592" s="37" t="n">
        <x:v>10417023.66951893</x:v>
      </x:c>
      <x:c r="K1592" s="37" t="n">
        <x:v>6229609.195730831</x:v>
      </x:c>
      <x:c r="L1592" s="37" t="n">
        <x:v>11800674.886084778</x:v>
      </x:c>
      <x:c r="M1592" s="37" t="n">
        <x:v>0</x:v>
      </x:c>
      <x:c r="N1592" s="37" t="n">
        <x:v>0</x:v>
      </x:c>
      <x:c r="O1592" s="37" t="n">
        <x:v>417.1420969972387</x:v>
      </x:c>
      <x:c r="P1592" s="37" t="n">
        <x:v>0</x:v>
      </x:c>
      <x:c r="Q1592" s="37" t="n">
        <x:v>0</x:v>
      </x:c>
      <x:c r="R1592" s="37" t="n">
        <x:v>0</x:v>
      </x:c>
      <x:c r="S1592" s="37" t="n">
        <x:v>0</x:v>
      </x:c>
      <x:c r="T1592" s="37" t="n">
        <x:v>0</x:v>
      </x:c>
      <x:c r="U1592" s="37" t="n">
        <x:v>9917.381478397001</x:v>
      </x:c>
      <x:c r="V1592" s="37" t="n">
        <x:v>0</x:v>
      </x:c>
      <x:c r="W1592" s="37" t="n">
        <x:v>89773.44865860604</x:v>
      </x:c>
      <x:c r="X1592" s="37" t="n">
        <x:v>0</x:v>
      </x:c>
      <x:c r="Y1592" s="37" t="n">
        <x:v>1734.6966441846707</x:v>
      </x:c>
      <x:c r="Z1592" s="37" t="n">
        <x:v>6354201.379645447</x:v>
      </x:c>
      <x:c r="AA1592" s="37" t="n">
        <x:v>0</x:v>
      </x:c>
      <x:c r="AB1592" s="37" t="n">
        <x:v>6354201.379645447</x:v>
      </x:c>
      <x:c r="AC1592" s="37" t="n">
        <x:v>1259059.0326512307</x:v>
      </x:c>
      <x:c r="AD1592" s="37" t="n">
        <x:v>0</x:v>
      </x:c>
      <x:c r="AE1592" s="37" t="n">
        <x:v>0</x:v>
      </x:c>
      <x:c r="AF1592" s="47" t="b">
        <x:v>0</x:v>
      </x:c>
      <x:c r="AG1592" s="47" t="b">
        <x:v>0</x:v>
      </x:c>
      <x:c r="AH1592" s="48" t="n">
        <x:v>0</x:v>
      </x:c>
      <x:c r="AI1592" s="48" t="n">
        <x:v>5.960464477539063e-8</x:v>
      </x:c>
      <x:c r="AJ1592" s="37" t="str">
        <x:v>passed</x:v>
      </x:c>
    </x:row>
    <x:row r="1593" ht="21" customHeight="1">
      <x:c r="A1593" s="2"/>
      <x:c r="B1593" s="2"/>
      <x:c r="C1593" s="2" t="str">
        <x:v>2023</x:v>
      </x:c>
      <x:c r="D1593" s="5" t="n">
        <x:v>45141</x:v>
      </x:c>
      <x:c r="E1593" s="2" t="str">
        <x:v>unweighted</x:v>
      </x:c>
      <x:c r="F1593" s="37" t="n">
        <x:v>11242107.408854324</x:v>
      </x:c>
      <x:c r="G1593" s="37" t="n">
        <x:v>529345.56445944</x:v>
      </x:c>
      <x:c r="H1593" s="37" t="n">
        <x:v>20925.86999082823</x:v>
      </x:c>
      <x:c r="I1593" s="37" t="n">
        <x:v>508419.69446861173</x:v>
      </x:c>
      <x:c r="J1593" s="37" t="n">
        <x:v>10501053.85738317</x:v>
      </x:c>
      <x:c r="K1593" s="37" t="n">
        <x:v>9971708.292923728</x:v>
      </x:c>
      <x:c r="L1593" s="37" t="n">
        <x:v>11771452.973313764</x:v>
      </x:c>
      <x:c r="M1593" s="37" t="n">
        <x:v>0</x:v>
      </x:c>
      <x:c r="N1593" s="37" t="n">
        <x:v>0</x:v>
      </x:c>
      <x:c r="O1593" s="37" t="n">
        <x:v>615.972133519128</x:v>
      </x:c>
      <x:c r="P1593" s="37" t="n">
        <x:v>0</x:v>
      </x:c>
      <x:c r="Q1593" s="37" t="n">
        <x:v>0</x:v>
      </x:c>
      <x:c r="R1593" s="37" t="n">
        <x:v>0</x:v>
      </x:c>
      <x:c r="S1593" s="37" t="n">
        <x:v>0</x:v>
      </x:c>
      <x:c r="T1593" s="37" t="n">
        <x:v>0</x:v>
      </x:c>
      <x:c r="U1593" s="37" t="n">
        <x:v>-5694.19584657007</x:v>
      </x:c>
      <x:c r="V1593" s="37" t="n">
        <x:v>0</x:v>
      </x:c>
      <x:c r="W1593" s="37" t="n">
        <x:v>130708.28963012621</x:v>
      </x:c>
      <x:c r="X1593" s="37" t="n">
        <x:v>0</x:v>
      </x:c>
      <x:c r="Y1593" s="37" t="n">
        <x:v>2148.4243093252817</x:v>
      </x:c>
      <x:c r="Z1593" s="37" t="n">
        <x:v>10171142.458782203</x:v>
      </x:c>
      <x:c r="AA1593" s="37" t="n">
        <x:v>0</x:v>
      </x:c>
      <x:c r="AB1593" s="37" t="n">
        <x:v>10171142.458782203</x:v>
      </x:c>
      <x:c r="AC1593" s="37" t="n">
        <x:v>1070964.9500721209</x:v>
      </x:c>
      <x:c r="AD1593" s="37" t="n">
        <x:v>0</x:v>
      </x:c>
      <x:c r="AE1593" s="37" t="n">
        <x:v>0</x:v>
      </x:c>
      <x:c r="AF1593" s="47" t="b">
        <x:v>0</x:v>
      </x:c>
      <x:c r="AG1593" s="47" t="b">
        <x:v>0</x:v>
      </x:c>
      <x:c r="AH1593" s="48" t="n">
        <x:v>0</x:v>
      </x:c>
      <x:c r="AI1593" s="48" t="n">
        <x:v>1.1920928955078125e-7</x:v>
      </x:c>
      <x:c r="AJ1593" s="37" t="str">
        <x:v>passed</x:v>
      </x:c>
    </x:row>
    <x:row r="1594" ht="21" customHeight="1">
      <x:c r="A1594" s="2"/>
      <x:c r="B1594" s="2"/>
      <x:c r="C1594" s="2" t="str">
        <x:v>2023</x:v>
      </x:c>
      <x:c r="D1594" s="5" t="n">
        <x:v>45141</x:v>
      </x:c>
      <x:c r="E1594" s="2" t="str">
        <x:v>constrained</x:v>
      </x:c>
      <x:c r="F1594" s="37" t="n">
        <x:v>11671759.714858146</x:v>
      </x:c>
      <x:c r="G1594" s="37" t="n">
        <x:v>90835.95940640918</x:v>
      </x:c>
      <x:c r="H1594" s="37" t="n">
        <x:v>20717.217848297405</x:v>
      </x:c>
      <x:c r="I1594" s="37" t="n">
        <x:v>70118.74155811177</x:v>
      </x:c>
      <x:c r="J1594" s="37" t="n">
        <x:v>10505147.417709617</x:v>
      </x:c>
      <x:c r="K1594" s="37" t="n">
        <x:v>10414311.458303208</x:v>
      </x:c>
      <x:c r="L1594" s="37" t="n">
        <x:v>11762595.674264556</x:v>
      </x:c>
      <x:c r="M1594" s="37" t="n">
        <x:v>0</x:v>
      </x:c>
      <x:c r="N1594" s="37" t="n">
        <x:v>0</x:v>
      </x:c>
      <x:c r="O1594" s="37" t="n">
        <x:v>639.5134356953204</x:v>
      </x:c>
      <x:c r="P1594" s="37" t="n">
        <x:v>0</x:v>
      </x:c>
      <x:c r="Q1594" s="37" t="n">
        <x:v>0</x:v>
      </x:c>
      <x:c r="R1594" s="37" t="n">
        <x:v>0</x:v>
      </x:c>
      <x:c r="S1594" s="37" t="n">
        <x:v>0</x:v>
      </x:c>
      <x:c r="T1594" s="37" t="n">
        <x:v>0</x:v>
      </x:c>
      <x:c r="U1594" s="37" t="n">
        <x:v>-6779.554702527748</x:v>
      </x:c>
      <x:c r="V1594" s="37" t="n">
        <x:v>0</x:v>
      </x:c>
      <x:c r="W1594" s="37" t="n">
        <x:v>136347.81376369298</x:v>
      </x:c>
      <x:c r="X1594" s="37" t="n">
        <x:v>0</x:v>
      </x:c>
      <x:c r="Y1594" s="37" t="n">
        <x:v>2172.0174893282365</x:v>
      </x:c>
      <x:c r="Z1594" s="37" t="n">
        <x:v>10622597.687469272</x:v>
      </x:c>
      <x:c r="AA1594" s="37" t="n">
        <x:v>0</x:v>
      </x:c>
      <x:c r="AB1594" s="37" t="n">
        <x:v>10622597.687469272</x:v>
      </x:c>
      <x:c r="AC1594" s="37" t="n">
        <x:v>1049162.0273888744</x:v>
      </x:c>
      <x:c r="AD1594" s="37" t="n">
        <x:v>0</x:v>
      </x:c>
      <x:c r="AE1594" s="37" t="n">
        <x:v>0</x:v>
      </x:c>
      <x:c r="AF1594" s="47" t="b">
        <x:v>0</x:v>
      </x:c>
      <x:c r="AG1594" s="47" t="b">
        <x:v>0</x:v>
      </x:c>
      <x:c r="AH1594" s="48" t="n">
        <x:v>0</x:v>
      </x:c>
      <x:c r="AI1594" s="48" t="n">
        <x:v>1.1920928955078125e-7</x:v>
      </x:c>
      <x:c r="AJ1594" s="37" t="str">
        <x:v>passed</x:v>
      </x:c>
    </x:row>
    <x:row r="1595" ht="21" customHeight="1">
      <x:c r="A1595" s="2"/>
      <x:c r="B1595" s="2"/>
      <x:c r="C1595" s="2" t="str">
        <x:v>2023</x:v>
      </x:c>
      <x:c r="D1595" s="5" t="n">
        <x:v>45142</x:v>
      </x:c>
      <x:c r="E1595" s="2" t="str">
        <x:v>unhedged</x:v>
      </x:c>
      <x:c r="F1595" s="37" t="n">
        <x:v>1277269.9626283534</x:v>
      </x:c>
      <x:c r="G1595" s="37" t="n">
        <x:v>10488002.195953432</x:v>
      </x:c>
      <x:c r="H1595" s="37" t="n">
        <x:v>48916.646649051174</x:v>
      </x:c>
      <x:c r="I1595" s="37" t="n">
        <x:v>10439085.549304381</x:v>
      </x:c>
      <x:c r="J1595" s="37" t="n">
        <x:v>10488002.195953432</x:v>
      </x:c>
      <x:c r="K1595" s="37" t="n">
        <x:v>0</x:v>
      </x:c>
      <x:c r="L1595" s="37" t="n">
        <x:v>11765272.158581786</x:v>
      </x:c>
      <x:c r="M1595" s="37" t="n">
        <x:v>0</x:v>
      </x:c>
      <x:c r="N1595" s="37" t="n">
        <x:v>0</x:v>
      </x:c>
      <x:c r="O1595" s="37" t="n">
        <x:v>69.98356049717404</x:v>
      </x:c>
      <x:c r="P1595" s="37" t="n">
        <x:v>0</x:v>
      </x:c>
      <x:c r="Q1595" s="37" t="n">
        <x:v>0</x:v>
      </x:c>
      <x:c r="R1595" s="37" t="n">
        <x:v>0</x:v>
      </x:c>
      <x:c r="S1595" s="37" t="n">
        <x:v>0</x:v>
      </x:c>
      <x:c r="T1595" s="37" t="n">
        <x:v>0</x:v>
      </x:c>
      <x:c r="U1595" s="37" t="n">
        <x:v>63750</x:v>
      </x:c>
      <x:c r="V1595" s="37" t="n">
        <x:v>0</x:v>
      </x:c>
      <x:c r="W1595" s="37" t="n">
        <x:v>14562.831970475614</x:v>
      </x:c>
      <x:c r="X1595" s="37" t="n">
        <x:v>0</x:v>
      </x:c>
      <x:c r="Y1595" s="37" t="n">
        <x:v>1042.869342122179</x:v>
      </x:c>
      <x:c r="Z1595" s="37" t="n">
        <x:v>0</x:v>
      </x:c>
      <x:c r="AA1595" s="37" t="n">
        <x:v>0</x:v>
      </x:c>
      <x:c r="AB1595" s="37" t="n">
        <x:v>0</x:v>
      </x:c>
      <x:c r="AC1595" s="37" t="n">
        <x:v>1277269.9626283534</x:v>
      </x:c>
      <x:c r="AD1595" s="37" t="n">
        <x:v>0</x:v>
      </x:c>
      <x:c r="AE1595" s="37" t="n">
        <x:v>0</x:v>
      </x:c>
      <x:c r="AF1595" s="47" t="b">
        <x:v>0</x:v>
      </x:c>
      <x:c r="AG1595" s="47" t="b">
        <x:v>0</x:v>
      </x:c>
      <x:c r="AH1595" s="48" t="n">
        <x:v>0</x:v>
      </x:c>
      <x:c r="AI1595" s="48" t="n">
        <x:v>1.1920928955078125e-7</x:v>
      </x:c>
      <x:c r="AJ1595" s="37" t="str">
        <x:v>passed</x:v>
      </x:c>
    </x:row>
    <x:row r="1596" ht="21" customHeight="1">
      <x:c r="A1596" s="2"/>
      <x:c r="B1596" s="2"/>
      <x:c r="C1596" s="2" t="str">
        <x:v>2023</x:v>
      </x:c>
      <x:c r="D1596" s="5" t="n">
        <x:v>45142</x:v>
      </x:c>
      <x:c r="E1596" s="2" t="str">
        <x:v>duration</x:v>
      </x:c>
      <x:c r="F1596" s="37" t="n">
        <x:v>7613677.577250778</x:v>
      </x:c>
      <x:c r="G1596" s="37" t="n">
        <x:v>4187931.417675306</x:v>
      </x:c>
      <x:c r="H1596" s="37" t="n">
        <x:v>25566.34254308366</x:v>
      </x:c>
      <x:c r="I1596" s="37" t="n">
        <x:v>4162365.0751322224</x:v>
      </x:c>
      <x:c r="J1596" s="37" t="n">
        <x:v>10488002.195953432</x:v>
      </x:c>
      <x:c r="K1596" s="37" t="n">
        <x:v>6300070.778278126</x:v>
      </x:c>
      <x:c r="L1596" s="37" t="n">
        <x:v>11801608.994926084</x:v>
      </x:c>
      <x:c r="M1596" s="37" t="n">
        <x:v>0</x:v>
      </x:c>
      <x:c r="N1596" s="37" t="n">
        <x:v>0</x:v>
      </x:c>
      <x:c r="O1596" s="37" t="n">
        <x:v>417.16495409980416</x:v>
      </x:c>
      <x:c r="P1596" s="37" t="n">
        <x:v>0</x:v>
      </x:c>
      <x:c r="Q1596" s="37" t="n">
        <x:v>0</x:v>
      </x:c>
      <x:c r="R1596" s="37" t="n">
        <x:v>0</x:v>
      </x:c>
      <x:c r="S1596" s="37" t="n">
        <x:v>0</x:v>
      </x:c>
      <x:c r="T1596" s="37" t="n">
        <x:v>0</x:v>
      </x:c>
      <x:c r="U1596" s="37" t="n">
        <x:v>9917.381478397001</x:v>
      </x:c>
      <x:c r="V1596" s="37" t="n">
        <x:v>0</x:v>
      </x:c>
      <x:c r="W1596" s="37" t="n">
        <x:v>90190.61361270584</x:v>
      </x:c>
      <x:c r="X1596" s="37" t="n">
        <x:v>0</x:v>
      </x:c>
      <x:c r="Y1596" s="37" t="n">
        <x:v>1734.6966441846707</x:v>
      </x:c>
      <x:c r="Z1596" s="37" t="n">
        <x:v>6426072.193843689</x:v>
      </x:c>
      <x:c r="AA1596" s="37" t="n">
        <x:v>0</x:v>
      </x:c>
      <x:c r="AB1596" s="37" t="n">
        <x:v>6426072.193843689</x:v>
      </x:c>
      <x:c r="AC1596" s="37" t="n">
        <x:v>1187605.383407089</x:v>
      </x:c>
      <x:c r="AD1596" s="37" t="n">
        <x:v>0</x:v>
      </x:c>
      <x:c r="AE1596" s="37" t="n">
        <x:v>0</x:v>
      </x:c>
      <x:c r="AF1596" s="47" t="b">
        <x:v>0</x:v>
      </x:c>
      <x:c r="AG1596" s="47" t="b">
        <x:v>0</x:v>
      </x:c>
      <x:c r="AH1596" s="48" t="n">
        <x:v>0</x:v>
      </x:c>
      <x:c r="AI1596" s="48" t="n">
        <x:v>5.960464477539063e-8</x:v>
      </x:c>
      <x:c r="AJ1596" s="37" t="str">
        <x:v>passed</x:v>
      </x:c>
    </x:row>
    <x:row r="1597" ht="21" customHeight="1">
      <x:c r="A1597" s="2"/>
      <x:c r="B1597" s="2"/>
      <x:c r="C1597" s="2" t="str">
        <x:v>2023</x:v>
      </x:c>
      <x:c r="D1597" s="5" t="n">
        <x:v>45142</x:v>
      </x:c>
      <x:c r="E1597" s="2" t="str">
        <x:v>unweighted</x:v>
      </x:c>
      <x:c r="F1597" s="37" t="n">
        <x:v>11242723.414739743</x:v>
      </x:c>
      <x:c r="G1597" s="37" t="n">
        <x:v>528888.3738284884</x:v>
      </x:c>
      <x:c r="H1597" s="37" t="n">
        <x:v>20898.568681803736</x:v>
      </x:c>
      <x:c r="I1597" s="37" t="n">
        <x:v>507989.80514668464</x:v>
      </x:c>
      <x:c r="J1597" s="37" t="n">
        <x:v>10573644.984362006</x:v>
      </x:c>
      <x:c r="K1597" s="37" t="n">
        <x:v>10044756.610533517</x:v>
      </x:c>
      <x:c r="L1597" s="37" t="n">
        <x:v>11771611.788568232</x:v>
      </x:c>
      <x:c r="M1597" s="37" t="n">
        <x:v>0</x:v>
      </x:c>
      <x:c r="N1597" s="37" t="n">
        <x:v>0</x:v>
      </x:c>
      <x:c r="O1597" s="37" t="n">
        <x:v>616.0058854185045</x:v>
      </x:c>
      <x:c r="P1597" s="37" t="n">
        <x:v>0</x:v>
      </x:c>
      <x:c r="Q1597" s="37" t="n">
        <x:v>0</x:v>
      </x:c>
      <x:c r="R1597" s="37" t="n">
        <x:v>0</x:v>
      </x:c>
      <x:c r="S1597" s="37" t="n">
        <x:v>0</x:v>
      </x:c>
      <x:c r="T1597" s="37" t="n">
        <x:v>0</x:v>
      </x:c>
      <x:c r="U1597" s="37" t="n">
        <x:v>-5694.19584657007</x:v>
      </x:c>
      <x:c r="V1597" s="37" t="n">
        <x:v>0</x:v>
      </x:c>
      <x:c r="W1597" s="37" t="n">
        <x:v>131324.2955155447</x:v>
      </x:c>
      <x:c r="X1597" s="37" t="n">
        <x:v>0</x:v>
      </x:c>
      <x:c r="Y1597" s="37" t="n">
        <x:v>2148.4243093252817</x:v>
      </x:c>
      <x:c r="Z1597" s="37" t="n">
        <x:v>10245651.742744187</x:v>
      </x:c>
      <x:c r="AA1597" s="37" t="n">
        <x:v>0</x:v>
      </x:c>
      <x:c r="AB1597" s="37" t="n">
        <x:v>10245651.742744187</x:v>
      </x:c>
      <x:c r="AC1597" s="37" t="n">
        <x:v>997071.671995556</x:v>
      </x:c>
      <x:c r="AD1597" s="37" t="n">
        <x:v>0</x:v>
      </x:c>
      <x:c r="AE1597" s="37" t="n">
        <x:v>0</x:v>
      </x:c>
      <x:c r="AF1597" s="47" t="b">
        <x:v>0</x:v>
      </x:c>
      <x:c r="AG1597" s="47" t="b">
        <x:v>0</x:v>
      </x:c>
      <x:c r="AH1597" s="48" t="n">
        <x:v>0</x:v>
      </x:c>
      <x:c r="AI1597" s="48" t="n">
        <x:v>1.1920928955078125e-7</x:v>
      </x:c>
      <x:c r="AJ1597" s="37" t="str">
        <x:v>passed</x:v>
      </x:c>
    </x:row>
    <x:row r="1598" ht="21" customHeight="1">
      <x:c r="A1598" s="2"/>
      <x:c r="B1598" s="2"/>
      <x:c r="C1598" s="2" t="str">
        <x:v>2023</x:v>
      </x:c>
      <x:c r="D1598" s="5" t="n">
        <x:v>45142</x:v>
      </x:c>
      <x:c r="E1598" s="2" t="str">
        <x:v>constrained</x:v>
      </x:c>
      <x:c r="F1598" s="37" t="n">
        <x:v>11672399.263335675</x:v>
      </x:c>
      <x:c r="G1598" s="37" t="n">
        <x:v>91050.12971038482</x:v>
      </x:c>
      <x:c r="H1598" s="37" t="n">
        <x:v>20685.64162679647</x:v>
      </x:c>
      <x:c r="I1598" s="37" t="n">
        <x:v>70364.48808358835</x:v>
      </x:c>
      <x:c r="J1598" s="37" t="n">
        <x:v>10577817.103094408</x:v>
      </x:c>
      <x:c r="K1598" s="37" t="n">
        <x:v>10486766.973384025</x:v>
      </x:c>
      <x:c r="L1598" s="37" t="n">
        <x:v>11763449.39304606</x:v>
      </x:c>
      <x:c r="M1598" s="37" t="n">
        <x:v>0</x:v>
      </x:c>
      <x:c r="N1598" s="37" t="n">
        <x:v>0</x:v>
      </x:c>
      <x:c r="O1598" s="37" t="n">
        <x:v>639.5484775286168</x:v>
      </x:c>
      <x:c r="P1598" s="37" t="n">
        <x:v>0</x:v>
      </x:c>
      <x:c r="Q1598" s="37" t="n">
        <x:v>0</x:v>
      </x:c>
      <x:c r="R1598" s="37" t="n">
        <x:v>0</x:v>
      </x:c>
      <x:c r="S1598" s="37" t="n">
        <x:v>0</x:v>
      </x:c>
      <x:c r="T1598" s="37" t="n">
        <x:v>0</x:v>
      </x:c>
      <x:c r="U1598" s="37" t="n">
        <x:v>-6779.554702527748</x:v>
      </x:c>
      <x:c r="V1598" s="37" t="n">
        <x:v>0</x:v>
      </x:c>
      <x:c r="W1598" s="37" t="n">
        <x:v>136987.3622412216</x:v>
      </x:c>
      <x:c r="X1598" s="37" t="n">
        <x:v>0</x:v>
      </x:c>
      <x:c r="Y1598" s="37" t="n">
        <x:v>2172.0174893282365</x:v>
      </x:c>
      <x:c r="Z1598" s="37" t="n">
        <x:v>10696502.312851705</x:v>
      </x:c>
      <x:c r="AA1598" s="37" t="n">
        <x:v>0</x:v>
      </x:c>
      <x:c r="AB1598" s="37" t="n">
        <x:v>10696502.312851705</x:v>
      </x:c>
      <x:c r="AC1598" s="37" t="n">
        <x:v>975896.9504839703</x:v>
      </x:c>
      <x:c r="AD1598" s="37" t="n">
        <x:v>0</x:v>
      </x:c>
      <x:c r="AE1598" s="37" t="n">
        <x:v>0</x:v>
      </x:c>
      <x:c r="AF1598" s="47" t="b">
        <x:v>0</x:v>
      </x:c>
      <x:c r="AG1598" s="47" t="b">
        <x:v>0</x:v>
      </x:c>
      <x:c r="AH1598" s="48" t="n">
        <x:v>0</x:v>
      </x:c>
      <x:c r="AI1598" s="48" t="n">
        <x:v>1.1920928955078125e-7</x:v>
      </x:c>
      <x:c r="AJ1598" s="37" t="str">
        <x:v>passed</x:v>
      </x:c>
    </x:row>
    <x:row r="1599" ht="21" customHeight="1">
      <x:c r="A1599" s="2"/>
      <x:c r="B1599" s="2"/>
      <x:c r="C1599" s="2" t="str">
        <x:v>2023</x:v>
      </x:c>
      <x:c r="D1599" s="5" t="n">
        <x:v>45145</x:v>
      </x:c>
      <x:c r="E1599" s="2" t="str">
        <x:v>unhedged</x:v>
      </x:c>
      <x:c r="F1599" s="37" t="n">
        <x:v>1277479.9363189787</x:v>
      </x:c>
      <x:c r="G1599" s="37" t="n">
        <x:v>10478110.756635223</x:v>
      </x:c>
      <x:c r="H1599" s="37" t="n">
        <x:v>49966.18274081191</x:v>
      </x:c>
      <x:c r="I1599" s="37" t="n">
        <x:v>10428144.573894411</x:v>
      </x:c>
      <x:c r="J1599" s="37" t="n">
        <x:v>10478110.756635223</x:v>
      </x:c>
      <x:c r="K1599" s="37" t="n">
        <x:v>0</x:v>
      </x:c>
      <x:c r="L1599" s="37" t="n">
        <x:v>11755590.692954201</x:v>
      </x:c>
      <x:c r="M1599" s="37" t="n">
        <x:v>0</x:v>
      </x:c>
      <x:c r="N1599" s="37" t="n">
        <x:v>0</x:v>
      </x:c>
      <x:c r="O1599" s="37" t="n">
        <x:v>209.97369062528014</x:v>
      </x:c>
      <x:c r="P1599" s="37" t="n">
        <x:v>0</x:v>
      </x:c>
      <x:c r="Q1599" s="37" t="n">
        <x:v>0</x:v>
      </x:c>
      <x:c r="R1599" s="37" t="n">
        <x:v>0</x:v>
      </x:c>
      <x:c r="S1599" s="37" t="n">
        <x:v>0</x:v>
      </x:c>
      <x:c r="T1599" s="37" t="n">
        <x:v>0</x:v>
      </x:c>
      <x:c r="U1599" s="37" t="n">
        <x:v>63750</x:v>
      </x:c>
      <x:c r="V1599" s="37" t="n">
        <x:v>0</x:v>
      </x:c>
      <x:c r="W1599" s="37" t="n">
        <x:v>14772.805661100894</x:v>
      </x:c>
      <x:c r="X1599" s="37" t="n">
        <x:v>0</x:v>
      </x:c>
      <x:c r="Y1599" s="37" t="n">
        <x:v>1042.869342122179</x:v>
      </x:c>
      <x:c r="Z1599" s="37" t="n">
        <x:v>0</x:v>
      </x:c>
      <x:c r="AA1599" s="37" t="n">
        <x:v>0</x:v>
      </x:c>
      <x:c r="AB1599" s="37" t="n">
        <x:v>0</x:v>
      </x:c>
      <x:c r="AC1599" s="37" t="n">
        <x:v>1277479.9363189787</x:v>
      </x:c>
      <x:c r="AD1599" s="37" t="n">
        <x:v>0</x:v>
      </x:c>
      <x:c r="AE1599" s="37" t="n">
        <x:v>0</x:v>
      </x:c>
      <x:c r="AF1599" s="47" t="b">
        <x:v>0</x:v>
      </x:c>
      <x:c r="AG1599" s="47" t="b">
        <x:v>0</x:v>
      </x:c>
      <x:c r="AH1599" s="48" t="n">
        <x:v>0</x:v>
      </x:c>
      <x:c r="AI1599" s="48" t="n">
        <x:v>1.1920928955078125e-7</x:v>
      </x:c>
      <x:c r="AJ1599" s="37" t="str">
        <x:v>passed</x:v>
      </x:c>
    </x:row>
    <x:row r="1600" ht="21" customHeight="1">
      <x:c r="A1600" s="2"/>
      <x:c r="B1600" s="2"/>
      <x:c r="C1600" s="2" t="str">
        <x:v>2023</x:v>
      </x:c>
      <x:c r="D1600" s="5" t="n">
        <x:v>45145</x:v>
      </x:c>
      <x:c r="E1600" s="2" t="str">
        <x:v>duration</x:v>
      </x:c>
      <x:c r="F1600" s="37" t="n">
        <x:v>7614929.209268207</x:v>
      </x:c>
      <x:c r="G1600" s="37" t="n">
        <x:v>4194929.787166126</x:v>
      </x:c>
      <x:c r="H1600" s="37" t="n">
        <x:v>25751.052556845614</x:v>
      </x:c>
      <x:c r="I1600" s="37" t="n">
        <x:v>4169178.7346092802</x:v>
      </x:c>
      <x:c r="J1600" s="37" t="n">
        <x:v>10478110.756635223</x:v>
      </x:c>
      <x:c r="K1600" s="37" t="n">
        <x:v>6283180.969469097</x:v>
      </x:c>
      <x:c r="L1600" s="37" t="n">
        <x:v>11809858.996434333</x:v>
      </x:c>
      <x:c r="M1600" s="37" t="n">
        <x:v>0</x:v>
      </x:c>
      <x:c r="N1600" s="37" t="n">
        <x:v>0</x:v>
      </x:c>
      <x:c r="O1600" s="37" t="n">
        <x:v>1251.6320174289867</x:v>
      </x:c>
      <x:c r="P1600" s="37" t="n">
        <x:v>0</x:v>
      </x:c>
      <x:c r="Q1600" s="37" t="n">
        <x:v>0</x:v>
      </x:c>
      <x:c r="R1600" s="37" t="n">
        <x:v>0</x:v>
      </x:c>
      <x:c r="S1600" s="37" t="n">
        <x:v>0</x:v>
      </x:c>
      <x:c r="T1600" s="37" t="n">
        <x:v>0</x:v>
      </x:c>
      <x:c r="U1600" s="37" t="n">
        <x:v>9917.381478397001</x:v>
      </x:c>
      <x:c r="V1600" s="37" t="n">
        <x:v>0</x:v>
      </x:c>
      <x:c r="W1600" s="37" t="n">
        <x:v>91442.24563013483</x:v>
      </x:c>
      <x:c r="X1600" s="37" t="n">
        <x:v>0</x:v>
      </x:c>
      <x:c r="Y1600" s="37" t="n">
        <x:v>1734.6966441846707</x:v>
      </x:c>
      <x:c r="Z1600" s="37" t="n">
        <x:v>6408844.58885848</x:v>
      </x:c>
      <x:c r="AA1600" s="37" t="n">
        <x:v>0</x:v>
      </x:c>
      <x:c r="AB1600" s="37" t="n">
        <x:v>6408844.58885848</x:v>
      </x:c>
      <x:c r="AC1600" s="37" t="n">
        <x:v>1206084.620409727</x:v>
      </x:c>
      <x:c r="AD1600" s="37" t="n">
        <x:v>0</x:v>
      </x:c>
      <x:c r="AE1600" s="37" t="n">
        <x:v>0</x:v>
      </x:c>
      <x:c r="AF1600" s="47" t="b">
        <x:v>0</x:v>
      </x:c>
      <x:c r="AG1600" s="47" t="b">
        <x:v>0</x:v>
      </x:c>
      <x:c r="AH1600" s="48" t="n">
        <x:v>0</x:v>
      </x:c>
      <x:c r="AI1600" s="48" t="n">
        <x:v>5.960464477539063e-8</x:v>
      </x:c>
      <x:c r="AJ1600" s="37" t="str">
        <x:v>passed</x:v>
      </x:c>
    </x:row>
    <x:row r="1601" ht="21" customHeight="1">
      <x:c r="A1601" s="2"/>
      <x:c r="B1601" s="2"/>
      <x:c r="C1601" s="2" t="str">
        <x:v>2023</x:v>
      </x:c>
      <x:c r="D1601" s="5" t="n">
        <x:v>45145</x:v>
      </x:c>
      <x:c r="E1601" s="2" t="str">
        <x:v>unweighted</x:v>
      </x:c>
      <x:c r="F1601" s="37" t="n">
        <x:v>11244571.634925876</x:v>
      </x:c>
      <x:c r="G1601" s="37" t="n">
        <x:v>529588.8934070579</x:v>
      </x:c>
      <x:c r="H1601" s="37" t="n">
        <x:v>20816.664754730245</x:v>
      </x:c>
      <x:c r="I1601" s="37" t="n">
        <x:v>508772.2286523276</x:v>
      </x:c>
      <x:c r="J1601" s="37" t="n">
        <x:v>10563200.497844214</x:v>
      </x:c>
      <x:c r="K1601" s="37" t="n">
        <x:v>10033611.604437158</x:v>
      </x:c>
      <x:c r="L1601" s="37" t="n">
        <x:v>11774160.528332934</x:v>
      </x:c>
      <x:c r="M1601" s="37" t="n">
        <x:v>0</x:v>
      </x:c>
      <x:c r="N1601" s="37" t="n">
        <x:v>0</x:v>
      </x:c>
      <x:c r="O1601" s="37" t="n">
        <x:v>1848.2201861329377</x:v>
      </x:c>
      <x:c r="P1601" s="37" t="n">
        <x:v>0</x:v>
      </x:c>
      <x:c r="Q1601" s="37" t="n">
        <x:v>0</x:v>
      </x:c>
      <x:c r="R1601" s="37" t="n">
        <x:v>0</x:v>
      </x:c>
      <x:c r="S1601" s="37" t="n">
        <x:v>0</x:v>
      </x:c>
      <x:c r="T1601" s="37" t="n">
        <x:v>0</x:v>
      </x:c>
      <x:c r="U1601" s="37" t="n">
        <x:v>-5694.19584657007</x:v>
      </x:c>
      <x:c r="V1601" s="37" t="n">
        <x:v>0</x:v>
      </x:c>
      <x:c r="W1601" s="37" t="n">
        <x:v>133172.51570167765</x:v>
      </x:c>
      <x:c r="X1601" s="37" t="n">
        <x:v>0</x:v>
      </x:c>
      <x:c r="Y1601" s="37" t="n">
        <x:v>2148.4243093252817</x:v>
      </x:c>
      <x:c r="Z1601" s="37" t="n">
        <x:v>10234283.8365259</x:v>
      </x:c>
      <x:c r="AA1601" s="37" t="n">
        <x:v>0</x:v>
      </x:c>
      <x:c r="AB1601" s="37" t="n">
        <x:v>10234283.8365259</x:v>
      </x:c>
      <x:c r="AC1601" s="37" t="n">
        <x:v>1010287.7983999755</x:v>
      </x:c>
      <x:c r="AD1601" s="37" t="n">
        <x:v>0</x:v>
      </x:c>
      <x:c r="AE1601" s="37" t="n">
        <x:v>0</x:v>
      </x:c>
      <x:c r="AF1601" s="47" t="b">
        <x:v>0</x:v>
      </x:c>
      <x:c r="AG1601" s="47" t="b">
        <x:v>0</x:v>
      </x:c>
      <x:c r="AH1601" s="48" t="n">
        <x:v>0</x:v>
      </x:c>
      <x:c r="AI1601" s="48" t="n">
        <x:v>1.1920928955078125e-7</x:v>
      </x:c>
      <x:c r="AJ1601" s="37" t="str">
        <x:v>passed</x:v>
      </x:c>
    </x:row>
    <x:row r="1602" ht="21" customHeight="1">
      <x:c r="A1602" s="2"/>
      <x:c r="B1602" s="2"/>
      <x:c r="C1602" s="2" t="str">
        <x:v>2023</x:v>
      </x:c>
      <x:c r="D1602" s="5" t="n">
        <x:v>45145</x:v>
      </x:c>
      <x:c r="E1602" s="2" t="str">
        <x:v>constrained</x:v>
      </x:c>
      <x:c r="F1602" s="37" t="n">
        <x:v>11674318.11903845</x:v>
      </x:c>
      <x:c r="G1602" s="37" t="n">
        <x:v>91289.48900962256</x:v>
      </x:c>
      <x:c r="H1602" s="37" t="n">
        <x:v>20590.912962293645</x:v>
      </x:c>
      <x:c r="I1602" s="37" t="n">
        <x:v>70698.57604732891</x:v>
      </x:c>
      <x:c r="J1602" s="37" t="n">
        <x:v>10567345.674686657</x:v>
      </x:c>
      <x:c r="K1602" s="37" t="n">
        <x:v>10476056.185677035</x:v>
      </x:c>
      <x:c r="L1602" s="37" t="n">
        <x:v>11765607.608048072</x:v>
      </x:c>
      <x:c r="M1602" s="37" t="n">
        <x:v>0</x:v>
      </x:c>
      <x:c r="N1602" s="37" t="n">
        <x:v>0</x:v>
      </x:c>
      <x:c r="O1602" s="37" t="n">
        <x:v>1918.8557027745992</x:v>
      </x:c>
      <x:c r="P1602" s="37" t="n">
        <x:v>0</x:v>
      </x:c>
      <x:c r="Q1602" s="37" t="n">
        <x:v>0</x:v>
      </x:c>
      <x:c r="R1602" s="37" t="n">
        <x:v>0</x:v>
      </x:c>
      <x:c r="S1602" s="37" t="n">
        <x:v>0</x:v>
      </x:c>
      <x:c r="T1602" s="37" t="n">
        <x:v>0</x:v>
      </x:c>
      <x:c r="U1602" s="37" t="n">
        <x:v>-6779.554702527748</x:v>
      </x:c>
      <x:c r="V1602" s="37" t="n">
        <x:v>0</x:v>
      </x:c>
      <x:c r="W1602" s="37" t="n">
        <x:v>138906.2179439962</x:v>
      </x:c>
      <x:c r="X1602" s="37" t="n">
        <x:v>0</x:v>
      </x:c>
      <x:c r="Y1602" s="37" t="n">
        <x:v>2172.0174893282365</x:v>
      </x:c>
      <x:c r="Z1602" s="37" t="n">
        <x:v>10685577.309390577</x:v>
      </x:c>
      <x:c r="AA1602" s="37" t="n">
        <x:v>0</x:v>
      </x:c>
      <x:c r="AB1602" s="37" t="n">
        <x:v>10685577.309390577</x:v>
      </x:c>
      <x:c r="AC1602" s="37" t="n">
        <x:v>988740.809647873</x:v>
      </x:c>
      <x:c r="AD1602" s="37" t="n">
        <x:v>0</x:v>
      </x:c>
      <x:c r="AE1602" s="37" t="n">
        <x:v>0</x:v>
      </x:c>
      <x:c r="AF1602" s="47" t="b">
        <x:v>0</x:v>
      </x:c>
      <x:c r="AG1602" s="47" t="b">
        <x:v>0</x:v>
      </x:c>
      <x:c r="AH1602" s="48" t="n">
        <x:v>0</x:v>
      </x:c>
      <x:c r="AI1602" s="48" t="n">
        <x:v>1.1920928955078125e-7</x:v>
      </x:c>
      <x:c r="AJ1602" s="37" t="str">
        <x:v>passed</x:v>
      </x:c>
    </x:row>
    <x:row r="1603" ht="21" customHeight="1">
      <x:c r="A1603" s="2"/>
      <x:c r="B1603" s="2"/>
      <x:c r="C1603" s="2" t="str">
        <x:v>2023</x:v>
      </x:c>
      <x:c r="D1603" s="5" t="n">
        <x:v>45146</x:v>
      </x:c>
      <x:c r="E1603" s="2" t="str">
        <x:v>unhedged</x:v>
      </x:c>
      <x:c r="F1603" s="37" t="n">
        <x:v>1277549.935219599</x:v>
      </x:c>
      <x:c r="G1603" s="37" t="n">
        <x:v>10510500.914352754</x:v>
      </x:c>
      <x:c r="H1603" s="37" t="n">
        <x:v>50316.02810473217</x:v>
      </x:c>
      <x:c r="I1603" s="37" t="n">
        <x:v>10460184.886248022</x:v>
      </x:c>
      <x:c r="J1603" s="37" t="n">
        <x:v>10510500.914352754</x:v>
      </x:c>
      <x:c r="K1603" s="37" t="n">
        <x:v>0</x:v>
      </x:c>
      <x:c r="L1603" s="37" t="n">
        <x:v>11788050.849572353</x:v>
      </x:c>
      <x:c r="M1603" s="37" t="n">
        <x:v>0</x:v>
      </x:c>
      <x:c r="N1603" s="37" t="n">
        <x:v>0</x:v>
      </x:c>
      <x:c r="O1603" s="37" t="n">
        <x:v>69.9989006202668</x:v>
      </x:c>
      <x:c r="P1603" s="37" t="n">
        <x:v>0</x:v>
      </x:c>
      <x:c r="Q1603" s="37" t="n">
        <x:v>0</x:v>
      </x:c>
      <x:c r="R1603" s="37" t="n">
        <x:v>0</x:v>
      </x:c>
      <x:c r="S1603" s="37" t="n">
        <x:v>0</x:v>
      </x:c>
      <x:c r="T1603" s="37" t="n">
        <x:v>0</x:v>
      </x:c>
      <x:c r="U1603" s="37" t="n">
        <x:v>63750</x:v>
      </x:c>
      <x:c r="V1603" s="37" t="n">
        <x:v>0</x:v>
      </x:c>
      <x:c r="W1603" s="37" t="n">
        <x:v>14842.804561721161</x:v>
      </x:c>
      <x:c r="X1603" s="37" t="n">
        <x:v>0</x:v>
      </x:c>
      <x:c r="Y1603" s="37" t="n">
        <x:v>1042.869342122179</x:v>
      </x:c>
      <x:c r="Z1603" s="37" t="n">
        <x:v>0</x:v>
      </x:c>
      <x:c r="AA1603" s="37" t="n">
        <x:v>0</x:v>
      </x:c>
      <x:c r="AB1603" s="37" t="n">
        <x:v>0</x:v>
      </x:c>
      <x:c r="AC1603" s="37" t="n">
        <x:v>1277549.935219599</x:v>
      </x:c>
      <x:c r="AD1603" s="37" t="n">
        <x:v>0</x:v>
      </x:c>
      <x:c r="AE1603" s="37" t="n">
        <x:v>0</x:v>
      </x:c>
      <x:c r="AF1603" s="47" t="b">
        <x:v>0</x:v>
      </x:c>
      <x:c r="AG1603" s="47" t="b">
        <x:v>0</x:v>
      </x:c>
      <x:c r="AH1603" s="48" t="n">
        <x:v>0</x:v>
      </x:c>
      <x:c r="AI1603" s="48" t="n">
        <x:v>1.1920928955078125e-7</x:v>
      </x:c>
      <x:c r="AJ1603" s="37" t="str">
        <x:v>passed</x:v>
      </x:c>
    </x:row>
    <x:row r="1604" ht="21" customHeight="1">
      <x:c r="A1604" s="2"/>
      <x:c r="B1604" s="2"/>
      <x:c r="C1604" s="2" t="str">
        <x:v>2023</x:v>
      </x:c>
      <x:c r="D1604" s="5" t="n">
        <x:v>45146</x:v>
      </x:c>
      <x:c r="E1604" s="2" t="str">
        <x:v>duration</x:v>
      </x:c>
      <x:c r="F1604" s="37" t="n">
        <x:v>7615346.465663236</x:v>
      </x:c>
      <x:c r="G1604" s="37" t="n">
        <x:v>4191380.8423372232</x:v>
      </x:c>
      <x:c r="H1604" s="37" t="n">
        <x:v>25812.622561432934</x:v>
      </x:c>
      <x:c r="I1604" s="37" t="n">
        <x:v>4165568.2197757903</x:v>
      </x:c>
      <x:c r="J1604" s="37" t="n">
        <x:v>10510500.914352754</x:v>
      </x:c>
      <x:c r="K1604" s="37" t="n">
        <x:v>6319120.07201553</x:v>
      </x:c>
      <x:c r="L1604" s="37" t="n">
        <x:v>11806727.308000458</x:v>
      </x:c>
      <x:c r="M1604" s="37" t="n">
        <x:v>0</x:v>
      </x:c>
      <x:c r="N1604" s="37" t="n">
        <x:v>0</x:v>
      </x:c>
      <x:c r="O1604" s="37" t="n">
        <x:v>417.2563950289041</x:v>
      </x:c>
      <x:c r="P1604" s="37" t="n">
        <x:v>0</x:v>
      </x:c>
      <x:c r="Q1604" s="37" t="n">
        <x:v>0</x:v>
      </x:c>
      <x:c r="R1604" s="37" t="n">
        <x:v>0</x:v>
      </x:c>
      <x:c r="S1604" s="37" t="n">
        <x:v>0</x:v>
      </x:c>
      <x:c r="T1604" s="37" t="n">
        <x:v>0</x:v>
      </x:c>
      <x:c r="U1604" s="37" t="n">
        <x:v>9917.381478397001</x:v>
      </x:c>
      <x:c r="V1604" s="37" t="n">
        <x:v>0</x:v>
      </x:c>
      <x:c r="W1604" s="37" t="n">
        <x:v>91859.50202516373</x:v>
      </x:c>
      <x:c r="X1604" s="37" t="n">
        <x:v>0</x:v>
      </x:c>
      <x:c r="Y1604" s="37" t="n">
        <x:v>1734.6966441846707</x:v>
      </x:c>
      <x:c r="Z1604" s="37" t="n">
        <x:v>6445502.473455841</x:v>
      </x:c>
      <x:c r="AA1604" s="37" t="n">
        <x:v>0</x:v>
      </x:c>
      <x:c r="AB1604" s="37" t="n">
        <x:v>6445502.473455841</x:v>
      </x:c>
      <x:c r="AC1604" s="37" t="n">
        <x:v>1169843.992207395</x:v>
      </x:c>
      <x:c r="AD1604" s="37" t="n">
        <x:v>0</x:v>
      </x:c>
      <x:c r="AE1604" s="37" t="n">
        <x:v>0</x:v>
      </x:c>
      <x:c r="AF1604" s="47" t="b">
        <x:v>0</x:v>
      </x:c>
      <x:c r="AG1604" s="47" t="b">
        <x:v>0</x:v>
      </x:c>
      <x:c r="AH1604" s="48" t="n">
        <x:v>0</x:v>
      </x:c>
      <x:c r="AI1604" s="48" t="n">
        <x:v>5.960464477539063e-8</x:v>
      </x:c>
      <x:c r="AJ1604" s="37" t="str">
        <x:v>passed</x:v>
      </x:c>
    </x:row>
    <x:row r="1605" ht="21" customHeight="1">
      <x:c r="A1605" s="2"/>
      <x:c r="B1605" s="2"/>
      <x:c r="C1605" s="2" t="str">
        <x:v>2023</x:v>
      </x:c>
      <x:c r="D1605" s="5" t="n">
        <x:v>45146</x:v>
      </x:c>
      <x:c r="E1605" s="2" t="str">
        <x:v>unweighted</x:v>
      </x:c>
      <x:c r="F1605" s="37" t="n">
        <x:v>11245187.77583738</x:v>
      </x:c>
      <x:c r="G1605" s="37" t="n">
        <x:v>529167.3538564165</x:v>
      </x:c>
      <x:c r="H1605" s="37" t="n">
        <x:v>20789.363445705752</x:v>
      </x:c>
      <x:c r="I1605" s="37" t="n">
        <x:v>508377.9904107108</x:v>
      </x:c>
      <x:c r="J1605" s="37" t="n">
        <x:v>10596489.603330024</x:v>
      </x:c>
      <x:c r="K1605" s="37" t="n">
        <x:v>10067322.249473607</x:v>
      </x:c>
      <x:c r="L1605" s="37" t="n">
        <x:v>11774355.129693797</x:v>
      </x:c>
      <x:c r="M1605" s="37" t="n">
        <x:v>0</x:v>
      </x:c>
      <x:c r="N1605" s="37" t="n">
        <x:v>0</x:v>
      </x:c>
      <x:c r="O1605" s="37" t="n">
        <x:v>616.1409115046263</x:v>
      </x:c>
      <x:c r="P1605" s="37" t="n">
        <x:v>0</x:v>
      </x:c>
      <x:c r="Q1605" s="37" t="n">
        <x:v>0</x:v>
      </x:c>
      <x:c r="R1605" s="37" t="n">
        <x:v>0</x:v>
      </x:c>
      <x:c r="S1605" s="37" t="n">
        <x:v>0</x:v>
      </x:c>
      <x:c r="T1605" s="37" t="n">
        <x:v>0</x:v>
      </x:c>
      <x:c r="U1605" s="37" t="n">
        <x:v>-5694.19584657007</x:v>
      </x:c>
      <x:c r="V1605" s="37" t="n">
        <x:v>0</x:v>
      </x:c>
      <x:c r="W1605" s="37" t="n">
        <x:v>133788.65661318228</x:v>
      </x:c>
      <x:c r="X1605" s="37" t="n">
        <x:v>0</x:v>
      </x:c>
      <x:c r="Y1605" s="37" t="n">
        <x:v>2148.4243093252817</x:v>
      </x:c>
      <x:c r="Z1605" s="37" t="n">
        <x:v>10268668.69446308</x:v>
      </x:c>
      <x:c r="AA1605" s="37" t="n">
        <x:v>0</x:v>
      </x:c>
      <x:c r="AB1605" s="37" t="n">
        <x:v>10268668.69446308</x:v>
      </x:c>
      <x:c r="AC1605" s="37" t="n">
        <x:v>976519.0813743006</x:v>
      </x:c>
      <x:c r="AD1605" s="37" t="n">
        <x:v>0</x:v>
      </x:c>
      <x:c r="AE1605" s="37" t="n">
        <x:v>0</x:v>
      </x:c>
      <x:c r="AF1605" s="47" t="b">
        <x:v>0</x:v>
      </x:c>
      <x:c r="AG1605" s="47" t="b">
        <x:v>0</x:v>
      </x:c>
      <x:c r="AH1605" s="48" t="n">
        <x:v>0</x:v>
      </x:c>
      <x:c r="AI1605" s="48" t="n">
        <x:v>1.1920928955078125e-7</x:v>
      </x:c>
      <x:c r="AJ1605" s="37" t="str">
        <x:v>passed</x:v>
      </x:c>
    </x:row>
    <x:row r="1606" ht="21" customHeight="1">
      <x:c r="A1606" s="2"/>
      <x:c r="B1606" s="2"/>
      <x:c r="C1606" s="2" t="str">
        <x:v>2023</x:v>
      </x:c>
      <x:c r="D1606" s="5" t="n">
        <x:v>45146</x:v>
      </x:c>
      <x:c r="E1606" s="2" t="str">
        <x:v>constrained</x:v>
      </x:c>
      <x:c r="F1606" s="37" t="n">
        <x:v>11674957.80770251</x:v>
      </x:c>
      <x:c r="G1606" s="37" t="n">
        <x:v>91256.05296040457</x:v>
      </x:c>
      <x:c r="H1606" s="37" t="n">
        <x:v>20559.336740792707</x:v>
      </x:c>
      <x:c r="I1606" s="37" t="n">
        <x:v>70696.71621961187</x:v>
      </x:c>
      <x:c r="J1606" s="37" t="n">
        <x:v>10600678.57273099</x:v>
      </x:c>
      <x:c r="K1606" s="37" t="n">
        <x:v>10509422.519770585</x:v>
      </x:c>
      <x:c r="L1606" s="37" t="n">
        <x:v>11766213.860662915</x:v>
      </x:c>
      <x:c r="M1606" s="37" t="n">
        <x:v>0</x:v>
      </x:c>
      <x:c r="N1606" s="37" t="n">
        <x:v>0</x:v>
      </x:c>
      <x:c r="O1606" s="37" t="n">
        <x:v>639.688664060086</x:v>
      </x:c>
      <x:c r="P1606" s="37" t="n">
        <x:v>0</x:v>
      </x:c>
      <x:c r="Q1606" s="37" t="n">
        <x:v>0</x:v>
      </x:c>
      <x:c r="R1606" s="37" t="n">
        <x:v>0</x:v>
      </x:c>
      <x:c r="S1606" s="37" t="n">
        <x:v>0</x:v>
      </x:c>
      <x:c r="T1606" s="37" t="n">
        <x:v>0</x:v>
      </x:c>
      <x:c r="U1606" s="37" t="n">
        <x:v>-6779.554702527748</x:v>
      </x:c>
      <x:c r="V1606" s="37" t="n">
        <x:v>0</x:v>
      </x:c>
      <x:c r="W1606" s="37" t="n">
        <x:v>139545.90660805628</x:v>
      </x:c>
      <x:c r="X1606" s="37" t="n">
        <x:v>0</x:v>
      </x:c>
      <x:c r="Y1606" s="37" t="n">
        <x:v>2172.0174893282365</x:v>
      </x:c>
      <x:c r="Z1606" s="37" t="n">
        <x:v>10719610.970165998</x:v>
      </x:c>
      <x:c r="AA1606" s="37" t="n">
        <x:v>0</x:v>
      </x:c>
      <x:c r="AB1606" s="37" t="n">
        <x:v>10719610.970165998</x:v>
      </x:c>
      <x:c r="AC1606" s="37" t="n">
        <x:v>955346.837536512</x:v>
      </x:c>
      <x:c r="AD1606" s="37" t="n">
        <x:v>0</x:v>
      </x:c>
      <x:c r="AE1606" s="37" t="n">
        <x:v>0</x:v>
      </x:c>
      <x:c r="AF1606" s="47" t="b">
        <x:v>0</x:v>
      </x:c>
      <x:c r="AG1606" s="47" t="b">
        <x:v>0</x:v>
      </x:c>
      <x:c r="AH1606" s="48" t="n">
        <x:v>0</x:v>
      </x:c>
      <x:c r="AI1606" s="48" t="n">
        <x:v>1.1920928955078125e-7</x:v>
      </x:c>
      <x:c r="AJ1606" s="37" t="str">
        <x:v>passed</x:v>
      </x:c>
    </x:row>
    <x:row r="1607" ht="21" customHeight="1">
      <x:c r="A1607" s="2"/>
      <x:c r="B1607" s="2"/>
      <x:c r="C1607" s="2" t="str">
        <x:v>2023</x:v>
      </x:c>
      <x:c r="D1607" s="5" t="n">
        <x:v>45147</x:v>
      </x:c>
      <x:c r="E1607" s="2" t="str">
        <x:v>unhedged</x:v>
      </x:c>
      <x:c r="F1607" s="37" t="n">
        <x:v>1277619.9379557755</x:v>
      </x:c>
      <x:c r="G1607" s="37" t="n">
        <x:v>10507982.234548796</x:v>
      </x:c>
      <x:c r="H1607" s="37" t="n">
        <x:v>50665.87346865242</x:v>
      </x:c>
      <x:c r="I1607" s="37" t="n">
        <x:v>10457316.361080144</x:v>
      </x:c>
      <x:c r="J1607" s="37" t="n">
        <x:v>10507982.234548796</x:v>
      </x:c>
      <x:c r="K1607" s="37" t="n">
        <x:v>0</x:v>
      </x:c>
      <x:c r="L1607" s="37" t="n">
        <x:v>11785602.172504572</x:v>
      </x:c>
      <x:c r="M1607" s="37" t="n">
        <x:v>0</x:v>
      </x:c>
      <x:c r="N1607" s="37" t="n">
        <x:v>0</x:v>
      </x:c>
      <x:c r="O1607" s="37" t="n">
        <x:v>70.00273617659695</x:v>
      </x:c>
      <x:c r="P1607" s="37" t="n">
        <x:v>0</x:v>
      </x:c>
      <x:c r="Q1607" s="37" t="n">
        <x:v>0</x:v>
      </x:c>
      <x:c r="R1607" s="37" t="n">
        <x:v>0</x:v>
      </x:c>
      <x:c r="S1607" s="37" t="n">
        <x:v>0</x:v>
      </x:c>
      <x:c r="T1607" s="37" t="n">
        <x:v>0</x:v>
      </x:c>
      <x:c r="U1607" s="37" t="n">
        <x:v>63750</x:v>
      </x:c>
      <x:c r="V1607" s="37" t="n">
        <x:v>0</x:v>
      </x:c>
      <x:c r="W1607" s="37" t="n">
        <x:v>14912.807297897758</x:v>
      </x:c>
      <x:c r="X1607" s="37" t="n">
        <x:v>0</x:v>
      </x:c>
      <x:c r="Y1607" s="37" t="n">
        <x:v>1042.869342122179</x:v>
      </x:c>
      <x:c r="Z1607" s="37" t="n">
        <x:v>0</x:v>
      </x:c>
      <x:c r="AA1607" s="37" t="n">
        <x:v>0</x:v>
      </x:c>
      <x:c r="AB1607" s="37" t="n">
        <x:v>0</x:v>
      </x:c>
      <x:c r="AC1607" s="37" t="n">
        <x:v>1277619.9379557755</x:v>
      </x:c>
      <x:c r="AD1607" s="37" t="n">
        <x:v>0</x:v>
      </x:c>
      <x:c r="AE1607" s="37" t="n">
        <x:v>0</x:v>
      </x:c>
      <x:c r="AF1607" s="47" t="b">
        <x:v>0</x:v>
      </x:c>
      <x:c r="AG1607" s="47" t="b">
        <x:v>0</x:v>
      </x:c>
      <x:c r="AH1607" s="48" t="n">
        <x:v>0</x:v>
      </x:c>
      <x:c r="AI1607" s="48" t="n">
        <x:v>1.1920928955078125e-7</x:v>
      </x:c>
      <x:c r="AJ1607" s="37" t="str">
        <x:v>passed</x:v>
      </x:c>
    </x:row>
    <x:row r="1608" ht="21" customHeight="1">
      <x:c r="A1608" s="2"/>
      <x:c r="B1608" s="2"/>
      <x:c r="C1608" s="2" t="str">
        <x:v>2023</x:v>
      </x:c>
      <x:c r="D1608" s="5" t="n">
        <x:v>45147</x:v>
      </x:c>
      <x:c r="E1608" s="2" t="str">
        <x:v>duration</x:v>
      </x:c>
      <x:c r="F1608" s="37" t="n">
        <x:v>7615763.744921629</x:v>
      </x:c>
      <x:c r="G1608" s="37" t="n">
        <x:v>4186587.2481715656</x:v>
      </x:c>
      <x:c r="H1608" s="37" t="n">
        <x:v>25874.192566020247</x:v>
      </x:c>
      <x:c r="I1608" s="37" t="n">
        <x:v>4160713.055605545</x:v>
      </x:c>
      <x:c r="J1608" s="37" t="n">
        <x:v>10507982.234548796</x:v>
      </x:c>
      <x:c r="K1608" s="37" t="n">
        <x:v>6321394.986377231</x:v>
      </x:c>
      <x:c r="L1608" s="37" t="n">
        <x:v>11802350.993093194</x:v>
      </x:c>
      <x:c r="M1608" s="37" t="n">
        <x:v>0</x:v>
      </x:c>
      <x:c r="N1608" s="37" t="n">
        <x:v>0</x:v>
      </x:c>
      <x:c r="O1608" s="37" t="n">
        <x:v>417.27925839368254</x:v>
      </x:c>
      <x:c r="P1608" s="37" t="n">
        <x:v>0</x:v>
      </x:c>
      <x:c r="Q1608" s="37" t="n">
        <x:v>0</x:v>
      </x:c>
      <x:c r="R1608" s="37" t="n">
        <x:v>0</x:v>
      </x:c>
      <x:c r="S1608" s="37" t="n">
        <x:v>0</x:v>
      </x:c>
      <x:c r="T1608" s="37" t="n">
        <x:v>0</x:v>
      </x:c>
      <x:c r="U1608" s="37" t="n">
        <x:v>9917.381478397001</x:v>
      </x:c>
      <x:c r="V1608" s="37" t="n">
        <x:v>0</x:v>
      </x:c>
      <x:c r="W1608" s="37" t="n">
        <x:v>92276.78128355742</x:v>
      </x:c>
      <x:c r="X1608" s="37" t="n">
        <x:v>0</x:v>
      </x:c>
      <x:c r="Y1608" s="37" t="n">
        <x:v>1734.6966441846707</x:v>
      </x:c>
      <x:c r="Z1608" s="37" t="n">
        <x:v>6447822.886104776</x:v>
      </x:c>
      <x:c r="AA1608" s="37" t="n">
        <x:v>0</x:v>
      </x:c>
      <x:c r="AB1608" s="37" t="n">
        <x:v>6447822.886104776</x:v>
      </x:c>
      <x:c r="AC1608" s="37" t="n">
        <x:v>1167940.8588168537</x:v>
      </x:c>
      <x:c r="AD1608" s="37" t="n">
        <x:v>0</x:v>
      </x:c>
      <x:c r="AE1608" s="37" t="n">
        <x:v>0</x:v>
      </x:c>
      <x:c r="AF1608" s="47" t="b">
        <x:v>0</x:v>
      </x:c>
      <x:c r="AG1608" s="47" t="b">
        <x:v>0</x:v>
      </x:c>
      <x:c r="AH1608" s="48" t="n">
        <x:v>0</x:v>
      </x:c>
      <x:c r="AI1608" s="48" t="n">
        <x:v>5.960464477539063e-8</x:v>
      </x:c>
      <x:c r="AJ1608" s="37" t="str">
        <x:v>passed</x:v>
      </x:c>
    </x:row>
    <x:row r="1609" ht="21" customHeight="1">
      <x:c r="A1609" s="2"/>
      <x:c r="B1609" s="2"/>
      <x:c r="C1609" s="2" t="str">
        <x:v>2023</x:v>
      </x:c>
      <x:c r="D1609" s="5" t="n">
        <x:v>45147</x:v>
      </x:c>
      <x:c r="E1609" s="2" t="str">
        <x:v>unweighted</x:v>
      </x:c>
      <x:c r="F1609" s="37" t="n">
        <x:v>11245803.95051003</x:v>
      </x:c>
      <x:c r="G1609" s="37" t="n">
        <x:v>528977.2230918396</x:v>
      </x:c>
      <x:c r="H1609" s="37" t="n">
        <x:v>20762.062136681252</x:v>
      </x:c>
      <x:c r="I1609" s="37" t="n">
        <x:v>508215.16095515835</x:v>
      </x:c>
      <x:c r="J1609" s="37" t="n">
        <x:v>10594209.554763231</x:v>
      </x:c>
      <x:c r="K1609" s="37" t="n">
        <x:v>10065232.331671393</x:v>
      </x:c>
      <x:c r="L1609" s="37" t="n">
        <x:v>11774781.17360187</x:v>
      </x:c>
      <x:c r="M1609" s="37" t="n">
        <x:v>0</x:v>
      </x:c>
      <x:c r="N1609" s="37" t="n">
        <x:v>0</x:v>
      </x:c>
      <x:c r="O1609" s="37" t="n">
        <x:v>616.1746726501733</x:v>
      </x:c>
      <x:c r="P1609" s="37" t="n">
        <x:v>0</x:v>
      </x:c>
      <x:c r="Q1609" s="37" t="n">
        <x:v>0</x:v>
      </x:c>
      <x:c r="R1609" s="37" t="n">
        <x:v>0</x:v>
      </x:c>
      <x:c r="S1609" s="37" t="n">
        <x:v>0</x:v>
      </x:c>
      <x:c r="T1609" s="37" t="n">
        <x:v>0</x:v>
      </x:c>
      <x:c r="U1609" s="37" t="n">
        <x:v>-5694.19584657007</x:v>
      </x:c>
      <x:c r="V1609" s="37" t="n">
        <x:v>0</x:v>
      </x:c>
      <x:c r="W1609" s="37" t="n">
        <x:v>134404.83128583245</x:v>
      </x:c>
      <x:c r="X1609" s="37" t="n">
        <x:v>0</x:v>
      </x:c>
      <x:c r="Y1609" s="37" t="n">
        <x:v>2148.4243093252817</x:v>
      </x:c>
      <x:c r="Z1609" s="37" t="n">
        <x:v>10266536.97830482</x:v>
      </x:c>
      <x:c r="AA1609" s="37" t="n">
        <x:v>0</x:v>
      </x:c>
      <x:c r="AB1609" s="37" t="n">
        <x:v>10266536.97830482</x:v>
      </x:c>
      <x:c r="AC1609" s="37" t="n">
        <x:v>979266.9722052105</x:v>
      </x:c>
      <x:c r="AD1609" s="37" t="n">
        <x:v>0</x:v>
      </x:c>
      <x:c r="AE1609" s="37" t="n">
        <x:v>0</x:v>
      </x:c>
      <x:c r="AF1609" s="47" t="b">
        <x:v>0</x:v>
      </x:c>
      <x:c r="AG1609" s="47" t="b">
        <x:v>0</x:v>
      </x:c>
      <x:c r="AH1609" s="48" t="n">
        <x:v>0</x:v>
      </x:c>
      <x:c r="AI1609" s="48" t="n">
        <x:v>1.1920928955078125e-7</x:v>
      </x:c>
      <x:c r="AJ1609" s="37" t="str">
        <x:v>passed</x:v>
      </x:c>
    </x:row>
    <x:row r="1610" ht="21" customHeight="1">
      <x:c r="A1610" s="2"/>
      <x:c r="B1610" s="2"/>
      <x:c r="C1610" s="2" t="str">
        <x:v>2023</x:v>
      </x:c>
      <x:c r="D1610" s="5" t="n">
        <x:v>45147</x:v>
      </x:c>
      <x:c r="E1610" s="2" t="str">
        <x:v>constrained</x:v>
      </x:c>
      <x:c r="F1610" s="37" t="n">
        <x:v>11675597.531418001</x:v>
      </x:c>
      <x:c r="G1610" s="37" t="n">
        <x:v>91118.07865004576</x:v>
      </x:c>
      <x:c r="H1610" s="37" t="n">
        <x:v>20527.760519291765</x:v>
      </x:c>
      <x:c r="I1610" s="37" t="n">
        <x:v>70590.31813075399</x:v>
      </x:c>
      <x:c r="J1610" s="37" t="n">
        <x:v>10598410.14916933</x:v>
      </x:c>
      <x:c r="K1610" s="37" t="n">
        <x:v>10507292.070519283</x:v>
      </x:c>
      <x:c r="L1610" s="37" t="n">
        <x:v>11766715.610068047</x:v>
      </x:c>
      <x:c r="M1610" s="37" t="n">
        <x:v>0</x:v>
      </x:c>
      <x:c r="N1610" s="37" t="n">
        <x:v>0</x:v>
      </x:c>
      <x:c r="O1610" s="37" t="n">
        <x:v>639.7237154915929</x:v>
      </x:c>
      <x:c r="P1610" s="37" t="n">
        <x:v>0</x:v>
      </x:c>
      <x:c r="Q1610" s="37" t="n">
        <x:v>0</x:v>
      </x:c>
      <x:c r="R1610" s="37" t="n">
        <x:v>0</x:v>
      </x:c>
      <x:c r="S1610" s="37" t="n">
        <x:v>0</x:v>
      </x:c>
      <x:c r="T1610" s="37" t="n">
        <x:v>0</x:v>
      </x:c>
      <x:c r="U1610" s="37" t="n">
        <x:v>-6779.554702527748</x:v>
      </x:c>
      <x:c r="V1610" s="37" t="n">
        <x:v>0</x:v>
      </x:c>
      <x:c r="W1610" s="37" t="n">
        <x:v>140185.63032354787</x:v>
      </x:c>
      <x:c r="X1610" s="37" t="n">
        <x:v>0</x:v>
      </x:c>
      <x:c r="Y1610" s="37" t="n">
        <x:v>2172.0174893282365</x:v>
      </x:c>
      <x:c r="Z1610" s="37" t="n">
        <x:v>10717437.911929669</x:v>
      </x:c>
      <x:c r="AA1610" s="37" t="n">
        <x:v>0</x:v>
      </x:c>
      <x:c r="AB1610" s="37" t="n">
        <x:v>10717437.911929669</x:v>
      </x:c>
      <x:c r="AC1610" s="37" t="n">
        <x:v>958159.6194883324</x:v>
      </x:c>
      <x:c r="AD1610" s="37" t="n">
        <x:v>0</x:v>
      </x:c>
      <x:c r="AE1610" s="37" t="n">
        <x:v>0</x:v>
      </x:c>
      <x:c r="AF1610" s="47" t="b">
        <x:v>0</x:v>
      </x:c>
      <x:c r="AG1610" s="47" t="b">
        <x:v>0</x:v>
      </x:c>
      <x:c r="AH1610" s="48" t="n">
        <x:v>0</x:v>
      </x:c>
      <x:c r="AI1610" s="48" t="n">
        <x:v>1.1920928955078125e-7</x:v>
      </x:c>
      <x:c r="AJ1610" s="37" t="str">
        <x:v>passed</x:v>
      </x:c>
    </x:row>
    <x:row r="1611" ht="21" customHeight="1">
      <x:c r="A1611" s="2"/>
      <x:c r="B1611" s="2"/>
      <x:c r="C1611" s="2" t="str">
        <x:v>2023</x:v>
      </x:c>
      <x:c r="D1611" s="5" t="n">
        <x:v>45148</x:v>
      </x:c>
      <x:c r="E1611" s="2" t="str">
        <x:v>unhedged</x:v>
      </x:c>
      <x:c r="F1611" s="37" t="n">
        <x:v>1277689.9445277182</x:v>
      </x:c>
      <x:c r="G1611" s="37" t="n">
        <x:v>10466768.844581902</x:v>
      </x:c>
      <x:c r="H1611" s="37" t="n">
        <x:v>51015.71883257266</x:v>
      </x:c>
      <x:c r="I1611" s="37" t="n">
        <x:v>10415753.12574933</x:v>
      </x:c>
      <x:c r="J1611" s="37" t="n">
        <x:v>10466768.844581902</x:v>
      </x:c>
      <x:c r="K1611" s="37" t="n">
        <x:v>0</x:v>
      </x:c>
      <x:c r="L1611" s="37" t="n">
        <x:v>11744458.789109621</x:v>
      </x:c>
      <x:c r="M1611" s="37" t="n">
        <x:v>0</x:v>
      </x:c>
      <x:c r="N1611" s="37" t="n">
        <x:v>0</x:v>
      </x:c>
      <x:c r="O1611" s="37" t="n">
        <x:v>70.00657194270752</x:v>
      </x:c>
      <x:c r="P1611" s="37" t="n">
        <x:v>0</x:v>
      </x:c>
      <x:c r="Q1611" s="37" t="n">
        <x:v>0</x:v>
      </x:c>
      <x:c r="R1611" s="37" t="n">
        <x:v>0</x:v>
      </x:c>
      <x:c r="S1611" s="37" t="n">
        <x:v>0</x:v>
      </x:c>
      <x:c r="T1611" s="37" t="n">
        <x:v>0</x:v>
      </x:c>
      <x:c r="U1611" s="37" t="n">
        <x:v>63750</x:v>
      </x:c>
      <x:c r="V1611" s="37" t="n">
        <x:v>0</x:v>
      </x:c>
      <x:c r="W1611" s="37" t="n">
        <x:v>14982.813869840465</x:v>
      </x:c>
      <x:c r="X1611" s="37" t="n">
        <x:v>0</x:v>
      </x:c>
      <x:c r="Y1611" s="37" t="n">
        <x:v>1042.869342122179</x:v>
      </x:c>
      <x:c r="Z1611" s="37" t="n">
        <x:v>0</x:v>
      </x:c>
      <x:c r="AA1611" s="37" t="n">
        <x:v>0</x:v>
      </x:c>
      <x:c r="AB1611" s="37" t="n">
        <x:v>0</x:v>
      </x:c>
      <x:c r="AC1611" s="37" t="n">
        <x:v>1277689.9445277182</x:v>
      </x:c>
      <x:c r="AD1611" s="37" t="n">
        <x:v>0</x:v>
      </x:c>
      <x:c r="AE1611" s="37" t="n">
        <x:v>0</x:v>
      </x:c>
      <x:c r="AF1611" s="47" t="b">
        <x:v>0</x:v>
      </x:c>
      <x:c r="AG1611" s="47" t="b">
        <x:v>0</x:v>
      </x:c>
      <x:c r="AH1611" s="48" t="n">
        <x:v>0</x:v>
      </x:c>
      <x:c r="AI1611" s="48" t="n">
        <x:v>1.1920928955078125e-7</x:v>
      </x:c>
      <x:c r="AJ1611" s="37" t="str">
        <x:v>passed</x:v>
      </x:c>
    </x:row>
    <x:row r="1612" ht="21" customHeight="1">
      <x:c r="A1612" s="2"/>
      <x:c r="B1612" s="2"/>
      <x:c r="C1612" s="2" t="str">
        <x:v>2023</x:v>
      </x:c>
      <x:c r="D1612" s="5" t="n">
        <x:v>45148</x:v>
      </x:c>
      <x:c r="E1612" s="2" t="str">
        <x:v>duration</x:v>
      </x:c>
      <x:c r="F1612" s="37" t="n">
        <x:v>7616181.047044638</x:v>
      </x:c>
      <x:c r="G1612" s="37" t="n">
        <x:v>4192902.9170642807</x:v>
      </x:c>
      <x:c r="H1612" s="37" t="n">
        <x:v>25935.76257060756</x:v>
      </x:c>
      <x:c r="I1612" s="37" t="n">
        <x:v>4166967.1544936732</x:v>
      </x:c>
      <x:c r="J1612" s="37" t="n">
        <x:v>10466768.844581902</x:v>
      </x:c>
      <x:c r="K1612" s="37" t="n">
        <x:v>6273865.927517622</x:v>
      </x:c>
      <x:c r="L1612" s="37" t="n">
        <x:v>11809083.964108918</x:v>
      </x:c>
      <x:c r="M1612" s="37" t="n">
        <x:v>0</x:v>
      </x:c>
      <x:c r="N1612" s="37" t="n">
        <x:v>0</x:v>
      </x:c>
      <x:c r="O1612" s="37" t="n">
        <x:v>417.3021230082959</x:v>
      </x:c>
      <x:c r="P1612" s="37" t="n">
        <x:v>0</x:v>
      </x:c>
      <x:c r="Q1612" s="37" t="n">
        <x:v>0</x:v>
      </x:c>
      <x:c r="R1612" s="37" t="n">
        <x:v>0</x:v>
      </x:c>
      <x:c r="S1612" s="37" t="n">
        <x:v>0</x:v>
      </x:c>
      <x:c r="T1612" s="37" t="n">
        <x:v>0</x:v>
      </x:c>
      <x:c r="U1612" s="37" t="n">
        <x:v>9917.381478397001</x:v>
      </x:c>
      <x:c r="V1612" s="37" t="n">
        <x:v>0</x:v>
      </x:c>
      <x:c r="W1612" s="37" t="n">
        <x:v>92694.08340656571</x:v>
      </x:c>
      <x:c r="X1612" s="37" t="n">
        <x:v>0</x:v>
      </x:c>
      <x:c r="Y1612" s="37" t="n">
        <x:v>1734.6966441846707</x:v>
      </x:c>
      <x:c r="Z1612" s="37" t="n">
        <x:v>6399343.246067975</x:v>
      </x:c>
      <x:c r="AA1612" s="37" t="n">
        <x:v>0</x:v>
      </x:c>
      <x:c r="AB1612" s="37" t="n">
        <x:v>6399343.246067975</x:v>
      </x:c>
      <x:c r="AC1612" s="37" t="n">
        <x:v>1216837.800976663</x:v>
      </x:c>
      <x:c r="AD1612" s="37" t="n">
        <x:v>0</x:v>
      </x:c>
      <x:c r="AE1612" s="37" t="n">
        <x:v>0</x:v>
      </x:c>
      <x:c r="AF1612" s="47" t="b">
        <x:v>0</x:v>
      </x:c>
      <x:c r="AG1612" s="47" t="b">
        <x:v>0</x:v>
      </x:c>
      <x:c r="AH1612" s="48" t="n">
        <x:v>0</x:v>
      </x:c>
      <x:c r="AI1612" s="48" t="n">
        <x:v>5.960464477539063e-8</x:v>
      </x:c>
      <x:c r="AJ1612" s="37" t="str">
        <x:v>passed</x:v>
      </x:c>
    </x:row>
    <x:row r="1613" ht="21" customHeight="1">
      <x:c r="A1613" s="2"/>
      <x:c r="B1613" s="2"/>
      <x:c r="C1613" s="2" t="str">
        <x:v>2023</x:v>
      </x:c>
      <x:c r="D1613" s="5" t="n">
        <x:v>45148</x:v>
      </x:c>
      <x:c r="E1613" s="2" t="str">
        <x:v>unweighted</x:v>
      </x:c>
      <x:c r="F1613" s="37" t="n">
        <x:v>11246420.158945674</x:v>
      </x:c>
      <x:c r="G1613" s="37" t="n">
        <x:v>529843.0970469982</x:v>
      </x:c>
      <x:c r="H1613" s="37" t="n">
        <x:v>20734.76082765675</x:v>
      </x:c>
      <x:c r="I1613" s="37" t="n">
        <x:v>509108.33621934144</x:v>
      </x:c>
      <x:c r="J1613" s="37" t="n">
        <x:v>10551997.64782015</x:v>
      </x:c>
      <x:c r="K1613" s="37" t="n">
        <x:v>10022154.550773151</x:v>
      </x:c>
      <x:c r="L1613" s="37" t="n">
        <x:v>11776263.255992671</x:v>
      </x:c>
      <x:c r="M1613" s="37" t="n">
        <x:v>0</x:v>
      </x:c>
      <x:c r="N1613" s="37" t="n">
        <x:v>0</x:v>
      </x:c>
      <x:c r="O1613" s="37" t="n">
        <x:v>616.2084356434643</x:v>
      </x:c>
      <x:c r="P1613" s="37" t="n">
        <x:v>0</x:v>
      </x:c>
      <x:c r="Q1613" s="37" t="n">
        <x:v>0</x:v>
      </x:c>
      <x:c r="R1613" s="37" t="n">
        <x:v>0</x:v>
      </x:c>
      <x:c r="S1613" s="37" t="n">
        <x:v>0</x:v>
      </x:c>
      <x:c r="T1613" s="37" t="n">
        <x:v>0</x:v>
      </x:c>
      <x:c r="U1613" s="37" t="n">
        <x:v>-5694.19584657007</x:v>
      </x:c>
      <x:c r="V1613" s="37" t="n">
        <x:v>0</x:v>
      </x:c>
      <x:c r="W1613" s="37" t="n">
        <x:v>135021.0397214759</x:v>
      </x:c>
      <x:c r="X1613" s="37" t="n">
        <x:v>0</x:v>
      </x:c>
      <x:c r="Y1613" s="37" t="n">
        <x:v>2148.4243093252817</x:v>
      </x:c>
      <x:c r="Z1613" s="37" t="n">
        <x:v>10222597.641788615</x:v>
      </x:c>
      <x:c r="AA1613" s="37" t="n">
        <x:v>0</x:v>
      </x:c>
      <x:c r="AB1613" s="37" t="n">
        <x:v>10222597.641788615</x:v>
      </x:c>
      <x:c r="AC1613" s="37" t="n">
        <x:v>1023822.5171570592</x:v>
      </x:c>
      <x:c r="AD1613" s="37" t="n">
        <x:v>0</x:v>
      </x:c>
      <x:c r="AE1613" s="37" t="n">
        <x:v>0</x:v>
      </x:c>
      <x:c r="AF1613" s="47" t="b">
        <x:v>0</x:v>
      </x:c>
      <x:c r="AG1613" s="47" t="b">
        <x:v>0</x:v>
      </x:c>
      <x:c r="AH1613" s="48" t="n">
        <x:v>0</x:v>
      </x:c>
      <x:c r="AI1613" s="48" t="n">
        <x:v>1.1920928955078125e-7</x:v>
      </x:c>
      <x:c r="AJ1613" s="37" t="str">
        <x:v>passed</x:v>
      </x:c>
    </x:row>
    <x:row r="1614" ht="21" customHeight="1">
      <x:c r="A1614" s="2"/>
      <x:c r="B1614" s="2"/>
      <x:c r="C1614" s="2" t="str">
        <x:v>2023</x:v>
      </x:c>
      <x:c r="D1614" s="5" t="n">
        <x:v>45148</x:v>
      </x:c>
      <x:c r="E1614" s="2" t="str">
        <x:v>constrained</x:v>
      </x:c>
      <x:c r="F1614" s="37" t="n">
        <x:v>11676237.290186845</x:v>
      </x:c>
      <x:c r="G1614" s="37" t="n">
        <x:v>91317.34968029258</x:v>
      </x:c>
      <x:c r="H1614" s="37" t="n">
        <x:v>20496.184297790816</x:v>
      </x:c>
      <x:c r="I1614" s="37" t="n">
        <x:v>70821.16538250176</x:v>
      </x:c>
      <x:c r="J1614" s="37" t="n">
        <x:v>10556149.59911854</x:v>
      </x:c>
      <x:c r="K1614" s="37" t="n">
        <x:v>10464832.249438247</x:v>
      </x:c>
      <x:c r="L1614" s="37" t="n">
        <x:v>11767554.639867138</x:v>
      </x:c>
      <x:c r="M1614" s="37" t="n">
        <x:v>0</x:v>
      </x:c>
      <x:c r="N1614" s="37" t="n">
        <x:v>0</x:v>
      </x:c>
      <x:c r="O1614" s="37" t="n">
        <x:v>639.7587688434869</x:v>
      </x:c>
      <x:c r="P1614" s="37" t="n">
        <x:v>0</x:v>
      </x:c>
      <x:c r="Q1614" s="37" t="n">
        <x:v>0</x:v>
      </x:c>
      <x:c r="R1614" s="37" t="n">
        <x:v>0</x:v>
      </x:c>
      <x:c r="S1614" s="37" t="n">
        <x:v>0</x:v>
      </x:c>
      <x:c r="T1614" s="37" t="n">
        <x:v>0</x:v>
      </x:c>
      <x:c r="U1614" s="37" t="n">
        <x:v>-6779.554702527748</x:v>
      </x:c>
      <x:c r="V1614" s="37" t="n">
        <x:v>0</x:v>
      </x:c>
      <x:c r="W1614" s="37" t="n">
        <x:v>140825.38909239136</x:v>
      </x:c>
      <x:c r="X1614" s="37" t="n">
        <x:v>0</x:v>
      </x:c>
      <x:c r="Y1614" s="37" t="n">
        <x:v>2172.0174893282365</x:v>
      </x:c>
      <x:c r="Z1614" s="37" t="n">
        <x:v>10674128.894427013</x:v>
      </x:c>
      <x:c r="AA1614" s="37" t="n">
        <x:v>0</x:v>
      </x:c>
      <x:c r="AB1614" s="37" t="n">
        <x:v>10674128.894427013</x:v>
      </x:c>
      <x:c r="AC1614" s="37" t="n">
        <x:v>1002108.3957598321</x:v>
      </x:c>
      <x:c r="AD1614" s="37" t="n">
        <x:v>0</x:v>
      </x:c>
      <x:c r="AE1614" s="37" t="n">
        <x:v>0</x:v>
      </x:c>
      <x:c r="AF1614" s="47" t="b">
        <x:v>0</x:v>
      </x:c>
      <x:c r="AG1614" s="47" t="b">
        <x:v>0</x:v>
      </x:c>
      <x:c r="AH1614" s="48" t="n">
        <x:v>0</x:v>
      </x:c>
      <x:c r="AI1614" s="48" t="n">
        <x:v>1.1920928955078125e-7</x:v>
      </x:c>
      <x:c r="AJ1614" s="37" t="str">
        <x:v>passed</x:v>
      </x:c>
    </x:row>
    <x:row r="1615" ht="21" customHeight="1">
      <x:c r="A1615" s="2"/>
      <x:c r="B1615" s="2"/>
      <x:c r="C1615" s="2" t="str">
        <x:v>2023</x:v>
      </x:c>
      <x:c r="D1615" s="5" t="n">
        <x:v>45149</x:v>
      </x:c>
      <x:c r="E1615" s="2" t="str">
        <x:v>unhedged</x:v>
      </x:c>
      <x:c r="F1615" s="37" t="n">
        <x:v>1277759.9549356375</x:v>
      </x:c>
      <x:c r="G1615" s="37" t="n">
        <x:v>10427949.88757532</x:v>
      </x:c>
      <x:c r="H1615" s="37" t="n">
        <x:v>51365.56419649291</x:v>
      </x:c>
      <x:c r="I1615" s="37" t="n">
        <x:v>10376584.323378827</x:v>
      </x:c>
      <x:c r="J1615" s="37" t="n">
        <x:v>10427949.88757532</x:v>
      </x:c>
      <x:c r="K1615" s="37" t="n">
        <x:v>0</x:v>
      </x:c>
      <x:c r="L1615" s="37" t="n">
        <x:v>11705709.84251096</x:v>
      </x:c>
      <x:c r="M1615" s="37" t="n">
        <x:v>0</x:v>
      </x:c>
      <x:c r="N1615" s="37" t="n">
        <x:v>0</x:v>
      </x:c>
      <x:c r="O1615" s="37" t="n">
        <x:v>70.010407919297</x:v>
      </x:c>
      <x:c r="P1615" s="37" t="n">
        <x:v>0</x:v>
      </x:c>
      <x:c r="Q1615" s="37" t="n">
        <x:v>0</x:v>
      </x:c>
      <x:c r="R1615" s="37" t="n">
        <x:v>0</x:v>
      </x:c>
      <x:c r="S1615" s="37" t="n">
        <x:v>0</x:v>
      </x:c>
      <x:c r="T1615" s="37" t="n">
        <x:v>0</x:v>
      </x:c>
      <x:c r="U1615" s="37" t="n">
        <x:v>63750</x:v>
      </x:c>
      <x:c r="V1615" s="37" t="n">
        <x:v>0</x:v>
      </x:c>
      <x:c r="W1615" s="37" t="n">
        <x:v>15052.824277759762</x:v>
      </x:c>
      <x:c r="X1615" s="37" t="n">
        <x:v>0</x:v>
      </x:c>
      <x:c r="Y1615" s="37" t="n">
        <x:v>1042.869342122179</x:v>
      </x:c>
      <x:c r="Z1615" s="37" t="n">
        <x:v>0</x:v>
      </x:c>
      <x:c r="AA1615" s="37" t="n">
        <x:v>0</x:v>
      </x:c>
      <x:c r="AB1615" s="37" t="n">
        <x:v>0</x:v>
      </x:c>
      <x:c r="AC1615" s="37" t="n">
        <x:v>1277759.9549356375</x:v>
      </x:c>
      <x:c r="AD1615" s="37" t="n">
        <x:v>0</x:v>
      </x:c>
      <x:c r="AE1615" s="37" t="n">
        <x:v>0</x:v>
      </x:c>
      <x:c r="AF1615" s="47" t="b">
        <x:v>0</x:v>
      </x:c>
      <x:c r="AG1615" s="47" t="b">
        <x:v>0</x:v>
      </x:c>
      <x:c r="AH1615" s="48" t="n">
        <x:v>0</x:v>
      </x:c>
      <x:c r="AI1615" s="48" t="n">
        <x:v>1.1920928955078125e-7</x:v>
      </x:c>
      <x:c r="AJ1615" s="37" t="str">
        <x:v>passed</x:v>
      </x:c>
    </x:row>
    <x:row r="1616" ht="21" customHeight="1">
      <x:c r="A1616" s="2"/>
      <x:c r="B1616" s="2"/>
      <x:c r="C1616" s="2" t="str">
        <x:v>2023</x:v>
      </x:c>
      <x:c r="D1616" s="5" t="n">
        <x:v>45149</x:v>
      </x:c>
      <x:c r="E1616" s="2" t="str">
        <x:v>duration</x:v>
      </x:c>
      <x:c r="F1616" s="37" t="n">
        <x:v>7616598.372033518</x:v>
      </x:c>
      <x:c r="G1616" s="37" t="n">
        <x:v>4192160.5561844893</x:v>
      </x:c>
      <x:c r="H1616" s="37" t="n">
        <x:v>25997.33257519488</x:v>
      </x:c>
      <x:c r="I1616" s="37" t="n">
        <x:v>4166163.2236092943</x:v>
      </x:c>
      <x:c r="J1616" s="37" t="n">
        <x:v>10427949.88757532</x:v>
      </x:c>
      <x:c r="K1616" s="37" t="n">
        <x:v>6235789.331390832</x:v>
      </x:c>
      <x:c r="L1616" s="37" t="n">
        <x:v>11808758.928218007</x:v>
      </x:c>
      <x:c r="M1616" s="37" t="n">
        <x:v>0</x:v>
      </x:c>
      <x:c r="N1616" s="37" t="n">
        <x:v>0</x:v>
      </x:c>
      <x:c r="O1616" s="37" t="n">
        <x:v>417.3249888801947</x:v>
      </x:c>
      <x:c r="P1616" s="37" t="n">
        <x:v>0</x:v>
      </x:c>
      <x:c r="Q1616" s="37" t="n">
        <x:v>0</x:v>
      </x:c>
      <x:c r="R1616" s="37" t="n">
        <x:v>0</x:v>
      </x:c>
      <x:c r="S1616" s="37" t="n">
        <x:v>0</x:v>
      </x:c>
      <x:c r="T1616" s="37" t="n">
        <x:v>0</x:v>
      </x:c>
      <x:c r="U1616" s="37" t="n">
        <x:v>9917.381478397001</x:v>
      </x:c>
      <x:c r="V1616" s="37" t="n">
        <x:v>0</x:v>
      </x:c>
      <x:c r="W1616" s="37" t="n">
        <x:v>93111.4083954459</x:v>
      </x:c>
      <x:c r="X1616" s="37" t="n">
        <x:v>0</x:v>
      </x:c>
      <x:c r="Y1616" s="37" t="n">
        <x:v>1734.6966441846707</x:v>
      </x:c>
      <x:c r="Z1616" s="37" t="n">
        <x:v>6360505.118018649</x:v>
      </x:c>
      <x:c r="AA1616" s="37" t="n">
        <x:v>0</x:v>
      </x:c>
      <x:c r="AB1616" s="37" t="n">
        <x:v>6360505.118018649</x:v>
      </x:c>
      <x:c r="AC1616" s="37" t="n">
        <x:v>1256093.2540148692</x:v>
      </x:c>
      <x:c r="AD1616" s="37" t="n">
        <x:v>0</x:v>
      </x:c>
      <x:c r="AE1616" s="37" t="n">
        <x:v>0</x:v>
      </x:c>
      <x:c r="AF1616" s="47" t="b">
        <x:v>0</x:v>
      </x:c>
      <x:c r="AG1616" s="47" t="b">
        <x:v>0</x:v>
      </x:c>
      <x:c r="AH1616" s="48" t="n">
        <x:v>0</x:v>
      </x:c>
      <x:c r="AI1616" s="48" t="n">
        <x:v>5.960464477539063e-8</x:v>
      </x:c>
      <x:c r="AJ1616" s="37" t="str">
        <x:v>passed</x:v>
      </x:c>
    </x:row>
    <x:row r="1617" ht="21" customHeight="1">
      <x:c r="A1617" s="2"/>
      <x:c r="B1617" s="2"/>
      <x:c r="C1617" s="2" t="str">
        <x:v>2023</x:v>
      </x:c>
      <x:c r="D1617" s="5" t="n">
        <x:v>45149</x:v>
      </x:c>
      <x:c r="E1617" s="2" t="str">
        <x:v>unweighted</x:v>
      </x:c>
      <x:c r="F1617" s="37" t="n">
        <x:v>11247036.401146166</x:v>
      </x:c>
      <x:c r="G1617" s="37" t="n">
        <x:v>530280.4482685882</x:v>
      </x:c>
      <x:c r="H1617" s="37" t="n">
        <x:v>20707.459518632255</x:v>
      </x:c>
      <x:c r="I1617" s="37" t="n">
        <x:v>509572.9887499559</x:v>
      </x:c>
      <x:c r="J1617" s="37" t="n">
        <x:v>10512630.520618154</x:v>
      </x:c>
      <x:c r="K1617" s="37" t="n">
        <x:v>9982350.072349565</x:v>
      </x:c>
      <x:c r="L1617" s="37" t="n">
        <x:v>11777316.849414755</x:v>
      </x:c>
      <x:c r="M1617" s="37" t="n">
        <x:v>0</x:v>
      </x:c>
      <x:c r="N1617" s="37" t="n">
        <x:v>0</x:v>
      </x:c>
      <x:c r="O1617" s="37" t="n">
        <x:v>616.2422004919499</x:v>
      </x:c>
      <x:c r="P1617" s="37" t="n">
        <x:v>0</x:v>
      </x:c>
      <x:c r="Q1617" s="37" t="n">
        <x:v>0</x:v>
      </x:c>
      <x:c r="R1617" s="37" t="n">
        <x:v>0</x:v>
      </x:c>
      <x:c r="S1617" s="37" t="n">
        <x:v>0</x:v>
      </x:c>
      <x:c r="T1617" s="37" t="n">
        <x:v>0</x:v>
      </x:c>
      <x:c r="U1617" s="37" t="n">
        <x:v>-5694.19584657007</x:v>
      </x:c>
      <x:c r="V1617" s="37" t="n">
        <x:v>0</x:v>
      </x:c>
      <x:c r="W1617" s="37" t="n">
        <x:v>135637.28192196786</x:v>
      </x:c>
      <x:c r="X1617" s="37" t="n">
        <x:v>0</x:v>
      </x:c>
      <x:c r="Y1617" s="37" t="n">
        <x:v>2148.4243093252817</x:v>
      </x:c>
      <x:c r="Z1617" s="37" t="n">
        <x:v>10181997.073796557</x:v>
      </x:c>
      <x:c r="AA1617" s="37" t="n">
        <x:v>0</x:v>
      </x:c>
      <x:c r="AB1617" s="37" t="n">
        <x:v>10181997.073796557</x:v>
      </x:c>
      <x:c r="AC1617" s="37" t="n">
        <x:v>1065039.3273496088</x:v>
      </x:c>
      <x:c r="AD1617" s="37" t="n">
        <x:v>0</x:v>
      </x:c>
      <x:c r="AE1617" s="37" t="n">
        <x:v>0</x:v>
      </x:c>
      <x:c r="AF1617" s="47" t="b">
        <x:v>0</x:v>
      </x:c>
      <x:c r="AG1617" s="47" t="b">
        <x:v>0</x:v>
      </x:c>
      <x:c r="AH1617" s="48" t="n">
        <x:v>0</x:v>
      </x:c>
      <x:c r="AI1617" s="48" t="n">
        <x:v>1.1920928955078125e-7</x:v>
      </x:c>
      <x:c r="AJ1617" s="37" t="str">
        <x:v>passed</x:v>
      </x:c>
    </x:row>
    <x:row r="1618" ht="21" customHeight="1">
      <x:c r="A1618" s="2"/>
      <x:c r="B1618" s="2"/>
      <x:c r="C1618" s="2" t="str">
        <x:v>2023</x:v>
      </x:c>
      <x:c r="D1618" s="5" t="n">
        <x:v>45149</x:v>
      </x:c>
      <x:c r="E1618" s="2" t="str">
        <x:v>constrained</x:v>
      </x:c>
      <x:c r="F1618" s="37" t="n">
        <x:v>11676877.084010966</x:v>
      </x:c>
      <x:c r="G1618" s="37" t="n">
        <x:v>91295.28614745049</x:v>
      </x:c>
      <x:c r="H1618" s="37" t="n">
        <x:v>20464.608076289882</x:v>
      </x:c>
      <x:c r="I1618" s="37" t="n">
        <x:v>70830.67807116061</x:v>
      </x:c>
      <x:c r="J1618" s="37" t="n">
        <x:v>10516755.767611563</x:v>
      </x:c>
      <x:c r="K1618" s="37" t="n">
        <x:v>10425460.481464114</x:v>
      </x:c>
      <x:c r="L1618" s="37" t="n">
        <x:v>11768172.370158417</x:v>
      </x:c>
      <x:c r="M1618" s="37" t="n">
        <x:v>0</x:v>
      </x:c>
      <x:c r="N1618" s="37" t="n">
        <x:v>0</x:v>
      </x:c>
      <x:c r="O1618" s="37" t="n">
        <x:v>639.793824121356</x:v>
      </x:c>
      <x:c r="P1618" s="37" t="n">
        <x:v>0</x:v>
      </x:c>
      <x:c r="Q1618" s="37" t="n">
        <x:v>0</x:v>
      </x:c>
      <x:c r="R1618" s="37" t="n">
        <x:v>0</x:v>
      </x:c>
      <x:c r="S1618" s="37" t="n">
        <x:v>0</x:v>
      </x:c>
      <x:c r="T1618" s="37" t="n">
        <x:v>0</x:v>
      </x:c>
      <x:c r="U1618" s="37" t="n">
        <x:v>-6779.554702527748</x:v>
      </x:c>
      <x:c r="V1618" s="37" t="n">
        <x:v>0</x:v>
      </x:c>
      <x:c r="W1618" s="37" t="n">
        <x:v>141465.1829165127</x:v>
      </x:c>
      <x:c r="X1618" s="37" t="n">
        <x:v>0</x:v>
      </x:c>
      <x:c r="Y1618" s="37" t="n">
        <x:v>2172.0174893282365</x:v>
      </x:c>
      <x:c r="Z1618" s="37" t="n">
        <x:v>10633969.691093396</x:v>
      </x:c>
      <x:c r="AA1618" s="37" t="n">
        <x:v>0</x:v>
      </x:c>
      <x:c r="AB1618" s="37" t="n">
        <x:v>10633969.691093396</x:v>
      </x:c>
      <x:c r="AC1618" s="37" t="n">
        <x:v>1042907.3929175697</x:v>
      </x:c>
      <x:c r="AD1618" s="37" t="n">
        <x:v>0</x:v>
      </x:c>
      <x:c r="AE1618" s="37" t="n">
        <x:v>0</x:v>
      </x:c>
      <x:c r="AF1618" s="47" t="b">
        <x:v>0</x:v>
      </x:c>
      <x:c r="AG1618" s="47" t="b">
        <x:v>0</x:v>
      </x:c>
      <x:c r="AH1618" s="48" t="n">
        <x:v>0</x:v>
      </x:c>
      <x:c r="AI1618" s="48" t="n">
        <x:v>1.1920928955078125e-7</x:v>
      </x:c>
      <x:c r="AJ1618" s="37" t="str">
        <x:v>passed</x:v>
      </x:c>
    </x:row>
    <x:row r="1619" ht="21" customHeight="1">
      <x:c r="A1619" s="2"/>
      <x:c r="B1619" s="2"/>
      <x:c r="C1619" s="2" t="str">
        <x:v>2023</x:v>
      </x:c>
      <x:c r="D1619" s="5" t="n">
        <x:v>45152</x:v>
      </x:c>
      <x:c r="E1619" s="2" t="str">
        <x:v>unhedged</x:v>
      </x:c>
      <x:c r="F1619" s="37" t="n">
        <x:v>1277970.009177357</x:v>
      </x:c>
      <x:c r="G1619" s="37" t="n">
        <x:v>10420214.303728553</x:v>
      </x:c>
      <x:c r="H1619" s="37" t="n">
        <x:v>52415.10028825366</x:v>
      </x:c>
      <x:c r="I1619" s="37" t="n">
        <x:v>10367799.2034403</x:v>
      </x:c>
      <x:c r="J1619" s="37" t="n">
        <x:v>10420214.303728553</x:v>
      </x:c>
      <x:c r="K1619" s="37" t="n">
        <x:v>0</x:v>
      </x:c>
      <x:c r="L1619" s="37" t="n">
        <x:v>11698184.31290591</x:v>
      </x:c>
      <x:c r="M1619" s="37" t="n">
        <x:v>0</x:v>
      </x:c>
      <x:c r="N1619" s="37" t="n">
        <x:v>0</x:v>
      </x:c>
      <x:c r="O1619" s="37" t="n">
        <x:v>210.05424171942286</x:v>
      </x:c>
      <x:c r="P1619" s="37" t="n">
        <x:v>0</x:v>
      </x:c>
      <x:c r="Q1619" s="37" t="n">
        <x:v>0</x:v>
      </x:c>
      <x:c r="R1619" s="37" t="n">
        <x:v>0</x:v>
      </x:c>
      <x:c r="S1619" s="37" t="n">
        <x:v>0</x:v>
      </x:c>
      <x:c r="T1619" s="37" t="n">
        <x:v>0</x:v>
      </x:c>
      <x:c r="U1619" s="37" t="n">
        <x:v>63750</x:v>
      </x:c>
      <x:c r="V1619" s="37" t="n">
        <x:v>0</x:v>
      </x:c>
      <x:c r="W1619" s="37" t="n">
        <x:v>15262.878519479185</x:v>
      </x:c>
      <x:c r="X1619" s="37" t="n">
        <x:v>0</x:v>
      </x:c>
      <x:c r="Y1619" s="37" t="n">
        <x:v>1042.869342122179</x:v>
      </x:c>
      <x:c r="Z1619" s="37" t="n">
        <x:v>0</x:v>
      </x:c>
      <x:c r="AA1619" s="37" t="n">
        <x:v>0</x:v>
      </x:c>
      <x:c r="AB1619" s="37" t="n">
        <x:v>0</x:v>
      </x:c>
      <x:c r="AC1619" s="37" t="n">
        <x:v>1277970.009177357</x:v>
      </x:c>
      <x:c r="AD1619" s="37" t="n">
        <x:v>0</x:v>
      </x:c>
      <x:c r="AE1619" s="37" t="n">
        <x:v>0</x:v>
      </x:c>
      <x:c r="AF1619" s="47" t="b">
        <x:v>0</x:v>
      </x:c>
      <x:c r="AG1619" s="47" t="b">
        <x:v>0</x:v>
      </x:c>
      <x:c r="AH1619" s="48" t="n">
        <x:v>0</x:v>
      </x:c>
      <x:c r="AI1619" s="48" t="n">
        <x:v>1.1920928955078125e-7</x:v>
      </x:c>
      <x:c r="AJ1619" s="37" t="str">
        <x:v>passed</x:v>
      </x:c>
    </x:row>
    <x:row r="1620" ht="21" customHeight="1">
      <x:c r="A1620" s="2"/>
      <x:c r="B1620" s="2"/>
      <x:c r="C1620" s="2" t="str">
        <x:v>2023</x:v>
      </x:c>
      <x:c r="D1620" s="5" t="n">
        <x:v>45152</x:v>
      </x:c>
      <x:c r="E1620" s="2" t="str">
        <x:v>duration</x:v>
      </x:c>
      <x:c r="F1620" s="37" t="n">
        <x:v>7617850.484207905</x:v>
      </x:c>
      <x:c r="G1620" s="37" t="n">
        <x:v>4186688.994509724</x:v>
      </x:c>
      <x:c r="H1620" s="37" t="n">
        <x:v>26182.04258895684</x:v>
      </x:c>
      <x:c r="I1620" s="37" t="n">
        <x:v>4160506.9519207673</x:v>
      </x:c>
      <x:c r="J1620" s="37" t="n">
        <x:v>10420214.303728553</x:v>
      </x:c>
      <x:c r="K1620" s="37" t="n">
        <x:v>6233525.309218829</x:v>
      </x:c>
      <x:c r="L1620" s="37" t="n">
        <x:v>11804539.478717629</x:v>
      </x:c>
      <x:c r="M1620" s="37" t="n">
        <x:v>0</x:v>
      </x:c>
      <x:c r="N1620" s="37" t="n">
        <x:v>0</x:v>
      </x:c>
      <x:c r="O1620" s="37" t="n">
        <x:v>1252.11217438709</x:v>
      </x:c>
      <x:c r="P1620" s="37" t="n">
        <x:v>0</x:v>
      </x:c>
      <x:c r="Q1620" s="37" t="n">
        <x:v>0</x:v>
      </x:c>
      <x:c r="R1620" s="37" t="n">
        <x:v>0</x:v>
      </x:c>
      <x:c r="S1620" s="37" t="n">
        <x:v>0</x:v>
      </x:c>
      <x:c r="T1620" s="37" t="n">
        <x:v>0</x:v>
      </x:c>
      <x:c r="U1620" s="37" t="n">
        <x:v>9917.381478397001</x:v>
      </x:c>
      <x:c r="V1620" s="37" t="n">
        <x:v>0</x:v>
      </x:c>
      <x:c r="W1620" s="37" t="n">
        <x:v>94363.520569833</x:v>
      </x:c>
      <x:c r="X1620" s="37" t="n">
        <x:v>0</x:v>
      </x:c>
      <x:c r="Y1620" s="37" t="n">
        <x:v>1734.6966441846707</x:v>
      </x:c>
      <x:c r="Z1620" s="37" t="n">
        <x:v>6358195.815403205</x:v>
      </x:c>
      <x:c r="AA1620" s="37" t="n">
        <x:v>0</x:v>
      </x:c>
      <x:c r="AB1620" s="37" t="n">
        <x:v>6358195.815403205</x:v>
      </x:c>
      <x:c r="AC1620" s="37" t="n">
        <x:v>1259654.6688046996</x:v>
      </x:c>
      <x:c r="AD1620" s="37" t="n">
        <x:v>0</x:v>
      </x:c>
      <x:c r="AE1620" s="37" t="n">
        <x:v>0</x:v>
      </x:c>
      <x:c r="AF1620" s="47" t="b">
        <x:v>0</x:v>
      </x:c>
      <x:c r="AG1620" s="47" t="b">
        <x:v>0</x:v>
      </x:c>
      <x:c r="AH1620" s="48" t="n">
        <x:v>0</x:v>
      </x:c>
      <x:c r="AI1620" s="48" t="n">
        <x:v>5.960464477539063e-8</x:v>
      </x:c>
      <x:c r="AJ1620" s="37" t="str">
        <x:v>passed</x:v>
      </x:c>
    </x:row>
    <x:row r="1621" ht="21" customHeight="1">
      <x:c r="A1621" s="2"/>
      <x:c r="B1621" s="2"/>
      <x:c r="C1621" s="2" t="str">
        <x:v>2023</x:v>
      </x:c>
      <x:c r="D1621" s="5" t="n">
        <x:v>45152</x:v>
      </x:c>
      <x:c r="E1621" s="2" t="str">
        <x:v>unweighted</x:v>
      </x:c>
      <x:c r="F1621" s="37" t="n">
        <x:v>11248885.330355216</x:v>
      </x:c>
      <x:c r="G1621" s="37" t="n">
        <x:v>529909.3678520096</x:v>
      </x:c>
      <x:c r="H1621" s="37" t="n">
        <x:v>20625.555591558776</x:v>
      </x:c>
      <x:c r="I1621" s="37" t="n">
        <x:v>509283.8122604508</x:v>
      </x:c>
      <x:c r="J1621" s="37" t="n">
        <x:v>10504762.19079155</x:v>
      </x:c>
      <x:c r="K1621" s="37" t="n">
        <x:v>9974852.82293954</x:v>
      </x:c>
      <x:c r="L1621" s="37" t="n">
        <x:v>11778794.698207226</x:v>
      </x:c>
      <x:c r="M1621" s="37" t="n">
        <x:v>0</x:v>
      </x:c>
      <x:c r="N1621" s="37" t="n">
        <x:v>0</x:v>
      </x:c>
      <x:c r="O1621" s="37" t="n">
        <x:v>1848.929209049791</x:v>
      </x:c>
      <x:c r="P1621" s="37" t="n">
        <x:v>0</x:v>
      </x:c>
      <x:c r="Q1621" s="37" t="n">
        <x:v>0</x:v>
      </x:c>
      <x:c r="R1621" s="37" t="n">
        <x:v>0</x:v>
      </x:c>
      <x:c r="S1621" s="37" t="n">
        <x:v>0</x:v>
      </x:c>
      <x:c r="T1621" s="37" t="n">
        <x:v>0</x:v>
      </x:c>
      <x:c r="U1621" s="37" t="n">
        <x:v>-5694.19584657007</x:v>
      </x:c>
      <x:c r="V1621" s="37" t="n">
        <x:v>0</x:v>
      </x:c>
      <x:c r="W1621" s="37" t="n">
        <x:v>137486.21113101766</x:v>
      </x:c>
      <x:c r="X1621" s="37" t="n">
        <x:v>0</x:v>
      </x:c>
      <x:c r="Y1621" s="37" t="n">
        <x:v>2148.4243093252817</x:v>
      </x:c>
      <x:c r="Z1621" s="37" t="n">
        <x:v>10174349.879398331</x:v>
      </x:c>
      <x:c r="AA1621" s="37" t="n">
        <x:v>0</x:v>
      </x:c>
      <x:c r="AB1621" s="37" t="n">
        <x:v>10174349.879398331</x:v>
      </x:c>
      <x:c r="AC1621" s="37" t="n">
        <x:v>1074535.4509568848</x:v>
      </x:c>
      <x:c r="AD1621" s="37" t="n">
        <x:v>0</x:v>
      </x:c>
      <x:c r="AE1621" s="37" t="n">
        <x:v>0</x:v>
      </x:c>
      <x:c r="AF1621" s="47" t="b">
        <x:v>0</x:v>
      </x:c>
      <x:c r="AG1621" s="47" t="b">
        <x:v>0</x:v>
      </x:c>
      <x:c r="AH1621" s="48" t="n">
        <x:v>0</x:v>
      </x:c>
      <x:c r="AI1621" s="48" t="n">
        <x:v>1.1920928955078125e-7</x:v>
      </x:c>
      <x:c r="AJ1621" s="37" t="str">
        <x:v>passed</x:v>
      </x:c>
    </x:row>
    <x:row r="1622" ht="21" customHeight="1">
      <x:c r="A1622" s="2"/>
      <x:c r="B1622" s="2"/>
      <x:c r="C1622" s="2" t="str">
        <x:v>2023</x:v>
      </x:c>
      <x:c r="D1622" s="5" t="n">
        <x:v>45152</x:v>
      </x:c>
      <x:c r="E1622" s="2" t="str">
        <x:v>constrained</x:v>
      </x:c>
      <x:c r="F1622" s="37" t="n">
        <x:v>11678796.675834186</x:v>
      </x:c>
      <x:c r="G1622" s="37" t="n">
        <x:v>90731.75039793049</x:v>
      </x:c>
      <x:c r="H1622" s="37" t="n">
        <x:v>20369.879411787068</x:v>
      </x:c>
      <x:c r="I1622" s="37" t="n">
        <x:v>70361.87098614342</x:v>
      </x:c>
      <x:c r="J1622" s="37" t="n">
        <x:v>10508880.971017595</x:v>
      </x:c>
      <x:c r="K1622" s="37" t="n">
        <x:v>10418149.220619665</x:v>
      </x:c>
      <x:c r="L1622" s="37" t="n">
        <x:v>11769528.426232116</x:v>
      </x:c>
      <x:c r="M1622" s="37" t="n">
        <x:v>0</x:v>
      </x:c>
      <x:c r="N1622" s="37" t="n">
        <x:v>0</x:v>
      </x:c>
      <x:c r="O1622" s="37" t="n">
        <x:v>1919.591823220253</x:v>
      </x:c>
      <x:c r="P1622" s="37" t="n">
        <x:v>0</x:v>
      </x:c>
      <x:c r="Q1622" s="37" t="n">
        <x:v>0</x:v>
      </x:c>
      <x:c r="R1622" s="37" t="n">
        <x:v>0</x:v>
      </x:c>
      <x:c r="S1622" s="37" t="n">
        <x:v>0</x:v>
      </x:c>
      <x:c r="T1622" s="37" t="n">
        <x:v>0</x:v>
      </x:c>
      <x:c r="U1622" s="37" t="n">
        <x:v>-6779.554702527748</x:v>
      </x:c>
      <x:c r="V1622" s="37" t="n">
        <x:v>0</x:v>
      </x:c>
      <x:c r="W1622" s="37" t="n">
        <x:v>143384.77473973297</x:v>
      </x:c>
      <x:c r="X1622" s="37" t="n">
        <x:v>0</x:v>
      </x:c>
      <x:c r="Y1622" s="37" t="n">
        <x:v>2172.0174893282365</x:v>
      </x:c>
      <x:c r="Z1622" s="37" t="n">
        <x:v>10626512.205032058</x:v>
      </x:c>
      <x:c r="AA1622" s="37" t="n">
        <x:v>0</x:v>
      </x:c>
      <x:c r="AB1622" s="37" t="n">
        <x:v>10626512.205032058</x:v>
      </x:c>
      <x:c r="AC1622" s="37" t="n">
        <x:v>1052284.4708021283</x:v>
      </x:c>
      <x:c r="AD1622" s="37" t="n">
        <x:v>0</x:v>
      </x:c>
      <x:c r="AE1622" s="37" t="n">
        <x:v>0</x:v>
      </x:c>
      <x:c r="AF1622" s="47" t="b">
        <x:v>0</x:v>
      </x:c>
      <x:c r="AG1622" s="47" t="b">
        <x:v>0</x:v>
      </x:c>
      <x:c r="AH1622" s="48" t="n">
        <x:v>0</x:v>
      </x:c>
      <x:c r="AI1622" s="48" t="n">
        <x:v>1.1920928955078125e-7</x:v>
      </x:c>
      <x:c r="AJ1622" s="37" t="str">
        <x:v>passed</x:v>
      </x:c>
    </x:row>
    <x:row r="1623" ht="21" customHeight="1">
      <x:c r="A1623" s="2"/>
      <x:c r="B1623" s="2"/>
      <x:c r="C1623" s="2" t="str">
        <x:v>2023</x:v>
      </x:c>
      <x:c r="D1623" s="5" t="n">
        <x:v>45153</x:v>
      </x:c>
      <x:c r="E1623" s="2" t="str">
        <x:v>unhedged</x:v>
      </x:c>
      <x:c r="F1623" s="37" t="n">
        <x:v>1315540.0349312846</x:v>
      </x:c>
      <x:c r="G1623" s="37" t="n">
        <x:v>10374188.44677133</x:v>
      </x:c>
      <x:c r="H1623" s="37" t="n">
        <x:v>15264.945652173912</x:v>
      </x:c>
      <x:c r="I1623" s="37" t="n">
        <x:v>10358923.501119155</x:v>
      </x:c>
      <x:c r="J1623" s="37" t="n">
        <x:v>10374188.44677133</x:v>
      </x:c>
      <x:c r="K1623" s="37" t="n">
        <x:v>0</x:v>
      </x:c>
      <x:c r="L1623" s="37" t="n">
        <x:v>11689728.481702615</x:v>
      </x:c>
      <x:c r="M1623" s="37" t="n">
        <x:v>37500</x:v>
      </x:c>
      <x:c r="N1623" s="37" t="n">
        <x:v>0</x:v>
      </x:c>
      <x:c r="O1623" s="37" t="n">
        <x:v>70.02575392764993</x:v>
      </x:c>
      <x:c r="P1623" s="37" t="n">
        <x:v>0</x:v>
      </x:c>
      <x:c r="Q1623" s="37" t="n">
        <x:v>0</x:v>
      </x:c>
      <x:c r="R1623" s="37" t="n">
        <x:v>0</x:v>
      </x:c>
      <x:c r="S1623" s="37" t="n">
        <x:v>0</x:v>
      </x:c>
      <x:c r="T1623" s="37" t="n">
        <x:v>0</x:v>
      </x:c>
      <x:c r="U1623" s="37" t="n">
        <x:v>101250</x:v>
      </x:c>
      <x:c r="V1623" s="37" t="n">
        <x:v>0</x:v>
      </x:c>
      <x:c r="W1623" s="37" t="n">
        <x:v>15332.904273406835</x:v>
      </x:c>
      <x:c r="X1623" s="37" t="n">
        <x:v>0</x:v>
      </x:c>
      <x:c r="Y1623" s="37" t="n">
        <x:v>1042.869342122179</x:v>
      </x:c>
      <x:c r="Z1623" s="37" t="n">
        <x:v>0</x:v>
      </x:c>
      <x:c r="AA1623" s="37" t="n">
        <x:v>0</x:v>
      </x:c>
      <x:c r="AB1623" s="37" t="n">
        <x:v>0</x:v>
      </x:c>
      <x:c r="AC1623" s="37" t="n">
        <x:v>1315540.0349312846</x:v>
      </x:c>
      <x:c r="AD1623" s="37" t="n">
        <x:v>0</x:v>
      </x:c>
      <x:c r="AE1623" s="37" t="n">
        <x:v>0</x:v>
      </x:c>
      <x:c r="AF1623" s="47" t="b">
        <x:v>0</x:v>
      </x:c>
      <x:c r="AG1623" s="47" t="b">
        <x:v>0</x:v>
      </x:c>
      <x:c r="AH1623" s="48" t="n">
        <x:v>0</x:v>
      </x:c>
      <x:c r="AI1623" s="48" t="n">
        <x:v>1.1920928955078125e-7</x:v>
      </x:c>
      <x:c r="AJ1623" s="37" t="str">
        <x:v>passed</x:v>
      </x:c>
    </x:row>
    <x:row r="1624" ht="21" customHeight="1">
      <x:c r="A1624" s="2"/>
      <x:c r="B1624" s="2"/>
      <x:c r="C1624" s="2" t="str">
        <x:v>2023</x:v>
      </x:c>
      <x:c r="D1624" s="5" t="n">
        <x:v>45153</x:v>
      </x:c>
      <x:c r="E1624" s="2" t="str">
        <x:v>duration</x:v>
      </x:c>
      <x:c r="F1624" s="37" t="n">
        <x:v>7655767.900672794</x:v>
      </x:c>
      <x:c r="G1624" s="37" t="n">
        <x:v>4155683.1997778146</x:v>
      </x:c>
      <x:c r="H1624" s="37" t="n">
        <x:v>-11256.387406455848</x:v>
      </x:c>
      <x:c r="I1624" s="37" t="n">
        <x:v>4166939.5871842704</x:v>
      </x:c>
      <x:c r="J1624" s="37" t="n">
        <x:v>10374188.44677133</x:v>
      </x:c>
      <x:c r="K1624" s="37" t="n">
        <x:v>6218505.246993514</x:v>
      </x:c>
      <x:c r="L1624" s="37" t="n">
        <x:v>11811451.100450609</x:v>
      </x:c>
      <x:c r="M1624" s="37" t="n">
        <x:v>37500</x:v>
      </x:c>
      <x:c r="N1624" s="37" t="n">
        <x:v>0</x:v>
      </x:c>
      <x:c r="O1624" s="37" t="n">
        <x:v>417.41646488942206</x:v>
      </x:c>
      <x:c r="P1624" s="37" t="n">
        <x:v>0</x:v>
      </x:c>
      <x:c r="Q1624" s="37" t="n">
        <x:v>0</x:v>
      </x:c>
      <x:c r="R1624" s="37" t="n">
        <x:v>0</x:v>
      </x:c>
      <x:c r="S1624" s="37" t="n">
        <x:v>0</x:v>
      </x:c>
      <x:c r="T1624" s="37" t="n">
        <x:v>0</x:v>
      </x:c>
      <x:c r="U1624" s="37" t="n">
        <x:v>47417.381478397</x:v>
      </x:c>
      <x:c r="V1624" s="37" t="n">
        <x:v>0</x:v>
      </x:c>
      <x:c r="W1624" s="37" t="n">
        <x:v>94780.93703472242</x:v>
      </x:c>
      <x:c r="X1624" s="37" t="n">
        <x:v>0</x:v>
      </x:c>
      <x:c r="Y1624" s="37" t="n">
        <x:v>1734.6966441846707</x:v>
      </x:c>
      <x:c r="Z1624" s="37" t="n">
        <x:v>6342875.351933384</x:v>
      </x:c>
      <x:c r="AA1624" s="37" t="n">
        <x:v>0</x:v>
      </x:c>
      <x:c r="AB1624" s="37" t="n">
        <x:v>6342875.351933384</x:v>
      </x:c>
      <x:c r="AC1624" s="37" t="n">
        <x:v>1312892.54873941</x:v>
      </x:c>
      <x:c r="AD1624" s="37" t="n">
        <x:v>0</x:v>
      </x:c>
      <x:c r="AE1624" s="37" t="n">
        <x:v>0</x:v>
      </x:c>
      <x:c r="AF1624" s="47" t="b">
        <x:v>0</x:v>
      </x:c>
      <x:c r="AG1624" s="47" t="b">
        <x:v>0</x:v>
      </x:c>
      <x:c r="AH1624" s="48" t="n">
        <x:v>0</x:v>
      </x:c>
      <x:c r="AI1624" s="48" t="n">
        <x:v>5.960464477539063e-8</x:v>
      </x:c>
      <x:c r="AJ1624" s="37" t="str">
        <x:v>passed</x:v>
      </x:c>
    </x:row>
    <x:row r="1625" ht="21" customHeight="1">
      <x:c r="A1625" s="2"/>
      <x:c r="B1625" s="2"/>
      <x:c r="C1625" s="2" t="str">
        <x:v>2023</x:v>
      </x:c>
      <x:c r="D1625" s="5" t="n">
        <x:v>45153</x:v>
      </x:c>
      <x:c r="E1625" s="2" t="str">
        <x:v>unweighted</x:v>
      </x:c>
      <x:c r="F1625" s="37" t="n">
        <x:v>11287001.707633592</x:v>
      </x:c>
      <x:c r="G1625" s="37" t="n">
        <x:v>493089.0370078428</x:v>
      </x:c>
      <x:c r="H1625" s="37" t="n">
        <x:v>-16901.745717465725</x:v>
      </x:c>
      <x:c r="I1625" s="37" t="n">
        <x:v>509990.7827253085</x:v>
      </x:c>
      <x:c r="J1625" s="37" t="n">
        <x:v>10458333.120449712</x:v>
      </x:c>
      <x:c r="K1625" s="37" t="n">
        <x:v>9965244.083441868</x:v>
      </x:c>
      <x:c r="L1625" s="37" t="n">
        <x:v>11780090.744641434</x:v>
      </x:c>
      <x:c r="M1625" s="37" t="n">
        <x:v>37500</x:v>
      </x:c>
      <x:c r="N1625" s="37" t="n">
        <x:v>0</x:v>
      </x:c>
      <x:c r="O1625" s="37" t="n">
        <x:v>616.3772783763707</x:v>
      </x:c>
      <x:c r="P1625" s="37" t="n">
        <x:v>0</x:v>
      </x:c>
      <x:c r="Q1625" s="37" t="n">
        <x:v>0</x:v>
      </x:c>
      <x:c r="R1625" s="37" t="n">
        <x:v>0</x:v>
      </x:c>
      <x:c r="S1625" s="37" t="n">
        <x:v>0</x:v>
      </x:c>
      <x:c r="T1625" s="37" t="n">
        <x:v>0</x:v>
      </x:c>
      <x:c r="U1625" s="37" t="n">
        <x:v>31805.80415342993</x:v>
      </x:c>
      <x:c r="V1625" s="37" t="n">
        <x:v>0</x:v>
      </x:c>
      <x:c r="W1625" s="37" t="n">
        <x:v>138102.58840939403</x:v>
      </x:c>
      <x:c r="X1625" s="37" t="n">
        <x:v>0</x:v>
      </x:c>
      <x:c r="Y1625" s="37" t="n">
        <x:v>2148.4243093252817</x:v>
      </x:c>
      <x:c r="Z1625" s="37" t="n">
        <x:v>10164548.965110706</x:v>
      </x:c>
      <x:c r="AA1625" s="37" t="n">
        <x:v>0</x:v>
      </x:c>
      <x:c r="AB1625" s="37" t="n">
        <x:v>10164548.965110706</x:v>
      </x:c>
      <x:c r="AC1625" s="37" t="n">
        <x:v>1122452.742522886</x:v>
      </x:c>
      <x:c r="AD1625" s="37" t="n">
        <x:v>0</x:v>
      </x:c>
      <x:c r="AE1625" s="37" t="n">
        <x:v>0</x:v>
      </x:c>
      <x:c r="AF1625" s="47" t="b">
        <x:v>0</x:v>
      </x:c>
      <x:c r="AG1625" s="47" t="b">
        <x:v>0</x:v>
      </x:c>
      <x:c r="AH1625" s="48" t="n">
        <x:v>0</x:v>
      </x:c>
      <x:c r="AI1625" s="48" t="n">
        <x:v>1.1920928955078125e-7</x:v>
      </x:c>
      <x:c r="AJ1625" s="37" t="str">
        <x:v>passed</x:v>
      </x:c>
    </x:row>
    <x:row r="1626" ht="21" customHeight="1">
      <x:c r="A1626" s="2"/>
      <x:c r="B1626" s="2"/>
      <x:c r="C1626" s="2" t="str">
        <x:v>2023</x:v>
      </x:c>
      <x:c r="D1626" s="5" t="n">
        <x:v>45153</x:v>
      </x:c>
      <x:c r="E1626" s="2" t="str">
        <x:v>constrained</x:v>
      </x:c>
      <x:c r="F1626" s="37" t="n">
        <x:v>11716936.609898617</x:v>
      </x:c>
      <x:c r="G1626" s="37" t="n">
        <x:v>53592.26352975741</x:v>
      </x:c>
      <x:c r="H1626" s="37" t="n">
        <x:v>-17161.696809713878</x:v>
      </x:c>
      <x:c r="I1626" s="37" t="n">
        <x:v>70753.96033947129</x:v>
      </x:c>
      <x:c r="J1626" s="37" t="n">
        <x:v>10462432.257993095</x:v>
      </x:c>
      <x:c r="K1626" s="37" t="n">
        <x:v>10408839.994463338</x:v>
      </x:c>
      <x:c r="L1626" s="37" t="n">
        <x:v>11770528.873428375</x:v>
      </x:c>
      <x:c r="M1626" s="37" t="n">
        <x:v>37500</x:v>
      </x:c>
      <x:c r="N1626" s="37" t="n">
        <x:v>0</x:v>
      </x:c>
      <x:c r="O1626" s="37" t="n">
        <x:v>639.934064431116</x:v>
      </x:c>
      <x:c r="P1626" s="37" t="n">
        <x:v>0</x:v>
      </x:c>
      <x:c r="Q1626" s="37" t="n">
        <x:v>0</x:v>
      </x:c>
      <x:c r="R1626" s="37" t="n">
        <x:v>0</x:v>
      </x:c>
      <x:c r="S1626" s="37" t="n">
        <x:v>0</x:v>
      </x:c>
      <x:c r="T1626" s="37" t="n">
        <x:v>0</x:v>
      </x:c>
      <x:c r="U1626" s="37" t="n">
        <x:v>30720.44529747225</x:v>
      </x:c>
      <x:c r="V1626" s="37" t="n">
        <x:v>0</x:v>
      </x:c>
      <x:c r="W1626" s="37" t="n">
        <x:v>144024.70880416408</x:v>
      </x:c>
      <x:c r="X1626" s="37" t="n">
        <x:v>0</x:v>
      </x:c>
      <x:c r="Y1626" s="37" t="n">
        <x:v>2172.0174893282365</x:v>
      </x:c>
      <x:c r="Z1626" s="37" t="n">
        <x:v>10617016.794352604</x:v>
      </x:c>
      <x:c r="AA1626" s="37" t="n">
        <x:v>0</x:v>
      </x:c>
      <x:c r="AB1626" s="37" t="n">
        <x:v>10617016.794352604</x:v>
      </x:c>
      <x:c r="AC1626" s="37" t="n">
        <x:v>1099919.8155460134</x:v>
      </x:c>
      <x:c r="AD1626" s="37" t="n">
        <x:v>0</x:v>
      </x:c>
      <x:c r="AE1626" s="37" t="n">
        <x:v>0</x:v>
      </x:c>
      <x:c r="AF1626" s="47" t="b">
        <x:v>0</x:v>
      </x:c>
      <x:c r="AG1626" s="47" t="b">
        <x:v>0</x:v>
      </x:c>
      <x:c r="AH1626" s="48" t="n">
        <x:v>0</x:v>
      </x:c>
      <x:c r="AI1626" s="48" t="n">
        <x:v>1.1920928955078125e-7</x:v>
      </x:c>
      <x:c r="AJ1626" s="37" t="str">
        <x:v>passed</x:v>
      </x:c>
    </x:row>
    <x:row r="1627" ht="21" customHeight="1">
      <x:c r="A1627" s="2"/>
      <x:c r="B1627" s="2"/>
      <x:c r="C1627" s="2" t="str">
        <x:v>2023</x:v>
      </x:c>
      <x:c r="D1627" s="5" t="n">
        <x:v>45154</x:v>
      </x:c>
      <x:c r="E1627" s="2" t="str">
        <x:v>unhedged</x:v>
      </x:c>
      <x:c r="F1627" s="37" t="n">
        <x:v>1315612.1193167605</x:v>
      </x:c>
      <x:c r="G1627" s="37" t="n">
        <x:v>10348722.700190134</x:v>
      </x:c>
      <x:c r="H1627" s="37" t="n">
        <x:v>15611.41304347826</x:v>
      </x:c>
      <x:c r="I1627" s="37" t="n">
        <x:v>10333111.287146656</x:v>
      </x:c>
      <x:c r="J1627" s="37" t="n">
        <x:v>10348722.700190134</x:v>
      </x:c>
      <x:c r="K1627" s="37" t="n">
        <x:v>0</x:v>
      </x:c>
      <x:c r="L1627" s="37" t="n">
        <x:v>11664334.819506895</x:v>
      </x:c>
      <x:c r="M1627" s="37" t="n">
        <x:v>0</x:v>
      </x:c>
      <x:c r="N1627" s="37" t="n">
        <x:v>0</x:v>
      </x:c>
      <x:c r="O1627" s="37" t="n">
        <x:v>72.08438547584228</x:v>
      </x:c>
      <x:c r="P1627" s="37" t="n">
        <x:v>0</x:v>
      </x:c>
      <x:c r="Q1627" s="37" t="n">
        <x:v>0</x:v>
      </x:c>
      <x:c r="R1627" s="37" t="n">
        <x:v>0</x:v>
      </x:c>
      <x:c r="S1627" s="37" t="n">
        <x:v>0</x:v>
      </x:c>
      <x:c r="T1627" s="37" t="n">
        <x:v>0</x:v>
      </x:c>
      <x:c r="U1627" s="37" t="n">
        <x:v>101250</x:v>
      </x:c>
      <x:c r="V1627" s="37" t="n">
        <x:v>0</x:v>
      </x:c>
      <x:c r="W1627" s="37" t="n">
        <x:v>15404.988658882678</x:v>
      </x:c>
      <x:c r="X1627" s="37" t="n">
        <x:v>0</x:v>
      </x:c>
      <x:c r="Y1627" s="37" t="n">
        <x:v>1042.869342122179</x:v>
      </x:c>
      <x:c r="Z1627" s="37" t="n">
        <x:v>0</x:v>
      </x:c>
      <x:c r="AA1627" s="37" t="n">
        <x:v>0</x:v>
      </x:c>
      <x:c r="AB1627" s="37" t="n">
        <x:v>0</x:v>
      </x:c>
      <x:c r="AC1627" s="37" t="n">
        <x:v>1315612.1193167605</x:v>
      </x:c>
      <x:c r="AD1627" s="37" t="n">
        <x:v>0</x:v>
      </x:c>
      <x:c r="AE1627" s="37" t="n">
        <x:v>0</x:v>
      </x:c>
      <x:c r="AF1627" s="47" t="b">
        <x:v>0</x:v>
      </x:c>
      <x:c r="AG1627" s="47" t="b">
        <x:v>0</x:v>
      </x:c>
      <x:c r="AH1627" s="48" t="n">
        <x:v>0</x:v>
      </x:c>
      <x:c r="AI1627" s="48" t="n">
        <x:v>1.1920928955078125e-7</x:v>
      </x:c>
      <x:c r="AJ1627" s="37" t="str">
        <x:v>passed</x:v>
      </x:c>
    </x:row>
    <x:row r="1628" ht="21" customHeight="1">
      <x:c r="A1628" s="2"/>
      <x:c r="B1628" s="2"/>
      <x:c r="C1628" s="2" t="str">
        <x:v>2023</x:v>
      </x:c>
      <x:c r="D1628" s="5" t="n">
        <x:v>45154</x:v>
      </x:c>
      <x:c r="E1628" s="2" t="str">
        <x:v>duration</x:v>
      </x:c>
      <x:c r="F1628" s="37" t="n">
        <x:v>7656187.394804339</x:v>
      </x:c>
      <x:c r="G1628" s="37" t="n">
        <x:v>4156890.988845065</x:v>
      </x:c>
      <x:c r="H1628" s="37" t="n">
        <x:v>-11198.195374484436</x:v>
      </x:c>
      <x:c r="I1628" s="37" t="n">
        <x:v>4168089.1842195494</x:v>
      </x:c>
      <x:c r="J1628" s="37" t="n">
        <x:v>10348722.700190134</x:v>
      </x:c>
      <x:c r="K1628" s="37" t="n">
        <x:v>6191831.71134507</x:v>
      </x:c>
      <x:c r="L1628" s="37" t="n">
        <x:v>11813078.383649403</x:v>
      </x:c>
      <x:c r="M1628" s="37" t="n">
        <x:v>0</x:v>
      </x:c>
      <x:c r="N1628" s="37" t="n">
        <x:v>0</x:v>
      </x:c>
      <x:c r="O1628" s="37" t="n">
        <x:v>419.4941315446049</x:v>
      </x:c>
      <x:c r="P1628" s="37" t="n">
        <x:v>0</x:v>
      </x:c>
      <x:c r="Q1628" s="37" t="n">
        <x:v>0</x:v>
      </x:c>
      <x:c r="R1628" s="37" t="n">
        <x:v>0</x:v>
      </x:c>
      <x:c r="S1628" s="37" t="n">
        <x:v>0</x:v>
      </x:c>
      <x:c r="T1628" s="37" t="n">
        <x:v>0</x:v>
      </x:c>
      <x:c r="U1628" s="37" t="n">
        <x:v>47417.381478397</x:v>
      </x:c>
      <x:c r="V1628" s="37" t="n">
        <x:v>0</x:v>
      </x:c>
      <x:c r="W1628" s="37" t="n">
        <x:v>95200.43116626702</x:v>
      </x:c>
      <x:c r="X1628" s="37" t="n">
        <x:v>0</x:v>
      </x:c>
      <x:c r="Y1628" s="37" t="n">
        <x:v>1734.6966441846707</x:v>
      </x:c>
      <x:c r="Z1628" s="37" t="n">
        <x:v>6315668.3455719715</x:v>
      </x:c>
      <x:c r="AA1628" s="37" t="n">
        <x:v>0</x:v>
      </x:c>
      <x:c r="AB1628" s="37" t="n">
        <x:v>6315668.3455719715</x:v>
      </x:c>
      <x:c r="AC1628" s="37" t="n">
        <x:v>1340519.0492323674</x:v>
      </x:c>
      <x:c r="AD1628" s="37" t="n">
        <x:v>0</x:v>
      </x:c>
      <x:c r="AE1628" s="37" t="n">
        <x:v>0</x:v>
      </x:c>
      <x:c r="AF1628" s="47" t="b">
        <x:v>0</x:v>
      </x:c>
      <x:c r="AG1628" s="47" t="b">
        <x:v>0</x:v>
      </x:c>
      <x:c r="AH1628" s="48" t="n">
        <x:v>0</x:v>
      </x:c>
      <x:c r="AI1628" s="48" t="n">
        <x:v>5.960464477539063e-8</x:v>
      </x:c>
      <x:c r="AJ1628" s="37" t="str">
        <x:v>passed</x:v>
      </x:c>
    </x:row>
    <x:row r="1629" ht="21" customHeight="1">
      <x:c r="A1629" s="2"/>
      <x:c r="B1629" s="2"/>
      <x:c r="C1629" s="2" t="str">
        <x:v>2023</x:v>
      </x:c>
      <x:c r="D1629" s="5" t="n">
        <x:v>45154</x:v>
      </x:c>
      <x:c r="E1629" s="2" t="str">
        <x:v>unweighted</x:v>
      </x:c>
      <x:c r="F1629" s="37" t="n">
        <x:v>11287620.173480587</x:v>
      </x:c>
      <x:c r="G1629" s="37" t="n">
        <x:v>493333.92487855814</x:v>
      </x:c>
      <x:c r="H1629" s="37" t="n">
        <x:v>-16932.424999106122</x:v>
      </x:c>
      <x:c r="I1629" s="37" t="n">
        <x:v>510266.34987766424</x:v>
      </x:c>
      <x:c r="J1629" s="37" t="n">
        <x:v>10432159.794045595</x:v>
      </x:c>
      <x:c r="K1629" s="37" t="n">
        <x:v>9938825.869167037</x:v>
      </x:c>
      <x:c r="L1629" s="37" t="n">
        <x:v>11780954.098359145</x:v>
      </x:c>
      <x:c r="M1629" s="37" t="n">
        <x:v>0</x:v>
      </x:c>
      <x:c r="N1629" s="37" t="n">
        <x:v>0</x:v>
      </x:c>
      <x:c r="O1629" s="37" t="n">
        <x:v>618.4658469948918</x:v>
      </x:c>
      <x:c r="P1629" s="37" t="n">
        <x:v>0</x:v>
      </x:c>
      <x:c r="Q1629" s="37" t="n">
        <x:v>0</x:v>
      </x:c>
      <x:c r="R1629" s="37" t="n">
        <x:v>0</x:v>
      </x:c>
      <x:c r="S1629" s="37" t="n">
        <x:v>0</x:v>
      </x:c>
      <x:c r="T1629" s="37" t="n">
        <x:v>0</x:v>
      </x:c>
      <x:c r="U1629" s="37" t="n">
        <x:v>31805.80415342993</x:v>
      </x:c>
      <x:c r="V1629" s="37" t="n">
        <x:v>0</x:v>
      </x:c>
      <x:c r="W1629" s="37" t="n">
        <x:v>138721.05425638892</x:v>
      </x:c>
      <x:c r="X1629" s="37" t="n">
        <x:v>0</x:v>
      </x:c>
      <x:c r="Y1629" s="37" t="n">
        <x:v>2148.4243093252817</x:v>
      </x:c>
      <x:c r="Z1629" s="37" t="n">
        <x:v>10137602.386550378</x:v>
      </x:c>
      <x:c r="AA1629" s="37" t="n">
        <x:v>0</x:v>
      </x:c>
      <x:c r="AB1629" s="37" t="n">
        <x:v>10137602.386550378</x:v>
      </x:c>
      <x:c r="AC1629" s="37" t="n">
        <x:v>1150017.786930209</x:v>
      </x:c>
      <x:c r="AD1629" s="37" t="n">
        <x:v>0</x:v>
      </x:c>
      <x:c r="AE1629" s="37" t="n">
        <x:v>0</x:v>
      </x:c>
      <x:c r="AF1629" s="47" t="b">
        <x:v>0</x:v>
      </x:c>
      <x:c r="AG1629" s="47" t="b">
        <x:v>0</x:v>
      </x:c>
      <x:c r="AH1629" s="48" t="n">
        <x:v>0</x:v>
      </x:c>
      <x:c r="AI1629" s="48" t="n">
        <x:v>1.1920928955078125e-7</x:v>
      </x:c>
      <x:c r="AJ1629" s="37" t="str">
        <x:v>passed</x:v>
      </x:c>
    </x:row>
    <x:row r="1630" ht="21" customHeight="1">
      <x:c r="A1630" s="2"/>
      <x:c r="B1630" s="2"/>
      <x:c r="C1630" s="2" t="str">
        <x:v>2023</x:v>
      </x:c>
      <x:c r="D1630" s="5" t="n">
        <x:v>45154</x:v>
      </x:c>
      <x:c r="E1630" s="2" t="str">
        <x:v>constrained</x:v>
      </x:c>
      <x:c r="F1630" s="37" t="n">
        <x:v>11717578.633822449</x:v>
      </x:c>
      <x:c r="G1630" s="37" t="n">
        <x:v>53439.43969494494</x:v>
      </x:c>
      <x:c r="H1630" s="37" t="n">
        <x:v>-17196.65100383072</x:v>
      </x:c>
      <x:c r="I1630" s="37" t="n">
        <x:v>70636.09069877566</x:v>
      </x:c>
      <x:c r="J1630" s="37" t="n">
        <x:v>10436224.461587608</x:v>
      </x:c>
      <x:c r="K1630" s="37" t="n">
        <x:v>10382785.021892663</x:v>
      </x:c>
      <x:c r="L1630" s="37" t="n">
        <x:v>11771018.073517393</x:v>
      </x:c>
      <x:c r="M1630" s="37" t="n">
        <x:v>0</x:v>
      </x:c>
      <x:c r="N1630" s="37" t="n">
        <x:v>0</x:v>
      </x:c>
      <x:c r="O1630" s="37" t="n">
        <x:v>642.0239238310605</x:v>
      </x:c>
      <x:c r="P1630" s="37" t="n">
        <x:v>0</x:v>
      </x:c>
      <x:c r="Q1630" s="37" t="n">
        <x:v>0</x:v>
      </x:c>
      <x:c r="R1630" s="37" t="n">
        <x:v>0</x:v>
      </x:c>
      <x:c r="S1630" s="37" t="n">
        <x:v>0</x:v>
      </x:c>
      <x:c r="T1630" s="37" t="n">
        <x:v>0</x:v>
      </x:c>
      <x:c r="U1630" s="37" t="n">
        <x:v>30720.44529747225</x:v>
      </x:c>
      <x:c r="V1630" s="37" t="n">
        <x:v>0</x:v>
      </x:c>
      <x:c r="W1630" s="37" t="n">
        <x:v>144666.73272799514</x:v>
      </x:c>
      <x:c r="X1630" s="37" t="n">
        <x:v>0</x:v>
      </x:c>
      <x:c r="Y1630" s="37" t="n">
        <x:v>2172.0174893282365</x:v>
      </x:c>
      <x:c r="Z1630" s="37" t="n">
        <x:v>10590440.722330516</x:v>
      </x:c>
      <x:c r="AA1630" s="37" t="n">
        <x:v>0</x:v>
      </x:c>
      <x:c r="AB1630" s="37" t="n">
        <x:v>10590440.722330516</x:v>
      </x:c>
      <x:c r="AC1630" s="37" t="n">
        <x:v>1127137.9114919323</x:v>
      </x:c>
      <x:c r="AD1630" s="37" t="n">
        <x:v>0</x:v>
      </x:c>
      <x:c r="AE1630" s="37" t="n">
        <x:v>0</x:v>
      </x:c>
      <x:c r="AF1630" s="47" t="b">
        <x:v>0</x:v>
      </x:c>
      <x:c r="AG1630" s="47" t="b">
        <x:v>0</x:v>
      </x:c>
      <x:c r="AH1630" s="48" t="n">
        <x:v>0</x:v>
      </x:c>
      <x:c r="AI1630" s="48" t="n">
        <x:v>1.1920928955078125e-7</x:v>
      </x:c>
      <x:c r="AJ1630" s="37" t="str">
        <x:v>passed</x:v>
      </x:c>
    </x:row>
    <x:row r="1631" ht="21" customHeight="1">
      <x:c r="A1631" s="2"/>
      <x:c r="B1631" s="2"/>
      <x:c r="C1631" s="2" t="str">
        <x:v>2023</x:v>
      </x:c>
      <x:c r="D1631" s="5" t="n">
        <x:v>45155</x:v>
      </x:c>
      <x:c r="E1631" s="2" t="str">
        <x:v>unhedged</x:v>
      </x:c>
      <x:c r="F1631" s="37" t="n">
        <x:v>1315684.2076520654</x:v>
      </x:c>
      <x:c r="G1631" s="37" t="n">
        <x:v>10341668.919994794</x:v>
      </x:c>
      <x:c r="H1631" s="37" t="n">
        <x:v>15957.880434782608</x:v>
      </x:c>
      <x:c r="I1631" s="37" t="n">
        <x:v>10325711.03956001</x:v>
      </x:c>
      <x:c r="J1631" s="37" t="n">
        <x:v>10341668.919994794</x:v>
      </x:c>
      <x:c r="K1631" s="37" t="n">
        <x:v>0</x:v>
      </x:c>
      <x:c r="L1631" s="37" t="n">
        <x:v>11657353.12764686</x:v>
      </x:c>
      <x:c r="M1631" s="37" t="n">
        <x:v>0</x:v>
      </x:c>
      <x:c r="N1631" s="37" t="n">
        <x:v>0</x:v>
      </x:c>
      <x:c r="O1631" s="37" t="n">
        <x:v>72.08833530498669</x:v>
      </x:c>
      <x:c r="P1631" s="37" t="n">
        <x:v>0</x:v>
      </x:c>
      <x:c r="Q1631" s="37" t="n">
        <x:v>0</x:v>
      </x:c>
      <x:c r="R1631" s="37" t="n">
        <x:v>0</x:v>
      </x:c>
      <x:c r="S1631" s="37" t="n">
        <x:v>0</x:v>
      </x:c>
      <x:c r="T1631" s="37" t="n">
        <x:v>0</x:v>
      </x:c>
      <x:c r="U1631" s="37" t="n">
        <x:v>101250</x:v>
      </x:c>
      <x:c r="V1631" s="37" t="n">
        <x:v>0</x:v>
      </x:c>
      <x:c r="W1631" s="37" t="n">
        <x:v>15477.076994187664</x:v>
      </x:c>
      <x:c r="X1631" s="37" t="n">
        <x:v>0</x:v>
      </x:c>
      <x:c r="Y1631" s="37" t="n">
        <x:v>1042.869342122179</x:v>
      </x:c>
      <x:c r="Z1631" s="37" t="n">
        <x:v>0</x:v>
      </x:c>
      <x:c r="AA1631" s="37" t="n">
        <x:v>0</x:v>
      </x:c>
      <x:c r="AB1631" s="37" t="n">
        <x:v>0</x:v>
      </x:c>
      <x:c r="AC1631" s="37" t="n">
        <x:v>1315684.2076520654</x:v>
      </x:c>
      <x:c r="AD1631" s="37" t="n">
        <x:v>0</x:v>
      </x:c>
      <x:c r="AE1631" s="37" t="n">
        <x:v>0</x:v>
      </x:c>
      <x:c r="AF1631" s="47" t="b">
        <x:v>0</x:v>
      </x:c>
      <x:c r="AG1631" s="47" t="b">
        <x:v>0</x:v>
      </x:c>
      <x:c r="AH1631" s="48" t="n">
        <x:v>0</x:v>
      </x:c>
      <x:c r="AI1631" s="48" t="n">
        <x:v>1.1920928955078125e-7</x:v>
      </x:c>
      <x:c r="AJ1631" s="37" t="str">
        <x:v>passed</x:v>
      </x:c>
    </x:row>
    <x:row r="1632" ht="21" customHeight="1">
      <x:c r="A1632" s="2"/>
      <x:c r="B1632" s="2"/>
      <x:c r="C1632" s="2" t="str">
        <x:v>2023</x:v>
      </x:c>
      <x:c r="D1632" s="5" t="n">
        <x:v>45155</x:v>
      </x:c>
      <x:c r="E1632" s="2" t="str">
        <x:v>duration</x:v>
      </x:c>
      <x:c r="F1632" s="37" t="n">
        <x:v>7656606.9119218625</x:v>
      </x:c>
      <x:c r="G1632" s="37" t="n">
        <x:v>4163779.7612219914</x:v>
      </x:c>
      <x:c r="H1632" s="37" t="n">
        <x:v>-11140.00334251302</x:v>
      </x:c>
      <x:c r="I1632" s="37" t="n">
        <x:v>4174919.7645645044</x:v>
      </x:c>
      <x:c r="J1632" s="37" t="n">
        <x:v>10341668.919994794</x:v>
      </x:c>
      <x:c r="K1632" s="37" t="n">
        <x:v>6177889.158772803</x:v>
      </x:c>
      <x:c r="L1632" s="37" t="n">
        <x:v>11820386.673143854</x:v>
      </x:c>
      <x:c r="M1632" s="37" t="n">
        <x:v>0</x:v>
      </x:c>
      <x:c r="N1632" s="37" t="n">
        <x:v>0</x:v>
      </x:c>
      <x:c r="O1632" s="37" t="n">
        <x:v>419.51711752358824</x:v>
      </x:c>
      <x:c r="P1632" s="37" t="n">
        <x:v>0</x:v>
      </x:c>
      <x:c r="Q1632" s="37" t="n">
        <x:v>0</x:v>
      </x:c>
      <x:c r="R1632" s="37" t="n">
        <x:v>0</x:v>
      </x:c>
      <x:c r="S1632" s="37" t="n">
        <x:v>0</x:v>
      </x:c>
      <x:c r="T1632" s="37" t="n">
        <x:v>0</x:v>
      </x:c>
      <x:c r="U1632" s="37" t="n">
        <x:v>47417.381478397</x:v>
      </x:c>
      <x:c r="V1632" s="37" t="n">
        <x:v>0</x:v>
      </x:c>
      <x:c r="W1632" s="37" t="n">
        <x:v>95619.94828379061</x:v>
      </x:c>
      <x:c r="X1632" s="37" t="n">
        <x:v>0</x:v>
      </x:c>
      <x:c r="Y1632" s="37" t="n">
        <x:v>1734.6966441846707</x:v>
      </x:c>
      <x:c r="Z1632" s="37" t="n">
        <x:v>6301446.941948259</x:v>
      </x:c>
      <x:c r="AA1632" s="37" t="n">
        <x:v>0</x:v>
      </x:c>
      <x:c r="AB1632" s="37" t="n">
        <x:v>6301446.941948259</x:v>
      </x:c>
      <x:c r="AC1632" s="37" t="n">
        <x:v>1355159.9699736033</x:v>
      </x:c>
      <x:c r="AD1632" s="37" t="n">
        <x:v>0</x:v>
      </x:c>
      <x:c r="AE1632" s="37" t="n">
        <x:v>0</x:v>
      </x:c>
      <x:c r="AF1632" s="47" t="b">
        <x:v>0</x:v>
      </x:c>
      <x:c r="AG1632" s="47" t="b">
        <x:v>0</x:v>
      </x:c>
      <x:c r="AH1632" s="48" t="n">
        <x:v>0</x:v>
      </x:c>
      <x:c r="AI1632" s="48" t="n">
        <x:v>5.960464477539063e-8</x:v>
      </x:c>
      <x:c r="AJ1632" s="37" t="str">
        <x:v>passed</x:v>
      </x:c>
    </x:row>
    <x:row r="1633" ht="21" customHeight="1">
      <x:c r="A1633" s="2"/>
      <x:c r="B1633" s="2"/>
      <x:c r="C1633" s="2" t="str">
        <x:v>2023</x:v>
      </x:c>
      <x:c r="D1633" s="5" t="n">
        <x:v>45155</x:v>
      </x:c>
      <x:c r="E1633" s="2" t="str">
        <x:v>unweighted</x:v>
      </x:c>
      <x:c r="F1633" s="37" t="n">
        <x:v>11288238.67321612</x:v>
      </x:c>
      <x:c r="G1633" s="37" t="n">
        <x:v>494014.5085559375</x:v>
      </x:c>
      <x:c r="H1633" s="37" t="n">
        <x:v>-16963.104280746524</x:v>
      </x:c>
      <x:c r="I1633" s="37" t="n">
        <x:v>510977.61283668404</x:v>
      </x:c>
      <x:c r="J1633" s="37" t="n">
        <x:v>10424796.489173772</x:v>
      </x:c>
      <x:c r="K1633" s="37" t="n">
        <x:v>9930781.980617834</x:v>
      </x:c>
      <x:c r="L1633" s="37" t="n">
        <x:v>11782253.181772057</x:v>
      </x:c>
      <x:c r="M1633" s="37" t="n">
        <x:v>0</x:v>
      </x:c>
      <x:c r="N1633" s="37" t="n">
        <x:v>0</x:v>
      </x:c>
      <x:c r="O1633" s="37" t="n">
        <x:v>618.4997355323285</x:v>
      </x:c>
      <x:c r="P1633" s="37" t="n">
        <x:v>0</x:v>
      </x:c>
      <x:c r="Q1633" s="37" t="n">
        <x:v>0</x:v>
      </x:c>
      <x:c r="R1633" s="37" t="n">
        <x:v>0</x:v>
      </x:c>
      <x:c r="S1633" s="37" t="n">
        <x:v>0</x:v>
      </x:c>
      <x:c r="T1633" s="37" t="n">
        <x:v>0</x:v>
      </x:c>
      <x:c r="U1633" s="37" t="n">
        <x:v>31805.80415342993</x:v>
      </x:c>
      <x:c r="V1633" s="37" t="n">
        <x:v>0</x:v>
      </x:c>
      <x:c r="W1633" s="37" t="n">
        <x:v>139339.55399192125</x:v>
      </x:c>
      <x:c r="X1633" s="37" t="n">
        <x:v>0</x:v>
      </x:c>
      <x:c r="Y1633" s="37" t="n">
        <x:v>2148.4243093252817</x:v>
      </x:c>
      <x:c r="Z1633" s="37" t="n">
        <x:v>10129397.62023019</x:v>
      </x:c>
      <x:c r="AA1633" s="37" t="n">
        <x:v>0</x:v>
      </x:c>
      <x:c r="AB1633" s="37" t="n">
        <x:v>10129397.62023019</x:v>
      </x:c>
      <x:c r="AC1633" s="37" t="n">
        <x:v>1158841.052985929</x:v>
      </x:c>
      <x:c r="AD1633" s="37" t="n">
        <x:v>0</x:v>
      </x:c>
      <x:c r="AE1633" s="37" t="n">
        <x:v>0</x:v>
      </x:c>
      <x:c r="AF1633" s="47" t="b">
        <x:v>0</x:v>
      </x:c>
      <x:c r="AG1633" s="47" t="b">
        <x:v>0</x:v>
      </x:c>
      <x:c r="AH1633" s="48" t="n">
        <x:v>0</x:v>
      </x:c>
      <x:c r="AI1633" s="48" t="n">
        <x:v>1.1920928955078125e-7</x:v>
      </x:c>
      <x:c r="AJ1633" s="37" t="str">
        <x:v>passed</x:v>
      </x:c>
    </x:row>
    <x:row r="1634" ht="21" customHeight="1">
      <x:c r="A1634" s="2"/>
      <x:c r="B1634" s="2"/>
      <x:c r="C1634" s="2" t="str">
        <x:v>2023</x:v>
      </x:c>
      <x:c r="D1634" s="5" t="n">
        <x:v>45155</x:v>
      </x:c>
      <x:c r="E1634" s="2" t="str">
        <x:v>constrained</x:v>
      </x:c>
      <x:c r="F1634" s="37" t="n">
        <x:v>11718220.692925671</x:v>
      </x:c>
      <x:c r="G1634" s="37" t="n">
        <x:v>53795.88554759039</x:v>
      </x:c>
      <x:c r="H1634" s="37" t="n">
        <x:v>-17231.605197947563</x:v>
      </x:c>
      <x:c r="I1634" s="37" t="n">
        <x:v>71027.49074553796</x:v>
      </x:c>
      <x:c r="J1634" s="37" t="n">
        <x:v>10428846.078111678</x:v>
      </x:c>
      <x:c r="K1634" s="37" t="n">
        <x:v>10375050.192564087</x:v>
      </x:c>
      <x:c r="L1634" s="37" t="n">
        <x:v>11772016.57847326</x:v>
      </x:c>
      <x:c r="M1634" s="37" t="n">
        <x:v>0</x:v>
      </x:c>
      <x:c r="N1634" s="37" t="n">
        <x:v>0</x:v>
      </x:c>
      <x:c r="O1634" s="37" t="n">
        <x:v>642.0591032225639</x:v>
      </x:c>
      <x:c r="P1634" s="37" t="n">
        <x:v>0</x:v>
      </x:c>
      <x:c r="Q1634" s="37" t="n">
        <x:v>0</x:v>
      </x:c>
      <x:c r="R1634" s="37" t="n">
        <x:v>0</x:v>
      </x:c>
      <x:c r="S1634" s="37" t="n">
        <x:v>0</x:v>
      </x:c>
      <x:c r="T1634" s="37" t="n">
        <x:v>0</x:v>
      </x:c>
      <x:c r="U1634" s="37" t="n">
        <x:v>30720.44529747225</x:v>
      </x:c>
      <x:c r="V1634" s="37" t="n">
        <x:v>0</x:v>
      </x:c>
      <x:c r="W1634" s="37" t="n">
        <x:v>145308.7918312177</x:v>
      </x:c>
      <x:c r="X1634" s="37" t="n">
        <x:v>0</x:v>
      </x:c>
      <x:c r="Y1634" s="37" t="n">
        <x:v>2172.0174893282365</x:v>
      </x:c>
      <x:c r="Z1634" s="37" t="n">
        <x:v>10582551.196415368</x:v>
      </x:c>
      <x:c r="AA1634" s="37" t="n">
        <x:v>0</x:v>
      </x:c>
      <x:c r="AB1634" s="37" t="n">
        <x:v>10582551.196415368</x:v>
      </x:c>
      <x:c r="AC1634" s="37" t="n">
        <x:v>1135669.4965103026</x:v>
      </x:c>
      <x:c r="AD1634" s="37" t="n">
        <x:v>0</x:v>
      </x:c>
      <x:c r="AE1634" s="37" t="n">
        <x:v>0</x:v>
      </x:c>
      <x:c r="AF1634" s="47" t="b">
        <x:v>0</x:v>
      </x:c>
      <x:c r="AG1634" s="47" t="b">
        <x:v>0</x:v>
      </x:c>
      <x:c r="AH1634" s="48" t="n">
        <x:v>0</x:v>
      </x:c>
      <x:c r="AI1634" s="48" t="n">
        <x:v>1.1920928955078125e-7</x:v>
      </x:c>
      <x:c r="AJ1634" s="37" t="str">
        <x:v>passed</x:v>
      </x:c>
    </x:row>
    <x:row r="1635" ht="21" customHeight="1">
      <x:c r="A1635" s="2"/>
      <x:c r="B1635" s="2"/>
      <x:c r="C1635" s="2" t="str">
        <x:v>2023</x:v>
      </x:c>
      <x:c r="D1635" s="5" t="n">
        <x:v>45156</x:v>
      </x:c>
      <x:c r="E1635" s="2" t="str">
        <x:v>unhedged</x:v>
      </x:c>
      <x:c r="F1635" s="37" t="n">
        <x:v>1315756.2999374163</x:v>
      </x:c>
      <x:c r="G1635" s="37" t="n">
        <x:v>10363125.061522579</x:v>
      </x:c>
      <x:c r="H1635" s="37" t="n">
        <x:v>16304.347826086956</x:v>
      </x:c>
      <x:c r="I1635" s="37" t="n">
        <x:v>10346820.713696491</x:v>
      </x:c>
      <x:c r="J1635" s="37" t="n">
        <x:v>10363125.061522579</x:v>
      </x:c>
      <x:c r="K1635" s="37" t="n">
        <x:v>0</x:v>
      </x:c>
      <x:c r="L1635" s="37" t="n">
        <x:v>11678881.361459995</x:v>
      </x:c>
      <x:c r="M1635" s="37" t="n">
        <x:v>0</x:v>
      </x:c>
      <x:c r="N1635" s="37" t="n">
        <x:v>0</x:v>
      </x:c>
      <x:c r="O1635" s="37" t="n">
        <x:v>72.09228535089642</x:v>
      </x:c>
      <x:c r="P1635" s="37" t="n">
        <x:v>0</x:v>
      </x:c>
      <x:c r="Q1635" s="37" t="n">
        <x:v>0</x:v>
      </x:c>
      <x:c r="R1635" s="37" t="n">
        <x:v>0</x:v>
      </x:c>
      <x:c r="S1635" s="37" t="n">
        <x:v>0</x:v>
      </x:c>
      <x:c r="T1635" s="37" t="n">
        <x:v>0</x:v>
      </x:c>
      <x:c r="U1635" s="37" t="n">
        <x:v>101250</x:v>
      </x:c>
      <x:c r="V1635" s="37" t="n">
        <x:v>0</x:v>
      </x:c>
      <x:c r="W1635" s="37" t="n">
        <x:v>15549.16927953856</x:v>
      </x:c>
      <x:c r="X1635" s="37" t="n">
        <x:v>0</x:v>
      </x:c>
      <x:c r="Y1635" s="37" t="n">
        <x:v>1042.869342122179</x:v>
      </x:c>
      <x:c r="Z1635" s="37" t="n">
        <x:v>0</x:v>
      </x:c>
      <x:c r="AA1635" s="37" t="n">
        <x:v>0</x:v>
      </x:c>
      <x:c r="AB1635" s="37" t="n">
        <x:v>0</x:v>
      </x:c>
      <x:c r="AC1635" s="37" t="n">
        <x:v>1315756.2999374163</x:v>
      </x:c>
      <x:c r="AD1635" s="37" t="n">
        <x:v>0</x:v>
      </x:c>
      <x:c r="AE1635" s="37" t="n">
        <x:v>0</x:v>
      </x:c>
      <x:c r="AF1635" s="47" t="b">
        <x:v>0</x:v>
      </x:c>
      <x:c r="AG1635" s="47" t="b">
        <x:v>0</x:v>
      </x:c>
      <x:c r="AH1635" s="48" t="n">
        <x:v>0</x:v>
      </x:c>
      <x:c r="AI1635" s="48" t="n">
        <x:v>1.1920928955078125e-7</x:v>
      </x:c>
      <x:c r="AJ1635" s="37" t="str">
        <x:v>passed</x:v>
      </x:c>
    </x:row>
    <x:row r="1636" ht="21" customHeight="1">
      <x:c r="A1636" s="2"/>
      <x:c r="B1636" s="2"/>
      <x:c r="C1636" s="2" t="str">
        <x:v>2023</x:v>
      </x:c>
      <x:c r="D1636" s="5" t="n">
        <x:v>45156</x:v>
      </x:c>
      <x:c r="E1636" s="2" t="str">
        <x:v>duration</x:v>
      </x:c>
      <x:c r="F1636" s="37" t="n">
        <x:v>7657026.452026626</x:v>
      </x:c>
      <x:c r="G1636" s="37" t="n">
        <x:v>4162158.120898839</x:v>
      </x:c>
      <x:c r="H1636" s="37" t="n">
        <x:v>-11081.811310541601</x:v>
      </x:c>
      <x:c r="I1636" s="37" t="n">
        <x:v>4173239.932209381</x:v>
      </x:c>
      <x:c r="J1636" s="37" t="n">
        <x:v>10363125.061522579</x:v>
      </x:c>
      <x:c r="K1636" s="37" t="n">
        <x:v>6200966.94062374</x:v>
      </x:c>
      <x:c r="L1636" s="37" t="n">
        <x:v>11819184.572925465</x:v>
      </x:c>
      <x:c r="M1636" s="37" t="n">
        <x:v>0</x:v>
      </x:c>
      <x:c r="N1636" s="37" t="n">
        <x:v>0</x:v>
      </x:c>
      <x:c r="O1636" s="37" t="n">
        <x:v>419.54010476358235</x:v>
      </x:c>
      <x:c r="P1636" s="37" t="n">
        <x:v>0</x:v>
      </x:c>
      <x:c r="Q1636" s="37" t="n">
        <x:v>0</x:v>
      </x:c>
      <x:c r="R1636" s="37" t="n">
        <x:v>0</x:v>
      </x:c>
      <x:c r="S1636" s="37" t="n">
        <x:v>0</x:v>
      </x:c>
      <x:c r="T1636" s="37" t="n">
        <x:v>0</x:v>
      </x:c>
      <x:c r="U1636" s="37" t="n">
        <x:v>47417.381478397</x:v>
      </x:c>
      <x:c r="V1636" s="37" t="n">
        <x:v>0</x:v>
      </x:c>
      <x:c r="W1636" s="37" t="n">
        <x:v>96039.4883885542</x:v>
      </x:c>
      <x:c r="X1636" s="37" t="n">
        <x:v>0</x:v>
      </x:c>
      <x:c r="Y1636" s="37" t="n">
        <x:v>1734.6966441846707</x:v>
      </x:c>
      <x:c r="Z1636" s="37" t="n">
        <x:v>6324986.279436215</x:v>
      </x:c>
      <x:c r="AA1636" s="37" t="n">
        <x:v>0</x:v>
      </x:c>
      <x:c r="AB1636" s="37" t="n">
        <x:v>6324986.279436215</x:v>
      </x:c>
      <x:c r="AC1636" s="37" t="n">
        <x:v>1332040.1725904113</x:v>
      </x:c>
      <x:c r="AD1636" s="37" t="n">
        <x:v>0</x:v>
      </x:c>
      <x:c r="AE1636" s="37" t="n">
        <x:v>0</x:v>
      </x:c>
      <x:c r="AF1636" s="47" t="b">
        <x:v>0</x:v>
      </x:c>
      <x:c r="AG1636" s="47" t="b">
        <x:v>0</x:v>
      </x:c>
      <x:c r="AH1636" s="48" t="n">
        <x:v>0</x:v>
      </x:c>
      <x:c r="AI1636" s="48" t="n">
        <x:v>5.960464477539063e-8</x:v>
      </x:c>
      <x:c r="AJ1636" s="37" t="str">
        <x:v>passed</x:v>
      </x:c>
    </x:row>
    <x:row r="1637" ht="21" customHeight="1">
      <x:c r="A1637" s="2"/>
      <x:c r="B1637" s="2"/>
      <x:c r="C1637" s="2" t="str">
        <x:v>2023</x:v>
      </x:c>
      <x:c r="D1637" s="5" t="n">
        <x:v>45156</x:v>
      </x:c>
      <x:c r="E1637" s="2" t="str">
        <x:v>unweighted</x:v>
      </x:c>
      <x:c r="F1637" s="37" t="n">
        <x:v>11288857.206842052</x:v>
      </x:c>
      <x:c r="G1637" s="37" t="n">
        <x:v>493619.4193810833</x:v>
      </x:c>
      <x:c r="H1637" s="37" t="n">
        <x:v>-16993.783562386918</x:v>
      </x:c>
      <x:c r="I1637" s="37" t="n">
        <x:v>510613.2029434702</x:v>
      </x:c>
      <x:c r="J1637" s="37" t="n">
        <x:v>10446536.965595288</x:v>
      </x:c>
      <x:c r="K1637" s="37" t="n">
        <x:v>9952917.546214206</x:v>
      </x:c>
      <x:c r="L1637" s="37" t="n">
        <x:v>11782476.626223136</x:v>
      </x:c>
      <x:c r="M1637" s="37" t="n">
        <x:v>0</x:v>
      </x:c>
      <x:c r="N1637" s="37" t="n">
        <x:v>0</x:v>
      </x:c>
      <x:c r="O1637" s="37" t="n">
        <x:v>618.5336259324104</x:v>
      </x:c>
      <x:c r="P1637" s="37" t="n">
        <x:v>0</x:v>
      </x:c>
      <x:c r="Q1637" s="37" t="n">
        <x:v>0</x:v>
      </x:c>
      <x:c r="R1637" s="37" t="n">
        <x:v>0</x:v>
      </x:c>
      <x:c r="S1637" s="37" t="n">
        <x:v>0</x:v>
      </x:c>
      <x:c r="T1637" s="37" t="n">
        <x:v>0</x:v>
      </x:c>
      <x:c r="U1637" s="37" t="n">
        <x:v>31805.80415342993</x:v>
      </x:c>
      <x:c r="V1637" s="37" t="n">
        <x:v>0</x:v>
      </x:c>
      <x:c r="W1637" s="37" t="n">
        <x:v>139958.08761785366</x:v>
      </x:c>
      <x:c r="X1637" s="37" t="n">
        <x:v>0</x:v>
      </x:c>
      <x:c r="Y1637" s="37" t="n">
        <x:v>2148.4243093252817</x:v>
      </x:c>
      <x:c r="Z1637" s="37" t="n">
        <x:v>10151975.897138491</x:v>
      </x:c>
      <x:c r="AA1637" s="37" t="n">
        <x:v>0</x:v>
      </x:c>
      <x:c r="AB1637" s="37" t="n">
        <x:v>10151975.897138491</x:v>
      </x:c>
      <x:c r="AC1637" s="37" t="n">
        <x:v>1136881.3097035605</x:v>
      </x:c>
      <x:c r="AD1637" s="37" t="n">
        <x:v>0</x:v>
      </x:c>
      <x:c r="AE1637" s="37" t="n">
        <x:v>0</x:v>
      </x:c>
      <x:c r="AF1637" s="47" t="b">
        <x:v>0</x:v>
      </x:c>
      <x:c r="AG1637" s="47" t="b">
        <x:v>0</x:v>
      </x:c>
      <x:c r="AH1637" s="48" t="n">
        <x:v>0</x:v>
      </x:c>
      <x:c r="AI1637" s="48" t="n">
        <x:v>1.1920928955078125e-7</x:v>
      </x:c>
      <x:c r="AJ1637" s="37" t="str">
        <x:v>passed</x:v>
      </x:c>
    </x:row>
    <x:row r="1638" ht="21" customHeight="1">
      <x:c r="A1638" s="2"/>
      <x:c r="B1638" s="2"/>
      <x:c r="C1638" s="2" t="str">
        <x:v>2023</x:v>
      </x:c>
      <x:c r="D1638" s="5" t="n">
        <x:v>45156</x:v>
      </x:c>
      <x:c r="E1638" s="2" t="str">
        <x:v>constrained</x:v>
      </x:c>
      <x:c r="F1638" s="37" t="n">
        <x:v>11718862.787210217</x:v>
      </x:c>
      <x:c r="G1638" s="37" t="n">
        <x:v>53557.291230123934</x:v>
      </x:c>
      <x:c r="H1638" s="37" t="n">
        <x:v>-17266.559392064402</x:v>
      </x:c>
      <x:c r="I1638" s="37" t="n">
        <x:v>70823.85062218833</x:v>
      </x:c>
      <x:c r="J1638" s="37" t="n">
        <x:v>10450600.406008122</x:v>
      </x:c>
      <x:c r="K1638" s="37" t="n">
        <x:v>10397043.114777999</x:v>
      </x:c>
      <x:c r="L1638" s="37" t="n">
        <x:v>11772420.07844034</x:v>
      </x:c>
      <x:c r="M1638" s="37" t="n">
        <x:v>0</x:v>
      </x:c>
      <x:c r="N1638" s="37" t="n">
        <x:v>0</x:v>
      </x:c>
      <x:c r="O1638" s="37" t="n">
        <x:v>642.0942845456302</x:v>
      </x:c>
      <x:c r="P1638" s="37" t="n">
        <x:v>0</x:v>
      </x:c>
      <x:c r="Q1638" s="37" t="n">
        <x:v>0</x:v>
      </x:c>
      <x:c r="R1638" s="37" t="n">
        <x:v>0</x:v>
      </x:c>
      <x:c r="S1638" s="37" t="n">
        <x:v>0</x:v>
      </x:c>
      <x:c r="T1638" s="37" t="n">
        <x:v>0</x:v>
      </x:c>
      <x:c r="U1638" s="37" t="n">
        <x:v>30720.44529747225</x:v>
      </x:c>
      <x:c r="V1638" s="37" t="n">
        <x:v>0</x:v>
      </x:c>
      <x:c r="W1638" s="37" t="n">
        <x:v>145950.88611576334</x:v>
      </x:c>
      <x:c r="X1638" s="37" t="n">
        <x:v>0</x:v>
      </x:c>
      <x:c r="Y1638" s="37" t="n">
        <x:v>2172.0174893282365</x:v>
      </x:c>
      <x:c r="Z1638" s="37" t="n">
        <x:v>10604983.97707356</x:v>
      </x:c>
      <x:c r="AA1638" s="37" t="n">
        <x:v>0</x:v>
      </x:c>
      <x:c r="AB1638" s="37" t="n">
        <x:v>10604983.97707356</x:v>
      </x:c>
      <x:c r="AC1638" s="37" t="n">
        <x:v>1113878.8101366572</x:v>
      </x:c>
      <x:c r="AD1638" s="37" t="n">
        <x:v>0</x:v>
      </x:c>
      <x:c r="AE1638" s="37" t="n">
        <x:v>0</x:v>
      </x:c>
      <x:c r="AF1638" s="47" t="b">
        <x:v>0</x:v>
      </x:c>
      <x:c r="AG1638" s="47" t="b">
        <x:v>0</x:v>
      </x:c>
      <x:c r="AH1638" s="48" t="n">
        <x:v>0</x:v>
      </x:c>
      <x:c r="AI1638" s="48" t="n">
        <x:v>1.1920928955078125e-7</x:v>
      </x:c>
      <x:c r="AJ1638" s="37" t="str">
        <x:v>passed</x:v>
      </x:c>
    </x:row>
    <x:row r="1639" ht="21" customHeight="1">
      <x:c r="A1639" s="2"/>
      <x:c r="B1639" s="2"/>
      <x:c r="C1639" s="2" t="str">
        <x:v>2023</x:v>
      </x:c>
      <x:c r="D1639" s="5" t="n">
        <x:v>45159</x:v>
      </x:c>
      <x:c r="E1639" s="2" t="str">
        <x:v>unhedged</x:v>
      </x:c>
      <x:c r="F1639" s="37" t="n">
        <x:v>1315972.6004959082</x:v>
      </x:c>
      <x:c r="G1639" s="37" t="n">
        <x:v>10330052.736095257</x:v>
      </x:c>
      <x:c r="H1639" s="37" t="n">
        <x:v>17343.75</x:v>
      </x:c>
      <x:c r="I1639" s="37" t="n">
        <x:v>10312708.986095257</x:v>
      </x:c>
      <x:c r="J1639" s="37" t="n">
        <x:v>10330052.736095257</x:v>
      </x:c>
      <x:c r="K1639" s="37" t="n">
        <x:v>0</x:v>
      </x:c>
      <x:c r="L1639" s="37" t="n">
        <x:v>11646025.336591166</x:v>
      </x:c>
      <x:c r="M1639" s="37" t="n">
        <x:v>0</x:v>
      </x:c>
      <x:c r="N1639" s="37" t="n">
        <x:v>0</x:v>
      </x:c>
      <x:c r="O1639" s="37" t="n">
        <x:v>216.30055849184282</x:v>
      </x:c>
      <x:c r="P1639" s="37" t="n">
        <x:v>0</x:v>
      </x:c>
      <x:c r="Q1639" s="37" t="n">
        <x:v>0</x:v>
      </x:c>
      <x:c r="R1639" s="37" t="n">
        <x:v>0</x:v>
      </x:c>
      <x:c r="S1639" s="37" t="n">
        <x:v>0</x:v>
      </x:c>
      <x:c r="T1639" s="37" t="n">
        <x:v>0</x:v>
      </x:c>
      <x:c r="U1639" s="37" t="n">
        <x:v>101250</x:v>
      </x:c>
      <x:c r="V1639" s="37" t="n">
        <x:v>0</x:v>
      </x:c>
      <x:c r="W1639" s="37" t="n">
        <x:v>15765.469838030403</x:v>
      </x:c>
      <x:c r="X1639" s="37" t="n">
        <x:v>0</x:v>
      </x:c>
      <x:c r="Y1639" s="37" t="n">
        <x:v>1042.869342122179</x:v>
      </x:c>
      <x:c r="Z1639" s="37" t="n">
        <x:v>0</x:v>
      </x:c>
      <x:c r="AA1639" s="37" t="n">
        <x:v>0</x:v>
      </x:c>
      <x:c r="AB1639" s="37" t="n">
        <x:v>0</x:v>
      </x:c>
      <x:c r="AC1639" s="37" t="n">
        <x:v>1315972.6004959082</x:v>
      </x:c>
      <x:c r="AD1639" s="37" t="n">
        <x:v>0</x:v>
      </x:c>
      <x:c r="AE1639" s="37" t="n">
        <x:v>0</x:v>
      </x:c>
      <x:c r="AF1639" s="47" t="b">
        <x:v>0</x:v>
      </x:c>
      <x:c r="AG1639" s="47" t="b">
        <x:v>0</x:v>
      </x:c>
      <x:c r="AH1639" s="48" t="n">
        <x:v>0</x:v>
      </x:c>
      <x:c r="AI1639" s="48" t="n">
        <x:v>1.1920928955078125e-7</x:v>
      </x:c>
      <x:c r="AJ1639" s="37" t="str">
        <x:v>passed</x:v>
      </x:c>
    </x:row>
    <x:row r="1640" ht="21" customHeight="1">
      <x:c r="A1640" s="2"/>
      <x:c r="B1640" s="2"/>
      <x:c r="C1640" s="2" t="str">
        <x:v>2023</x:v>
      </x:c>
      <x:c r="D1640" s="5" t="n">
        <x:v>45159</x:v>
      </x:c>
      <x:c r="E1640" s="2" t="str">
        <x:v>duration</x:v>
      </x:c>
      <x:c r="F1640" s="37" t="n">
        <x:v>7658285.210276948</x:v>
      </x:c>
      <x:c r="G1640" s="37" t="n">
        <x:v>4165670.546566533</x:v>
      </x:c>
      <x:c r="H1640" s="37" t="n">
        <x:v>-10907.235214627355</x:v>
      </x:c>
      <x:c r="I1640" s="37" t="n">
        <x:v>4176577.7817811603</x:v>
      </x:c>
      <x:c r="J1640" s="37" t="n">
        <x:v>10330052.736095257</x:v>
      </x:c>
      <x:c r="K1640" s="37" t="n">
        <x:v>6164382.189528723</x:v>
      </x:c>
      <x:c r="L1640" s="37" t="n">
        <x:v>11823955.756843481</x:v>
      </x:c>
      <x:c r="M1640" s="37" t="n">
        <x:v>0</x:v>
      </x:c>
      <x:c r="N1640" s="37" t="n">
        <x:v>0</x:v>
      </x:c>
      <x:c r="O1640" s="37" t="n">
        <x:v>1258.758250322193</x:v>
      </x:c>
      <x:c r="P1640" s="37" t="n">
        <x:v>0</x:v>
      </x:c>
      <x:c r="Q1640" s="37" t="n">
        <x:v>0</x:v>
      </x:c>
      <x:c r="R1640" s="37" t="n">
        <x:v>0</x:v>
      </x:c>
      <x:c r="S1640" s="37" t="n">
        <x:v>0</x:v>
      </x:c>
      <x:c r="T1640" s="37" t="n">
        <x:v>0</x:v>
      </x:c>
      <x:c r="U1640" s="37" t="n">
        <x:v>47417.381478397</x:v>
      </x:c>
      <x:c r="V1640" s="37" t="n">
        <x:v>0</x:v>
      </x:c>
      <x:c r="W1640" s="37" t="n">
        <x:v>97298.24663887639</x:v>
      </x:c>
      <x:c r="X1640" s="37" t="n">
        <x:v>0</x:v>
      </x:c>
      <x:c r="Y1640" s="37" t="n">
        <x:v>1734.6966441846707</x:v>
      </x:c>
      <x:c r="Z1640" s="37" t="n">
        <x:v>6287669.833319298</x:v>
      </x:c>
      <x:c r="AA1640" s="37" t="n">
        <x:v>0</x:v>
      </x:c>
      <x:c r="AB1640" s="37" t="n">
        <x:v>6287669.833319298</x:v>
      </x:c>
      <x:c r="AC1640" s="37" t="n">
        <x:v>1370615.3769576503</x:v>
      </x:c>
      <x:c r="AD1640" s="37" t="n">
        <x:v>0</x:v>
      </x:c>
      <x:c r="AE1640" s="37" t="n">
        <x:v>0</x:v>
      </x:c>
      <x:c r="AF1640" s="47" t="b">
        <x:v>0</x:v>
      </x:c>
      <x:c r="AG1640" s="47" t="b">
        <x:v>0</x:v>
      </x:c>
      <x:c r="AH1640" s="48" t="n">
        <x:v>0</x:v>
      </x:c>
      <x:c r="AI1640" s="48" t="n">
        <x:v>5.960464477539063e-8</x:v>
      </x:c>
      <x:c r="AJ1640" s="37" t="str">
        <x:v>passed</x:v>
      </x:c>
    </x:row>
    <x:row r="1641" ht="21" customHeight="1">
      <x:c r="A1641" s="2"/>
      <x:c r="B1641" s="2"/>
      <x:c r="C1641" s="2" t="str">
        <x:v>2023</x:v>
      </x:c>
      <x:c r="D1641" s="5" t="n">
        <x:v>45159</x:v>
      </x:c>
      <x:c r="E1641" s="2" t="str">
        <x:v>unweighted</x:v>
      </x:c>
      <x:c r="F1641" s="37" t="n">
        <x:v>11290713.011080792</x:v>
      </x:c>
      <x:c r="G1641" s="37" t="n">
        <x:v>494232.27261097217</x:v>
      </x:c>
      <x:c r="H1641" s="37" t="n">
        <x:v>-17085.82140730811</x:v>
      </x:c>
      <x:c r="I1641" s="37" t="n">
        <x:v>511318.0940182803</x:v>
      </x:c>
      <x:c r="J1641" s="37" t="n">
        <x:v>10412444.17776667</x:v>
      </x:c>
      <x:c r="K1641" s="37" t="n">
        <x:v>9918211.905155698</x:v>
      </x:c>
      <x:c r="L1641" s="37" t="n">
        <x:v>11784945.283691764</x:v>
      </x:c>
      <x:c r="M1641" s="37" t="n">
        <x:v>0</x:v>
      </x:c>
      <x:c r="N1641" s="37" t="n">
        <x:v>0</x:v>
      </x:c>
      <x:c r="O1641" s="37" t="n">
        <x:v>1855.8042387403548</x:v>
      </x:c>
      <x:c r="P1641" s="37" t="n">
        <x:v>0</x:v>
      </x:c>
      <x:c r="Q1641" s="37" t="n">
        <x:v>0</x:v>
      </x:c>
      <x:c r="R1641" s="37" t="n">
        <x:v>0</x:v>
      </x:c>
      <x:c r="S1641" s="37" t="n">
        <x:v>0</x:v>
      </x:c>
      <x:c r="T1641" s="37" t="n">
        <x:v>0</x:v>
      </x:c>
      <x:c r="U1641" s="37" t="n">
        <x:v>31805.80415342993</x:v>
      </x:c>
      <x:c r="V1641" s="37" t="n">
        <x:v>0</x:v>
      </x:c>
      <x:c r="W1641" s="37" t="n">
        <x:v>141813.891856594</x:v>
      </x:c>
      <x:c r="X1641" s="37" t="n">
        <x:v>0</x:v>
      </x:c>
      <x:c r="Y1641" s="37" t="n">
        <x:v>2148.4243093252817</x:v>
      </x:c>
      <x:c r="Z1641" s="37" t="n">
        <x:v>10116576.143258812</x:v>
      </x:c>
      <x:c r="AA1641" s="37" t="n">
        <x:v>0</x:v>
      </x:c>
      <x:c r="AB1641" s="37" t="n">
        <x:v>10116576.143258812</x:v>
      </x:c>
      <x:c r="AC1641" s="37" t="n">
        <x:v>1174136.8678219803</x:v>
      </x:c>
      <x:c r="AD1641" s="37" t="n">
        <x:v>0</x:v>
      </x:c>
      <x:c r="AE1641" s="37" t="n">
        <x:v>0</x:v>
      </x:c>
      <x:c r="AF1641" s="47" t="b">
        <x:v>0</x:v>
      </x:c>
      <x:c r="AG1641" s="47" t="b">
        <x:v>0</x:v>
      </x:c>
      <x:c r="AH1641" s="48" t="n">
        <x:v>0</x:v>
      </x:c>
      <x:c r="AI1641" s="48" t="n">
        <x:v>1.1920928955078125e-7</x:v>
      </x:c>
      <x:c r="AJ1641" s="37" t="str">
        <x:v>passed</x:v>
      </x:c>
    </x:row>
    <x:row r="1642" ht="21" customHeight="1">
      <x:c r="A1642" s="2"/>
      <x:c r="B1642" s="2"/>
      <x:c r="C1642" s="2" t="str">
        <x:v>2023</x:v>
      </x:c>
      <x:c r="D1642" s="5" t="n">
        <x:v>45159</x:v>
      </x:c>
      <x:c r="E1642" s="2" t="str">
        <x:v>constrained</x:v>
      </x:c>
      <x:c r="F1642" s="37" t="n">
        <x:v>11720789.281171054</x:v>
      </x:c>
      <x:c r="G1642" s="37" t="n">
        <x:v>53535.73131664725</x:v>
      </x:c>
      <x:c r="H1642" s="37" t="n">
        <x:v>-17371.42197441493</x:v>
      </x:c>
      <x:c r="I1642" s="37" t="n">
        <x:v>70907.15329106219</x:v>
      </x:c>
      <x:c r="J1642" s="37" t="n">
        <x:v>10416457.90599265</x:v>
      </x:c>
      <x:c r="K1642" s="37" t="n">
        <x:v>10362922.174676001</x:v>
      </x:c>
      <x:c r="L1642" s="37" t="n">
        <x:v>11774325.0124877</x:v>
      </x:c>
      <x:c r="M1642" s="37" t="n">
        <x:v>0</x:v>
      </x:c>
      <x:c r="N1642" s="37" t="n">
        <x:v>0</x:v>
      </x:c>
      <x:c r="O1642" s="37" t="n">
        <x:v>1926.4939608369023</x:v>
      </x:c>
      <x:c r="P1642" s="37" t="n">
        <x:v>0</x:v>
      </x:c>
      <x:c r="Q1642" s="37" t="n">
        <x:v>0</x:v>
      </x:c>
      <x:c r="R1642" s="37" t="n">
        <x:v>0</x:v>
      </x:c>
      <x:c r="S1642" s="37" t="n">
        <x:v>0</x:v>
      </x:c>
      <x:c r="T1642" s="37" t="n">
        <x:v>0</x:v>
      </x:c>
      <x:c r="U1642" s="37" t="n">
        <x:v>30720.44529747225</x:v>
      </x:c>
      <x:c r="V1642" s="37" t="n">
        <x:v>0</x:v>
      </x:c>
      <x:c r="W1642" s="37" t="n">
        <x:v>147877.38007660024</x:v>
      </x:c>
      <x:c r="X1642" s="37" t="n">
        <x:v>0</x:v>
      </x:c>
      <x:c r="Y1642" s="37" t="n">
        <x:v>2172.0174893282365</x:v>
      </x:c>
      <x:c r="Z1642" s="37" t="n">
        <x:v>10570180.618169522</x:v>
      </x:c>
      <x:c r="AA1642" s="37" t="n">
        <x:v>0</x:v>
      </x:c>
      <x:c r="AB1642" s="37" t="n">
        <x:v>10570180.618169522</x:v>
      </x:c>
      <x:c r="AC1642" s="37" t="n">
        <x:v>1150608.6630015317</x:v>
      </x:c>
      <x:c r="AD1642" s="37" t="n">
        <x:v>0</x:v>
      </x:c>
      <x:c r="AE1642" s="37" t="n">
        <x:v>0</x:v>
      </x:c>
      <x:c r="AF1642" s="47" t="b">
        <x:v>0</x:v>
      </x:c>
      <x:c r="AG1642" s="47" t="b">
        <x:v>0</x:v>
      </x:c>
      <x:c r="AH1642" s="48" t="n">
        <x:v>0</x:v>
      </x:c>
      <x:c r="AI1642" s="48" t="n">
        <x:v>1.1920928955078125e-7</x:v>
      </x:c>
      <x:c r="AJ1642" s="37" t="str">
        <x:v>passed</x:v>
      </x:c>
    </x:row>
    <x:row r="1643" ht="21" customHeight="1">
      <x:c r="A1643" s="2"/>
      <x:c r="B1643" s="2"/>
      <x:c r="C1643" s="2" t="str">
        <x:v>2023</x:v>
      </x:c>
      <x:c r="D1643" s="5" t="n">
        <x:v>45160</x:v>
      </x:c>
      <x:c r="E1643" s="2" t="str">
        <x:v>unhedged</x:v>
      </x:c>
      <x:c r="F1643" s="37" t="n">
        <x:v>1316044.7085836069</x:v>
      </x:c>
      <x:c r="G1643" s="37" t="n">
        <x:v>10309043.634388097</x:v>
      </x:c>
      <x:c r="H1643" s="37" t="n">
        <x:v>17690.217391304348</x:v>
      </x:c>
      <x:c r="I1643" s="37" t="n">
        <x:v>10291353.416996792</x:v>
      </x:c>
      <x:c r="J1643" s="37" t="n">
        <x:v>10309043.634388097</x:v>
      </x:c>
      <x:c r="K1643" s="37" t="n">
        <x:v>0</x:v>
      </x:c>
      <x:c r="L1643" s="37" t="n">
        <x:v>11625088.342971703</x:v>
      </x:c>
      <x:c r="M1643" s="37" t="n">
        <x:v>0</x:v>
      </x:c>
      <x:c r="N1643" s="37" t="n">
        <x:v>0</x:v>
      </x:c>
      <x:c r="O1643" s="37" t="n">
        <x:v>72.10808769869618</x:v>
      </x:c>
      <x:c r="P1643" s="37" t="n">
        <x:v>0</x:v>
      </x:c>
      <x:c r="Q1643" s="37" t="n">
        <x:v>0</x:v>
      </x:c>
      <x:c r="R1643" s="37" t="n">
        <x:v>0</x:v>
      </x:c>
      <x:c r="S1643" s="37" t="n">
        <x:v>0</x:v>
      </x:c>
      <x:c r="T1643" s="37" t="n">
        <x:v>0</x:v>
      </x:c>
      <x:c r="U1643" s="37" t="n">
        <x:v>101250</x:v>
      </x:c>
      <x:c r="V1643" s="37" t="n">
        <x:v>0</x:v>
      </x:c>
      <x:c r="W1643" s="37" t="n">
        <x:v>15837.5779257291</x:v>
      </x:c>
      <x:c r="X1643" s="37" t="n">
        <x:v>0</x:v>
      </x:c>
      <x:c r="Y1643" s="37" t="n">
        <x:v>1042.869342122179</x:v>
      </x:c>
      <x:c r="Z1643" s="37" t="n">
        <x:v>0</x:v>
      </x:c>
      <x:c r="AA1643" s="37" t="n">
        <x:v>0</x:v>
      </x:c>
      <x:c r="AB1643" s="37" t="n">
        <x:v>0</x:v>
      </x:c>
      <x:c r="AC1643" s="37" t="n">
        <x:v>1316044.7085836069</x:v>
      </x:c>
      <x:c r="AD1643" s="37" t="n">
        <x:v>0</x:v>
      </x:c>
      <x:c r="AE1643" s="37" t="n">
        <x:v>0</x:v>
      </x:c>
      <x:c r="AF1643" s="47" t="b">
        <x:v>0</x:v>
      </x:c>
      <x:c r="AG1643" s="47" t="b">
        <x:v>0</x:v>
      </x:c>
      <x:c r="AH1643" s="48" t="n">
        <x:v>0</x:v>
      </x:c>
      <x:c r="AI1643" s="48" t="n">
        <x:v>1.1920928955078125e-7</x:v>
      </x:c>
      <x:c r="AJ1643" s="37" t="str">
        <x:v>passed</x:v>
      </x:c>
    </x:row>
    <x:row r="1644" ht="21" customHeight="1">
      <x:c r="A1644" s="2"/>
      <x:c r="B1644" s="2"/>
      <x:c r="C1644" s="2" t="str">
        <x:v>2023</x:v>
      </x:c>
      <x:c r="D1644" s="5" t="n">
        <x:v>45160</x:v>
      </x:c>
      <x:c r="E1644" s="2" t="str">
        <x:v>duration</x:v>
      </x:c>
      <x:c r="F1644" s="37" t="n">
        <x:v>7658704.842343266</x:v>
      </x:c>
      <x:c r="G1644" s="37" t="n">
        <x:v>4174750.8969353903</x:v>
      </x:c>
      <x:c r="H1644" s="37" t="n">
        <x:v>-10849.04318265594</x:v>
      </x:c>
      <x:c r="I1644" s="37" t="n">
        <x:v>4185599.9401180465</x:v>
      </x:c>
      <x:c r="J1644" s="37" t="n">
        <x:v>10309043.634388097</x:v>
      </x:c>
      <x:c r="K1644" s="37" t="n">
        <x:v>6134292.737452705</x:v>
      </x:c>
      <x:c r="L1644" s="37" t="n">
        <x:v>11833455.739278655</x:v>
      </x:c>
      <x:c r="M1644" s="37" t="n">
        <x:v>0</x:v>
      </x:c>
      <x:c r="N1644" s="37" t="n">
        <x:v>0</x:v>
      </x:c>
      <x:c r="O1644" s="37" t="n">
        <x:v>419.63206631783396</x:v>
      </x:c>
      <x:c r="P1644" s="37" t="n">
        <x:v>0</x:v>
      </x:c>
      <x:c r="Q1644" s="37" t="n">
        <x:v>0</x:v>
      </x:c>
      <x:c r="R1644" s="37" t="n">
        <x:v>0</x:v>
      </x:c>
      <x:c r="S1644" s="37" t="n">
        <x:v>0</x:v>
      </x:c>
      <x:c r="T1644" s="37" t="n">
        <x:v>0</x:v>
      </x:c>
      <x:c r="U1644" s="37" t="n">
        <x:v>47417.381478397</x:v>
      </x:c>
      <x:c r="V1644" s="37" t="n">
        <x:v>0</x:v>
      </x:c>
      <x:c r="W1644" s="37" t="n">
        <x:v>97717.87870519422</x:v>
      </x:c>
      <x:c r="X1644" s="37" t="n">
        <x:v>0</x:v>
      </x:c>
      <x:c r="Y1644" s="37" t="n">
        <x:v>1734.6966441846707</x:v>
      </x:c>
      <x:c r="Z1644" s="37" t="n">
        <x:v>6256978.59220176</x:v>
      </x:c>
      <x:c r="AA1644" s="37" t="n">
        <x:v>0</x:v>
      </x:c>
      <x:c r="AB1644" s="37" t="n">
        <x:v>6256978.59220176</x:v>
      </x:c>
      <x:c r="AC1644" s="37" t="n">
        <x:v>1401726.250141506</x:v>
      </x:c>
      <x:c r="AD1644" s="37" t="n">
        <x:v>0</x:v>
      </x:c>
      <x:c r="AE1644" s="37" t="n">
        <x:v>0</x:v>
      </x:c>
      <x:c r="AF1644" s="47" t="b">
        <x:v>0</x:v>
      </x:c>
      <x:c r="AG1644" s="47" t="b">
        <x:v>0</x:v>
      </x:c>
      <x:c r="AH1644" s="48" t="n">
        <x:v>0</x:v>
      </x:c>
      <x:c r="AI1644" s="48" t="n">
        <x:v>5.960464477539063e-8</x:v>
      </x:c>
      <x:c r="AJ1644" s="37" t="str">
        <x:v>passed</x:v>
      </x:c>
    </x:row>
    <x:row r="1645" ht="21" customHeight="1">
      <x:c r="A1645" s="2"/>
      <x:c r="B1645" s="2"/>
      <x:c r="C1645" s="2" t="str">
        <x:v>2023</x:v>
      </x:c>
      <x:c r="D1645" s="5" t="n">
        <x:v>45160</x:v>
      </x:c>
      <x:c r="E1645" s="2" t="str">
        <x:v>unweighted</x:v>
      </x:c>
      <x:c r="F1645" s="37" t="n">
        <x:v>11291331.68028688</x:v>
      </x:c>
      <x:c r="G1645" s="37" t="n">
        <x:v>495995.5851899553</x:v>
      </x:c>
      <x:c r="H1645" s="37" t="n">
        <x:v>-17116.50068894851</x:v>
      </x:c>
      <x:c r="I1645" s="37" t="n">
        <x:v>513112.0858789038</x:v>
      </x:c>
      <x:c r="J1645" s="37" t="n">
        <x:v>10392329.9245886</x:v>
      </x:c>
      <x:c r="K1645" s="37" t="n">
        <x:v>9896334.339398645</x:v>
      </x:c>
      <x:c r="L1645" s="37" t="n">
        <x:v>11787327.265476836</x:v>
      </x:c>
      <x:c r="M1645" s="37" t="n">
        <x:v>0</x:v>
      </x:c>
      <x:c r="N1645" s="37" t="n">
        <x:v>0</x:v>
      </x:c>
      <x:c r="O1645" s="37" t="n">
        <x:v>618.6692060884088</x:v>
      </x:c>
      <x:c r="P1645" s="37" t="n">
        <x:v>0</x:v>
      </x:c>
      <x:c r="Q1645" s="37" t="n">
        <x:v>0</x:v>
      </x:c>
      <x:c r="R1645" s="37" t="n">
        <x:v>0</x:v>
      </x:c>
      <x:c r="S1645" s="37" t="n">
        <x:v>0</x:v>
      </x:c>
      <x:c r="T1645" s="37" t="n">
        <x:v>0</x:v>
      </x:c>
      <x:c r="U1645" s="37" t="n">
        <x:v>31805.80415342993</x:v>
      </x:c>
      <x:c r="V1645" s="37" t="n">
        <x:v>0</x:v>
      </x:c>
      <x:c r="W1645" s="37" t="n">
        <x:v>142432.56106268242</x:v>
      </x:c>
      <x:c r="X1645" s="37" t="n">
        <x:v>0</x:v>
      </x:c>
      <x:c r="Y1645" s="37" t="n">
        <x:v>2148.4243093252817</x:v>
      </x:c>
      <x:c r="Z1645" s="37" t="n">
        <x:v>10094261.026186617</x:v>
      </x:c>
      <x:c r="AA1645" s="37" t="n">
        <x:v>0</x:v>
      </x:c>
      <x:c r="AB1645" s="37" t="n">
        <x:v>10094261.026186617</x:v>
      </x:c>
      <x:c r="AC1645" s="37" t="n">
        <x:v>1197070.6541002635</x:v>
      </x:c>
      <x:c r="AD1645" s="37" t="n">
        <x:v>0</x:v>
      </x:c>
      <x:c r="AE1645" s="37" t="n">
        <x:v>0</x:v>
      </x:c>
      <x:c r="AF1645" s="47" t="b">
        <x:v>0</x:v>
      </x:c>
      <x:c r="AG1645" s="47" t="b">
        <x:v>0</x:v>
      </x:c>
      <x:c r="AH1645" s="48" t="n">
        <x:v>0</x:v>
      </x:c>
      <x:c r="AI1645" s="48" t="n">
        <x:v>1.1920928955078125e-7</x:v>
      </x:c>
      <x:c r="AJ1645" s="37" t="str">
        <x:v>passed</x:v>
      </x:c>
    </x:row>
    <x:row r="1646" ht="21" customHeight="1">
      <x:c r="A1646" s="2"/>
      <x:c r="B1646" s="2"/>
      <x:c r="C1646" s="2" t="str">
        <x:v>2023</x:v>
      </x:c>
      <x:c r="D1646" s="5" t="n">
        <x:v>45160</x:v>
      </x:c>
      <x:c r="E1646" s="2" t="str">
        <x:v>constrained</x:v>
      </x:c>
      <x:c r="F1646" s="37" t="n">
        <x:v>11721431.51620016</x:v>
      </x:c>
      <x:c r="G1646" s="37" t="n">
        <x:v>54464.47025895739</x:v>
      </x:c>
      <x:c r="H1646" s="37" t="n">
        <x:v>-17406.376168531773</x:v>
      </x:c>
      <x:c r="I1646" s="37" t="n">
        <x:v>71870.84642748916</x:v>
      </x:c>
      <x:c r="J1646" s="37" t="n">
        <x:v>10396387.245677216</x:v>
      </x:c>
      <x:c r="K1646" s="37" t="n">
        <x:v>10341922.775418257</x:v>
      </x:c>
      <x:c r="L1646" s="37" t="n">
        <x:v>11775895.986459117</x:v>
      </x:c>
      <x:c r="M1646" s="37" t="n">
        <x:v>0</x:v>
      </x:c>
      <x:c r="N1646" s="37" t="n">
        <x:v>0</x:v>
      </x:c>
      <x:c r="O1646" s="37" t="n">
        <x:v>642.2350291069597</x:v>
      </x:c>
      <x:c r="P1646" s="37" t="n">
        <x:v>0</x:v>
      </x:c>
      <x:c r="Q1646" s="37" t="n">
        <x:v>0</x:v>
      </x:c>
      <x:c r="R1646" s="37" t="n">
        <x:v>0</x:v>
      </x:c>
      <x:c r="S1646" s="37" t="n">
        <x:v>0</x:v>
      </x:c>
      <x:c r="T1646" s="37" t="n">
        <x:v>0</x:v>
      </x:c>
      <x:c r="U1646" s="37" t="n">
        <x:v>30720.44529747225</x:v>
      </x:c>
      <x:c r="V1646" s="37" t="n">
        <x:v>0</x:v>
      </x:c>
      <x:c r="W1646" s="37" t="n">
        <x:v>148519.6151057072</x:v>
      </x:c>
      <x:c r="X1646" s="37" t="n">
        <x:v>0</x:v>
      </x:c>
      <x:c r="Y1646" s="37" t="n">
        <x:v>2172.0174893282365</x:v>
      </x:c>
      <x:c r="Z1646" s="37" t="n">
        <x:v>10548761.230926624</x:v>
      </x:c>
      <x:c r="AA1646" s="37" t="n">
        <x:v>0</x:v>
      </x:c>
      <x:c r="AB1646" s="37" t="n">
        <x:v>10548761.230926624</x:v>
      </x:c>
      <x:c r="AC1646" s="37" t="n">
        <x:v>1172670.285273537</x:v>
      </x:c>
      <x:c r="AD1646" s="37" t="n">
        <x:v>0</x:v>
      </x:c>
      <x:c r="AE1646" s="37" t="n">
        <x:v>0</x:v>
      </x:c>
      <x:c r="AF1646" s="47" t="b">
        <x:v>0</x:v>
      </x:c>
      <x:c r="AG1646" s="47" t="b">
        <x:v>0</x:v>
      </x:c>
      <x:c r="AH1646" s="48" t="n">
        <x:v>0</x:v>
      </x:c>
      <x:c r="AI1646" s="48" t="n">
        <x:v>1.1920928955078125e-7</x:v>
      </x:c>
      <x:c r="AJ1646" s="37" t="str">
        <x:v>passed</x:v>
      </x:c>
    </x:row>
    <x:row r="1647" ht="21" customHeight="1">
      <x:c r="A1647" s="2"/>
      <x:c r="B1647" s="2"/>
      <x:c r="C1647" s="2" t="str">
        <x:v>2023</x:v>
      </x:c>
      <x:c r="D1647" s="5" t="n">
        <x:v>45161</x:v>
      </x:c>
      <x:c r="E1647" s="2" t="str">
        <x:v>unhedged</x:v>
      </x:c>
      <x:c r="F1647" s="37" t="n">
        <x:v>1316116.8206224334</x:v>
      </x:c>
      <x:c r="G1647" s="37" t="n">
        <x:v>10386584.289693017</x:v>
      </x:c>
      <x:c r="H1647" s="37" t="n">
        <x:v>18036.684782608696</x:v>
      </x:c>
      <x:c r="I1647" s="37" t="n">
        <x:v>10368547.604910407</x:v>
      </x:c>
      <x:c r="J1647" s="37" t="n">
        <x:v>10386584.289693017</x:v>
      </x:c>
      <x:c r="K1647" s="37" t="n">
        <x:v>0</x:v>
      </x:c>
      <x:c r="L1647" s="37" t="n">
        <x:v>11702701.11031545</x:v>
      </x:c>
      <x:c r="M1647" s="37" t="n">
        <x:v>0</x:v>
      </x:c>
      <x:c r="N1647" s="37" t="n">
        <x:v>0</x:v>
      </x:c>
      <x:c r="O1647" s="37" t="n">
        <x:v>72.11203882656991</x:v>
      </x:c>
      <x:c r="P1647" s="37" t="n">
        <x:v>0</x:v>
      </x:c>
      <x:c r="Q1647" s="37" t="n">
        <x:v>0</x:v>
      </x:c>
      <x:c r="R1647" s="37" t="n">
        <x:v>0</x:v>
      </x:c>
      <x:c r="S1647" s="37" t="n">
        <x:v>0</x:v>
      </x:c>
      <x:c r="T1647" s="37" t="n">
        <x:v>0</x:v>
      </x:c>
      <x:c r="U1647" s="37" t="n">
        <x:v>101250</x:v>
      </x:c>
      <x:c r="V1647" s="37" t="n">
        <x:v>0</x:v>
      </x:c>
      <x:c r="W1647" s="37" t="n">
        <x:v>15909.68996455567</x:v>
      </x:c>
      <x:c r="X1647" s="37" t="n">
        <x:v>0</x:v>
      </x:c>
      <x:c r="Y1647" s="37" t="n">
        <x:v>1042.869342122179</x:v>
      </x:c>
      <x:c r="Z1647" s="37" t="n">
        <x:v>0</x:v>
      </x:c>
      <x:c r="AA1647" s="37" t="n">
        <x:v>0</x:v>
      </x:c>
      <x:c r="AB1647" s="37" t="n">
        <x:v>0</x:v>
      </x:c>
      <x:c r="AC1647" s="37" t="n">
        <x:v>1316116.8206224334</x:v>
      </x:c>
      <x:c r="AD1647" s="37" t="n">
        <x:v>0</x:v>
      </x:c>
      <x:c r="AE1647" s="37" t="n">
        <x:v>0</x:v>
      </x:c>
      <x:c r="AF1647" s="47" t="b">
        <x:v>0</x:v>
      </x:c>
      <x:c r="AG1647" s="47" t="b">
        <x:v>0</x:v>
      </x:c>
      <x:c r="AH1647" s="48" t="n">
        <x:v>0</x:v>
      </x:c>
      <x:c r="AI1647" s="48" t="n">
        <x:v>1.1920928955078125e-7</x:v>
      </x:c>
      <x:c r="AJ1647" s="37" t="str">
        <x:v>passed</x:v>
      </x:c>
    </x:row>
    <x:row r="1648" ht="21" customHeight="1">
      <x:c r="A1648" s="2"/>
      <x:c r="B1648" s="2"/>
      <x:c r="C1648" s="2" t="str">
        <x:v>2023</x:v>
      </x:c>
      <x:c r="D1648" s="5" t="n">
        <x:v>45161</x:v>
      </x:c>
      <x:c r="E1648" s="2" t="str">
        <x:v>duration</x:v>
      </x:c>
      <x:c r="F1648" s="37" t="n">
        <x:v>7659124.497403121</x:v>
      </x:c>
      <x:c r="G1648" s="37" t="n">
        <x:v>4157431.5331232827</x:v>
      </x:c>
      <x:c r="H1648" s="37" t="n">
        <x:v>-10790.851150684524</x:v>
      </x:c>
      <x:c r="I1648" s="37" t="n">
        <x:v>4168222.3842739672</x:v>
      </x:c>
      <x:c r="J1648" s="37" t="n">
        <x:v>10386584.289693017</x:v>
      </x:c>
      <x:c r="K1648" s="37" t="n">
        <x:v>6229152.756569734</x:v>
      </x:c>
      <x:c r="L1648" s="37" t="n">
        <x:v>11816556.030526403</x:v>
      </x:c>
      <x:c r="M1648" s="37" t="n">
        <x:v>0</x:v>
      </x:c>
      <x:c r="N1648" s="37" t="n">
        <x:v>0</x:v>
      </x:c>
      <x:c r="O1648" s="37" t="n">
        <x:v>419.6550598545</x:v>
      </x:c>
      <x:c r="P1648" s="37" t="n">
        <x:v>0</x:v>
      </x:c>
      <x:c r="Q1648" s="37" t="n">
        <x:v>0</x:v>
      </x:c>
      <x:c r="R1648" s="37" t="n">
        <x:v>0</x:v>
      </x:c>
      <x:c r="S1648" s="37" t="n">
        <x:v>0</x:v>
      </x:c>
      <x:c r="T1648" s="37" t="n">
        <x:v>0</x:v>
      </x:c>
      <x:c r="U1648" s="37" t="n">
        <x:v>47417.381478397</x:v>
      </x:c>
      <x:c r="V1648" s="37" t="n">
        <x:v>0</x:v>
      </x:c>
      <x:c r="W1648" s="37" t="n">
        <x:v>98137.53376504872</x:v>
      </x:c>
      <x:c r="X1648" s="37" t="n">
        <x:v>0</x:v>
      </x:c>
      <x:c r="Y1648" s="37" t="n">
        <x:v>1734.6966441846707</x:v>
      </x:c>
      <x:c r="Z1648" s="37" t="n">
        <x:v>6353735.811701128</x:v>
      </x:c>
      <x:c r="AA1648" s="37" t="n">
        <x:v>0</x:v>
      </x:c>
      <x:c r="AB1648" s="37" t="n">
        <x:v>6353735.811701128</x:v>
      </x:c>
      <x:c r="AC1648" s="37" t="n">
        <x:v>1305388.6857019924</x:v>
      </x:c>
      <x:c r="AD1648" s="37" t="n">
        <x:v>0</x:v>
      </x:c>
      <x:c r="AE1648" s="37" t="n">
        <x:v>0</x:v>
      </x:c>
      <x:c r="AF1648" s="47" t="b">
        <x:v>0</x:v>
      </x:c>
      <x:c r="AG1648" s="47" t="b">
        <x:v>0</x:v>
      </x:c>
      <x:c r="AH1648" s="48" t="n">
        <x:v>0</x:v>
      </x:c>
      <x:c r="AI1648" s="48" t="n">
        <x:v>5.960464477539063e-8</x:v>
      </x:c>
      <x:c r="AJ1648" s="37" t="str">
        <x:v>passed</x:v>
      </x:c>
    </x:row>
    <x:row r="1649" ht="21" customHeight="1">
      <x:c r="A1649" s="2"/>
      <x:c r="B1649" s="2"/>
      <x:c r="C1649" s="2" t="str">
        <x:v>2023</x:v>
      </x:c>
      <x:c r="D1649" s="5" t="n">
        <x:v>45161</x:v>
      </x:c>
      <x:c r="E1649" s="2" t="str">
        <x:v>unweighted</x:v>
      </x:c>
      <x:c r="F1649" s="37" t="n">
        <x:v>11291950.38339265</x:v>
      </x:c>
      <x:c r="G1649" s="37" t="n">
        <x:v>493516.7313160918</x:v>
      </x:c>
      <x:c r="H1649" s="37" t="n">
        <x:v>-17147.17997058891</x:v>
      </x:c>
      <x:c r="I1649" s="37" t="n">
        <x:v>510663.91128668067</x:v>
      </x:c>
      <x:c r="J1649" s="37" t="n">
        <x:v>10471117.235110877</x:v>
      </x:c>
      <x:c r="K1649" s="37" t="n">
        <x:v>9977600.503794786</x:v>
      </x:c>
      <x:c r="L1649" s="37" t="n">
        <x:v>11785467.114708742</x:v>
      </x:c>
      <x:c r="M1649" s="37" t="n">
        <x:v>0</x:v>
      </x:c>
      <x:c r="N1649" s="37" t="n">
        <x:v>0</x:v>
      </x:c>
      <x:c r="O1649" s="37" t="n">
        <x:v>618.7031057700515</x:v>
      </x:c>
      <x:c r="P1649" s="37" t="n">
        <x:v>0</x:v>
      </x:c>
      <x:c r="Q1649" s="37" t="n">
        <x:v>0</x:v>
      </x:c>
      <x:c r="R1649" s="37" t="n">
        <x:v>0</x:v>
      </x:c>
      <x:c r="S1649" s="37" t="n">
        <x:v>0</x:v>
      </x:c>
      <x:c r="T1649" s="37" t="n">
        <x:v>0</x:v>
      </x:c>
      <x:c r="U1649" s="37" t="n">
        <x:v>31805.80415342993</x:v>
      </x:c>
      <x:c r="V1649" s="37" t="n">
        <x:v>0</x:v>
      </x:c>
      <x:c r="W1649" s="37" t="n">
        <x:v>143051.26416845247</x:v>
      </x:c>
      <x:c r="X1649" s="37" t="n">
        <x:v>0</x:v>
      </x:c>
      <x:c r="Y1649" s="37" t="n">
        <x:v>2148.4243093252817</x:v>
      </x:c>
      <x:c r="Z1649" s="37" t="n">
        <x:v>10177152.51387068</x:v>
      </x:c>
      <x:c r="AA1649" s="37" t="n">
        <x:v>0</x:v>
      </x:c>
      <x:c r="AB1649" s="37" t="n">
        <x:v>10177152.51387068</x:v>
      </x:c>
      <x:c r="AC1649" s="37" t="n">
        <x:v>1114797.86952197</x:v>
      </x:c>
      <x:c r="AD1649" s="37" t="n">
        <x:v>0</x:v>
      </x:c>
      <x:c r="AE1649" s="37" t="n">
        <x:v>0</x:v>
      </x:c>
      <x:c r="AF1649" s="47" t="b">
        <x:v>0</x:v>
      </x:c>
      <x:c r="AG1649" s="47" t="b">
        <x:v>0</x:v>
      </x:c>
      <x:c r="AH1649" s="48" t="n">
        <x:v>0</x:v>
      </x:c>
      <x:c r="AI1649" s="48" t="n">
        <x:v>1.1920928955078125e-7</x:v>
      </x:c>
      <x:c r="AJ1649" s="37" t="str">
        <x:v>passed</x:v>
      </x:c>
    </x:row>
    <x:row r="1650" ht="21" customHeight="1">
      <x:c r="A1650" s="2"/>
      <x:c r="B1650" s="2"/>
      <x:c r="C1650" s="2" t="str">
        <x:v>2023</x:v>
      </x:c>
      <x:c r="D1650" s="5" t="n">
        <x:v>45161</x:v>
      </x:c>
      <x:c r="E1650" s="2" t="str">
        <x:v>constrained</x:v>
      </x:c>
      <x:c r="F1650" s="37" t="n">
        <x:v>11722073.786420228</x:v>
      </x:c>
      <x:c r="G1650" s="37" t="n">
        <x:v>53576.0312105198</x:v>
      </x:c>
      <x:c r="H1650" s="37" t="n">
        <x:v>-17441.330362648616</x:v>
      </x:c>
      <x:c r="I1650" s="37" t="n">
        <x:v>71017.36157316843</x:v>
      </x:c>
      <x:c r="J1650" s="37" t="n">
        <x:v>10475235.287449395</x:v>
      </x:c>
      <x:c r="K1650" s="37" t="n">
        <x:v>10421659.256238876</x:v>
      </x:c>
      <x:c r="L1650" s="37" t="n">
        <x:v>11775649.817630747</x:v>
      </x:c>
      <x:c r="M1650" s="37" t="n">
        <x:v>0</x:v>
      </x:c>
      <x:c r="N1650" s="37" t="n">
        <x:v>0</x:v>
      </x:c>
      <x:c r="O1650" s="37" t="n">
        <x:v>642.270220067352</x:v>
      </x:c>
      <x:c r="P1650" s="37" t="n">
        <x:v>0</x:v>
      </x:c>
      <x:c r="Q1650" s="37" t="n">
        <x:v>0</x:v>
      </x:c>
      <x:c r="R1650" s="37" t="n">
        <x:v>0</x:v>
      </x:c>
      <x:c r="S1650" s="37" t="n">
        <x:v>0</x:v>
      </x:c>
      <x:c r="T1650" s="37" t="n">
        <x:v>0</x:v>
      </x:c>
      <x:c r="U1650" s="37" t="n">
        <x:v>30720.44529747225</x:v>
      </x:c>
      <x:c r="V1650" s="37" t="n">
        <x:v>0</x:v>
      </x:c>
      <x:c r="W1650" s="37" t="n">
        <x:v>149161.88532577455</x:v>
      </x:c>
      <x:c r="X1650" s="37" t="n">
        <x:v>0</x:v>
      </x:c>
      <x:c r="Y1650" s="37" t="n">
        <x:v>2172.0174893282365</x:v>
      </x:c>
      <x:c r="Z1650" s="37" t="n">
        <x:v>10630092.441363653</x:v>
      </x:c>
      <x:c r="AA1650" s="37" t="n">
        <x:v>0</x:v>
      </x:c>
      <x:c r="AB1650" s="37" t="n">
        <x:v>10630092.441363653</x:v>
      </x:c>
      <x:c r="AC1650" s="37" t="n">
        <x:v>1091981.3450565748</x:v>
      </x:c>
      <x:c r="AD1650" s="37" t="n">
        <x:v>0</x:v>
      </x:c>
      <x:c r="AE1650" s="37" t="n">
        <x:v>0</x:v>
      </x:c>
      <x:c r="AF1650" s="47" t="b">
        <x:v>0</x:v>
      </x:c>
      <x:c r="AG1650" s="47" t="b">
        <x:v>0</x:v>
      </x:c>
      <x:c r="AH1650" s="48" t="n">
        <x:v>0</x:v>
      </x:c>
      <x:c r="AI1650" s="48" t="n">
        <x:v>1.1920928955078125e-7</x:v>
      </x:c>
      <x:c r="AJ1650" s="37" t="str">
        <x:v>passed</x:v>
      </x:c>
    </x:row>
    <x:row r="1651" ht="21" customHeight="1">
      <x:c r="A1651" s="2"/>
      <x:c r="B1651" s="2"/>
      <x:c r="C1651" s="2" t="str">
        <x:v>2023</x:v>
      </x:c>
      <x:c r="D1651" s="5" t="n">
        <x:v>45162</x:v>
      </x:c>
      <x:c r="E1651" s="2" t="str">
        <x:v>unhedged</x:v>
      </x:c>
      <x:c r="F1651" s="37" t="n">
        <x:v>1316188.9366126044</x:v>
      </x:c>
      <x:c r="G1651" s="37" t="n">
        <x:v>10371879.587394426</x:v>
      </x:c>
      <x:c r="H1651" s="37" t="n">
        <x:v>18383.152173913044</x:v>
      </x:c>
      <x:c r="I1651" s="37" t="n">
        <x:v>10353496.435220513</x:v>
      </x:c>
      <x:c r="J1651" s="37" t="n">
        <x:v>10371879.587394426</x:v>
      </x:c>
      <x:c r="K1651" s="37" t="n">
        <x:v>0</x:v>
      </x:c>
      <x:c r="L1651" s="37" t="n">
        <x:v>11688068.52400703</x:v>
      </x:c>
      <x:c r="M1651" s="37" t="n">
        <x:v>0</x:v>
      </x:c>
      <x:c r="N1651" s="37" t="n">
        <x:v>0</x:v>
      </x:c>
      <x:c r="O1651" s="37" t="n">
        <x:v>72.11599017097615</x:v>
      </x:c>
      <x:c r="P1651" s="37" t="n">
        <x:v>0</x:v>
      </x:c>
      <x:c r="Q1651" s="37" t="n">
        <x:v>0</x:v>
      </x:c>
      <x:c r="R1651" s="37" t="n">
        <x:v>0</x:v>
      </x:c>
      <x:c r="S1651" s="37" t="n">
        <x:v>0</x:v>
      </x:c>
      <x:c r="T1651" s="37" t="n">
        <x:v>0</x:v>
      </x:c>
      <x:c r="U1651" s="37" t="n">
        <x:v>101250</x:v>
      </x:c>
      <x:c r="V1651" s="37" t="n">
        <x:v>0</x:v>
      </x:c>
      <x:c r="W1651" s="37" t="n">
        <x:v>15981.805954726646</x:v>
      </x:c>
      <x:c r="X1651" s="37" t="n">
        <x:v>0</x:v>
      </x:c>
      <x:c r="Y1651" s="37" t="n">
        <x:v>1042.869342122179</x:v>
      </x:c>
      <x:c r="Z1651" s="37" t="n">
        <x:v>0</x:v>
      </x:c>
      <x:c r="AA1651" s="37" t="n">
        <x:v>0</x:v>
      </x:c>
      <x:c r="AB1651" s="37" t="n">
        <x:v>0</x:v>
      </x:c>
      <x:c r="AC1651" s="37" t="n">
        <x:v>1316188.9366126044</x:v>
      </x:c>
      <x:c r="AD1651" s="37" t="n">
        <x:v>0</x:v>
      </x:c>
      <x:c r="AE1651" s="37" t="n">
        <x:v>0</x:v>
      </x:c>
      <x:c r="AF1651" s="47" t="b">
        <x:v>0</x:v>
      </x:c>
      <x:c r="AG1651" s="47" t="b">
        <x:v>0</x:v>
      </x:c>
      <x:c r="AH1651" s="48" t="n">
        <x:v>0</x:v>
      </x:c>
      <x:c r="AI1651" s="48" t="n">
        <x:v>1.1920928955078125e-7</x:v>
      </x:c>
      <x:c r="AJ1651" s="37" t="str">
        <x:v>passed</x:v>
      </x:c>
    </x:row>
    <x:row r="1652" ht="21" customHeight="1">
      <x:c r="A1652" s="2"/>
      <x:c r="B1652" s="2"/>
      <x:c r="C1652" s="2" t="str">
        <x:v>2023</x:v>
      </x:c>
      <x:c r="D1652" s="5" t="n">
        <x:v>45162</x:v>
      </x:c>
      <x:c r="E1652" s="2" t="str">
        <x:v>duration</x:v>
      </x:c>
      <x:c r="F1652" s="37" t="n">
        <x:v>7659544.175457773</x:v>
      </x:c>
      <x:c r="G1652" s="37" t="n">
        <x:v>4157301.614798305</x:v>
      </x:c>
      <x:c r="H1652" s="37" t="n">
        <x:v>-10732.659118713105</x:v>
      </x:c>
      <x:c r="I1652" s="37" t="n">
        <x:v>4168034.273917018</x:v>
      </x:c>
      <x:c r="J1652" s="37" t="n">
        <x:v>10371879.587394426</x:v>
      </x:c>
      <x:c r="K1652" s="37" t="n">
        <x:v>6214577.972596121</x:v>
      </x:c>
      <x:c r="L1652" s="37" t="n">
        <x:v>11816845.790256077</x:v>
      </x:c>
      <x:c r="M1652" s="37" t="n">
        <x:v>0</x:v>
      </x:c>
      <x:c r="N1652" s="37" t="n">
        <x:v>0</x:v>
      </x:c>
      <x:c r="O1652" s="37" t="n">
        <x:v>419.6780546521768</x:v>
      </x:c>
      <x:c r="P1652" s="37" t="n">
        <x:v>0</x:v>
      </x:c>
      <x:c r="Q1652" s="37" t="n">
        <x:v>0</x:v>
      </x:c>
      <x:c r="R1652" s="37" t="n">
        <x:v>0</x:v>
      </x:c>
      <x:c r="S1652" s="37" t="n">
        <x:v>0</x:v>
      </x:c>
      <x:c r="T1652" s="37" t="n">
        <x:v>0</x:v>
      </x:c>
      <x:c r="U1652" s="37" t="n">
        <x:v>47417.381478397</x:v>
      </x:c>
      <x:c r="V1652" s="37" t="n">
        <x:v>0</x:v>
      </x:c>
      <x:c r="W1652" s="37" t="n">
        <x:v>98557.2118197009</x:v>
      </x:c>
      <x:c r="X1652" s="37" t="n">
        <x:v>0</x:v>
      </x:c>
      <x:c r="Y1652" s="37" t="n">
        <x:v>1734.6966441846707</x:v>
      </x:c>
      <x:c r="Z1652" s="37" t="n">
        <x:v>6338869.532048044</x:v>
      </x:c>
      <x:c r="AA1652" s="37" t="n">
        <x:v>0</x:v>
      </x:c>
      <x:c r="AB1652" s="37" t="n">
        <x:v>6338869.532048044</x:v>
      </x:c>
      <x:c r="AC1652" s="37" t="n">
        <x:v>1320674.643409729</x:v>
      </x:c>
      <x:c r="AD1652" s="37" t="n">
        <x:v>0</x:v>
      </x:c>
      <x:c r="AE1652" s="37" t="n">
        <x:v>0</x:v>
      </x:c>
      <x:c r="AF1652" s="47" t="b">
        <x:v>0</x:v>
      </x:c>
      <x:c r="AG1652" s="47" t="b">
        <x:v>0</x:v>
      </x:c>
      <x:c r="AH1652" s="48" t="n">
        <x:v>0</x:v>
      </x:c>
      <x:c r="AI1652" s="48" t="n">
        <x:v>5.960464477539063e-8</x:v>
      </x:c>
      <x:c r="AJ1652" s="37" t="str">
        <x:v>passed</x:v>
      </x:c>
    </x:row>
    <x:row r="1653" ht="21" customHeight="1">
      <x:c r="A1653" s="2"/>
      <x:c r="B1653" s="2"/>
      <x:c r="C1653" s="2" t="str">
        <x:v>2023</x:v>
      </x:c>
      <x:c r="D1653" s="5" t="n">
        <x:v>45162</x:v>
      </x:c>
      <x:c r="E1653" s="2" t="str">
        <x:v>unweighted</x:v>
      </x:c>
      <x:c r="F1653" s="37" t="n">
        <x:v>11292569.12039996</x:v>
      </x:c>
      <x:c r="G1653" s="37" t="n">
        <x:v>493680.40743998316</x:v>
      </x:c>
      <x:c r="H1653" s="37" t="n">
        <x:v>-17177.859252229304</x:v>
      </x:c>
      <x:c r="I1653" s="37" t="n">
        <x:v>510858.26669221243</x:v>
      </x:c>
      <x:c r="J1653" s="37" t="n">
        <x:v>10455989.11414199</x:v>
      </x:c>
      <x:c r="K1653" s="37" t="n">
        <x:v>9962308.706702007</x:v>
      </x:c>
      <x:c r="L1653" s="37" t="n">
        <x:v>11786249.527839942</x:v>
      </x:c>
      <x:c r="M1653" s="37" t="n">
        <x:v>0</x:v>
      </x:c>
      <x:c r="N1653" s="37" t="n">
        <x:v>0</x:v>
      </x:c>
      <x:c r="O1653" s="37" t="n">
        <x:v>618.7370073087513</x:v>
      </x:c>
      <x:c r="P1653" s="37" t="n">
        <x:v>0</x:v>
      </x:c>
      <x:c r="Q1653" s="37" t="n">
        <x:v>0</x:v>
      </x:c>
      <x:c r="R1653" s="37" t="n">
        <x:v>0</x:v>
      </x:c>
      <x:c r="S1653" s="37" t="n">
        <x:v>0</x:v>
      </x:c>
      <x:c r="T1653" s="37" t="n">
        <x:v>0</x:v>
      </x:c>
      <x:c r="U1653" s="37" t="n">
        <x:v>31805.80415342993</x:v>
      </x:c>
      <x:c r="V1653" s="37" t="n">
        <x:v>0</x:v>
      </x:c>
      <x:c r="W1653" s="37" t="n">
        <x:v>143670.00117576122</x:v>
      </x:c>
      <x:c r="X1653" s="37" t="n">
        <x:v>0</x:v>
      </x:c>
      <x:c r="Y1653" s="37" t="n">
        <x:v>2148.4243093252817</x:v>
      </x:c>
      <x:c r="Z1653" s="37" t="n">
        <x:v>10161554.880836047</x:v>
      </x:c>
      <x:c r="AA1653" s="37" t="n">
        <x:v>0</x:v>
      </x:c>
      <x:c r="AB1653" s="37" t="n">
        <x:v>10161554.880836047</x:v>
      </x:c>
      <x:c r="AC1653" s="37" t="n">
        <x:v>1131014.2395639122</x:v>
      </x:c>
      <x:c r="AD1653" s="37" t="n">
        <x:v>0</x:v>
      </x:c>
      <x:c r="AE1653" s="37" t="n">
        <x:v>0</x:v>
      </x:c>
      <x:c r="AF1653" s="47" t="b">
        <x:v>0</x:v>
      </x:c>
      <x:c r="AG1653" s="47" t="b">
        <x:v>0</x:v>
      </x:c>
      <x:c r="AH1653" s="48" t="n">
        <x:v>0</x:v>
      </x:c>
      <x:c r="AI1653" s="48" t="n">
        <x:v>1.1920928955078125e-7</x:v>
      </x:c>
      <x:c r="AJ1653" s="37" t="str">
        <x:v>passed</x:v>
      </x:c>
    </x:row>
    <x:row r="1654" ht="21" customHeight="1">
      <x:c r="A1654" s="2"/>
      <x:c r="B1654" s="2"/>
      <x:c r="C1654" s="2" t="str">
        <x:v>2023</x:v>
      </x:c>
      <x:c r="D1654" s="5" t="n">
        <x:v>45162</x:v>
      </x:c>
      <x:c r="E1654" s="2" t="str">
        <x:v>constrained</x:v>
      </x:c>
      <x:c r="F1654" s="37" t="n">
        <x:v>11722716.091833182</x:v>
      </x:c>
      <x:c r="G1654" s="37" t="n">
        <x:v>53557.208760783236</x:v>
      </x:c>
      <x:c r="H1654" s="37" t="n">
        <x:v>-17476.284556765455</x:v>
      </x:c>
      <x:c r="I1654" s="37" t="n">
        <x:v>71033.4933175487</x:v>
      </x:c>
      <x:c r="J1654" s="37" t="n">
        <x:v>10460086.539490204</x:v>
      </x:c>
      <x:c r="K1654" s="37" t="n">
        <x:v>10406529.330729421</x:v>
      </x:c>
      <x:c r="L1654" s="37" t="n">
        <x:v>11776273.300593965</x:v>
      </x:c>
      <x:c r="M1654" s="37" t="n">
        <x:v>0</x:v>
      </x:c>
      <x:c r="N1654" s="37" t="n">
        <x:v>0</x:v>
      </x:c>
      <x:c r="O1654" s="37" t="n">
        <x:v>642.3054129537195</x:v>
      </x:c>
      <x:c r="P1654" s="37" t="n">
        <x:v>0</x:v>
      </x:c>
      <x:c r="Q1654" s="37" t="n">
        <x:v>0</x:v>
      </x:c>
      <x:c r="R1654" s="37" t="n">
        <x:v>0</x:v>
      </x:c>
      <x:c r="S1654" s="37" t="n">
        <x:v>0</x:v>
      </x:c>
      <x:c r="T1654" s="37" t="n">
        <x:v>0</x:v>
      </x:c>
      <x:c r="U1654" s="37" t="n">
        <x:v>30720.44529747225</x:v>
      </x:c>
      <x:c r="V1654" s="37" t="n">
        <x:v>0</x:v>
      </x:c>
      <x:c r="W1654" s="37" t="n">
        <x:v>149804.19073872827</x:v>
      </x:c>
      <x:c r="X1654" s="37" t="n">
        <x:v>0</x:v>
      </x:c>
      <x:c r="Y1654" s="37" t="n">
        <x:v>2172.0174893282365</x:v>
      </x:c>
      <x:c r="Z1654" s="37" t="n">
        <x:v>10614659.91734401</x:v>
      </x:c>
      <x:c r="AA1654" s="37" t="n">
        <x:v>0</x:v>
      </x:c>
      <x:c r="AB1654" s="37" t="n">
        <x:v>10614659.91734401</x:v>
      </x:c>
      <x:c r="AC1654" s="37" t="n">
        <x:v>1108056.1744891722</x:v>
      </x:c>
      <x:c r="AD1654" s="37" t="n">
        <x:v>0</x:v>
      </x:c>
      <x:c r="AE1654" s="37" t="n">
        <x:v>0</x:v>
      </x:c>
      <x:c r="AF1654" s="47" t="b">
        <x:v>0</x:v>
      </x:c>
      <x:c r="AG1654" s="47" t="b">
        <x:v>0</x:v>
      </x:c>
      <x:c r="AH1654" s="48" t="n">
        <x:v>0</x:v>
      </x:c>
      <x:c r="AI1654" s="48" t="n">
        <x:v>1.1920928955078125e-7</x:v>
      </x:c>
      <x:c r="AJ1654" s="37" t="str">
        <x:v>passed</x:v>
      </x:c>
    </x:row>
    <x:row r="1655" ht="21" customHeight="1">
      <x:c r="A1655" s="2"/>
      <x:c r="B1655" s="2"/>
      <x:c r="C1655" s="2" t="str">
        <x:v>2023</x:v>
      </x:c>
      <x:c r="D1655" s="5" t="n">
        <x:v>45163</x:v>
      </x:c>
      <x:c r="E1655" s="2" t="str">
        <x:v>unhedged</x:v>
      </x:c>
      <x:c r="F1655" s="37" t="n">
        <x:v>1316261.0565543368</x:v>
      </x:c>
      <x:c r="G1655" s="37" t="n">
        <x:v>10358702.708191503</x:v>
      </x:c>
      <x:c r="H1655" s="37" t="n">
        <x:v>18729.619565217392</x:v>
      </x:c>
      <x:c r="I1655" s="37" t="n">
        <x:v>10339973.088626286</x:v>
      </x:c>
      <x:c r="J1655" s="37" t="n">
        <x:v>10358702.708191503</x:v>
      </x:c>
      <x:c r="K1655" s="37" t="n">
        <x:v>0</x:v>
      </x:c>
      <x:c r="L1655" s="37" t="n">
        <x:v>11674963.764745839</x:v>
      </x:c>
      <x:c r="M1655" s="37" t="n">
        <x:v>0</x:v>
      </x:c>
      <x:c r="N1655" s="37" t="n">
        <x:v>0</x:v>
      </x:c>
      <x:c r="O1655" s="37" t="n">
        <x:v>72.11994173238054</x:v>
      </x:c>
      <x:c r="P1655" s="37" t="n">
        <x:v>0</x:v>
      </x:c>
      <x:c r="Q1655" s="37" t="n">
        <x:v>0</x:v>
      </x:c>
      <x:c r="R1655" s="37" t="n">
        <x:v>0</x:v>
      </x:c>
      <x:c r="S1655" s="37" t="n">
        <x:v>0</x:v>
      </x:c>
      <x:c r="T1655" s="37" t="n">
        <x:v>0</x:v>
      </x:c>
      <x:c r="U1655" s="37" t="n">
        <x:v>101250</x:v>
      </x:c>
      <x:c r="V1655" s="37" t="n">
        <x:v>0</x:v>
      </x:c>
      <x:c r="W1655" s="37" t="n">
        <x:v>16053.925896459026</x:v>
      </x:c>
      <x:c r="X1655" s="37" t="n">
        <x:v>0</x:v>
      </x:c>
      <x:c r="Y1655" s="37" t="n">
        <x:v>1042.869342122179</x:v>
      </x:c>
      <x:c r="Z1655" s="37" t="n">
        <x:v>0</x:v>
      </x:c>
      <x:c r="AA1655" s="37" t="n">
        <x:v>0</x:v>
      </x:c>
      <x:c r="AB1655" s="37" t="n">
        <x:v>0</x:v>
      </x:c>
      <x:c r="AC1655" s="37" t="n">
        <x:v>1316261.0565543368</x:v>
      </x:c>
      <x:c r="AD1655" s="37" t="n">
        <x:v>0</x:v>
      </x:c>
      <x:c r="AE1655" s="37" t="n">
        <x:v>0</x:v>
      </x:c>
      <x:c r="AF1655" s="47" t="b">
        <x:v>0</x:v>
      </x:c>
      <x:c r="AG1655" s="47" t="b">
        <x:v>0</x:v>
      </x:c>
      <x:c r="AH1655" s="48" t="n">
        <x:v>0</x:v>
      </x:c>
      <x:c r="AI1655" s="48" t="n">
        <x:v>1.1920928955078125e-7</x:v>
      </x:c>
      <x:c r="AJ1655" s="37" t="str">
        <x:v>passed</x:v>
      </x:c>
    </x:row>
    <x:row r="1656" ht="21" customHeight="1">
      <x:c r="A1656" s="2"/>
      <x:c r="B1656" s="2"/>
      <x:c r="C1656" s="2" t="str">
        <x:v>2023</x:v>
      </x:c>
      <x:c r="D1656" s="5" t="n">
        <x:v>45163</x:v>
      </x:c>
      <x:c r="E1656" s="2" t="str">
        <x:v>duration</x:v>
      </x:c>
      <x:c r="F1656" s="37" t="n">
        <x:v>7659963.876508484</x:v>
      </x:c>
      <x:c r="G1656" s="37" t="n">
        <x:v>4155340.070847404</x:v>
      </x:c>
      <x:c r="H1656" s="37" t="n">
        <x:v>-10674.46708674169</x:v>
      </x:c>
      <x:c r="I1656" s="37" t="n">
        <x:v>4166014.537934146</x:v>
      </x:c>
      <x:c r="J1656" s="37" t="n">
        <x:v>10358702.708191503</x:v>
      </x:c>
      <x:c r="K1656" s="37" t="n">
        <x:v>6203362.6373441</x:v>
      </x:c>
      <x:c r="L1656" s="37" t="n">
        <x:v>11815303.947355889</x:v>
      </x:c>
      <x:c r="M1656" s="37" t="n">
        <x:v>0</x:v>
      </x:c>
      <x:c r="N1656" s="37" t="n">
        <x:v>0</x:v>
      </x:c>
      <x:c r="O1656" s="37" t="n">
        <x:v>419.70105071086437</x:v>
      </x:c>
      <x:c r="P1656" s="37" t="n">
        <x:v>0</x:v>
      </x:c>
      <x:c r="Q1656" s="37" t="n">
        <x:v>0</x:v>
      </x:c>
      <x:c r="R1656" s="37" t="n">
        <x:v>0</x:v>
      </x:c>
      <x:c r="S1656" s="37" t="n">
        <x:v>0</x:v>
      </x:c>
      <x:c r="T1656" s="37" t="n">
        <x:v>0</x:v>
      </x:c>
      <x:c r="U1656" s="37" t="n">
        <x:v>47417.381478397</x:v>
      </x:c>
      <x:c r="V1656" s="37" t="n">
        <x:v>0</x:v>
      </x:c>
      <x:c r="W1656" s="37" t="n">
        <x:v>98976.91287041176</x:v>
      </x:c>
      <x:c r="X1656" s="37" t="n">
        <x:v>0</x:v>
      </x:c>
      <x:c r="Y1656" s="37" t="n">
        <x:v>1734.6966441846707</x:v>
      </x:c>
      <x:c r="Z1656" s="37" t="n">
        <x:v>6327429.8900909815</x:v>
      </x:c>
      <x:c r="AA1656" s="37" t="n">
        <x:v>0</x:v>
      </x:c>
      <x:c r="AB1656" s="37" t="n">
        <x:v>6327429.8900909815</x:v>
      </x:c>
      <x:c r="AC1656" s="37" t="n">
        <x:v>1332533.9864175022</x:v>
      </x:c>
      <x:c r="AD1656" s="37" t="n">
        <x:v>0</x:v>
      </x:c>
      <x:c r="AE1656" s="37" t="n">
        <x:v>0</x:v>
      </x:c>
      <x:c r="AF1656" s="47" t="b">
        <x:v>0</x:v>
      </x:c>
      <x:c r="AG1656" s="47" t="b">
        <x:v>0</x:v>
      </x:c>
      <x:c r="AH1656" s="48" t="n">
        <x:v>0</x:v>
      </x:c>
      <x:c r="AI1656" s="48" t="n">
        <x:v>5.960464477539063e-8</x:v>
      </x:c>
      <x:c r="AJ1656" s="37" t="str">
        <x:v>passed</x:v>
      </x:c>
    </x:row>
    <x:row r="1657" ht="21" customHeight="1">
      <x:c r="A1657" s="2"/>
      <x:c r="B1657" s="2"/>
      <x:c r="C1657" s="2" t="str">
        <x:v>2023</x:v>
      </x:c>
      <x:c r="D1657" s="5" t="n">
        <x:v>45163</x:v>
      </x:c>
      <x:c r="E1657" s="2" t="str">
        <x:v>unweighted</x:v>
      </x:c>
      <x:c r="F1657" s="37" t="n">
        <x:v>11293187.891310668</x:v>
      </x:c>
      <x:c r="G1657" s="37" t="n">
        <x:v>493820.33916644554</x:v>
      </x:c>
      <x:c r="H1657" s="37" t="n">
        <x:v>-17208.5385338697</x:v>
      </x:c>
      <x:c r="I1657" s="37" t="n">
        <x:v>511028.87770031526</x:v>
      </x:c>
      <x:c r="J1657" s="37" t="n">
        <x:v>10442851.3912058</x:v>
      </x:c>
      <x:c r="K1657" s="37" t="n">
        <x:v>9949031.052039355</x:v>
      </x:c>
      <x:c r="L1657" s="37" t="n">
        <x:v>11787008.230477113</x:v>
      </x:c>
      <x:c r="M1657" s="37" t="n">
        <x:v>0</x:v>
      </x:c>
      <x:c r="N1657" s="37" t="n">
        <x:v>0</x:v>
      </x:c>
      <x:c r="O1657" s="37" t="n">
        <x:v>618.7709107082337</x:v>
      </x:c>
      <x:c r="P1657" s="37" t="n">
        <x:v>0</x:v>
      </x:c>
      <x:c r="Q1657" s="37" t="n">
        <x:v>0</x:v>
      </x:c>
      <x:c r="R1657" s="37" t="n">
        <x:v>0</x:v>
      </x:c>
      <x:c r="S1657" s="37" t="n">
        <x:v>0</x:v>
      </x:c>
      <x:c r="T1657" s="37" t="n">
        <x:v>0</x:v>
      </x:c>
      <x:c r="U1657" s="37" t="n">
        <x:v>31805.80415342993</x:v>
      </x:c>
      <x:c r="V1657" s="37" t="n">
        <x:v>0</x:v>
      </x:c>
      <x:c r="W1657" s="37" t="n">
        <x:v>144288.77208646946</x:v>
      </x:c>
      <x:c r="X1657" s="37" t="n">
        <x:v>0</x:v>
      </x:c>
      <x:c r="Y1657" s="37" t="n">
        <x:v>2148.4243093252817</x:v>
      </x:c>
      <x:c r="Z1657" s="37" t="n">
        <x:v>10148011.673080143</x:v>
      </x:c>
      <x:c r="AA1657" s="37" t="n">
        <x:v>0</x:v>
      </x:c>
      <x:c r="AB1657" s="37" t="n">
        <x:v>10148011.673080143</x:v>
      </x:c>
      <x:c r="AC1657" s="37" t="n">
        <x:v>1145176.218230525</x:v>
      </x:c>
      <x:c r="AD1657" s="37" t="n">
        <x:v>0</x:v>
      </x:c>
      <x:c r="AE1657" s="37" t="n">
        <x:v>0</x:v>
      </x:c>
      <x:c r="AF1657" s="47" t="b">
        <x:v>0</x:v>
      </x:c>
      <x:c r="AG1657" s="47" t="b">
        <x:v>0</x:v>
      </x:c>
      <x:c r="AH1657" s="48" t="n">
        <x:v>0</x:v>
      </x:c>
      <x:c r="AI1657" s="48" t="n">
        <x:v>1.1920928955078125e-7</x:v>
      </x:c>
      <x:c r="AJ1657" s="37" t="str">
        <x:v>passed</x:v>
      </x:c>
    </x:row>
    <x:row r="1658" ht="21" customHeight="1">
      <x:c r="A1658" s="2"/>
      <x:c r="B1658" s="2"/>
      <x:c r="C1658" s="2" t="str">
        <x:v>2023</x:v>
      </x:c>
      <x:c r="D1658" s="5" t="n">
        <x:v>45163</x:v>
      </x:c>
      <x:c r="E1658" s="2" t="str">
        <x:v>constrained</x:v>
      </x:c>
      <x:c r="F1658" s="37" t="n">
        <x:v>11723358.432440955</x:v>
      </x:c>
      <x:c r="G1658" s="37" t="n">
        <x:v>53586.282182957715</x:v>
      </x:c>
      <x:c r="H1658" s="37" t="n">
        <x:v>-17511.238750882298</x:v>
      </x:c>
      <x:c r="I1658" s="37" t="n">
        <x:v>71097.52093384002</x:v>
      </x:c>
      <x:c r="J1658" s="37" t="n">
        <x:v>10446950.7240654</x:v>
      </x:c>
      <x:c r="K1658" s="37" t="n">
        <x:v>10393364.441882443</x:v>
      </x:c>
      <x:c r="L1658" s="37" t="n">
        <x:v>11776944.714623913</x:v>
      </x:c>
      <x:c r="M1658" s="37" t="n">
        <x:v>0</x:v>
      </x:c>
      <x:c r="N1658" s="37" t="n">
        <x:v>0</x:v>
      </x:c>
      <x:c r="O1658" s="37" t="n">
        <x:v>642.3406077735126</x:v>
      </x:c>
      <x:c r="P1658" s="37" t="n">
        <x:v>0</x:v>
      </x:c>
      <x:c r="Q1658" s="37" t="n">
        <x:v>0</x:v>
      </x:c>
      <x:c r="R1658" s="37" t="n">
        <x:v>0</x:v>
      </x:c>
      <x:c r="S1658" s="37" t="n">
        <x:v>0</x:v>
      </x:c>
      <x:c r="T1658" s="37" t="n">
        <x:v>0</x:v>
      </x:c>
      <x:c r="U1658" s="37" t="n">
        <x:v>30720.44529747225</x:v>
      </x:c>
      <x:c r="V1658" s="37" t="n">
        <x:v>0</x:v>
      </x:c>
      <x:c r="W1658" s="37" t="n">
        <x:v>150446.53134650178</x:v>
      </x:c>
      <x:c r="X1658" s="37" t="n">
        <x:v>0</x:v>
      </x:c>
      <x:c r="Y1658" s="37" t="n">
        <x:v>2172.0174893282365</x:v>
      </x:c>
      <x:c r="Z1658" s="37" t="n">
        <x:v>10601231.730720092</x:v>
      </x:c>
      <x:c r="AA1658" s="37" t="n">
        <x:v>0</x:v>
      </x:c>
      <x:c r="AB1658" s="37" t="n">
        <x:v>10601231.730720092</x:v>
      </x:c>
      <x:c r="AC1658" s="37" t="n">
        <x:v>1122126.7017208636</x:v>
      </x:c>
      <x:c r="AD1658" s="37" t="n">
        <x:v>0</x:v>
      </x:c>
      <x:c r="AE1658" s="37" t="n">
        <x:v>0</x:v>
      </x:c>
      <x:c r="AF1658" s="47" t="b">
        <x:v>0</x:v>
      </x:c>
      <x:c r="AG1658" s="47" t="b">
        <x:v>0</x:v>
      </x:c>
      <x:c r="AH1658" s="48" t="n">
        <x:v>0</x:v>
      </x:c>
      <x:c r="AI1658" s="48" t="n">
        <x:v>1.1920928955078125e-7</x:v>
      </x:c>
      <x:c r="AJ1658" s="37" t="str">
        <x:v>passed</x:v>
      </x:c>
    </x:row>
    <x:row r="1659" ht="21" customHeight="1">
      <x:c r="A1659" s="2"/>
      <x:c r="B1659" s="2"/>
      <x:c r="C1659" s="2" t="str">
        <x:v>2023</x:v>
      </x:c>
      <x:c r="D1659" s="5" t="n">
        <x:v>45166</x:v>
      </x:c>
      <x:c r="E1659" s="2" t="str">
        <x:v>unhedged</x:v>
      </x:c>
      <x:c r="F1659" s="37" t="n">
        <x:v>1316477.4400910656</x:v>
      </x:c>
      <x:c r="G1659" s="37" t="n">
        <x:v>10382926.823108967</x:v>
      </x:c>
      <x:c r="H1659" s="37" t="n">
        <x:v>19769.021739130436</x:v>
      </x:c>
      <x:c r="I1659" s="37" t="n">
        <x:v>10363157.801369837</x:v>
      </x:c>
      <x:c r="J1659" s="37" t="n">
        <x:v>10382926.823108967</x:v>
      </x:c>
      <x:c r="K1659" s="37" t="n">
        <x:v>0</x:v>
      </x:c>
      <x:c r="L1659" s="37" t="n">
        <x:v>11699404.263200033</x:v>
      </x:c>
      <x:c r="M1659" s="37" t="n">
        <x:v>0</x:v>
      </x:c>
      <x:c r="N1659" s="37" t="n">
        <x:v>0</x:v>
      </x:c>
      <x:c r="O1659" s="37" t="n">
        <x:v>216.38353672879748</x:v>
      </x:c>
      <x:c r="P1659" s="37" t="n">
        <x:v>0</x:v>
      </x:c>
      <x:c r="Q1659" s="37" t="n">
        <x:v>0</x:v>
      </x:c>
      <x:c r="R1659" s="37" t="n">
        <x:v>0</x:v>
      </x:c>
      <x:c r="S1659" s="37" t="n">
        <x:v>0</x:v>
      </x:c>
      <x:c r="T1659" s="37" t="n">
        <x:v>0</x:v>
      </x:c>
      <x:c r="U1659" s="37" t="n">
        <x:v>101250</x:v>
      </x:c>
      <x:c r="V1659" s="37" t="n">
        <x:v>0</x:v>
      </x:c>
      <x:c r="W1659" s="37" t="n">
        <x:v>16270.309433187824</x:v>
      </x:c>
      <x:c r="X1659" s="37" t="n">
        <x:v>0</x:v>
      </x:c>
      <x:c r="Y1659" s="37" t="n">
        <x:v>1042.869342122179</x:v>
      </x:c>
      <x:c r="Z1659" s="37" t="n">
        <x:v>0</x:v>
      </x:c>
      <x:c r="AA1659" s="37" t="n">
        <x:v>0</x:v>
      </x:c>
      <x:c r="AB1659" s="37" t="n">
        <x:v>0</x:v>
      </x:c>
      <x:c r="AC1659" s="37" t="n">
        <x:v>1316477.4400910656</x:v>
      </x:c>
      <x:c r="AD1659" s="37" t="n">
        <x:v>0</x:v>
      </x:c>
      <x:c r="AE1659" s="37" t="n">
        <x:v>0</x:v>
      </x:c>
      <x:c r="AF1659" s="47" t="b">
        <x:v>0</x:v>
      </x:c>
      <x:c r="AG1659" s="47" t="b">
        <x:v>0</x:v>
      </x:c>
      <x:c r="AH1659" s="48" t="n">
        <x:v>0</x:v>
      </x:c>
      <x:c r="AI1659" s="48" t="n">
        <x:v>1.1920928955078125e-7</x:v>
      </x:c>
      <x:c r="AJ1659" s="37" t="str">
        <x:v>passed</x:v>
      </x:c>
    </x:row>
    <x:row r="1660" ht="21" customHeight="1">
      <x:c r="A1660" s="2"/>
      <x:c r="B1660" s="2"/>
      <x:c r="C1660" s="2" t="str">
        <x:v>2023</x:v>
      </x:c>
      <x:c r="D1660" s="5" t="n">
        <x:v>45166</x:v>
      </x:c>
      <x:c r="E1660" s="2" t="str">
        <x:v>duration</x:v>
      </x:c>
      <x:c r="F1660" s="37" t="n">
        <x:v>7661223.117649563</x:v>
      </x:c>
      <x:c r="G1660" s="37" t="n">
        <x:v>4156341.8867477328</x:v>
      </x:c>
      <x:c r="H1660" s="37" t="n">
        <x:v>-10499.890990827444</x:v>
      </x:c>
      <x:c r="I1660" s="37" t="n">
        <x:v>4166841.77773856</x:v>
      </x:c>
      <x:c r="J1660" s="37" t="n">
        <x:v>10382926.823108967</x:v>
      </x:c>
      <x:c r="K1660" s="37" t="n">
        <x:v>6226584.936361234</x:v>
      </x:c>
      <x:c r="L1660" s="37" t="n">
        <x:v>11817565.004397295</x:v>
      </x:c>
      <x:c r="M1660" s="37" t="n">
        <x:v>0</x:v>
      </x:c>
      <x:c r="N1660" s="37" t="n">
        <x:v>0</x:v>
      </x:c>
      <x:c r="O1660" s="37" t="n">
        <x:v>1259.2411410789937</x:v>
      </x:c>
      <x:c r="P1660" s="37" t="n">
        <x:v>0</x:v>
      </x:c>
      <x:c r="Q1660" s="37" t="n">
        <x:v>0</x:v>
      </x:c>
      <x:c r="R1660" s="37" t="n">
        <x:v>0</x:v>
      </x:c>
      <x:c r="S1660" s="37" t="n">
        <x:v>0</x:v>
      </x:c>
      <x:c r="T1660" s="37" t="n">
        <x:v>0</x:v>
      </x:c>
      <x:c r="U1660" s="37" t="n">
        <x:v>47417.381478397</x:v>
      </x:c>
      <x:c r="V1660" s="37" t="n">
        <x:v>0</x:v>
      </x:c>
      <x:c r="W1660" s="37" t="n">
        <x:v>100236.15401149075</x:v>
      </x:c>
      <x:c r="X1660" s="37" t="n">
        <x:v>0</x:v>
      </x:c>
      <x:c r="Y1660" s="37" t="n">
        <x:v>1734.6966441846707</x:v>
      </x:c>
      <x:c r="Z1660" s="37" t="n">
        <x:v>6351116.635088459</x:v>
      </x:c>
      <x:c r="AA1660" s="37" t="n">
        <x:v>0</x:v>
      </x:c>
      <x:c r="AB1660" s="37" t="n">
        <x:v>6351116.635088459</x:v>
      </x:c>
      <x:c r="AC1660" s="37" t="n">
        <x:v>1310106.482561104</x:v>
      </x:c>
      <x:c r="AD1660" s="37" t="n">
        <x:v>0</x:v>
      </x:c>
      <x:c r="AE1660" s="37" t="n">
        <x:v>0</x:v>
      </x:c>
      <x:c r="AF1660" s="47" t="b">
        <x:v>0</x:v>
      </x:c>
      <x:c r="AG1660" s="47" t="b">
        <x:v>0</x:v>
      </x:c>
      <x:c r="AH1660" s="48" t="n">
        <x:v>0</x:v>
      </x:c>
      <x:c r="AI1660" s="48" t="n">
        <x:v>5.960464477539063e-8</x:v>
      </x:c>
      <x:c r="AJ1660" s="37" t="str">
        <x:v>passed</x:v>
      </x:c>
    </x:row>
    <x:row r="1661" ht="21" customHeight="1">
      <x:c r="A1661" s="2"/>
      <x:c r="B1661" s="2"/>
      <x:c r="C1661" s="2" t="str">
        <x:v>2023</x:v>
      </x:c>
      <x:c r="D1661" s="5" t="n">
        <x:v>45166</x:v>
      </x:c>
      <x:c r="E1661" s="2" t="str">
        <x:v>unweighted</x:v>
      </x:c>
      <x:c r="F1661" s="37" t="n">
        <x:v>11295044.407481754</x:v>
      </x:c>
      <x:c r="G1661" s="37" t="n">
        <x:v>493752.9706962346</x:v>
      </x:c>
      <x:c r="H1661" s="37" t="n">
        <x:v>-17300.576378790898</x:v>
      </x:c>
      <x:c r="I1661" s="37" t="n">
        <x:v>511053.5470750255</x:v>
      </x:c>
      <x:c r="J1661" s="37" t="n">
        <x:v>10467300.254527707</x:v>
      </x:c>
      <x:c r="K1661" s="37" t="n">
        <x:v>9973547.283831472</x:v>
      </x:c>
      <x:c r="L1661" s="37" t="n">
        <x:v>11788797.37817799</x:v>
      </x:c>
      <x:c r="M1661" s="37" t="n">
        <x:v>0</x:v>
      </x:c>
      <x:c r="N1661" s="37" t="n">
        <x:v>0</x:v>
      </x:c>
      <x:c r="O1661" s="37" t="n">
        <x:v>1856.5161710865796</x:v>
      </x:c>
      <x:c r="P1661" s="37" t="n">
        <x:v>0</x:v>
      </x:c>
      <x:c r="Q1661" s="37" t="n">
        <x:v>0</x:v>
      </x:c>
      <x:c r="R1661" s="37" t="n">
        <x:v>0</x:v>
      </x:c>
      <x:c r="S1661" s="37" t="n">
        <x:v>0</x:v>
      </x:c>
      <x:c r="T1661" s="37" t="n">
        <x:v>0</x:v>
      </x:c>
      <x:c r="U1661" s="37" t="n">
        <x:v>31805.80415342993</x:v>
      </x:c>
      <x:c r="V1661" s="37" t="n">
        <x:v>0</x:v>
      </x:c>
      <x:c r="W1661" s="37" t="n">
        <x:v>146145.28825755604</x:v>
      </x:c>
      <x:c r="X1661" s="37" t="n">
        <x:v>0</x:v>
      </x:c>
      <x:c r="Y1661" s="37" t="n">
        <x:v>2148.4243093252817</x:v>
      </x:c>
      <x:c r="Z1661" s="37" t="n">
        <x:v>10173018.229508102</x:v>
      </x:c>
      <x:c r="AA1661" s="37" t="n">
        <x:v>0</x:v>
      </x:c>
      <x:c r="AB1661" s="37" t="n">
        <x:v>10173018.229508102</x:v>
      </x:c>
      <x:c r="AC1661" s="37" t="n">
        <x:v>1122026.1779736523</x:v>
      </x:c>
      <x:c r="AD1661" s="37" t="n">
        <x:v>0</x:v>
      </x:c>
      <x:c r="AE1661" s="37" t="n">
        <x:v>0</x:v>
      </x:c>
      <x:c r="AF1661" s="47" t="b">
        <x:v>0</x:v>
      </x:c>
      <x:c r="AG1661" s="47" t="b">
        <x:v>0</x:v>
      </x:c>
      <x:c r="AH1661" s="48" t="n">
        <x:v>0</x:v>
      </x:c>
      <x:c r="AI1661" s="48" t="n">
        <x:v>1.1920928955078125e-7</x:v>
      </x:c>
      <x:c r="AJ1661" s="37" t="str">
        <x:v>passed</x:v>
      </x:c>
    </x:row>
    <x:row r="1662" ht="21" customHeight="1">
      <x:c r="A1662" s="2"/>
      <x:c r="B1662" s="2"/>
      <x:c r="C1662" s="2" t="str">
        <x:v>2023</x:v>
      </x:c>
      <x:c r="D1662" s="5" t="n">
        <x:v>45166</x:v>
      </x:c>
      <x:c r="E1662" s="2" t="str">
        <x:v>constrained</x:v>
      </x:c>
      <x:c r="F1662" s="37" t="n">
        <x:v>11725285.66545246</x:v>
      </x:c>
      <x:c r="G1662" s="37" t="n">
        <x:v>53540.047275992016</x:v>
      </x:c>
      <x:c r="H1662" s="37" t="n">
        <x:v>-17616.101333232826</x:v>
      </x:c>
      <x:c r="I1662" s="37" t="n">
        <x:v>71156.14860922484</x:v>
      </x:c>
      <x:c r="J1662" s="37" t="n">
        <x:v>10471410.53608533</x:v>
      </x:c>
      <x:c r="K1662" s="37" t="n">
        <x:v>10417870.488809338</x:v>
      </x:c>
      <x:c r="L1662" s="37" t="n">
        <x:v>11778825.712728452</x:v>
      </x:c>
      <x:c r="M1662" s="37" t="n">
        <x:v>0</x:v>
      </x:c>
      <x:c r="N1662" s="37" t="n">
        <x:v>0</x:v>
      </x:c>
      <x:c r="O1662" s="37" t="n">
        <x:v>1927.2330115046352</x:v>
      </x:c>
      <x:c r="P1662" s="37" t="n">
        <x:v>0</x:v>
      </x:c>
      <x:c r="Q1662" s="37" t="n">
        <x:v>0</x:v>
      </x:c>
      <x:c r="R1662" s="37" t="n">
        <x:v>0</x:v>
      </x:c>
      <x:c r="S1662" s="37" t="n">
        <x:v>0</x:v>
      </x:c>
      <x:c r="T1662" s="37" t="n">
        <x:v>0</x:v>
      </x:c>
      <x:c r="U1662" s="37" t="n">
        <x:v>30720.44529747225</x:v>
      </x:c>
      <x:c r="V1662" s="37" t="n">
        <x:v>0</x:v>
      </x:c>
      <x:c r="W1662" s="37" t="n">
        <x:v>152373.76435800642</x:v>
      </x:c>
      <x:c r="X1662" s="37" t="n">
        <x:v>0</x:v>
      </x:c>
      <x:c r="Y1662" s="37" t="n">
        <x:v>2172.0174893282365</x:v>
      </x:c>
      <x:c r="Z1662" s="37" t="n">
        <x:v>10626227.898585524</x:v>
      </x:c>
      <x:c r="AA1662" s="37" t="n">
        <x:v>0</x:v>
      </x:c>
      <x:c r="AB1662" s="37" t="n">
        <x:v>10626227.898585524</x:v>
      </x:c>
      <x:c r="AC1662" s="37" t="n">
        <x:v>1099057.7668669354</x:v>
      </x:c>
      <x:c r="AD1662" s="37" t="n">
        <x:v>0</x:v>
      </x:c>
      <x:c r="AE1662" s="37" t="n">
        <x:v>0</x:v>
      </x:c>
      <x:c r="AF1662" s="47" t="b">
        <x:v>0</x:v>
      </x:c>
      <x:c r="AG1662" s="47" t="b">
        <x:v>0</x:v>
      </x:c>
      <x:c r="AH1662" s="48" t="n">
        <x:v>0</x:v>
      </x:c>
      <x:c r="AI1662" s="48" t="n">
        <x:v>1.1920928955078125e-7</x:v>
      </x:c>
      <x:c r="AJ1662" s="37" t="str">
        <x:v>passed</x:v>
      </x:c>
    </x:row>
    <x:row r="1663" ht="21" customHeight="1">
      <x:c r="A1663" s="2"/>
      <x:c r="B1663" s="2"/>
      <x:c r="C1663" s="2" t="str">
        <x:v>2023</x:v>
      </x:c>
      <x:c r="D1663" s="5" t="n">
        <x:v>45167</x:v>
      </x:c>
      <x:c r="E1663" s="2" t="str">
        <x:v>unhedged</x:v>
      </x:c>
      <x:c r="F1663" s="37" t="n">
        <x:v>1316549.5758412078</x:v>
      </x:c>
      <x:c r="G1663" s="37" t="n">
        <x:v>10430367.224181158</x:v>
      </x:c>
      <x:c r="H1663" s="37" t="n">
        <x:v>20115.489130434784</x:v>
      </x:c>
      <x:c r="I1663" s="37" t="n">
        <x:v>10410251.735050723</x:v>
      </x:c>
      <x:c r="J1663" s="37" t="n">
        <x:v>10430367.224181158</x:v>
      </x:c>
      <x:c r="K1663" s="37" t="n">
        <x:v>0</x:v>
      </x:c>
      <x:c r="L1663" s="37" t="n">
        <x:v>11746916.800022366</x:v>
      </x:c>
      <x:c r="M1663" s="37" t="n">
        <x:v>0</x:v>
      </x:c>
      <x:c r="N1663" s="37" t="n">
        <x:v>0</x:v>
      </x:c>
      <x:c r="O1663" s="37" t="n">
        <x:v>72.13575014215894</x:v>
      </x:c>
      <x:c r="P1663" s="37" t="n">
        <x:v>0</x:v>
      </x:c>
      <x:c r="Q1663" s="37" t="n">
        <x:v>0</x:v>
      </x:c>
      <x:c r="R1663" s="37" t="n">
        <x:v>0</x:v>
      </x:c>
      <x:c r="S1663" s="37" t="n">
        <x:v>0</x:v>
      </x:c>
      <x:c r="T1663" s="37" t="n">
        <x:v>0</x:v>
      </x:c>
      <x:c r="U1663" s="37" t="n">
        <x:v>101250</x:v>
      </x:c>
      <x:c r="V1663" s="37" t="n">
        <x:v>0</x:v>
      </x:c>
      <x:c r="W1663" s="37" t="n">
        <x:v>16342.445183329983</x:v>
      </x:c>
      <x:c r="X1663" s="37" t="n">
        <x:v>0</x:v>
      </x:c>
      <x:c r="Y1663" s="37" t="n">
        <x:v>1042.869342122179</x:v>
      </x:c>
      <x:c r="Z1663" s="37" t="n">
        <x:v>0</x:v>
      </x:c>
      <x:c r="AA1663" s="37" t="n">
        <x:v>0</x:v>
      </x:c>
      <x:c r="AB1663" s="37" t="n">
        <x:v>0</x:v>
      </x:c>
      <x:c r="AC1663" s="37" t="n">
        <x:v>1316549.5758412078</x:v>
      </x:c>
      <x:c r="AD1663" s="37" t="n">
        <x:v>0</x:v>
      </x:c>
      <x:c r="AE1663" s="37" t="n">
        <x:v>0</x:v>
      </x:c>
      <x:c r="AF1663" s="47" t="b">
        <x:v>0</x:v>
      </x:c>
      <x:c r="AG1663" s="47" t="b">
        <x:v>0</x:v>
      </x:c>
      <x:c r="AH1663" s="48" t="n">
        <x:v>0</x:v>
      </x:c>
      <x:c r="AI1663" s="48" t="n">
        <x:v>1.1920928955078125e-7</x:v>
      </x:c>
      <x:c r="AJ1663" s="37" t="str">
        <x:v>passed</x:v>
      </x:c>
    </x:row>
    <x:row r="1664" ht="21" customHeight="1">
      <x:c r="A1664" s="2"/>
      <x:c r="B1664" s="2"/>
      <x:c r="C1664" s="2" t="str">
        <x:v>2023</x:v>
      </x:c>
      <x:c r="D1664" s="5" t="n">
        <x:v>45167</x:v>
      </x:c>
      <x:c r="E1664" s="2" t="str">
        <x:v>duration</x:v>
      </x:c>
      <x:c r="F1664" s="37" t="n">
        <x:v>7661642.910697106</x:v>
      </x:c>
      <x:c r="G1664" s="37" t="n">
        <x:v>4160993.1180961067</x:v>
      </x:c>
      <x:c r="H1664" s="37" t="n">
        <x:v>-10441.698958856032</x:v>
      </x:c>
      <x:c r="I1664" s="37" t="n">
        <x:v>4171434.8170549627</x:v>
      </x:c>
      <x:c r="J1664" s="37" t="n">
        <x:v>10430367.224181158</x:v>
      </x:c>
      <x:c r="K1664" s="37" t="n">
        <x:v>6269374.106085052</x:v>
      </x:c>
      <x:c r="L1664" s="37" t="n">
        <x:v>11822636.028793212</x:v>
      </x:c>
      <x:c r="M1664" s="37" t="n">
        <x:v>0</x:v>
      </x:c>
      <x:c r="N1664" s="37" t="n">
        <x:v>0</x:v>
      </x:c>
      <x:c r="O1664" s="37" t="n">
        <x:v>419.7930475436151</x:v>
      </x:c>
      <x:c r="P1664" s="37" t="n">
        <x:v>0</x:v>
      </x:c>
      <x:c r="Q1664" s="37" t="n">
        <x:v>0</x:v>
      </x:c>
      <x:c r="R1664" s="37" t="n">
        <x:v>0</x:v>
      </x:c>
      <x:c r="S1664" s="37" t="n">
        <x:v>0</x:v>
      </x:c>
      <x:c r="T1664" s="37" t="n">
        <x:v>0</x:v>
      </x:c>
      <x:c r="U1664" s="37" t="n">
        <x:v>47417.381478397</x:v>
      </x:c>
      <x:c r="V1664" s="37" t="n">
        <x:v>0</x:v>
      </x:c>
      <x:c r="W1664" s="37" t="n">
        <x:v>100655.94705903437</x:v>
      </x:c>
      <x:c r="X1664" s="37" t="n">
        <x:v>0</x:v>
      </x:c>
      <x:c r="Y1664" s="37" t="n">
        <x:v>1734.6966441846707</x:v>
      </x:c>
      <x:c r="Z1664" s="37" t="n">
        <x:v>6394761.588206753</x:v>
      </x:c>
      <x:c r="AA1664" s="37" t="n">
        <x:v>0</x:v>
      </x:c>
      <x:c r="AB1664" s="37" t="n">
        <x:v>6394761.588206753</x:v>
      </x:c>
      <x:c r="AC1664" s="37" t="n">
        <x:v>1266881.3224903531</x:v>
      </x:c>
      <x:c r="AD1664" s="37" t="n">
        <x:v>0</x:v>
      </x:c>
      <x:c r="AE1664" s="37" t="n">
        <x:v>0</x:v>
      </x:c>
      <x:c r="AF1664" s="47" t="b">
        <x:v>0</x:v>
      </x:c>
      <x:c r="AG1664" s="47" t="b">
        <x:v>0</x:v>
      </x:c>
      <x:c r="AH1664" s="48" t="n">
        <x:v>0</x:v>
      </x:c>
      <x:c r="AI1664" s="48" t="n">
        <x:v>5.960464477539063e-8</x:v>
      </x:c>
      <x:c r="AJ1664" s="37" t="str">
        <x:v>passed</x:v>
      </x:c>
    </x:row>
    <x:row r="1665" ht="21" customHeight="1">
      <x:c r="A1665" s="2"/>
      <x:c r="B1665" s="2"/>
      <x:c r="C1665" s="2" t="str">
        <x:v>2023</x:v>
      </x:c>
      <x:c r="D1665" s="5" t="n">
        <x:v>45167</x:v>
      </x:c>
      <x:c r="E1665" s="2" t="str">
        <x:v>unweighted</x:v>
      </x:c>
      <x:c r="F1665" s="37" t="n">
        <x:v>11295663.314024631</x:v>
      </x:c>
      <x:c r="G1665" s="37" t="n">
        <x:v>493822.2797881272</x:v>
      </x:c>
      <x:c r="H1665" s="37" t="n">
        <x:v>-17331.2556604313</x:v>
      </x:c>
      <x:c r="I1665" s="37" t="n">
        <x:v>511153.5354485585</x:v>
      </x:c>
      <x:c r="J1665" s="37" t="n">
        <x:v>10515636.759508444</x:v>
      </x:c>
      <x:c r="K1665" s="37" t="n">
        <x:v>10021814.479720317</x:v>
      </x:c>
      <x:c r="L1665" s="37" t="n">
        <x:v>11789485.593812758</x:v>
      </x:c>
      <x:c r="M1665" s="37" t="n">
        <x:v>0</x:v>
      </x:c>
      <x:c r="N1665" s="37" t="n">
        <x:v>0</x:v>
      </x:c>
      <x:c r="O1665" s="37" t="n">
        <x:v>618.9065428767353</x:v>
      </x:c>
      <x:c r="P1665" s="37" t="n">
        <x:v>0</x:v>
      </x:c>
      <x:c r="Q1665" s="37" t="n">
        <x:v>0</x:v>
      </x:c>
      <x:c r="R1665" s="37" t="n">
        <x:v>0</x:v>
      </x:c>
      <x:c r="S1665" s="37" t="n">
        <x:v>0</x:v>
      </x:c>
      <x:c r="T1665" s="37" t="n">
        <x:v>0</x:v>
      </x:c>
      <x:c r="U1665" s="37" t="n">
        <x:v>31805.80415342993</x:v>
      </x:c>
      <x:c r="V1665" s="37" t="n">
        <x:v>0</x:v>
      </x:c>
      <x:c r="W1665" s="37" t="n">
        <x:v>146764.19480043277</x:v>
      </x:c>
      <x:c r="X1665" s="37" t="n">
        <x:v>0</x:v>
      </x:c>
      <x:c r="Y1665" s="37" t="n">
        <x:v>2148.4243093252817</x:v>
      </x:c>
      <x:c r="Z1665" s="37" t="n">
        <x:v>10222250.769314723</x:v>
      </x:c>
      <x:c r="AA1665" s="37" t="n">
        <x:v>0</x:v>
      </x:c>
      <x:c r="AB1665" s="37" t="n">
        <x:v>10222250.769314723</x:v>
      </x:c>
      <x:c r="AC1665" s="37" t="n">
        <x:v>1073412.5447099078</x:v>
      </x:c>
      <x:c r="AD1665" s="37" t="n">
        <x:v>0</x:v>
      </x:c>
      <x:c r="AE1665" s="37" t="n">
        <x:v>0</x:v>
      </x:c>
      <x:c r="AF1665" s="47" t="b">
        <x:v>0</x:v>
      </x:c>
      <x:c r="AG1665" s="47" t="b">
        <x:v>0</x:v>
      </x:c>
      <x:c r="AH1665" s="48" t="n">
        <x:v>0</x:v>
      </x:c>
      <x:c r="AI1665" s="48" t="n">
        <x:v>1.1920928955078125e-7</x:v>
      </x:c>
      <x:c r="AJ1665" s="37" t="str">
        <x:v>passed</x:v>
      </x:c>
    </x:row>
    <x:row r="1666" ht="21" customHeight="1">
      <x:c r="A1666" s="2"/>
      <x:c r="B1666" s="2"/>
      <x:c r="C1666" s="2" t="str">
        <x:v>2023</x:v>
      </x:c>
      <x:c r="D1666" s="5" t="n">
        <x:v>45167</x:v>
      </x:c>
      <x:c r="E1666" s="2" t="str">
        <x:v>constrained</x:v>
      </x:c>
      <x:c r="F1666" s="37" t="n">
        <x:v>11725928.146858787</x:v>
      </x:c>
      <x:c r="G1666" s="37" t="n">
        <x:v>53912.69215069315</x:v>
      </x:c>
      <x:c r="H1666" s="37" t="n">
        <x:v>-17651.05552734967</x:v>
      </x:c>
      <x:c r="I1666" s="37" t="n">
        <x:v>71563.74767804281</x:v>
      </x:c>
      <x:c r="J1666" s="37" t="n">
        <x:v>10519790.69508496</x:v>
      </x:c>
      <x:c r="K1666" s="37" t="n">
        <x:v>10465878.002934266</x:v>
      </x:c>
      <x:c r="L1666" s="37" t="n">
        <x:v>11779840.83900948</x:v>
      </x:c>
      <x:c r="M1666" s="37" t="n">
        <x:v>0</x:v>
      </x:c>
      <x:c r="N1666" s="37" t="n">
        <x:v>0</x:v>
      </x:c>
      <x:c r="O1666" s="37" t="n">
        <x:v>642.481406327337</x:v>
      </x:c>
      <x:c r="P1666" s="37" t="n">
        <x:v>0</x:v>
      </x:c>
      <x:c r="Q1666" s="37" t="n">
        <x:v>0</x:v>
      </x:c>
      <x:c r="R1666" s="37" t="n">
        <x:v>0</x:v>
      </x:c>
      <x:c r="S1666" s="37" t="n">
        <x:v>0</x:v>
      </x:c>
      <x:c r="T1666" s="37" t="n">
        <x:v>0</x:v>
      </x:c>
      <x:c r="U1666" s="37" t="n">
        <x:v>30720.44529747225</x:v>
      </x:c>
      <x:c r="V1666" s="37" t="n">
        <x:v>0</x:v>
      </x:c>
      <x:c r="W1666" s="37" t="n">
        <x:v>153016.24576433375</x:v>
      </x:c>
      <x:c r="X1666" s="37" t="n">
        <x:v>0</x:v>
      </x:c>
      <x:c r="Y1666" s="37" t="n">
        <x:v>2172.0174893282365</x:v>
      </x:c>
      <x:c r="Z1666" s="37" t="n">
        <x:v>10675195.56299295</x:v>
      </x:c>
      <x:c r="AA1666" s="37" t="n">
        <x:v>0</x:v>
      </x:c>
      <x:c r="AB1666" s="37" t="n">
        <x:v>10675195.56299295</x:v>
      </x:c>
      <x:c r="AC1666" s="37" t="n">
        <x:v>1050732.5838658363</x:v>
      </x:c>
      <x:c r="AD1666" s="37" t="n">
        <x:v>0</x:v>
      </x:c>
      <x:c r="AE1666" s="37" t="n">
        <x:v>0</x:v>
      </x:c>
      <x:c r="AF1666" s="47" t="b">
        <x:v>0</x:v>
      </x:c>
      <x:c r="AG1666" s="47" t="b">
        <x:v>0</x:v>
      </x:c>
      <x:c r="AH1666" s="48" t="n">
        <x:v>0</x:v>
      </x:c>
      <x:c r="AI1666" s="48" t="n">
        <x:v>1.1920928955078125e-7</x:v>
      </x:c>
      <x:c r="AJ1666" s="37" t="str">
        <x:v>passed</x:v>
      </x:c>
    </x:row>
    <x:row r="1667" ht="21" customHeight="1">
      <x:c r="A1667" s="2"/>
      <x:c r="B1667" s="2"/>
      <x:c r="C1667" s="2" t="str">
        <x:v>2023</x:v>
      </x:c>
      <x:c r="D1667" s="5" t="n">
        <x:v>45168</x:v>
      </x:c>
      <x:c r="E1667" s="2" t="str">
        <x:v>unhedged</x:v>
      </x:c>
      <x:c r="F1667" s="37" t="n">
        <x:v>1316621.7155439935</x:v>
      </x:c>
      <x:c r="G1667" s="37" t="n">
        <x:v>10424978.748151846</x:v>
      </x:c>
      <x:c r="H1667" s="37" t="n">
        <x:v>20461.956521739132</x:v>
      </x:c>
      <x:c r="I1667" s="37" t="n">
        <x:v>10404516.791630108</x:v>
      </x:c>
      <x:c r="J1667" s="37" t="n">
        <x:v>10424978.748151846</x:v>
      </x:c>
      <x:c r="K1667" s="37" t="n">
        <x:v>0</x:v>
      </x:c>
      <x:c r="L1667" s="37" t="n">
        <x:v>11741600.463695839</x:v>
      </x:c>
      <x:c r="M1667" s="37" t="n">
        <x:v>0</x:v>
      </x:c>
      <x:c r="N1667" s="37" t="n">
        <x:v>0</x:v>
      </x:c>
      <x:c r="O1667" s="37" t="n">
        <x:v>72.13970278576016</x:v>
      </x:c>
      <x:c r="P1667" s="37" t="n">
        <x:v>0</x:v>
      </x:c>
      <x:c r="Q1667" s="37" t="n">
        <x:v>0</x:v>
      </x:c>
      <x:c r="R1667" s="37" t="n">
        <x:v>0</x:v>
      </x:c>
      <x:c r="S1667" s="37" t="n">
        <x:v>0</x:v>
      </x:c>
      <x:c r="T1667" s="37" t="n">
        <x:v>0</x:v>
      </x:c>
      <x:c r="U1667" s="37" t="n">
        <x:v>101250</x:v>
      </x:c>
      <x:c r="V1667" s="37" t="n">
        <x:v>0</x:v>
      </x:c>
      <x:c r="W1667" s="37" t="n">
        <x:v>16414.584886115743</x:v>
      </x:c>
      <x:c r="X1667" s="37" t="n">
        <x:v>0</x:v>
      </x:c>
      <x:c r="Y1667" s="37" t="n">
        <x:v>1042.869342122179</x:v>
      </x:c>
      <x:c r="Z1667" s="37" t="n">
        <x:v>0</x:v>
      </x:c>
      <x:c r="AA1667" s="37" t="n">
        <x:v>0</x:v>
      </x:c>
      <x:c r="AB1667" s="37" t="n">
        <x:v>0</x:v>
      </x:c>
      <x:c r="AC1667" s="37" t="n">
        <x:v>1316621.7155439935</x:v>
      </x:c>
      <x:c r="AD1667" s="37" t="n">
        <x:v>0</x:v>
      </x:c>
      <x:c r="AE1667" s="37" t="n">
        <x:v>0</x:v>
      </x:c>
      <x:c r="AF1667" s="47" t="b">
        <x:v>0</x:v>
      </x:c>
      <x:c r="AG1667" s="47" t="b">
        <x:v>0</x:v>
      </x:c>
      <x:c r="AH1667" s="48" t="n">
        <x:v>0</x:v>
      </x:c>
      <x:c r="AI1667" s="48" t="n">
        <x:v>1.1920928955078125e-7</x:v>
      </x:c>
      <x:c r="AJ1667" s="37" t="str">
        <x:v>passed</x:v>
      </x:c>
    </x:row>
    <x:row r="1668" ht="21" customHeight="1">
      <x:c r="A1668" s="2"/>
      <x:c r="B1668" s="2"/>
      <x:c r="C1668" s="2" t="str">
        <x:v>2023</x:v>
      </x:c>
      <x:c r="D1668" s="5" t="n">
        <x:v>45168</x:v>
      </x:c>
      <x:c r="E1668" s="2" t="str">
        <x:v>duration</x:v>
      </x:c>
      <x:c r="F1668" s="37" t="n">
        <x:v>7662062.726747008</x:v>
      </x:c>
      <x:c r="G1668" s="37" t="n">
        <x:v>4163135.5039892155</x:v>
      </x:c>
      <x:c r="H1668" s="37" t="n">
        <x:v>-10383.50692688461</x:v>
      </x:c>
      <x:c r="I1668" s="37" t="n">
        <x:v>4173519.0109161</x:v>
      </x:c>
      <x:c r="J1668" s="37" t="n">
        <x:v>10424978.748151846</x:v>
      </x:c>
      <x:c r="K1668" s="37" t="n">
        <x:v>6261843.244162631</x:v>
      </x:c>
      <x:c r="L1668" s="37" t="n">
        <x:v>11825198.230736224</x:v>
      </x:c>
      <x:c r="M1668" s="37" t="n">
        <x:v>0</x:v>
      </x:c>
      <x:c r="N1668" s="37" t="n">
        <x:v>0</x:v>
      </x:c>
      <x:c r="O1668" s="37" t="n">
        <x:v>419.81604990176857</x:v>
      </x:c>
      <x:c r="P1668" s="37" t="n">
        <x:v>0</x:v>
      </x:c>
      <x:c r="Q1668" s="37" t="n">
        <x:v>0</x:v>
      </x:c>
      <x:c r="R1668" s="37" t="n">
        <x:v>0</x:v>
      </x:c>
      <x:c r="S1668" s="37" t="n">
        <x:v>0</x:v>
      </x:c>
      <x:c r="T1668" s="37" t="n">
        <x:v>0</x:v>
      </x:c>
      <x:c r="U1668" s="37" t="n">
        <x:v>47417.381478397</x:v>
      </x:c>
      <x:c r="V1668" s="37" t="n">
        <x:v>0</x:v>
      </x:c>
      <x:c r="W1668" s="37" t="n">
        <x:v>101075.76310893614</x:v>
      </x:c>
      <x:c r="X1668" s="37" t="n">
        <x:v>0</x:v>
      </x:c>
      <x:c r="Y1668" s="37" t="n">
        <x:v>1734.6966441846707</x:v>
      </x:c>
      <x:c r="Z1668" s="37" t="n">
        <x:v>6387080.109045884</x:v>
      </x:c>
      <x:c r="AA1668" s="37" t="n">
        <x:v>0</x:v>
      </x:c>
      <x:c r="AB1668" s="37" t="n">
        <x:v>6387080.109045884</x:v>
      </x:c>
      <x:c r="AC1668" s="37" t="n">
        <x:v>1274982.6177011244</x:v>
      </x:c>
      <x:c r="AD1668" s="37" t="n">
        <x:v>0</x:v>
      </x:c>
      <x:c r="AE1668" s="37" t="n">
        <x:v>0</x:v>
      </x:c>
      <x:c r="AF1668" s="47" t="b">
        <x:v>0</x:v>
      </x:c>
      <x:c r="AG1668" s="47" t="b">
        <x:v>0</x:v>
      </x:c>
      <x:c r="AH1668" s="48" t="n">
        <x:v>0</x:v>
      </x:c>
      <x:c r="AI1668" s="48" t="n">
        <x:v>5.960464477539063e-8</x:v>
      </x:c>
      <x:c r="AJ1668" s="37" t="str">
        <x:v>passed</x:v>
      </x:c>
    </x:row>
    <x:row r="1669" ht="21" customHeight="1">
      <x:c r="A1669" s="2"/>
      <x:c r="B1669" s="2"/>
      <x:c r="C1669" s="2" t="str">
        <x:v>2023</x:v>
      </x:c>
      <x:c r="D1669" s="5" t="n">
        <x:v>45168</x:v>
      </x:c>
      <x:c r="E1669" s="2" t="str">
        <x:v>unweighted</x:v>
      </x:c>
      <x:c r="F1669" s="37" t="n">
        <x:v>11296282.254480194</x:v>
      </x:c>
      <x:c r="G1669" s="37" t="n">
        <x:v>494188.1241046417</x:v>
      </x:c>
      <x:c r="H1669" s="37" t="n">
        <x:v>-17361.93494207169</x:v>
      </x:c>
      <x:c r="I1669" s="37" t="n">
        <x:v>511550.0590467134</x:v>
      </x:c>
      <x:c r="J1669" s="37" t="n">
        <x:v>10510245.099690648</x:v>
      </x:c>
      <x:c r="K1669" s="37" t="n">
        <x:v>10016056.975586005</x:v>
      </x:c>
      <x:c r="L1669" s="37" t="n">
        <x:v>11790470.378584836</x:v>
      </x:c>
      <x:c r="M1669" s="37" t="n">
        <x:v>0</x:v>
      </x:c>
      <x:c r="N1669" s="37" t="n">
        <x:v>0</x:v>
      </x:c>
      <x:c r="O1669" s="37" t="n">
        <x:v>618.9404555633664</x:v>
      </x:c>
      <x:c r="P1669" s="37" t="n">
        <x:v>0</x:v>
      </x:c>
      <x:c r="Q1669" s="37" t="n">
        <x:v>0</x:v>
      </x:c>
      <x:c r="R1669" s="37" t="n">
        <x:v>0</x:v>
      </x:c>
      <x:c r="S1669" s="37" t="n">
        <x:v>0</x:v>
      </x:c>
      <x:c r="T1669" s="37" t="n">
        <x:v>0</x:v>
      </x:c>
      <x:c r="U1669" s="37" t="n">
        <x:v>31805.80415342993</x:v>
      </x:c>
      <x:c r="V1669" s="37" t="n">
        <x:v>0</x:v>
      </x:c>
      <x:c r="W1669" s="37" t="n">
        <x:v>147383.13525599614</x:v>
      </x:c>
      <x:c r="X1669" s="37" t="n">
        <x:v>0</x:v>
      </x:c>
      <x:c r="Y1669" s="37" t="n">
        <x:v>2148.4243093252817</x:v>
      </x:c>
      <x:c r="Z1669" s="37" t="n">
        <x:v>10216378.115097724</x:v>
      </x:c>
      <x:c r="AA1669" s="37" t="n">
        <x:v>0</x:v>
      </x:c>
      <x:c r="AB1669" s="37" t="n">
        <x:v>10216378.115097724</x:v>
      </x:c>
      <x:c r="AC1669" s="37" t="n">
        <x:v>1079904.1393824704</x:v>
      </x:c>
      <x:c r="AD1669" s="37" t="n">
        <x:v>0</x:v>
      </x:c>
      <x:c r="AE1669" s="37" t="n">
        <x:v>0</x:v>
      </x:c>
      <x:c r="AF1669" s="47" t="b">
        <x:v>0</x:v>
      </x:c>
      <x:c r="AG1669" s="47" t="b">
        <x:v>0</x:v>
      </x:c>
      <x:c r="AH1669" s="48" t="n">
        <x:v>0</x:v>
      </x:c>
      <x:c r="AI1669" s="48" t="n">
        <x:v>1.1920928955078125e-7</x:v>
      </x:c>
      <x:c r="AJ1669" s="37" t="str">
        <x:v>passed</x:v>
      </x:c>
    </x:row>
    <x:row r="1670" ht="21" customHeight="1">
      <x:c r="A1670" s="2"/>
      <x:c r="B1670" s="2"/>
      <x:c r="C1670" s="2" t="str">
        <x:v>2023</x:v>
      </x:c>
      <x:c r="D1670" s="5" t="n">
        <x:v>45168</x:v>
      </x:c>
      <x:c r="E1670" s="2" t="str">
        <x:v>constrained</x:v>
      </x:c>
      <x:c r="F1670" s="37" t="n">
        <x:v>11726570.663469575</x:v>
      </x:c>
      <x:c r="G1670" s="37" t="n">
        <x:v>54138.0346264805</x:v>
      </x:c>
      <x:c r="H1670" s="37" t="n">
        <x:v>-17686.009721466507</x:v>
      </x:c>
      <x:c r="I1670" s="37" t="n">
        <x:v>71824.044347947</x:v>
      </x:c>
      <x:c r="J1670" s="37" t="n">
        <x:v>10514398.88016778</x:v>
      </x:c>
      <x:c r="K1670" s="37" t="n">
        <x:v>10460260.845541298</x:v>
      </x:c>
      <x:c r="L1670" s="37" t="n">
        <x:v>11780708.698096056</x:v>
      </x:c>
      <x:c r="M1670" s="37" t="n">
        <x:v>0</x:v>
      </x:c>
      <x:c r="N1670" s="37" t="n">
        <x:v>0</x:v>
      </x:c>
      <x:c r="O1670" s="37" t="n">
        <x:v>642.5166107881814</x:v>
      </x:c>
      <x:c r="P1670" s="37" t="n">
        <x:v>0</x:v>
      </x:c>
      <x:c r="Q1670" s="37" t="n">
        <x:v>0</x:v>
      </x:c>
      <x:c r="R1670" s="37" t="n">
        <x:v>0</x:v>
      </x:c>
      <x:c r="S1670" s="37" t="n">
        <x:v>0</x:v>
      </x:c>
      <x:c r="T1670" s="37" t="n">
        <x:v>0</x:v>
      </x:c>
      <x:c r="U1670" s="37" t="n">
        <x:v>30720.44529747225</x:v>
      </x:c>
      <x:c r="V1670" s="37" t="n">
        <x:v>0</x:v>
      </x:c>
      <x:c r="W1670" s="37" t="n">
        <x:v>153658.76237512194</x:v>
      </x:c>
      <x:c r="X1670" s="37" t="n">
        <x:v>0</x:v>
      </x:c>
      <x:c r="Y1670" s="37" t="n">
        <x:v>2172.0174893282365</x:v>
      </x:c>
      <x:c r="Z1670" s="37" t="n">
        <x:v>10669466.062452124</x:v>
      </x:c>
      <x:c r="AA1670" s="37" t="n">
        <x:v>0</x:v>
      </x:c>
      <x:c r="AB1670" s="37" t="n">
        <x:v>10669466.062452124</x:v>
      </x:c>
      <x:c r="AC1670" s="37" t="n">
        <x:v>1057104.601017451</x:v>
      </x:c>
      <x:c r="AD1670" s="37" t="n">
        <x:v>0</x:v>
      </x:c>
      <x:c r="AE1670" s="37" t="n">
        <x:v>0</x:v>
      </x:c>
      <x:c r="AF1670" s="47" t="b">
        <x:v>0</x:v>
      </x:c>
      <x:c r="AG1670" s="47" t="b">
        <x:v>0</x:v>
      </x:c>
      <x:c r="AH1670" s="48" t="n">
        <x:v>0</x:v>
      </x:c>
      <x:c r="AI1670" s="48" t="n">
        <x:v>1.1920928955078125e-7</x:v>
      </x:c>
      <x:c r="AJ1670" s="37" t="str">
        <x:v>passed</x:v>
      </x:c>
    </x:row>
    <x:row r="1671" ht="21" customHeight="1">
      <x:c r="A1671" s="2"/>
      <x:c r="B1671" s="2"/>
      <x:c r="C1671" s="2" t="str">
        <x:v>2023</x:v>
      </x:c>
      <x:c r="D1671" s="5" t="n">
        <x:v>45169</x:v>
      </x:c>
      <x:c r="E1671" s="2" t="str">
        <x:v>unhedged</x:v>
      </x:c>
      <x:c r="F1671" s="37" t="n">
        <x:v>1316693.8591996399</x:v>
      </x:c>
      <x:c r="G1671" s="37" t="n">
        <x:v>10440878.37152878</x:v>
      </x:c>
      <x:c r="H1671" s="37" t="n">
        <x:v>20808.42391304348</x:v>
      </x:c>
      <x:c r="I1671" s="37" t="n">
        <x:v>10420069.947615737</x:v>
      </x:c>
      <x:c r="J1671" s="37" t="n">
        <x:v>10440878.37152878</x:v>
      </x:c>
      <x:c r="K1671" s="37" t="n">
        <x:v>0</x:v>
      </x:c>
      <x:c r="L1671" s="37" t="n">
        <x:v>11757572.23072842</x:v>
      </x:c>
      <x:c r="M1671" s="37" t="n">
        <x:v>0</x:v>
      </x:c>
      <x:c r="N1671" s="37" t="n">
        <x:v>0</x:v>
      </x:c>
      <x:c r="O1671" s="37" t="n">
        <x:v>72.14365564635955</x:v>
      </x:c>
      <x:c r="P1671" s="37" t="n">
        <x:v>0</x:v>
      </x:c>
      <x:c r="Q1671" s="37" t="n">
        <x:v>0</x:v>
      </x:c>
      <x:c r="R1671" s="37" t="n">
        <x:v>0</x:v>
      </x:c>
      <x:c r="S1671" s="37" t="n">
        <x:v>0</x:v>
      </x:c>
      <x:c r="T1671" s="37" t="n">
        <x:v>0</x:v>
      </x:c>
      <x:c r="U1671" s="37" t="n">
        <x:v>101250</x:v>
      </x:c>
      <x:c r="V1671" s="37" t="n">
        <x:v>0</x:v>
      </x:c>
      <x:c r="W1671" s="37" t="n">
        <x:v>16486.728541762102</x:v>
      </x:c>
      <x:c r="X1671" s="37" t="n">
        <x:v>0</x:v>
      </x:c>
      <x:c r="Y1671" s="37" t="n">
        <x:v>1042.869342122179</x:v>
      </x:c>
      <x:c r="Z1671" s="37" t="n">
        <x:v>0</x:v>
      </x:c>
      <x:c r="AA1671" s="37" t="n">
        <x:v>0</x:v>
      </x:c>
      <x:c r="AB1671" s="37" t="n">
        <x:v>0</x:v>
      </x:c>
      <x:c r="AC1671" s="37" t="n">
        <x:v>1316693.8591996399</x:v>
      </x:c>
      <x:c r="AD1671" s="37" t="n">
        <x:v>0</x:v>
      </x:c>
      <x:c r="AE1671" s="37" t="n">
        <x:v>0</x:v>
      </x:c>
      <x:c r="AF1671" s="47" t="b">
        <x:v>0</x:v>
      </x:c>
      <x:c r="AG1671" s="47" t="b">
        <x:v>0</x:v>
      </x:c>
      <x:c r="AH1671" s="48" t="n">
        <x:v>0</x:v>
      </x:c>
      <x:c r="AI1671" s="48" t="n">
        <x:v>1.1920928955078125e-7</x:v>
      </x:c>
      <x:c r="AJ1671" s="37" t="str">
        <x:v>passed</x:v>
      </x:c>
    </x:row>
    <x:row r="1672" ht="21" customHeight="1">
      <x:c r="A1672" s="2"/>
      <x:c r="B1672" s="2"/>
      <x:c r="C1672" s="2" t="str">
        <x:v>2023</x:v>
      </x:c>
      <x:c r="D1672" s="5" t="n">
        <x:v>45169</x:v>
      </x:c>
      <x:c r="E1672" s="2" t="str">
        <x:v>duration</x:v>
      </x:c>
      <x:c r="F1672" s="37" t="n">
        <x:v>7662482.565800529</x:v>
      </x:c>
      <x:c r="G1672" s="37" t="n">
        <x:v>4164781.1332900734</x:v>
      </x:c>
      <x:c r="H1672" s="37" t="n">
        <x:v>-10325.314894913197</x:v>
      </x:c>
      <x:c r="I1672" s="37" t="n">
        <x:v>4175106.4481849866</x:v>
      </x:c>
      <x:c r="J1672" s="37" t="n">
        <x:v>10440878.37152878</x:v>
      </x:c>
      <x:c r="K1672" s="37" t="n">
        <x:v>6276097.238238707</x:v>
      </x:c>
      <x:c r="L1672" s="37" t="n">
        <x:v>11827263.699090602</x:v>
      </x:c>
      <x:c r="M1672" s="37" t="n">
        <x:v>0</x:v>
      </x:c>
      <x:c r="N1672" s="37" t="n">
        <x:v>0</x:v>
      </x:c>
      <x:c r="O1672" s="37" t="n">
        <x:v>419.8390535209328</x:v>
      </x:c>
      <x:c r="P1672" s="37" t="n">
        <x:v>0</x:v>
      </x:c>
      <x:c r="Q1672" s="37" t="n">
        <x:v>0</x:v>
      </x:c>
      <x:c r="R1672" s="37" t="n">
        <x:v>0</x:v>
      </x:c>
      <x:c r="S1672" s="37" t="n">
        <x:v>0</x:v>
      </x:c>
      <x:c r="T1672" s="37" t="n">
        <x:v>0</x:v>
      </x:c>
      <x:c r="U1672" s="37" t="n">
        <x:v>47417.381478397</x:v>
      </x:c>
      <x:c r="V1672" s="37" t="n">
        <x:v>0</x:v>
      </x:c>
      <x:c r="W1672" s="37" t="n">
        <x:v>101495.60216245707</x:v>
      </x:c>
      <x:c r="X1672" s="37" t="n">
        <x:v>0</x:v>
      </x:c>
      <x:c r="Y1672" s="37" t="n">
        <x:v>1734.6966441846707</x:v>
      </x:c>
      <x:c r="Z1672" s="37" t="n">
        <x:v>6401619.1830034815</x:v>
      </x:c>
      <x:c r="AA1672" s="37" t="n">
        <x:v>0</x:v>
      </x:c>
      <x:c r="AB1672" s="37" t="n">
        <x:v>6401619.1830034815</x:v>
      </x:c>
      <x:c r="AC1672" s="37" t="n">
        <x:v>1260863.3827970475</x:v>
      </x:c>
      <x:c r="AD1672" s="37" t="n">
        <x:v>0</x:v>
      </x:c>
      <x:c r="AE1672" s="37" t="n">
        <x:v>0</x:v>
      </x:c>
      <x:c r="AF1672" s="47" t="b">
        <x:v>0</x:v>
      </x:c>
      <x:c r="AG1672" s="47" t="b">
        <x:v>0</x:v>
      </x:c>
      <x:c r="AH1672" s="48" t="n">
        <x:v>0</x:v>
      </x:c>
      <x:c r="AI1672" s="48" t="n">
        <x:v>5.960464477539063e-8</x:v>
      </x:c>
      <x:c r="AJ1672" s="37" t="str">
        <x:v>passed</x:v>
      </x:c>
    </x:row>
    <x:row r="1673" ht="21" customHeight="1">
      <x:c r="A1673" s="2"/>
      <x:c r="B1673" s="2"/>
      <x:c r="C1673" s="2" t="str">
        <x:v>2023</x:v>
      </x:c>
      <x:c r="D1673" s="5" t="n">
        <x:v>45169</x:v>
      </x:c>
      <x:c r="E1673" s="2" t="str">
        <x:v>unweighted</x:v>
      </x:c>
      <x:c r="F1673" s="37" t="n">
        <x:v>11296901.228850303</x:v>
      </x:c>
      <x:c r="G1673" s="37" t="n">
        <x:v>494303.5019554429</x:v>
      </x:c>
      <x:c r="H1673" s="37" t="n">
        <x:v>-17392.61422371209</x:v>
      </x:c>
      <x:c r="I1673" s="37" t="n">
        <x:v>511696.11617915495</x:v>
      </x:c>
      <x:c r="J1673" s="37" t="n">
        <x:v>10526643.286589187</x:v>
      </x:c>
      <x:c r="K1673" s="37" t="n">
        <x:v>10032339.784633745</x:v>
      </x:c>
      <x:c r="L1673" s="37" t="n">
        <x:v>11791204.730805745</x:v>
      </x:c>
      <x:c r="M1673" s="37" t="n">
        <x:v>0</x:v>
      </x:c>
      <x:c r="N1673" s="37" t="n">
        <x:v>0</x:v>
      </x:c>
      <x:c r="O1673" s="37" t="n">
        <x:v>618.9743701089174</x:v>
      </x:c>
      <x:c r="P1673" s="37" t="n">
        <x:v>0</x:v>
      </x:c>
      <x:c r="Q1673" s="37" t="n">
        <x:v>0</x:v>
      </x:c>
      <x:c r="R1673" s="37" t="n">
        <x:v>0</x:v>
      </x:c>
      <x:c r="S1673" s="37" t="n">
        <x:v>0</x:v>
      </x:c>
      <x:c r="T1673" s="37" t="n">
        <x:v>0</x:v>
      </x:c>
      <x:c r="U1673" s="37" t="n">
        <x:v>31805.80415342993</x:v>
      </x:c>
      <x:c r="V1673" s="37" t="n">
        <x:v>0</x:v>
      </x:c>
      <x:c r="W1673" s="37" t="n">
        <x:v>148002.10962610506</x:v>
      </x:c>
      <x:c r="X1673" s="37" t="n">
        <x:v>0</x:v>
      </x:c>
      <x:c r="Y1673" s="37" t="n">
        <x:v>2148.4243093252817</x:v>
      </x:c>
      <x:c r="Z1673" s="37" t="n">
        <x:v>10232986.58032642</x:v>
      </x:c>
      <x:c r="AA1673" s="37" t="n">
        <x:v>0</x:v>
      </x:c>
      <x:c r="AB1673" s="37" t="n">
        <x:v>10232986.58032642</x:v>
      </x:c>
      <x:c r="AC1673" s="37" t="n">
        <x:v>1063914.648523884</x:v>
      </x:c>
      <x:c r="AD1673" s="37" t="n">
        <x:v>0</x:v>
      </x:c>
      <x:c r="AE1673" s="37" t="n">
        <x:v>0</x:v>
      </x:c>
      <x:c r="AF1673" s="47" t="b">
        <x:v>0</x:v>
      </x:c>
      <x:c r="AG1673" s="47" t="b">
        <x:v>0</x:v>
      </x:c>
      <x:c r="AH1673" s="48" t="n">
        <x:v>0</x:v>
      </x:c>
      <x:c r="AI1673" s="48" t="n">
        <x:v>1.1920928955078125e-7</x:v>
      </x:c>
      <x:c r="AJ1673" s="37" t="str">
        <x:v>passed</x:v>
      </x:c>
    </x:row>
    <x:row r="1674" ht="21" customHeight="1">
      <x:c r="A1674" s="2"/>
      <x:c r="B1674" s="2"/>
      <x:c r="C1674" s="2" t="str">
        <x:v>2023</x:v>
      </x:c>
      <x:c r="D1674" s="5" t="n">
        <x:v>45169</x:v>
      </x:c>
      <x:c r="E1674" s="2" t="str">
        <x:v>constrained</x:v>
      </x:c>
      <x:c r="F1674" s="37" t="n">
        <x:v>11727213.215286752</x:v>
      </x:c>
      <x:c r="G1674" s="37" t="n">
        <x:v>54364.71440542486</x:v>
      </x:c>
      <x:c r="H1674" s="37" t="n">
        <x:v>-17720.96391558335</x:v>
      </x:c>
      <x:c r="I1674" s="37" t="n">
        <x:v>72085.6783210082</x:v>
      </x:c>
      <x:c r="J1674" s="37" t="n">
        <x:v>10530821.354764637</x:v>
      </x:c>
      <x:c r="K1674" s="37" t="n">
        <x:v>10476456.640359212</x:v>
      </x:c>
      <x:c r="L1674" s="37" t="n">
        <x:v>11781577.929692177</x:v>
      </x:c>
      <x:c r="M1674" s="37" t="n">
        <x:v>0</x:v>
      </x:c>
      <x:c r="N1674" s="37" t="n">
        <x:v>0</x:v>
      </x:c>
      <x:c r="O1674" s="37" t="n">
        <x:v>642.5518171768636</x:v>
      </x:c>
      <x:c r="P1674" s="37" t="n">
        <x:v>0</x:v>
      </x:c>
      <x:c r="Q1674" s="37" t="n">
        <x:v>0</x:v>
      </x:c>
      <x:c r="R1674" s="37" t="n">
        <x:v>0</x:v>
      </x:c>
      <x:c r="S1674" s="37" t="n">
        <x:v>0</x:v>
      </x:c>
      <x:c r="T1674" s="37" t="n">
        <x:v>0</x:v>
      </x:c>
      <x:c r="U1674" s="37" t="n">
        <x:v>30720.44529747225</x:v>
      </x:c>
      <x:c r="V1674" s="37" t="n">
        <x:v>0</x:v>
      </x:c>
      <x:c r="W1674" s="37" t="n">
        <x:v>154301.3141922988</x:v>
      </x:c>
      <x:c r="X1674" s="37" t="n">
        <x:v>0</x:v>
      </x:c>
      <x:c r="Y1674" s="37" t="n">
        <x:v>2172.0174893282365</x:v>
      </x:c>
      <x:c r="Z1674" s="37" t="n">
        <x:v>10685985.773166396</x:v>
      </x:c>
      <x:c r="AA1674" s="37" t="n">
        <x:v>0</x:v>
      </x:c>
      <x:c r="AB1674" s="37" t="n">
        <x:v>10685985.773166396</x:v>
      </x:c>
      <x:c r="AC1674" s="37" t="n">
        <x:v>1041227.4421203565</x:v>
      </x:c>
      <x:c r="AD1674" s="37" t="n">
        <x:v>0</x:v>
      </x:c>
      <x:c r="AE1674" s="37" t="n">
        <x:v>0</x:v>
      </x:c>
      <x:c r="AF1674" s="47" t="b">
        <x:v>0</x:v>
      </x:c>
      <x:c r="AG1674" s="47" t="b">
        <x:v>0</x:v>
      </x:c>
      <x:c r="AH1674" s="48" t="n">
        <x:v>0</x:v>
      </x:c>
      <x:c r="AI1674" s="48" t="n">
        <x:v>1.1920928955078125e-7</x:v>
      </x:c>
      <x:c r="AJ1674" s="37" t="str">
        <x:v>passed</x:v>
      </x:c>
    </x:row>
    <x:row r="1675" ht="21" customHeight="1">
      <x:c r="A1675" s="2"/>
      <x:c r="B1675" s="2"/>
      <x:c r="C1675" s="2" t="str">
        <x:v>2023</x:v>
      </x:c>
      <x:c r="D1675" s="5" t="n">
        <x:v>45170</x:v>
      </x:c>
      <x:c r="E1675" s="2" t="str">
        <x:v>unhedged</x:v>
      </x:c>
      <x:c r="F1675" s="37" t="n">
        <x:v>1316766.0068083631</x:v>
      </x:c>
      <x:c r="G1675" s="37" t="n">
        <x:v>10409021.908207964</x:v>
      </x:c>
      <x:c r="H1675" s="37" t="n">
        <x:v>21154.891304347828</x:v>
      </x:c>
      <x:c r="I1675" s="37" t="n">
        <x:v>10387867.016903616</x:v>
      </x:c>
      <x:c r="J1675" s="37" t="n">
        <x:v>10409021.908207964</x:v>
      </x:c>
      <x:c r="K1675" s="37" t="n">
        <x:v>0</x:v>
      </x:c>
      <x:c r="L1675" s="37" t="n">
        <x:v>11725787.915016327</x:v>
      </x:c>
      <x:c r="M1675" s="37" t="n">
        <x:v>0</x:v>
      </x:c>
      <x:c r="N1675" s="37" t="n">
        <x:v>0</x:v>
      </x:c>
      <x:c r="O1675" s="37" t="n">
        <x:v>72.1476087232586</x:v>
      </x:c>
      <x:c r="P1675" s="37" t="n">
        <x:v>0</x:v>
      </x:c>
      <x:c r="Q1675" s="37" t="n">
        <x:v>0</x:v>
      </x:c>
      <x:c r="R1675" s="37" t="n">
        <x:v>0</x:v>
      </x:c>
      <x:c r="S1675" s="37" t="n">
        <x:v>0</x:v>
      </x:c>
      <x:c r="T1675" s="37" t="n">
        <x:v>0</x:v>
      </x:c>
      <x:c r="U1675" s="37" t="n">
        <x:v>101250</x:v>
      </x:c>
      <x:c r="V1675" s="37" t="n">
        <x:v>0</x:v>
      </x:c>
      <x:c r="W1675" s="37" t="n">
        <x:v>16558.87615048536</x:v>
      </x:c>
      <x:c r="X1675" s="37" t="n">
        <x:v>0</x:v>
      </x:c>
      <x:c r="Y1675" s="37" t="n">
        <x:v>1042.869342122179</x:v>
      </x:c>
      <x:c r="Z1675" s="37" t="n">
        <x:v>0</x:v>
      </x:c>
      <x:c r="AA1675" s="37" t="n">
        <x:v>0</x:v>
      </x:c>
      <x:c r="AB1675" s="37" t="n">
        <x:v>0</x:v>
      </x:c>
      <x:c r="AC1675" s="37" t="n">
        <x:v>1316766.0068083631</x:v>
      </x:c>
      <x:c r="AD1675" s="37" t="n">
        <x:v>0</x:v>
      </x:c>
      <x:c r="AE1675" s="37" t="n">
        <x:v>0</x:v>
      </x:c>
      <x:c r="AF1675" s="47" t="b">
        <x:v>0</x:v>
      </x:c>
      <x:c r="AG1675" s="47" t="b">
        <x:v>0</x:v>
      </x:c>
      <x:c r="AH1675" s="48" t="n">
        <x:v>0</x:v>
      </x:c>
      <x:c r="AI1675" s="48" t="n">
        <x:v>1.1920928955078125e-7</x:v>
      </x:c>
      <x:c r="AJ1675" s="37" t="str">
        <x:v>passed</x:v>
      </x:c>
    </x:row>
    <x:row r="1676" ht="21" customHeight="1">
      <x:c r="A1676" s="2"/>
      <x:c r="B1676" s="2"/>
      <x:c r="C1676" s="2" t="str">
        <x:v>2023</x:v>
      </x:c>
      <x:c r="D1676" s="5" t="n">
        <x:v>45170</x:v>
      </x:c>
      <x:c r="E1676" s="2" t="str">
        <x:v>duration</x:v>
      </x:c>
      <x:c r="F1676" s="37" t="n">
        <x:v>7631163.13710339</x:v>
      </x:c>
      <x:c r="G1676" s="37" t="n">
        <x:v>4203951.197852265</x:v>
      </x:c>
      <x:c r="H1676" s="37" t="n">
        <x:v>-10107.23131104842</x:v>
      </x:c>
      <x:c r="I1676" s="37" t="n">
        <x:v>4214058.4291633135</x:v>
      </x:c>
      <x:c r="J1676" s="37" t="n">
        <x:v>10409021.908207964</x:v>
      </x:c>
      <x:c r="K1676" s="37" t="n">
        <x:v>6205070.7103557</x:v>
      </x:c>
      <x:c r="L1676" s="37" t="n">
        <x:v>11835114.334955655</x:v>
      </x:c>
      <x:c r="M1676" s="37" t="n">
        <x:v>0</x:v>
      </x:c>
      <x:c r="N1676" s="37" t="n">
        <x:v>0</x:v>
      </x:c>
      <x:c r="O1676" s="37" t="n">
        <x:v>419.86205840017647</x:v>
      </x:c>
      <x:c r="P1676" s="37" t="n">
        <x:v>0</x:v>
      </x:c>
      <x:c r="Q1676" s="37" t="n">
        <x:v>3.1736117143825058</x:v>
      </x:c>
      <x:c r="R1676" s="37" t="n">
        <x:v>-31736.117143825057</x:v>
      </x:c>
      <x:c r="S1676" s="37" t="n">
        <x:v>31736.117143825057</x:v>
      </x:c>
      <x:c r="T1676" s="37" t="n">
        <x:v>0</x:v>
      </x:c>
      <x:c r="U1676" s="37" t="n">
        <x:v>47417.381478397</x:v>
      </x:c>
      <x:c r="V1676" s="37" t="n">
        <x:v>0</x:v>
      </x:c>
      <x:c r="W1676" s="37" t="n">
        <x:v>101915.46422085725</x:v>
      </x:c>
      <x:c r="X1676" s="37" t="n">
        <x:v>0</x:v>
      </x:c>
      <x:c r="Y1676" s="37" t="n">
        <x:v>1737.8702558990533</x:v>
      </x:c>
      <x:c r="Z1676" s="37" t="n">
        <x:v>6329172.124562814</x:v>
      </x:c>
      <x:c r="AA1676" s="37" t="n">
        <x:v>0</x:v>
      </x:c>
      <x:c r="AB1676" s="37" t="n">
        <x:v>6329172.124562814</x:v>
      </x:c>
      <x:c r="AC1676" s="37" t="n">
        <x:v>1301991.012540576</x:v>
      </x:c>
      <x:c r="AD1676" s="37" t="n">
        <x:v>0</x:v>
      </x:c>
      <x:c r="AE1676" s="37" t="n">
        <x:v>0</x:v>
      </x:c>
      <x:c r="AF1676" s="47" t="b">
        <x:v>0</x:v>
      </x:c>
      <x:c r="AG1676" s="47" t="b">
        <x:v>0</x:v>
      </x:c>
      <x:c r="AH1676" s="48" t="n">
        <x:v>2.380065033946721e-10</x:v>
      </x:c>
      <x:c r="AI1676" s="48" t="n">
        <x:v>5.960464477539063e-8</x:v>
      </x:c>
      <x:c r="AJ1676" s="37" t="str">
        <x:v>passed</x:v>
      </x:c>
    </x:row>
    <x:row r="1677" ht="21" customHeight="1">
      <x:c r="A1677" s="2"/>
      <x:c r="B1677" s="2"/>
      <x:c r="C1677" s="2" t="str">
        <x:v>2023</x:v>
      </x:c>
      <x:c r="D1677" s="5" t="n">
        <x:v>45170</x:v>
      </x:c>
      <x:c r="E1677" s="2" t="str">
        <x:v>unweighted</x:v>
      </x:c>
      <x:c r="F1677" s="37" t="n">
        <x:v>11157269.880316876</x:v>
      </x:c>
      <x:c r="G1677" s="37" t="n">
        <x:v>635246.715200339</x:v>
      </x:c>
      <x:c r="H1677" s="37" t="n">
        <x:v>-17349.42772251725</x:v>
      </x:c>
      <x:c r="I1677" s="37" t="n">
        <x:v>652596.1429228563</x:v>
      </x:c>
      <x:c r="J1677" s="37" t="n">
        <x:v>10504189.322558185</x:v>
      </x:c>
      <x:c r="K1677" s="37" t="n">
        <x:v>9868942.607357847</x:v>
      </x:c>
      <x:c r="L1677" s="37" t="n">
        <x:v>11792516.595517214</x:v>
      </x:c>
      <x:c r="M1677" s="37" t="n">
        <x:v>0</x:v>
      </x:c>
      <x:c r="N1677" s="37" t="n">
        <x:v>0</x:v>
      </x:c>
      <x:c r="O1677" s="37" t="n">
        <x:v>619.0082865133882</x:v>
      </x:c>
      <x:c r="P1677" s="37" t="n">
        <x:v>0</x:v>
      </x:c>
      <x:c r="Q1677" s="37" t="n">
        <x:v>23.697019034716906</x:v>
      </x:c>
      <x:c r="R1677" s="37" t="n">
        <x:v>-140226.65980090594</x:v>
      </x:c>
      <x:c r="S1677" s="37" t="n">
        <x:v>236970.19034716906</x:v>
      </x:c>
      <x:c r="T1677" s="37" t="n">
        <x:v>0</x:v>
      </x:c>
      <x:c r="U1677" s="37" t="n">
        <x:v>31805.80415342993</x:v>
      </x:c>
      <x:c r="V1677" s="37" t="n">
        <x:v>0</x:v>
      </x:c>
      <x:c r="W1677" s="37" t="n">
        <x:v>148621.11791261844</x:v>
      </x:c>
      <x:c r="X1677" s="37" t="n">
        <x:v>0</x:v>
      </x:c>
      <x:c r="Y1677" s="37" t="n">
        <x:v>2172.1213283599986</x:v>
      </x:c>
      <x:c r="Z1677" s="37" t="n">
        <x:v>10066321.459505003</x:v>
      </x:c>
      <x:c r="AA1677" s="37" t="n">
        <x:v>0</x:v>
      </x:c>
      <x:c r="AB1677" s="37" t="n">
        <x:v>10066321.459505003</x:v>
      </x:c>
      <x:c r="AC1677" s="37" t="n">
        <x:v>1090948.420811873</x:v>
      </x:c>
      <x:c r="AD1677" s="37" t="n">
        <x:v>0</x:v>
      </x:c>
      <x:c r="AE1677" s="37" t="n">
        <x:v>0</x:v>
      </x:c>
      <x:c r="AF1677" s="47" t="b">
        <x:v>0</x:v>
      </x:c>
      <x:c r="AG1677" s="47" t="b">
        <x:v>0</x:v>
      </x:c>
      <x:c r="AH1677" s="48" t="n">
        <x:v>-7.599609830322152e-11</x:v>
      </x:c>
      <x:c r="AI1677" s="48" t="n">
        <x:v>1.1920928955078125e-7</x:v>
      </x:c>
      <x:c r="AJ1677" s="37" t="str">
        <x:v>passed</x:v>
      </x:c>
    </x:row>
    <x:row r="1678" ht="21" customHeight="1">
      <x:c r="A1678" s="2"/>
      <x:c r="B1678" s="2"/>
      <x:c r="C1678" s="2" t="str">
        <x:v>2023</x:v>
      </x:c>
      <x:c r="D1678" s="5" t="n">
        <x:v>45170</x:v>
      </x:c>
      <x:c r="E1678" s="2" t="str">
        <x:v>constrained</x:v>
      </x:c>
      <x:c r="F1678" s="37" t="n">
        <x:v>11707542.65058436</x:v>
      </x:c>
      <x:c r="G1678" s="37" t="n">
        <x:v>74744.25557896782</x:v>
      </x:c>
      <x:c r="H1678" s="37" t="n">
        <x:v>-17709.844617058265</x:v>
      </x:c>
      <x:c r="I1678" s="37" t="n">
        <x:v>92454.10019602608</x:v>
      </x:c>
      <x:c r="J1678" s="37" t="n">
        <x:v>10503882.9963587</x:v>
      </x:c>
      <x:c r="K1678" s="37" t="n">
        <x:v>10429138.740779731</x:v>
      </x:c>
      <x:c r="L1678" s="37" t="n">
        <x:v>11782286.90616333</x:v>
      </x:c>
      <x:c r="M1678" s="37" t="n">
        <x:v>0</x:v>
      </x:c>
      <x:c r="N1678" s="37" t="n">
        <x:v>0</x:v>
      </x:c>
      <x:c r="O1678" s="37" t="n">
        <x:v>642.587025495246</x:v>
      </x:c>
      <x:c r="P1678" s="37" t="n">
        <x:v>0</x:v>
      </x:c>
      <x:c r="Q1678" s="37" t="n">
        <x:v>6.107815801807192</x:v>
      </x:c>
      <x:c r="R1678" s="37" t="n">
        <x:v>-20307.043912085683</x:v>
      </x:c>
      <x:c r="S1678" s="37" t="n">
        <x:v>61078.15801807191</x:v>
      </x:c>
      <x:c r="T1678" s="37" t="n">
        <x:v>0</x:v>
      </x:c>
      <x:c r="U1678" s="37" t="n">
        <x:v>30720.44529747225</x:v>
      </x:c>
      <x:c r="V1678" s="37" t="n">
        <x:v>0</x:v>
      </x:c>
      <x:c r="W1678" s="37" t="n">
        <x:v>154943.90121779405</x:v>
      </x:c>
      <x:c r="X1678" s="37" t="n">
        <x:v>0</x:v>
      </x:c>
      <x:c r="Y1678" s="37" t="n">
        <x:v>2178.1253051300437</x:v>
      </x:c>
      <x:c r="Z1678" s="37" t="n">
        <x:v>10637721.515595326</x:v>
      </x:c>
      <x:c r="AA1678" s="37" t="n">
        <x:v>0</x:v>
      </x:c>
      <x:c r="AB1678" s="37" t="n">
        <x:v>10637721.515595326</x:v>
      </x:c>
      <x:c r="AC1678" s="37" t="n">
        <x:v>1069821.1349890344</x:v>
      </x:c>
      <x:c r="AD1678" s="37" t="n">
        <x:v>0</x:v>
      </x:c>
      <x:c r="AE1678" s="37" t="n">
        <x:v>0</x:v>
      </x:c>
      <x:c r="AF1678" s="47" t="b">
        <x:v>0</x:v>
      </x:c>
      <x:c r="AG1678" s="47" t="b">
        <x:v>0</x:v>
      </x:c>
      <x:c r="AH1678" s="48" t="n">
        <x:v>6.193658919073641e-10</x:v>
      </x:c>
      <x:c r="AI1678" s="48" t="n">
        <x:v>1.1920928955078125e-7</x:v>
      </x:c>
      <x:c r="AJ1678" s="37" t="str">
        <x:v>passed</x:v>
      </x:c>
    </x:row>
    <x:row r="1679" ht="21" customHeight="1">
      <x:c r="A1679" s="2"/>
      <x:c r="B1679" s="2"/>
      <x:c r="C1679" s="2" t="str">
        <x:v>2023</x:v>
      </x:c>
      <x:c r="D1679" s="5" t="n">
        <x:v>45174</x:v>
      </x:c>
      <x:c r="E1679" s="2" t="str">
        <x:v>unhedged</x:v>
      </x:c>
      <x:c r="F1679" s="37" t="n">
        <x:v>1317054.6367783593</x:v>
      </x:c>
      <x:c r="G1679" s="37" t="n">
        <x:v>10380558.352559939</x:v>
      </x:c>
      <x:c r="H1679" s="37" t="n">
        <x:v>22540.76086956522</x:v>
      </x:c>
      <x:c r="I1679" s="37" t="n">
        <x:v>10358017.591690375</x:v>
      </x:c>
      <x:c r="J1679" s="37" t="n">
        <x:v>10380558.352559939</x:v>
      </x:c>
      <x:c r="K1679" s="37" t="n">
        <x:v>0</x:v>
      </x:c>
      <x:c r="L1679" s="37" t="n">
        <x:v>11697612.989338297</x:v>
      </x:c>
      <x:c r="M1679" s="37" t="n">
        <x:v>0</x:v>
      </x:c>
      <x:c r="N1679" s="37" t="n">
        <x:v>0</x:v>
      </x:c>
      <x:c r="O1679" s="37" t="n">
        <x:v>288.62996999616735</x:v>
      </x:c>
      <x:c r="P1679" s="37" t="n">
        <x:v>0</x:v>
      </x:c>
      <x:c r="Q1679" s="37" t="n">
        <x:v>0</x:v>
      </x:c>
      <x:c r="R1679" s="37" t="n">
        <x:v>0</x:v>
      </x:c>
      <x:c r="S1679" s="37" t="n">
        <x:v>0</x:v>
      </x:c>
      <x:c r="T1679" s="37" t="n">
        <x:v>0</x:v>
      </x:c>
      <x:c r="U1679" s="37" t="n">
        <x:v>101250</x:v>
      </x:c>
      <x:c r="V1679" s="37" t="n">
        <x:v>0</x:v>
      </x:c>
      <x:c r="W1679" s="37" t="n">
        <x:v>16847.50612048153</x:v>
      </x:c>
      <x:c r="X1679" s="37" t="n">
        <x:v>0</x:v>
      </x:c>
      <x:c r="Y1679" s="37" t="n">
        <x:v>1042.869342122179</x:v>
      </x:c>
      <x:c r="Z1679" s="37" t="n">
        <x:v>0</x:v>
      </x:c>
      <x:c r="AA1679" s="37" t="n">
        <x:v>0</x:v>
      </x:c>
      <x:c r="AB1679" s="37" t="n">
        <x:v>0</x:v>
      </x:c>
      <x:c r="AC1679" s="37" t="n">
        <x:v>1317054.6367783593</x:v>
      </x:c>
      <x:c r="AD1679" s="37" t="n">
        <x:v>0</x:v>
      </x:c>
      <x:c r="AE1679" s="37" t="n">
        <x:v>0</x:v>
      </x:c>
      <x:c r="AF1679" s="47" t="b">
        <x:v>0</x:v>
      </x:c>
      <x:c r="AG1679" s="47" t="b">
        <x:v>0</x:v>
      </x:c>
      <x:c r="AH1679" s="48" t="n">
        <x:v>0</x:v>
      </x:c>
      <x:c r="AI1679" s="48" t="n">
        <x:v>1.1920928955078125e-7</x:v>
      </x:c>
      <x:c r="AJ1679" s="37" t="str">
        <x:v>passed</x:v>
      </x:c>
    </x:row>
    <x:row r="1680" ht="21" customHeight="1">
      <x:c r="A1680" s="2"/>
      <x:c r="B1680" s="2"/>
      <x:c r="C1680" s="2" t="str">
        <x:v>2023</x:v>
      </x:c>
      <x:c r="D1680" s="5" t="n">
        <x:v>45174</x:v>
      </x:c>
      <x:c r="E1680" s="2" t="str">
        <x:v>duration</x:v>
      </x:c>
      <x:c r="F1680" s="37" t="n">
        <x:v>7632835.85828233</x:v>
      </x:c>
      <x:c r="G1680" s="37" t="n">
        <x:v>4203178.274307769</x:v>
      </x:c>
      <x:c r="H1680" s="37" t="n">
        <x:v>-9868.595603276757</x:v>
      </x:c>
      <x:c r="I1680" s="37" t="n">
        <x:v>4213046.869911046</x:v>
      </x:c>
      <x:c r="J1680" s="37" t="n">
        <x:v>10380558.352559939</x:v>
      </x:c>
      <x:c r="K1680" s="37" t="n">
        <x:v>6177380.07825217</x:v>
      </x:c>
      <x:c r="L1680" s="37" t="n">
        <x:v>11836014.1325901</x:v>
      </x:c>
      <x:c r="M1680" s="37" t="n">
        <x:v>0</x:v>
      </x:c>
      <x:c r="N1680" s="37" t="n">
        <x:v>0</x:v>
      </x:c>
      <x:c r="O1680" s="37" t="n">
        <x:v>1672.7211789404973</x:v>
      </x:c>
      <x:c r="P1680" s="37" t="n">
        <x:v>0</x:v>
      </x:c>
      <x:c r="Q1680" s="37" t="n">
        <x:v>0</x:v>
      </x:c>
      <x:c r="R1680" s="37" t="n">
        <x:v>0</x:v>
      </x:c>
      <x:c r="S1680" s="37" t="n">
        <x:v>0</x:v>
      </x:c>
      <x:c r="T1680" s="37" t="n">
        <x:v>0</x:v>
      </x:c>
      <x:c r="U1680" s="37" t="n">
        <x:v>47417.381478397</x:v>
      </x:c>
      <x:c r="V1680" s="37" t="n">
        <x:v>0</x:v>
      </x:c>
      <x:c r="W1680" s="37" t="n">
        <x:v>103588.18539979775</x:v>
      </x:c>
      <x:c r="X1680" s="37" t="n">
        <x:v>0</x:v>
      </x:c>
      <x:c r="Y1680" s="37" t="n">
        <x:v>1737.8702558990533</x:v>
      </x:c>
      <x:c r="Z1680" s="37" t="n">
        <x:v>6300927.679817214</x:v>
      </x:c>
      <x:c r="AA1680" s="37" t="n">
        <x:v>0</x:v>
      </x:c>
      <x:c r="AB1680" s="37" t="n">
        <x:v>6300927.679817214</x:v>
      </x:c>
      <x:c r="AC1680" s="37" t="n">
        <x:v>1331908.1784651168</x:v>
      </x:c>
      <x:c r="AD1680" s="37" t="n">
        <x:v>0</x:v>
      </x:c>
      <x:c r="AE1680" s="37" t="n">
        <x:v>0</x:v>
      </x:c>
      <x:c r="AF1680" s="47" t="b">
        <x:v>0</x:v>
      </x:c>
      <x:c r="AG1680" s="47" t="b">
        <x:v>0</x:v>
      </x:c>
      <x:c r="AH1680" s="48" t="n">
        <x:v>0</x:v>
      </x:c>
      <x:c r="AI1680" s="48" t="n">
        <x:v>5.960464477539063e-8</x:v>
      </x:c>
      <x:c r="AJ1680" s="37" t="str">
        <x:v>passed</x:v>
      </x:c>
    </x:row>
    <x:row r="1681" ht="21" customHeight="1">
      <x:c r="A1681" s="2"/>
      <x:c r="B1681" s="2"/>
      <x:c r="C1681" s="2" t="str">
        <x:v>2023</x:v>
      </x:c>
      <x:c r="D1681" s="5" t="n">
        <x:v>45174</x:v>
      </x:c>
      <x:c r="E1681" s="2" t="str">
        <x:v>unweighted</x:v>
      </x:c>
      <x:c r="F1681" s="37" t="n">
        <x:v>11159715.510333251</x:v>
      </x:c>
      <x:c r="G1681" s="37" t="n">
        <x:v>635701.4165480405</x:v>
      </x:c>
      <x:c r="H1681" s="37" t="n">
        <x:v>-17468.082727574027</x:v>
      </x:c>
      <x:c r="I1681" s="37" t="n">
        <x:v>653169.4992756145</x:v>
      </x:c>
      <x:c r="J1681" s="37" t="n">
        <x:v>10474582.2941994</x:v>
      </x:c>
      <x:c r="K1681" s="37" t="n">
        <x:v>9838880.87765136</x:v>
      </x:c>
      <x:c r="L1681" s="37" t="n">
        <x:v>11795416.926881291</x:v>
      </x:c>
      <x:c r="M1681" s="37" t="n">
        <x:v>0</x:v>
      </x:c>
      <x:c r="N1681" s="37" t="n">
        <x:v>0</x:v>
      </x:c>
      <x:c r="O1681" s="37" t="n">
        <x:v>2445.630016375333</x:v>
      </x:c>
      <x:c r="P1681" s="37" t="n">
        <x:v>0</x:v>
      </x:c>
      <x:c r="Q1681" s="37" t="n">
        <x:v>0</x:v>
      </x:c>
      <x:c r="R1681" s="37" t="n">
        <x:v>0</x:v>
      </x:c>
      <x:c r="S1681" s="37" t="n">
        <x:v>0</x:v>
      </x:c>
      <x:c r="T1681" s="37" t="n">
        <x:v>0</x:v>
      </x:c>
      <x:c r="U1681" s="37" t="n">
        <x:v>31805.80415342993</x:v>
      </x:c>
      <x:c r="V1681" s="37" t="n">
        <x:v>0</x:v>
      </x:c>
      <x:c r="W1681" s="37" t="n">
        <x:v>151066.74792899378</x:v>
      </x:c>
      <x:c r="X1681" s="37" t="n">
        <x:v>0</x:v>
      </x:c>
      <x:c r="Y1681" s="37" t="n">
        <x:v>2172.1213283599986</x:v>
      </x:c>
      <x:c r="Z1681" s="37" t="n">
        <x:v>10035658.495204387</x:v>
      </x:c>
      <x:c r="AA1681" s="37" t="n">
        <x:v>0</x:v>
      </x:c>
      <x:c r="AB1681" s="37" t="n">
        <x:v>10035658.495204387</x:v>
      </x:c>
      <x:c r="AC1681" s="37" t="n">
        <x:v>1124057.015128864</x:v>
      </x:c>
      <x:c r="AD1681" s="37" t="n">
        <x:v>0</x:v>
      </x:c>
      <x:c r="AE1681" s="37" t="n">
        <x:v>0</x:v>
      </x:c>
      <x:c r="AF1681" s="47" t="b">
        <x:v>0</x:v>
      </x:c>
      <x:c r="AG1681" s="47" t="b">
        <x:v>0</x:v>
      </x:c>
      <x:c r="AH1681" s="48" t="n">
        <x:v>0</x:v>
      </x:c>
      <x:c r="AI1681" s="48" t="n">
        <x:v>1.1920928955078125e-7</x:v>
      </x:c>
      <x:c r="AJ1681" s="37" t="str">
        <x:v>passed</x:v>
      </x:c>
    </x:row>
    <x:row r="1682" ht="21" customHeight="1">
      <x:c r="A1682" s="2"/>
      <x:c r="B1682" s="2"/>
      <x:c r="C1682" s="2" t="str">
        <x:v>2023</x:v>
      </x:c>
      <x:c r="D1682" s="5" t="n">
        <x:v>45174</x:v>
      </x:c>
      <x:c r="E1682" s="2" t="str">
        <x:v>constrained</x:v>
      </x:c>
      <x:c r="F1682" s="37" t="n">
        <x:v>11710108.898244532</x:v>
      </x:c>
      <x:c r="G1682" s="37" t="n">
        <x:v>74346.24143275073</x:v>
      </x:c>
      <x:c r="H1682" s="37" t="n">
        <x:v>-17847.413500753537</x:v>
      </x:c>
      <x:c r="I1682" s="37" t="n">
        <x:v>92193.65493350427</x:v>
      </x:c>
      <x:c r="J1682" s="37" t="n">
        <x:v>10474275.723206753</x:v>
      </x:c>
      <x:c r="K1682" s="37" t="n">
        <x:v>10399929.481774002</x:v>
      </x:c>
      <x:c r="L1682" s="37" t="n">
        <x:v>11784455.139677282</x:v>
      </x:c>
      <x:c r="M1682" s="37" t="n">
        <x:v>0</x:v>
      </x:c>
      <x:c r="N1682" s="37" t="n">
        <x:v>0</x:v>
      </x:c>
      <x:c r="O1682" s="37" t="n">
        <x:v>2566.2476601712406</x:v>
      </x:c>
      <x:c r="P1682" s="37" t="n">
        <x:v>0</x:v>
      </x:c>
      <x:c r="Q1682" s="37" t="n">
        <x:v>0</x:v>
      </x:c>
      <x:c r="R1682" s="37" t="n">
        <x:v>0</x:v>
      </x:c>
      <x:c r="S1682" s="37" t="n">
        <x:v>0</x:v>
      </x:c>
      <x:c r="T1682" s="37" t="n">
        <x:v>0</x:v>
      </x:c>
      <x:c r="U1682" s="37" t="n">
        <x:v>30720.44529747225</x:v>
      </x:c>
      <x:c r="V1682" s="37" t="n">
        <x:v>0</x:v>
      </x:c>
      <x:c r="W1682" s="37" t="n">
        <x:v>157510.1488779653</x:v>
      </x:c>
      <x:c r="X1682" s="37" t="n">
        <x:v>0</x:v>
      </x:c>
      <x:c r="Y1682" s="37" t="n">
        <x:v>2178.1253051300437</x:v>
      </x:c>
      <x:c r="Z1682" s="37" t="n">
        <x:v>10607928.071409483</x:v>
      </x:c>
      <x:c r="AA1682" s="37" t="n">
        <x:v>0</x:v>
      </x:c>
      <x:c r="AB1682" s="37" t="n">
        <x:v>10607928.071409483</x:v>
      </x:c>
      <x:c r="AC1682" s="37" t="n">
        <x:v>1102180.8268350493</x:v>
      </x:c>
      <x:c r="AD1682" s="37" t="n">
        <x:v>0</x:v>
      </x:c>
      <x:c r="AE1682" s="37" t="n">
        <x:v>0</x:v>
      </x:c>
      <x:c r="AF1682" s="47" t="b">
        <x:v>0</x:v>
      </x:c>
      <x:c r="AG1682" s="47" t="b">
        <x:v>0</x:v>
      </x:c>
      <x:c r="AH1682" s="48" t="n">
        <x:v>0</x:v>
      </x:c>
      <x:c r="AI1682" s="48" t="n">
        <x:v>1.1920928955078125e-7</x:v>
      </x:c>
      <x:c r="AJ1682" s="37" t="str">
        <x:v>passed</x:v>
      </x:c>
    </x:row>
    <x:row r="1683" ht="21" customHeight="1">
      <x:c r="A1683" s="2"/>
      <x:c r="B1683" s="2"/>
      <x:c r="C1683" s="2" t="str">
        <x:v>2023</x:v>
      </x:c>
      <x:c r="D1683" s="5" t="n">
        <x:v>45175</x:v>
      </x:c>
      <x:c r="E1683" s="2" t="str">
        <x:v>unhedged</x:v>
      </x:c>
      <x:c r="F1683" s="37" t="n">
        <x:v>1317126.804155717</x:v>
      </x:c>
      <x:c r="G1683" s="37" t="n">
        <x:v>10344325.355557816</x:v>
      </x:c>
      <x:c r="H1683" s="37" t="n">
        <x:v>22887.228260869564</x:v>
      </x:c>
      <x:c r="I1683" s="37" t="n">
        <x:v>10321438.127296947</x:v>
      </x:c>
      <x:c r="J1683" s="37" t="n">
        <x:v>10344325.355557816</x:v>
      </x:c>
      <x:c r="K1683" s="37" t="n">
        <x:v>0</x:v>
      </x:c>
      <x:c r="L1683" s="37" t="n">
        <x:v>11661452.159713533</x:v>
      </x:c>
      <x:c r="M1683" s="37" t="n">
        <x:v>0</x:v>
      </x:c>
      <x:c r="N1683" s="37" t="n">
        <x:v>0</x:v>
      </x:c>
      <x:c r="O1683" s="37" t="n">
        <x:v>72.16737735760398</x:v>
      </x:c>
      <x:c r="P1683" s="37" t="n">
        <x:v>0</x:v>
      </x:c>
      <x:c r="Q1683" s="37" t="n">
        <x:v>0</x:v>
      </x:c>
      <x:c r="R1683" s="37" t="n">
        <x:v>0</x:v>
      </x:c>
      <x:c r="S1683" s="37" t="n">
        <x:v>0</x:v>
      </x:c>
      <x:c r="T1683" s="37" t="n">
        <x:v>0</x:v>
      </x:c>
      <x:c r="U1683" s="37" t="n">
        <x:v>101250</x:v>
      </x:c>
      <x:c r="V1683" s="37" t="n">
        <x:v>0</x:v>
      </x:c>
      <x:c r="W1683" s="37" t="n">
        <x:v>16919.673497839132</x:v>
      </x:c>
      <x:c r="X1683" s="37" t="n">
        <x:v>0</x:v>
      </x:c>
      <x:c r="Y1683" s="37" t="n">
        <x:v>1042.869342122179</x:v>
      </x:c>
      <x:c r="Z1683" s="37" t="n">
        <x:v>0</x:v>
      </x:c>
      <x:c r="AA1683" s="37" t="n">
        <x:v>0</x:v>
      </x:c>
      <x:c r="AB1683" s="37" t="n">
        <x:v>0</x:v>
      </x:c>
      <x:c r="AC1683" s="37" t="n">
        <x:v>1317126.804155717</x:v>
      </x:c>
      <x:c r="AD1683" s="37" t="n">
        <x:v>0</x:v>
      </x:c>
      <x:c r="AE1683" s="37" t="n">
        <x:v>0</x:v>
      </x:c>
      <x:c r="AF1683" s="47" t="b">
        <x:v>0</x:v>
      </x:c>
      <x:c r="AG1683" s="47" t="b">
        <x:v>0</x:v>
      </x:c>
      <x:c r="AH1683" s="48" t="n">
        <x:v>0</x:v>
      </x:c>
      <x:c r="AI1683" s="48" t="n">
        <x:v>1.1920928955078125e-7</x:v>
      </x:c>
      <x:c r="AJ1683" s="37" t="str">
        <x:v>passed</x:v>
      </x:c>
    </x:row>
    <x:row r="1684" ht="21" customHeight="1">
      <x:c r="A1684" s="2"/>
      <x:c r="B1684" s="2"/>
      <x:c r="C1684" s="2" t="str">
        <x:v>2023</x:v>
      </x:c>
      <x:c r="D1684" s="5" t="n">
        <x:v>45175</x:v>
      </x:c>
      <x:c r="E1684" s="2" t="str">
        <x:v>duration</x:v>
      </x:c>
      <x:c r="F1684" s="37" t="n">
        <x:v>7633254.095863607</x:v>
      </x:c>
      <x:c r="G1684" s="37" t="n">
        <x:v>4213141.331184529</x:v>
      </x:c>
      <x:c r="H1684" s="37" t="n">
        <x:v>-9808.936676333848</x:v>
      </x:c>
      <x:c r="I1684" s="37" t="n">
        <x:v>4222950.267860862</x:v>
      </x:c>
      <x:c r="J1684" s="37" t="n">
        <x:v>10344325.355557816</x:v>
      </x:c>
      <x:c r="K1684" s="37" t="n">
        <x:v>6131184.024373288</x:v>
      </x:c>
      <x:c r="L1684" s="37" t="n">
        <x:v>11846395.427048136</x:v>
      </x:c>
      <x:c r="M1684" s="37" t="n">
        <x:v>0</x:v>
      </x:c>
      <x:c r="N1684" s="37" t="n">
        <x:v>0</x:v>
      </x:c>
      <x:c r="O1684" s="37" t="n">
        <x:v>418.2375812763348</x:v>
      </x:c>
      <x:c r="P1684" s="37" t="n">
        <x:v>0</x:v>
      </x:c>
      <x:c r="Q1684" s="37" t="n">
        <x:v>0</x:v>
      </x:c>
      <x:c r="R1684" s="37" t="n">
        <x:v>0</x:v>
      </x:c>
      <x:c r="S1684" s="37" t="n">
        <x:v>0</x:v>
      </x:c>
      <x:c r="T1684" s="37" t="n">
        <x:v>0</x:v>
      </x:c>
      <x:c r="U1684" s="37" t="n">
        <x:v>47417.381478397</x:v>
      </x:c>
      <x:c r="V1684" s="37" t="n">
        <x:v>0</x:v>
      </x:c>
      <x:c r="W1684" s="37" t="n">
        <x:v>104006.42298107408</x:v>
      </x:c>
      <x:c r="X1684" s="37" t="n">
        <x:v>0</x:v>
      </x:c>
      <x:c r="Y1684" s="37" t="n">
        <x:v>1737.8702558990533</x:v>
      </x:c>
      <x:c r="Z1684" s="37" t="n">
        <x:v>6253807.704860754</x:v>
      </x:c>
      <x:c r="AA1684" s="37" t="n">
        <x:v>0</x:v>
      </x:c>
      <x:c r="AB1684" s="37" t="n">
        <x:v>6253807.704860754</x:v>
      </x:c>
      <x:c r="AC1684" s="37" t="n">
        <x:v>1379446.3910028525</x:v>
      </x:c>
      <x:c r="AD1684" s="37" t="n">
        <x:v>0</x:v>
      </x:c>
      <x:c r="AE1684" s="37" t="n">
        <x:v>0</x:v>
      </x:c>
      <x:c r="AF1684" s="47" t="b">
        <x:v>0</x:v>
      </x:c>
      <x:c r="AG1684" s="47" t="b">
        <x:v>0</x:v>
      </x:c>
      <x:c r="AH1684" s="48" t="n">
        <x:v>0</x:v>
      </x:c>
      <x:c r="AI1684" s="48" t="n">
        <x:v>5.960464477539063e-8</x:v>
      </x:c>
      <x:c r="AJ1684" s="37" t="str">
        <x:v>passed</x:v>
      </x:c>
    </x:row>
    <x:row r="1685" ht="21" customHeight="1">
      <x:c r="A1685" s="2"/>
      <x:c r="B1685" s="2"/>
      <x:c r="C1685" s="2" t="str">
        <x:v>2023</x:v>
      </x:c>
      <x:c r="D1685" s="5" t="n">
        <x:v>45175</x:v>
      </x:c>
      <x:c r="E1685" s="2" t="str">
        <x:v>unweighted</x:v>
      </x:c>
      <x:c r="F1685" s="37" t="n">
        <x:v>11160327.001594093</x:v>
      </x:c>
      <x:c r="G1685" s="37" t="n">
        <x:v>638021.9228395455</x:v>
      </x:c>
      <x:c r="H1685" s="37" t="n">
        <x:v>-17497.746478838224</x:v>
      </x:c>
      <x:c r="I1685" s="37" t="n">
        <x:v>655519.6693183838</x:v>
      </x:c>
      <x:c r="J1685" s="37" t="n">
        <x:v>10439021.793724695</x:v>
      </x:c>
      <x:c r="K1685" s="37" t="n">
        <x:v>9800999.87088515</x:v>
      </x:c>
      <x:c r="L1685" s="37" t="n">
        <x:v>11798348.924433637</x:v>
      </x:c>
      <x:c r="M1685" s="37" t="n">
        <x:v>0</x:v>
      </x:c>
      <x:c r="N1685" s="37" t="n">
        <x:v>0</x:v>
      </x:c>
      <x:c r="O1685" s="37" t="n">
        <x:v>611.4912608414888</x:v>
      </x:c>
      <x:c r="P1685" s="37" t="n">
        <x:v>0</x:v>
      </x:c>
      <x:c r="Q1685" s="37" t="n">
        <x:v>0</x:v>
      </x:c>
      <x:c r="R1685" s="37" t="n">
        <x:v>0</x:v>
      </x:c>
      <x:c r="S1685" s="37" t="n">
        <x:v>0</x:v>
      </x:c>
      <x:c r="T1685" s="37" t="n">
        <x:v>0</x:v>
      </x:c>
      <x:c r="U1685" s="37" t="n">
        <x:v>31805.80415342993</x:v>
      </x:c>
      <x:c r="V1685" s="37" t="n">
        <x:v>0</x:v>
      </x:c>
      <x:c r="W1685" s="37" t="n">
        <x:v>151678.23918983527</x:v>
      </x:c>
      <x:c r="X1685" s="37" t="n">
        <x:v>0</x:v>
      </x:c>
      <x:c r="Y1685" s="37" t="n">
        <x:v>2172.1213283599986</x:v>
      </x:c>
      <x:c r="Z1685" s="37" t="n">
        <x:v>9997019.868302854</x:v>
      </x:c>
      <x:c r="AA1685" s="37" t="n">
        <x:v>0</x:v>
      </x:c>
      <x:c r="AB1685" s="37" t="n">
        <x:v>9997019.868302854</x:v>
      </x:c>
      <x:c r="AC1685" s="37" t="n">
        <x:v>1163307.133291239</x:v>
      </x:c>
      <x:c r="AD1685" s="37" t="n">
        <x:v>0</x:v>
      </x:c>
      <x:c r="AE1685" s="37" t="n">
        <x:v>0</x:v>
      </x:c>
      <x:c r="AF1685" s="47" t="b">
        <x:v>0</x:v>
      </x:c>
      <x:c r="AG1685" s="47" t="b">
        <x:v>0</x:v>
      </x:c>
      <x:c r="AH1685" s="48" t="n">
        <x:v>0</x:v>
      </x:c>
      <x:c r="AI1685" s="48" t="n">
        <x:v>1.1920928955078125e-7</x:v>
      </x:c>
      <x:c r="AJ1685" s="37" t="str">
        <x:v>passed</x:v>
      </x:c>
    </x:row>
    <x:row r="1686" ht="21" customHeight="1">
      <x:c r="A1686" s="2"/>
      <x:c r="B1686" s="2"/>
      <x:c r="C1686" s="2" t="str">
        <x:v>2023</x:v>
      </x:c>
      <x:c r="D1686" s="5" t="n">
        <x:v>45175</x:v>
      </x:c>
      <x:c r="E1686" s="2" t="str">
        <x:v>constrained</x:v>
      </x:c>
      <x:c r="F1686" s="37" t="n">
        <x:v>11710750.548047177</x:v>
      </x:c>
      <x:c r="G1686" s="37" t="n">
        <x:v>74908.58037065025</x:v>
      </x:c>
      <x:c r="H1686" s="37" t="n">
        <x:v>-17881.80572167736</x:v>
      </x:c>
      <x:c r="I1686" s="37" t="n">
        <x:v>92790.38609232761</x:v>
      </x:c>
      <x:c r="J1686" s="37" t="n">
        <x:v>10438643.326169794</x:v>
      </x:c>
      <x:c r="K1686" s="37" t="n">
        <x:v>10363734.745799143</x:v>
      </x:c>
      <x:c r="L1686" s="37" t="n">
        <x:v>11785659.128417827</x:v>
      </x:c>
      <x:c r="M1686" s="37" t="n">
        <x:v>0</x:v>
      </x:c>
      <x:c r="N1686" s="37" t="n">
        <x:v>0</x:v>
      </x:c>
      <x:c r="O1686" s="37" t="n">
        <x:v>641.6498026456684</x:v>
      </x:c>
      <x:c r="P1686" s="37" t="n">
        <x:v>0</x:v>
      </x:c>
      <x:c r="Q1686" s="37" t="n">
        <x:v>0</x:v>
      </x:c>
      <x:c r="R1686" s="37" t="n">
        <x:v>0</x:v>
      </x:c>
      <x:c r="S1686" s="37" t="n">
        <x:v>0</x:v>
      </x:c>
      <x:c r="T1686" s="37" t="n">
        <x:v>0</x:v>
      </x:c>
      <x:c r="U1686" s="37" t="n">
        <x:v>30720.44529747225</x:v>
      </x:c>
      <x:c r="V1686" s="37" t="n">
        <x:v>0</x:v>
      </x:c>
      <x:c r="W1686" s="37" t="n">
        <x:v>158151.79868061095</x:v>
      </x:c>
      <x:c r="X1686" s="37" t="n">
        <x:v>0</x:v>
      </x:c>
      <x:c r="Y1686" s="37" t="n">
        <x:v>2178.1253051300437</x:v>
      </x:c>
      <x:c r="Z1686" s="37" t="n">
        <x:v>10571009.440715127</x:v>
      </x:c>
      <x:c r="AA1686" s="37" t="n">
        <x:v>0</x:v>
      </x:c>
      <x:c r="AB1686" s="37" t="n">
        <x:v>10571009.440715127</x:v>
      </x:c>
      <x:c r="AC1686" s="37" t="n">
        <x:v>1139741.1073320508</x:v>
      </x:c>
      <x:c r="AD1686" s="37" t="n">
        <x:v>0</x:v>
      </x:c>
      <x:c r="AE1686" s="37" t="n">
        <x:v>0</x:v>
      </x:c>
      <x:c r="AF1686" s="47" t="b">
        <x:v>0</x:v>
      </x:c>
      <x:c r="AG1686" s="47" t="b">
        <x:v>0</x:v>
      </x:c>
      <x:c r="AH1686" s="48" t="n">
        <x:v>0</x:v>
      </x:c>
      <x:c r="AI1686" s="48" t="n">
        <x:v>1.1920928955078125e-7</x:v>
      </x:c>
      <x:c r="AJ1686" s="37" t="str">
        <x:v>passed</x:v>
      </x:c>
    </x:row>
    <x:row r="1687" ht="21" customHeight="1">
      <x:c r="A1687" s="2"/>
      <x:c r="B1687" s="2"/>
      <x:c r="C1687" s="2" t="str">
        <x:v>2023</x:v>
      </x:c>
      <x:c r="D1687" s="5" t="n">
        <x:v>45176</x:v>
      </x:c>
      <x:c r="E1687" s="2" t="str">
        <x:v>unhedged</x:v>
      </x:c>
      <x:c r="F1687" s="37" t="n">
        <x:v>1317198.9754874518</x:v>
      </x:c>
      <x:c r="G1687" s="37" t="n">
        <x:v>10381935.573690651</x:v>
      </x:c>
      <x:c r="H1687" s="37" t="n">
        <x:v>23233.695652173912</x:v>
      </x:c>
      <x:c r="I1687" s="37" t="n">
        <x:v>10358701.878038477</x:v>
      </x:c>
      <x:c r="J1687" s="37" t="n">
        <x:v>10381935.573690651</x:v>
      </x:c>
      <x:c r="K1687" s="37" t="n">
        <x:v>0</x:v>
      </x:c>
      <x:c r="L1687" s="37" t="n">
        <x:v>11699134.549178103</x:v>
      </x:c>
      <x:c r="M1687" s="37" t="n">
        <x:v>0</x:v>
      </x:c>
      <x:c r="N1687" s="37" t="n">
        <x:v>0</x:v>
      </x:c>
      <x:c r="O1687" s="37" t="n">
        <x:v>72.17133173486218</x:v>
      </x:c>
      <x:c r="P1687" s="37" t="n">
        <x:v>0</x:v>
      </x:c>
      <x:c r="Q1687" s="37" t="n">
        <x:v>0</x:v>
      </x:c>
      <x:c r="R1687" s="37" t="n">
        <x:v>0</x:v>
      </x:c>
      <x:c r="S1687" s="37" t="n">
        <x:v>0</x:v>
      </x:c>
      <x:c r="T1687" s="37" t="n">
        <x:v>0</x:v>
      </x:c>
      <x:c r="U1687" s="37" t="n">
        <x:v>101250</x:v>
      </x:c>
      <x:c r="V1687" s="37" t="n">
        <x:v>0</x:v>
      </x:c>
      <x:c r="W1687" s="37" t="n">
        <x:v>16991.844829573995</x:v>
      </x:c>
      <x:c r="X1687" s="37" t="n">
        <x:v>0</x:v>
      </x:c>
      <x:c r="Y1687" s="37" t="n">
        <x:v>1042.869342122179</x:v>
      </x:c>
      <x:c r="Z1687" s="37" t="n">
        <x:v>0</x:v>
      </x:c>
      <x:c r="AA1687" s="37" t="n">
        <x:v>0</x:v>
      </x:c>
      <x:c r="AB1687" s="37" t="n">
        <x:v>0</x:v>
      </x:c>
      <x:c r="AC1687" s="37" t="n">
        <x:v>1317198.9754874518</x:v>
      </x:c>
      <x:c r="AD1687" s="37" t="n">
        <x:v>0</x:v>
      </x:c>
      <x:c r="AE1687" s="37" t="n">
        <x:v>0</x:v>
      </x:c>
      <x:c r="AF1687" s="47" t="b">
        <x:v>0</x:v>
      </x:c>
      <x:c r="AG1687" s="47" t="b">
        <x:v>0</x:v>
      </x:c>
      <x:c r="AH1687" s="48" t="n">
        <x:v>0</x:v>
      </x:c>
      <x:c r="AI1687" s="48" t="n">
        <x:v>1.1920928955078125e-7</x:v>
      </x:c>
      <x:c r="AJ1687" s="37" t="str">
        <x:v>passed</x:v>
      </x:c>
    </x:row>
    <x:row r="1688" ht="21" customHeight="1">
      <x:c r="A1688" s="2"/>
      <x:c r="B1688" s="2"/>
      <x:c r="C1688" s="2" t="str">
        <x:v>2023</x:v>
      </x:c>
      <x:c r="D1688" s="5" t="n">
        <x:v>45176</x:v>
      </x:c>
      <x:c r="E1688" s="2" t="str">
        <x:v>duration</x:v>
      </x:c>
      <x:c r="F1688" s="37" t="n">
        <x:v>7633672.35636201</x:v>
      </x:c>
      <x:c r="G1688" s="37" t="n">
        <x:v>4203357.297267536</x:v>
      </x:c>
      <x:c r="H1688" s="37" t="n">
        <x:v>-9749.27774939093</x:v>
      </x:c>
      <x:c r="I1688" s="37" t="n">
        <x:v>4213106.575016927</x:v>
      </x:c>
      <x:c r="J1688" s="37" t="n">
        <x:v>10381935.573690651</x:v>
      </x:c>
      <x:c r="K1688" s="37" t="n">
        <x:v>6178578.276423115</x:v>
      </x:c>
      <x:c r="L1688" s="37" t="n">
        <x:v>11837029.653629545</x:v>
      </x:c>
      <x:c r="M1688" s="37" t="n">
        <x:v>0</x:v>
      </x:c>
      <x:c r="N1688" s="37" t="n">
        <x:v>0</x:v>
      </x:c>
      <x:c r="O1688" s="37" t="n">
        <x:v>418.26049840357155</x:v>
      </x:c>
      <x:c r="P1688" s="37" t="n">
        <x:v>0</x:v>
      </x:c>
      <x:c r="Q1688" s="37" t="n">
        <x:v>0</x:v>
      </x:c>
      <x:c r="R1688" s="37" t="n">
        <x:v>0</x:v>
      </x:c>
      <x:c r="S1688" s="37" t="n">
        <x:v>0</x:v>
      </x:c>
      <x:c r="T1688" s="37" t="n">
        <x:v>0</x:v>
      </x:c>
      <x:c r="U1688" s="37" t="n">
        <x:v>47417.381478397</x:v>
      </x:c>
      <x:c r="V1688" s="37" t="n">
        <x:v>0</x:v>
      </x:c>
      <x:c r="W1688" s="37" t="n">
        <x:v>104424.68347947765</x:v>
      </x:c>
      <x:c r="X1688" s="37" t="n">
        <x:v>0</x:v>
      </x:c>
      <x:c r="Y1688" s="37" t="n">
        <x:v>1737.8702558990533</x:v>
      </x:c>
      <x:c r="Z1688" s="37" t="n">
        <x:v>6302149.841951578</x:v>
      </x:c>
      <x:c r="AA1688" s="37" t="n">
        <x:v>0</x:v>
      </x:c>
      <x:c r="AB1688" s="37" t="n">
        <x:v>6302149.841951578</x:v>
      </x:c>
      <x:c r="AC1688" s="37" t="n">
        <x:v>1331522.5144104324</x:v>
      </x:c>
      <x:c r="AD1688" s="37" t="n">
        <x:v>0</x:v>
      </x:c>
      <x:c r="AE1688" s="37" t="n">
        <x:v>0</x:v>
      </x:c>
      <x:c r="AF1688" s="47" t="b">
        <x:v>0</x:v>
      </x:c>
      <x:c r="AG1688" s="47" t="b">
        <x:v>0</x:v>
      </x:c>
      <x:c r="AH1688" s="48" t="n">
        <x:v>0</x:v>
      </x:c>
      <x:c r="AI1688" s="48" t="n">
        <x:v>5.960464477539063e-8</x:v>
      </x:c>
      <x:c r="AJ1688" s="37" t="str">
        <x:v>passed</x:v>
      </x:c>
    </x:row>
    <x:row r="1689" ht="21" customHeight="1">
      <x:c r="A1689" s="2"/>
      <x:c r="B1689" s="2"/>
      <x:c r="C1689" s="2" t="str">
        <x:v>2023</x:v>
      </x:c>
      <x:c r="D1689" s="5" t="n">
        <x:v>45176</x:v>
      </x:c>
      <x:c r="E1689" s="2" t="str">
        <x:v>unweighted</x:v>
      </x:c>
      <x:c r="F1689" s="37" t="n">
        <x:v>11160938.526361303</x:v>
      </x:c>
      <x:c r="G1689" s="37" t="n">
        <x:v>635920.3026929137</x:v>
      </x:c>
      <x:c r="H1689" s="37" t="n">
        <x:v>-17527.41023010242</x:v>
      </x:c>
      <x:c r="I1689" s="37" t="n">
        <x:v>653447.712923016</x:v>
      </x:c>
      <x:c r="J1689" s="37" t="n">
        <x:v>10476191.587827573</x:v>
      </x:c>
      <x:c r="K1689" s="37" t="n">
        <x:v>9840271.28513466</x:v>
      </x:c>
      <x:c r="L1689" s="37" t="n">
        <x:v>11796858.829054218</x:v>
      </x:c>
      <x:c r="M1689" s="37" t="n">
        <x:v>0</x:v>
      </x:c>
      <x:c r="N1689" s="37" t="n">
        <x:v>0</x:v>
      </x:c>
      <x:c r="O1689" s="37" t="n">
        <x:v>611.5247672107071</x:v>
      </x:c>
      <x:c r="P1689" s="37" t="n">
        <x:v>0</x:v>
      </x:c>
      <x:c r="Q1689" s="37" t="n">
        <x:v>0</x:v>
      </x:c>
      <x:c r="R1689" s="37" t="n">
        <x:v>0</x:v>
      </x:c>
      <x:c r="S1689" s="37" t="n">
        <x:v>0</x:v>
      </x:c>
      <x:c r="T1689" s="37" t="n">
        <x:v>0</x:v>
      </x:c>
      <x:c r="U1689" s="37" t="n">
        <x:v>31805.80415342993</x:v>
      </x:c>
      <x:c r="V1689" s="37" t="n">
        <x:v>0</x:v>
      </x:c>
      <x:c r="W1689" s="37" t="n">
        <x:v>152289.76395704597</x:v>
      </x:c>
      <x:c r="X1689" s="37" t="n">
        <x:v>0</x:v>
      </x:c>
      <x:c r="Y1689" s="37" t="n">
        <x:v>2172.1213283599986</x:v>
      </x:c>
      <x:c r="Z1689" s="37" t="n">
        <x:v>10037076.710837353</x:v>
      </x:c>
      <x:c r="AA1689" s="37" t="n">
        <x:v>0</x:v>
      </x:c>
      <x:c r="AB1689" s="37" t="n">
        <x:v>10037076.710837353</x:v>
      </x:c>
      <x:c r="AC1689" s="37" t="n">
        <x:v>1123861.8155239504</x:v>
      </x:c>
      <x:c r="AD1689" s="37" t="n">
        <x:v>0</x:v>
      </x:c>
      <x:c r="AE1689" s="37" t="n">
        <x:v>0</x:v>
      </x:c>
      <x:c r="AF1689" s="47" t="b">
        <x:v>0</x:v>
      </x:c>
      <x:c r="AG1689" s="47" t="b">
        <x:v>0</x:v>
      </x:c>
      <x:c r="AH1689" s="48" t="n">
        <x:v>0</x:v>
      </x:c>
      <x:c r="AI1689" s="48" t="n">
        <x:v>1.1920928955078125e-7</x:v>
      </x:c>
      <x:c r="AJ1689" s="37" t="str">
        <x:v>passed</x:v>
      </x:c>
    </x:row>
    <x:row r="1690" ht="21" customHeight="1">
      <x:c r="A1690" s="2"/>
      <x:c r="B1690" s="2"/>
      <x:c r="C1690" s="2" t="str">
        <x:v>2023</x:v>
      </x:c>
      <x:c r="D1690" s="5" t="n">
        <x:v>45176</x:v>
      </x:c>
      <x:c r="E1690" s="2" t="str">
        <x:v>constrained</x:v>
      </x:c>
      <x:c r="F1690" s="37" t="n">
        <x:v>11711392.233008714</x:v>
      </x:c>
      <x:c r="G1690" s="37" t="n">
        <x:v>74392.76531541048</x:v>
      </x:c>
      <x:c r="H1690" s="37" t="n">
        <x:v>-17916.19794260118</x:v>
      </x:c>
      <x:c r="I1690" s="37" t="n">
        <x:v>92308.96325801166</x:v>
      </x:c>
      <x:c r="J1690" s="37" t="n">
        <x:v>10475887.605424399</x:v>
      </x:c>
      <x:c r="K1690" s="37" t="n">
        <x:v>10401494.840108989</x:v>
      </x:c>
      <x:c r="L1690" s="37" t="n">
        <x:v>11785784.998324124</x:v>
      </x:c>
      <x:c r="M1690" s="37" t="n">
        <x:v>0</x:v>
      </x:c>
      <x:c r="N1690" s="37" t="n">
        <x:v>0</x:v>
      </x:c>
      <x:c r="O1690" s="37" t="n">
        <x:v>641.6849615368992</x:v>
      </x:c>
      <x:c r="P1690" s="37" t="n">
        <x:v>0</x:v>
      </x:c>
      <x:c r="Q1690" s="37" t="n">
        <x:v>0</x:v>
      </x:c>
      <x:c r="R1690" s="37" t="n">
        <x:v>0</x:v>
      </x:c>
      <x:c r="S1690" s="37" t="n">
        <x:v>0</x:v>
      </x:c>
      <x:c r="T1690" s="37" t="n">
        <x:v>0</x:v>
      </x:c>
      <x:c r="U1690" s="37" t="n">
        <x:v>30720.44529747225</x:v>
      </x:c>
      <x:c r="V1690" s="37" t="n">
        <x:v>0</x:v>
      </x:c>
      <x:c r="W1690" s="37" t="n">
        <x:v>158793.48364214785</x:v>
      </x:c>
      <x:c r="X1690" s="37" t="n">
        <x:v>0</x:v>
      </x:c>
      <x:c r="Y1690" s="37" t="n">
        <x:v>2178.1253051300437</x:v>
      </x:c>
      <x:c r="Z1690" s="37" t="n">
        <x:v>10609524.736911168</x:v>
      </x:c>
      <x:c r="AA1690" s="37" t="n">
        <x:v>0</x:v>
      </x:c>
      <x:c r="AB1690" s="37" t="n">
        <x:v>10609524.736911168</x:v>
      </x:c>
      <x:c r="AC1690" s="37" t="n">
        <x:v>1101867.496097546</x:v>
      </x:c>
      <x:c r="AD1690" s="37" t="n">
        <x:v>0</x:v>
      </x:c>
      <x:c r="AE1690" s="37" t="n">
        <x:v>0</x:v>
      </x:c>
      <x:c r="AF1690" s="47" t="b">
        <x:v>0</x:v>
      </x:c>
      <x:c r="AG1690" s="47" t="b">
        <x:v>0</x:v>
      </x:c>
      <x:c r="AH1690" s="48" t="n">
        <x:v>0</x:v>
      </x:c>
      <x:c r="AI1690" s="48" t="n">
        <x:v>1.1920928955078125e-7</x:v>
      </x:c>
      <x:c r="AJ1690" s="37" t="str">
        <x:v>passed</x:v>
      </x:c>
    </x:row>
    <x:row r="1691" ht="21" customHeight="1">
      <x:c r="A1691" s="2"/>
      <x:c r="B1691" s="2"/>
      <x:c r="C1691" s="2" t="str">
        <x:v>2023</x:v>
      </x:c>
      <x:c r="D1691" s="5" t="n">
        <x:v>45177</x:v>
      </x:c>
      <x:c r="E1691" s="2" t="str">
        <x:v>unhedged</x:v>
      </x:c>
      <x:c r="F1691" s="37" t="n">
        <x:v>1317271.15077378</x:v>
      </x:c>
      <x:c r="G1691" s="37" t="n">
        <x:v>10382708.538936432</x:v>
      </x:c>
      <x:c r="H1691" s="37" t="n">
        <x:v>23580.16304347826</x:v>
      </x:c>
      <x:c r="I1691" s="37" t="n">
        <x:v>10359128.375892954</x:v>
      </x:c>
      <x:c r="J1691" s="37" t="n">
        <x:v>10382708.538936432</x:v>
      </x:c>
      <x:c r="K1691" s="37" t="n">
        <x:v>0</x:v>
      </x:c>
      <x:c r="L1691" s="37" t="n">
        <x:v>11699979.689710213</x:v>
      </x:c>
      <x:c r="M1691" s="37" t="n">
        <x:v>0</x:v>
      </x:c>
      <x:c r="N1691" s="37" t="n">
        <x:v>0</x:v>
      </x:c>
      <x:c r="O1691" s="37" t="n">
        <x:v>72.17528632818721</x:v>
      </x:c>
      <x:c r="P1691" s="37" t="n">
        <x:v>0</x:v>
      </x:c>
      <x:c r="Q1691" s="37" t="n">
        <x:v>0</x:v>
      </x:c>
      <x:c r="R1691" s="37" t="n">
        <x:v>0</x:v>
      </x:c>
      <x:c r="S1691" s="37" t="n">
        <x:v>0</x:v>
      </x:c>
      <x:c r="T1691" s="37" t="n">
        <x:v>0</x:v>
      </x:c>
      <x:c r="U1691" s="37" t="n">
        <x:v>101250</x:v>
      </x:c>
      <x:c r="V1691" s="37" t="n">
        <x:v>0</x:v>
      </x:c>
      <x:c r="W1691" s="37" t="n">
        <x:v>17064.02011590218</x:v>
      </x:c>
      <x:c r="X1691" s="37" t="n">
        <x:v>0</x:v>
      </x:c>
      <x:c r="Y1691" s="37" t="n">
        <x:v>1042.869342122179</x:v>
      </x:c>
      <x:c r="Z1691" s="37" t="n">
        <x:v>0</x:v>
      </x:c>
      <x:c r="AA1691" s="37" t="n">
        <x:v>0</x:v>
      </x:c>
      <x:c r="AB1691" s="37" t="n">
        <x:v>0</x:v>
      </x:c>
      <x:c r="AC1691" s="37" t="n">
        <x:v>1317271.15077378</x:v>
      </x:c>
      <x:c r="AD1691" s="37" t="n">
        <x:v>0</x:v>
      </x:c>
      <x:c r="AE1691" s="37" t="n">
        <x:v>0</x:v>
      </x:c>
      <x:c r="AF1691" s="47" t="b">
        <x:v>0</x:v>
      </x:c>
      <x:c r="AG1691" s="47" t="b">
        <x:v>0</x:v>
      </x:c>
      <x:c r="AH1691" s="48" t="n">
        <x:v>0</x:v>
      </x:c>
      <x:c r="AI1691" s="48" t="n">
        <x:v>1.1920928955078125e-7</x:v>
      </x:c>
      <x:c r="AJ1691" s="37" t="str">
        <x:v>passed</x:v>
      </x:c>
    </x:row>
    <x:row r="1692" ht="21" customHeight="1">
      <x:c r="A1692" s="2"/>
      <x:c r="B1692" s="2"/>
      <x:c r="C1692" s="2" t="str">
        <x:v>2023</x:v>
      </x:c>
      <x:c r="D1692" s="5" t="n">
        <x:v>45177</x:v>
      </x:c>
      <x:c r="E1692" s="2" t="str">
        <x:v>duration</x:v>
      </x:c>
      <x:c r="F1692" s="37" t="n">
        <x:v>7634090.639778798</x:v>
      </x:c>
      <x:c r="G1692" s="37" t="n">
        <x:v>4200708.272543287</x:v>
      </x:c>
      <x:c r="H1692" s="37" t="n">
        <x:v>-9689.618822448017</x:v>
      </x:c>
      <x:c r="I1692" s="37" t="n">
        <x:v>4210397.891365735</x:v>
      </x:c>
      <x:c r="J1692" s="37" t="n">
        <x:v>10382708.538936432</x:v>
      </x:c>
      <x:c r="K1692" s="37" t="n">
        <x:v>6182000.266393145</x:v>
      </x:c>
      <x:c r="L1692" s="37" t="n">
        <x:v>11834798.912322085</x:v>
      </x:c>
      <x:c r="M1692" s="37" t="n">
        <x:v>0</x:v>
      </x:c>
      <x:c r="N1692" s="37" t="n">
        <x:v>0</x:v>
      </x:c>
      <x:c r="O1692" s="37" t="n">
        <x:v>418.28341678809375</x:v>
      </x:c>
      <x:c r="P1692" s="37" t="n">
        <x:v>0</x:v>
      </x:c>
      <x:c r="Q1692" s="37" t="n">
        <x:v>0</x:v>
      </x:c>
      <x:c r="R1692" s="37" t="n">
        <x:v>0</x:v>
      </x:c>
      <x:c r="S1692" s="37" t="n">
        <x:v>0</x:v>
      </x:c>
      <x:c r="T1692" s="37" t="n">
        <x:v>0</x:v>
      </x:c>
      <x:c r="U1692" s="37" t="n">
        <x:v>47417.381478397</x:v>
      </x:c>
      <x:c r="V1692" s="37" t="n">
        <x:v>0</x:v>
      </x:c>
      <x:c r="W1692" s="37" t="n">
        <x:v>104842.96689626575</x:v>
      </x:c>
      <x:c r="X1692" s="37" t="n">
        <x:v>0</x:v>
      </x:c>
      <x:c r="Y1692" s="37" t="n">
        <x:v>1737.8702558990533</x:v>
      </x:c>
      <x:c r="Z1692" s="37" t="n">
        <x:v>6305640.271721007</x:v>
      </x:c>
      <x:c r="AA1692" s="37" t="n">
        <x:v>0</x:v>
      </x:c>
      <x:c r="AB1692" s="37" t="n">
        <x:v>6305640.271721007</x:v>
      </x:c>
      <x:c r="AC1692" s="37" t="n">
        <x:v>1328450.3680577911</x:v>
      </x:c>
      <x:c r="AD1692" s="37" t="n">
        <x:v>0</x:v>
      </x:c>
      <x:c r="AE1692" s="37" t="n">
        <x:v>0</x:v>
      </x:c>
      <x:c r="AF1692" s="47" t="b">
        <x:v>0</x:v>
      </x:c>
      <x:c r="AG1692" s="47" t="b">
        <x:v>0</x:v>
      </x:c>
      <x:c r="AH1692" s="48" t="n">
        <x:v>0</x:v>
      </x:c>
      <x:c r="AI1692" s="48" t="n">
        <x:v>5.960464477539063e-8</x:v>
      </x:c>
      <x:c r="AJ1692" s="37" t="str">
        <x:v>passed</x:v>
      </x:c>
    </x:row>
    <x:row r="1693" ht="21" customHeight="1">
      <x:c r="A1693" s="2"/>
      <x:c r="B1693" s="2"/>
      <x:c r="C1693" s="2" t="str">
        <x:v>2023</x:v>
      </x:c>
      <x:c r="D1693" s="5" t="n">
        <x:v>45177</x:v>
      </x:c>
      <x:c r="E1693" s="2" t="str">
        <x:v>unweighted</x:v>
      </x:c>
      <x:c r="F1693" s="37" t="n">
        <x:v>11161550.084636722</x:v>
      </x:c>
      <x:c r="G1693" s="37" t="n">
        <x:v>635866.0902334636</x:v>
      </x:c>
      <x:c r="H1693" s="37" t="n">
        <x:v>-17557.07398136662</x:v>
      </x:c>
      <x:c r="I1693" s="37" t="n">
        <x:v>653423.1642148301</x:v>
      </x:c>
      <x:c r="J1693" s="37" t="n">
        <x:v>10477333.987379648</x:v>
      </x:c>
      <x:c r="K1693" s="37" t="n">
        <x:v>9841467.897146184</x:v>
      </x:c>
      <x:c r="L1693" s="37" t="n">
        <x:v>11797416.174870186</x:v>
      </x:c>
      <x:c r="M1693" s="37" t="n">
        <x:v>0</x:v>
      </x:c>
      <x:c r="N1693" s="37" t="n">
        <x:v>0</x:v>
      </x:c>
      <x:c r="O1693" s="37" t="n">
        <x:v>611.5582754183561</x:v>
      </x:c>
      <x:c r="P1693" s="37" t="n">
        <x:v>0</x:v>
      </x:c>
      <x:c r="Q1693" s="37" t="n">
        <x:v>0</x:v>
      </x:c>
      <x:c r="R1693" s="37" t="n">
        <x:v>0</x:v>
      </x:c>
      <x:c r="S1693" s="37" t="n">
        <x:v>0</x:v>
      </x:c>
      <x:c r="T1693" s="37" t="n">
        <x:v>0</x:v>
      </x:c>
      <x:c r="U1693" s="37" t="n">
        <x:v>31805.80415342993</x:v>
      </x:c>
      <x:c r="V1693" s="37" t="n">
        <x:v>0</x:v>
      </x:c>
      <x:c r="W1693" s="37" t="n">
        <x:v>152901.32223246433</x:v>
      </x:c>
      <x:c r="X1693" s="37" t="n">
        <x:v>0</x:v>
      </x:c>
      <x:c r="Y1693" s="37" t="n">
        <x:v>2172.1213283599986</x:v>
      </x:c>
      <x:c r="Z1693" s="37" t="n">
        <x:v>10038297.255089108</x:v>
      </x:c>
      <x:c r="AA1693" s="37" t="n">
        <x:v>0</x:v>
      </x:c>
      <x:c r="AB1693" s="37" t="n">
        <x:v>10038297.255089108</x:v>
      </x:c>
      <x:c r="AC1693" s="37" t="n">
        <x:v>1123252.8295476139</x:v>
      </x:c>
      <x:c r="AD1693" s="37" t="n">
        <x:v>0</x:v>
      </x:c>
      <x:c r="AE1693" s="37" t="n">
        <x:v>0</x:v>
      </x:c>
      <x:c r="AF1693" s="47" t="b">
        <x:v>0</x:v>
      </x:c>
      <x:c r="AG1693" s="47" t="b">
        <x:v>0</x:v>
      </x:c>
      <x:c r="AH1693" s="48" t="n">
        <x:v>0</x:v>
      </x:c>
      <x:c r="AI1693" s="48" t="n">
        <x:v>1.1920928955078125e-7</x:v>
      </x:c>
      <x:c r="AJ1693" s="37" t="str">
        <x:v>passed</x:v>
      </x:c>
    </x:row>
    <x:row r="1694" ht="21" customHeight="1">
      <x:c r="A1694" s="2"/>
      <x:c r="B1694" s="2"/>
      <x:c r="C1694" s="2" t="str">
        <x:v>2023</x:v>
      </x:c>
      <x:c r="D1694" s="5" t="n">
        <x:v>45177</x:v>
      </x:c>
      <x:c r="E1694" s="2" t="str">
        <x:v>constrained</x:v>
      </x:c>
      <x:c r="F1694" s="37" t="n">
        <x:v>11712033.953131072</x:v>
      </x:c>
      <x:c r="G1694" s="37" t="n">
        <x:v>74330.33622024547</x:v>
      </x:c>
      <x:c r="H1694" s="37" t="n">
        <x:v>-17950.590163524997</x:v>
      </x:c>
      <x:c r="I1694" s="37" t="n">
        <x:v>92280.92638377048</x:v>
      </x:c>
      <x:c r="J1694" s="37" t="n">
        <x:v>10477032.442019563</x:v>
      </x:c>
      <x:c r="K1694" s="37" t="n">
        <x:v>10402702.105799317</x:v>
      </x:c>
      <x:c r="L1694" s="37" t="n">
        <x:v>11786364.289351318</x:v>
      </x:c>
      <x:c r="M1694" s="37" t="n">
        <x:v>0</x:v>
      </x:c>
      <x:c r="N1694" s="37" t="n">
        <x:v>0</x:v>
      </x:c>
      <x:c r="O1694" s="37" t="n">
        <x:v>641.7201223578304</x:v>
      </x:c>
      <x:c r="P1694" s="37" t="n">
        <x:v>0</x:v>
      </x:c>
      <x:c r="Q1694" s="37" t="n">
        <x:v>0</x:v>
      </x:c>
      <x:c r="R1694" s="37" t="n">
        <x:v>0</x:v>
      </x:c>
      <x:c r="S1694" s="37" t="n">
        <x:v>0</x:v>
      </x:c>
      <x:c r="T1694" s="37" t="n">
        <x:v>0</x:v>
      </x:c>
      <x:c r="U1694" s="37" t="n">
        <x:v>30720.44529747225</x:v>
      </x:c>
      <x:c r="V1694" s="37" t="n">
        <x:v>0</x:v>
      </x:c>
      <x:c r="W1694" s="37" t="n">
        <x:v>159435.20376450568</x:v>
      </x:c>
      <x:c r="X1694" s="37" t="n">
        <x:v>0</x:v>
      </x:c>
      <x:c r="Y1694" s="37" t="n">
        <x:v>2178.1253051300437</x:v>
      </x:c>
      <x:c r="Z1694" s="37" t="n">
        <x:v>10610756.147915304</x:v>
      </x:c>
      <x:c r="AA1694" s="37" t="n">
        <x:v>0</x:v>
      </x:c>
      <x:c r="AB1694" s="37" t="n">
        <x:v>10610756.147915304</x:v>
      </x:c>
      <x:c r="AC1694" s="37" t="n">
        <x:v>1101277.8052157685</x:v>
      </x:c>
      <x:c r="AD1694" s="37" t="n">
        <x:v>0</x:v>
      </x:c>
      <x:c r="AE1694" s="37" t="n">
        <x:v>0</x:v>
      </x:c>
      <x:c r="AF1694" s="47" t="b">
        <x:v>0</x:v>
      </x:c>
      <x:c r="AG1694" s="47" t="b">
        <x:v>0</x:v>
      </x:c>
      <x:c r="AH1694" s="48" t="n">
        <x:v>0</x:v>
      </x:c>
      <x:c r="AI1694" s="48" t="n">
        <x:v>1.1920928955078125e-7</x:v>
      </x:c>
      <x:c r="AJ1694" s="37" t="str">
        <x:v>passed</x:v>
      </x:c>
    </x:row>
    <x:row r="1695" ht="21" customHeight="1">
      <x:c r="A1695" s="2"/>
      <x:c r="B1695" s="2"/>
      <x:c r="C1695" s="2" t="str">
        <x:v>2023</x:v>
      </x:c>
      <x:c r="D1695" s="5" t="n">
        <x:v>45180</x:v>
      </x:c>
      <x:c r="E1695" s="2" t="str">
        <x:v>unhedged</x:v>
      </x:c>
      <x:c r="F1695" s="37" t="n">
        <x:v>1317487.7003624926</x:v>
      </x:c>
      <x:c r="G1695" s="37" t="n">
        <x:v>10378186.100866001</x:v>
      </x:c>
      <x:c r="H1695" s="37" t="n">
        <x:v>24619.565217391304</x:v>
      </x:c>
      <x:c r="I1695" s="37" t="n">
        <x:v>10353566.53564861</x:v>
      </x:c>
      <x:c r="J1695" s="37" t="n">
        <x:v>10378186.100866001</x:v>
      </x:c>
      <x:c r="K1695" s="37" t="n">
        <x:v>0</x:v>
      </x:c>
      <x:c r="L1695" s="37" t="n">
        <x:v>11695673.801228493</x:v>
      </x:c>
      <x:c r="M1695" s="37" t="n">
        <x:v>0</x:v>
      </x:c>
      <x:c r="N1695" s="37" t="n">
        <x:v>0</x:v>
      </x:c>
      <x:c r="O1695" s="37" t="n">
        <x:v>216.5495887126308</x:v>
      </x:c>
      <x:c r="P1695" s="37" t="n">
        <x:v>0</x:v>
      </x:c>
      <x:c r="Q1695" s="37" t="n">
        <x:v>0</x:v>
      </x:c>
      <x:c r="R1695" s="37" t="n">
        <x:v>0</x:v>
      </x:c>
      <x:c r="S1695" s="37" t="n">
        <x:v>0</x:v>
      </x:c>
      <x:c r="T1695" s="37" t="n">
        <x:v>0</x:v>
      </x:c>
      <x:c r="U1695" s="37" t="n">
        <x:v>101250</x:v>
      </x:c>
      <x:c r="V1695" s="37" t="n">
        <x:v>0</x:v>
      </x:c>
      <x:c r="W1695" s="37" t="n">
        <x:v>17280.569704614813</x:v>
      </x:c>
      <x:c r="X1695" s="37" t="n">
        <x:v>0</x:v>
      </x:c>
      <x:c r="Y1695" s="37" t="n">
        <x:v>1042.869342122179</x:v>
      </x:c>
      <x:c r="Z1695" s="37" t="n">
        <x:v>0</x:v>
      </x:c>
      <x:c r="AA1695" s="37" t="n">
        <x:v>0</x:v>
      </x:c>
      <x:c r="AB1695" s="37" t="n">
        <x:v>0</x:v>
      </x:c>
      <x:c r="AC1695" s="37" t="n">
        <x:v>1317487.7003624926</x:v>
      </x:c>
      <x:c r="AD1695" s="37" t="n">
        <x:v>0</x:v>
      </x:c>
      <x:c r="AE1695" s="37" t="n">
        <x:v>0</x:v>
      </x:c>
      <x:c r="AF1695" s="47" t="b">
        <x:v>0</x:v>
      </x:c>
      <x:c r="AG1695" s="47" t="b">
        <x:v>0</x:v>
      </x:c>
      <x:c r="AH1695" s="48" t="n">
        <x:v>0</x:v>
      </x:c>
      <x:c r="AI1695" s="48" t="n">
        <x:v>1.1920928955078125e-7</x:v>
      </x:c>
      <x:c r="AJ1695" s="37" t="str">
        <x:v>passed</x:v>
      </x:c>
    </x:row>
    <x:row r="1696" ht="21" customHeight="1">
      <x:c r="A1696" s="2"/>
      <x:c r="B1696" s="2"/>
      <x:c r="C1696" s="2" t="str">
        <x:v>2023</x:v>
      </x:c>
      <x:c r="D1696" s="5" t="n">
        <x:v>45180</x:v>
      </x:c>
      <x:c r="E1696" s="2" t="str">
        <x:v>duration</x:v>
      </x:c>
      <x:c r="F1696" s="37" t="n">
        <x:v>7635345.627552019</x:v>
      </x:c>
      <x:c r="G1696" s="37" t="n">
        <x:v>4205140.127146415</x:v>
      </x:c>
      <x:c r="H1696" s="37" t="n">
        <x:v>-9510.642041619269</x:v>
      </x:c>
      <x:c r="I1696" s="37" t="n">
        <x:v>4214650.769188034</x:v>
      </x:c>
      <x:c r="J1696" s="37" t="n">
        <x:v>10378186.100866001</x:v>
      </x:c>
      <x:c r="K1696" s="37" t="n">
        <x:v>6173045.973719585</x:v>
      </x:c>
      <x:c r="L1696" s="37" t="n">
        <x:v>11840485.754698435</x:v>
      </x:c>
      <x:c r="M1696" s="37" t="n">
        <x:v>0</x:v>
      </x:c>
      <x:c r="N1696" s="37" t="n">
        <x:v>0</x:v>
      </x:c>
      <x:c r="O1696" s="37" t="n">
        <x:v>1254.9877732209861</x:v>
      </x:c>
      <x:c r="P1696" s="37" t="n">
        <x:v>0</x:v>
      </x:c>
      <x:c r="Q1696" s="37" t="n">
        <x:v>0</x:v>
      </x:c>
      <x:c r="R1696" s="37" t="n">
        <x:v>0</x:v>
      </x:c>
      <x:c r="S1696" s="37" t="n">
        <x:v>0</x:v>
      </x:c>
      <x:c r="T1696" s="37" t="n">
        <x:v>0</x:v>
      </x:c>
      <x:c r="U1696" s="37" t="n">
        <x:v>47417.381478397</x:v>
      </x:c>
      <x:c r="V1696" s="37" t="n">
        <x:v>0</x:v>
      </x:c>
      <x:c r="W1696" s="37" t="n">
        <x:v>106097.95466948673</x:v>
      </x:c>
      <x:c r="X1696" s="37" t="n">
        <x:v>0</x:v>
      </x:c>
      <x:c r="Y1696" s="37" t="n">
        <x:v>1737.8702558990533</x:v>
      </x:c>
      <x:c r="Z1696" s="37" t="n">
        <x:v>6296506.893193977</x:v>
      </x:c>
      <x:c r="AA1696" s="37" t="n">
        <x:v>0</x:v>
      </x:c>
      <x:c r="AB1696" s="37" t="n">
        <x:v>6296506.893193977</x:v>
      </x:c>
      <x:c r="AC1696" s="37" t="n">
        <x:v>1338838.7343580425</x:v>
      </x:c>
      <x:c r="AD1696" s="37" t="n">
        <x:v>0</x:v>
      </x:c>
      <x:c r="AE1696" s="37" t="n">
        <x:v>0</x:v>
      </x:c>
      <x:c r="AF1696" s="47" t="b">
        <x:v>0</x:v>
      </x:c>
      <x:c r="AG1696" s="47" t="b">
        <x:v>0</x:v>
      </x:c>
      <x:c r="AH1696" s="48" t="n">
        <x:v>0</x:v>
      </x:c>
      <x:c r="AI1696" s="48" t="n">
        <x:v>5.960464477539063e-8</x:v>
      </x:c>
      <x:c r="AJ1696" s="37" t="str">
        <x:v>passed</x:v>
      </x:c>
    </x:row>
    <x:row r="1697" ht="21" customHeight="1">
      <x:c r="A1697" s="2"/>
      <x:c r="B1697" s="2"/>
      <x:c r="C1697" s="2" t="str">
        <x:v>2023</x:v>
      </x:c>
      <x:c r="D1697" s="5" t="n">
        <x:v>45180</x:v>
      </x:c>
      <x:c r="E1697" s="2" t="str">
        <x:v>unweighted</x:v>
      </x:c>
      <x:c r="F1697" s="37" t="n">
        <x:v>11163384.960530575</x:v>
      </x:c>
      <x:c r="G1697" s="37" t="n">
        <x:v>636466.0299170014</x:v>
      </x:c>
      <x:c r="H1697" s="37" t="n">
        <x:v>-17646.0652351592</x:v>
      </x:c>
      <x:c r="I1697" s="37" t="n">
        <x:v>654112.0951521606</x:v>
      </x:c>
      <x:c r="J1697" s="37" t="n">
        <x:v>10472438.296659205</x:v>
      </x:c>
      <x:c r="K1697" s="37" t="n">
        <x:v>9835972.266742203</x:v>
      </x:c>
      <x:c r="L1697" s="37" t="n">
        <x:v>11799850.990447577</x:v>
      </x:c>
      <x:c r="M1697" s="37" t="n">
        <x:v>0</x:v>
      </x:c>
      <x:c r="N1697" s="37" t="n">
        <x:v>0</x:v>
      </x:c>
      <x:c r="O1697" s="37" t="n">
        <x:v>1834.8758938536048</x:v>
      </x:c>
      <x:c r="P1697" s="37" t="n">
        <x:v>0</x:v>
      </x:c>
      <x:c r="Q1697" s="37" t="n">
        <x:v>0</x:v>
      </x:c>
      <x:c r="R1697" s="37" t="n">
        <x:v>0</x:v>
      </x:c>
      <x:c r="S1697" s="37" t="n">
        <x:v>0</x:v>
      </x:c>
      <x:c r="T1697" s="37" t="n">
        <x:v>0</x:v>
      </x:c>
      <x:c r="U1697" s="37" t="n">
        <x:v>31805.80415342993</x:v>
      </x:c>
      <x:c r="V1697" s="37" t="n">
        <x:v>0</x:v>
      </x:c>
      <x:c r="W1697" s="37" t="n">
        <x:v>154736.19812631793</x:v>
      </x:c>
      <x:c r="X1697" s="37" t="n">
        <x:v>0</x:v>
      </x:c>
      <x:c r="Y1697" s="37" t="n">
        <x:v>2172.1213283599986</x:v>
      </x:c>
      <x:c r="Z1697" s="37" t="n">
        <x:v>10032691.712077048</x:v>
      </x:c>
      <x:c r="AA1697" s="37" t="n">
        <x:v>0</x:v>
      </x:c>
      <x:c r="AB1697" s="37" t="n">
        <x:v>10032691.712077048</x:v>
      </x:c>
      <x:c r="AC1697" s="37" t="n">
        <x:v>1130693.2484535277</x:v>
      </x:c>
      <x:c r="AD1697" s="37" t="n">
        <x:v>0</x:v>
      </x:c>
      <x:c r="AE1697" s="37" t="n">
        <x:v>0</x:v>
      </x:c>
      <x:c r="AF1697" s="47" t="b">
        <x:v>0</x:v>
      </x:c>
      <x:c r="AG1697" s="47" t="b">
        <x:v>0</x:v>
      </x:c>
      <x:c r="AH1697" s="48" t="n">
        <x:v>0</x:v>
      </x:c>
      <x:c r="AI1697" s="48" t="n">
        <x:v>1.1920928955078125e-7</x:v>
      </x:c>
      <x:c r="AJ1697" s="37" t="str">
        <x:v>passed</x:v>
      </x:c>
    </x:row>
    <x:row r="1698" ht="21" customHeight="1">
      <x:c r="A1698" s="2"/>
      <x:c r="B1698" s="2"/>
      <x:c r="C1698" s="2" t="str">
        <x:v>2023</x:v>
      </x:c>
      <x:c r="D1698" s="5" t="n">
        <x:v>45180</x:v>
      </x:c>
      <x:c r="E1698" s="2" t="str">
        <x:v>constrained</x:v>
      </x:c>
      <x:c r="F1698" s="37" t="n">
        <x:v>11713959.32448233</x:v>
      </x:c>
      <x:c r="G1698" s="37" t="n">
        <x:v>74437.09856157895</x:v>
      </x:c>
      <x:c r="H1698" s="37" t="n">
        <x:v>-18053.76682629645</x:v>
      </x:c>
      <x:c r="I1698" s="37" t="n">
        <x:v>92490.86538787541</x:v>
      </x:c>
      <x:c r="J1698" s="37" t="n">
        <x:v>10472121.508922238</x:v>
      </x:c>
      <x:c r="K1698" s="37" t="n">
        <x:v>10397684.410360659</x:v>
      </x:c>
      <x:c r="L1698" s="37" t="n">
        <x:v>11788396.423043909</x:v>
      </x:c>
      <x:c r="M1698" s="37" t="n">
        <x:v>0</x:v>
      </x:c>
      <x:c r="N1698" s="37" t="n">
        <x:v>0</x:v>
      </x:c>
      <x:c r="O1698" s="37" t="n">
        <x:v>1925.3713512569666</x:v>
      </x:c>
      <x:c r="P1698" s="37" t="n">
        <x:v>0</x:v>
      </x:c>
      <x:c r="Q1698" s="37" t="n">
        <x:v>0</x:v>
      </x:c>
      <x:c r="R1698" s="37" t="n">
        <x:v>0</x:v>
      </x:c>
      <x:c r="S1698" s="37" t="n">
        <x:v>0</x:v>
      </x:c>
      <x:c r="T1698" s="37" t="n">
        <x:v>0</x:v>
      </x:c>
      <x:c r="U1698" s="37" t="n">
        <x:v>30720.44529747225</x:v>
      </x:c>
      <x:c r="V1698" s="37" t="n">
        <x:v>0</x:v>
      </x:c>
      <x:c r="W1698" s="37" t="n">
        <x:v>161360.57511576265</x:v>
      </x:c>
      <x:c r="X1698" s="37" t="n">
        <x:v>0</x:v>
      </x:c>
      <x:c r="Y1698" s="37" t="n">
        <x:v>2178.1253051300437</x:v>
      </x:c>
      <x:c r="Z1698" s="37" t="n">
        <x:v>10605638.098567871</x:v>
      </x:c>
      <x:c r="AA1698" s="37" t="n">
        <x:v>0</x:v>
      </x:c>
      <x:c r="AB1698" s="37" t="n">
        <x:v>10605638.098567871</x:v>
      </x:c>
      <x:c r="AC1698" s="37" t="n">
        <x:v>1108321.2259144578</x:v>
      </x:c>
      <x:c r="AD1698" s="37" t="n">
        <x:v>0</x:v>
      </x:c>
      <x:c r="AE1698" s="37" t="n">
        <x:v>0</x:v>
      </x:c>
      <x:c r="AF1698" s="47" t="b">
        <x:v>0</x:v>
      </x:c>
      <x:c r="AG1698" s="47" t="b">
        <x:v>0</x:v>
      </x:c>
      <x:c r="AH1698" s="48" t="n">
        <x:v>0</x:v>
      </x:c>
      <x:c r="AI1698" s="48" t="n">
        <x:v>1.1920928955078125e-7</x:v>
      </x:c>
      <x:c r="AJ1698" s="37" t="str">
        <x:v>passed</x:v>
      </x:c>
    </x:row>
    <x:row r="1699" ht="21" customHeight="1">
      <x:c r="A1699" s="2"/>
      <x:c r="B1699" s="2"/>
      <x:c r="C1699" s="2" t="str">
        <x:v>2023</x:v>
      </x:c>
      <x:c r="D1699" s="5" t="n">
        <x:v>45181</x:v>
      </x:c>
      <x:c r="E1699" s="2" t="str">
        <x:v>unhedged</x:v>
      </x:c>
      <x:c r="F1699" s="37" t="n">
        <x:v>1317559.8914693617</x:v>
      </x:c>
      <x:c r="G1699" s="37" t="n">
        <x:v>10383663.835073369</x:v>
      </x:c>
      <x:c r="H1699" s="37" t="n">
        <x:v>24966.032608695652</x:v>
      </x:c>
      <x:c r="I1699" s="37" t="n">
        <x:v>10358697.802464673</x:v>
      </x:c>
      <x:c r="J1699" s="37" t="n">
        <x:v>10383663.835073369</x:v>
      </x:c>
      <x:c r="K1699" s="37" t="n">
        <x:v>0</x:v>
      </x:c>
      <x:c r="L1699" s="37" t="n">
        <x:v>11701223.72654273</x:v>
      </x:c>
      <x:c r="M1699" s="37" t="n">
        <x:v>0</x:v>
      </x:c>
      <x:c r="N1699" s="37" t="n">
        <x:v>0</x:v>
      </x:c>
      <x:c r="O1699" s="37" t="n">
        <x:v>72.19110686914064</x:v>
      </x:c>
      <x:c r="P1699" s="37" t="n">
        <x:v>0</x:v>
      </x:c>
      <x:c r="Q1699" s="37" t="n">
        <x:v>0</x:v>
      </x:c>
      <x:c r="R1699" s="37" t="n">
        <x:v>0</x:v>
      </x:c>
      <x:c r="S1699" s="37" t="n">
        <x:v>0</x:v>
      </x:c>
      <x:c r="T1699" s="37" t="n">
        <x:v>0</x:v>
      </x:c>
      <x:c r="U1699" s="37" t="n">
        <x:v>101250</x:v>
      </x:c>
      <x:c r="V1699" s="37" t="n">
        <x:v>0</x:v>
      </x:c>
      <x:c r="W1699" s="37" t="n">
        <x:v>17352.760811483953</x:v>
      </x:c>
      <x:c r="X1699" s="37" t="n">
        <x:v>0</x:v>
      </x:c>
      <x:c r="Y1699" s="37" t="n">
        <x:v>1042.869342122179</x:v>
      </x:c>
      <x:c r="Z1699" s="37" t="n">
        <x:v>0</x:v>
      </x:c>
      <x:c r="AA1699" s="37" t="n">
        <x:v>0</x:v>
      </x:c>
      <x:c r="AB1699" s="37" t="n">
        <x:v>0</x:v>
      </x:c>
      <x:c r="AC1699" s="37" t="n">
        <x:v>1317559.8914693617</x:v>
      </x:c>
      <x:c r="AD1699" s="37" t="n">
        <x:v>0</x:v>
      </x:c>
      <x:c r="AE1699" s="37" t="n">
        <x:v>0</x:v>
      </x:c>
      <x:c r="AF1699" s="47" t="b">
        <x:v>0</x:v>
      </x:c>
      <x:c r="AG1699" s="47" t="b">
        <x:v>0</x:v>
      </x:c>
      <x:c r="AH1699" s="48" t="n">
        <x:v>0</x:v>
      </x:c>
      <x:c r="AI1699" s="48" t="n">
        <x:v>1.1920928955078125e-7</x:v>
      </x:c>
      <x:c r="AJ1699" s="37" t="str">
        <x:v>passed</x:v>
      </x:c>
    </x:row>
    <x:row r="1700" ht="21" customHeight="1">
      <x:c r="A1700" s="2"/>
      <x:c r="B1700" s="2"/>
      <x:c r="C1700" s="2" t="str">
        <x:v>2023</x:v>
      </x:c>
      <x:c r="D1700" s="5" t="n">
        <x:v>45181</x:v>
      </x:c>
      <x:c r="E1700" s="2" t="str">
        <x:v>duration</x:v>
      </x:c>
      <x:c r="F1700" s="37" t="n">
        <x:v>7635764.002654899</x:v>
      </x:c>
      <x:c r="G1700" s="37" t="n">
        <x:v>4201052.82935616</x:v>
      </x:c>
      <x:c r="H1700" s="37" t="n">
        <x:v>-9450.983114676357</x:v>
      </x:c>
      <x:c r="I1700" s="37" t="n">
        <x:v>4210503.812470837</x:v>
      </x:c>
      <x:c r="J1700" s="37" t="n">
        <x:v>10383663.835073369</x:v>
      </x:c>
      <x:c r="K1700" s="37" t="n">
        <x:v>6182611.005717208</x:v>
      </x:c>
      <x:c r="L1700" s="37" t="n">
        <x:v>11836816.832011059</x:v>
      </x:c>
      <x:c r="M1700" s="37" t="n">
        <x:v>0</x:v>
      </x:c>
      <x:c r="N1700" s="37" t="n">
        <x:v>0</x:v>
      </x:c>
      <x:c r="O1700" s="37" t="n">
        <x:v>418.3751028794795</x:v>
      </x:c>
      <x:c r="P1700" s="37" t="n">
        <x:v>0</x:v>
      </x:c>
      <x:c r="Q1700" s="37" t="n">
        <x:v>0</x:v>
      </x:c>
      <x:c r="R1700" s="37" t="n">
        <x:v>0</x:v>
      </x:c>
      <x:c r="S1700" s="37" t="n">
        <x:v>0</x:v>
      </x:c>
      <x:c r="T1700" s="37" t="n">
        <x:v>0</x:v>
      </x:c>
      <x:c r="U1700" s="37" t="n">
        <x:v>47417.381478397</x:v>
      </x:c>
      <x:c r="V1700" s="37" t="n">
        <x:v>0</x:v>
      </x:c>
      <x:c r="W1700" s="37" t="n">
        <x:v>106516.32977236621</x:v>
      </x:c>
      <x:c r="X1700" s="37" t="n">
        <x:v>0</x:v>
      </x:c>
      <x:c r="Y1700" s="37" t="n">
        <x:v>1737.8702558990533</x:v>
      </x:c>
      <x:c r="Z1700" s="37" t="n">
        <x:v>6306263.2258315515</x:v>
      </x:c>
      <x:c r="AA1700" s="37" t="n">
        <x:v>0</x:v>
      </x:c>
      <x:c r="AB1700" s="37" t="n">
        <x:v>6306263.2258315515</x:v>
      </x:c>
      <x:c r="AC1700" s="37" t="n">
        <x:v>1329500.7768233474</x:v>
      </x:c>
      <x:c r="AD1700" s="37" t="n">
        <x:v>0</x:v>
      </x:c>
      <x:c r="AE1700" s="37" t="n">
        <x:v>0</x:v>
      </x:c>
      <x:c r="AF1700" s="47" t="b">
        <x:v>0</x:v>
      </x:c>
      <x:c r="AG1700" s="47" t="b">
        <x:v>0</x:v>
      </x:c>
      <x:c r="AH1700" s="48" t="n">
        <x:v>0</x:v>
      </x:c>
      <x:c r="AI1700" s="48" t="n">
        <x:v>5.960464477539063e-8</x:v>
      </x:c>
      <x:c r="AJ1700" s="37" t="str">
        <x:v>passed</x:v>
      </x:c>
    </x:row>
    <x:row r="1701" ht="21" customHeight="1">
      <x:c r="A1701" s="2"/>
      <x:c r="B1701" s="2"/>
      <x:c r="C1701" s="2" t="str">
        <x:v>2023</x:v>
      </x:c>
      <x:c r="D1701" s="5" t="n">
        <x:v>45181</x:v>
      </x:c>
      <x:c r="E1701" s="2" t="str">
        <x:v>unweighted</x:v>
      </x:c>
      <x:c r="F1701" s="37" t="n">
        <x:v>11163996.652857179</x:v>
      </x:c>
      <x:c r="G1701" s="37" t="n">
        <x:v>636053.6343548133</x:v>
      </x:c>
      <x:c r="H1701" s="37" t="n">
        <x:v>-17675.728986423397</x:v>
      </x:c>
      <x:c r="I1701" s="37" t="n">
        <x:v>653729.3633412366</x:v>
      </x:c>
      <x:c r="J1701" s="37" t="n">
        <x:v>10478115.61695092</x:v>
      </x:c>
      <x:c r="K1701" s="37" t="n">
        <x:v>9842061.982596107</x:v>
      </x:c>
      <x:c r="L1701" s="37" t="n">
        <x:v>11800050.287211992</x:v>
      </x:c>
      <x:c r="M1701" s="37" t="n">
        <x:v>0</x:v>
      </x:c>
      <x:c r="N1701" s="37" t="n">
        <x:v>0</x:v>
      </x:c>
      <x:c r="O1701" s="37" t="n">
        <x:v>611.6923266034573</x:v>
      </x:c>
      <x:c r="P1701" s="37" t="n">
        <x:v>0</x:v>
      </x:c>
      <x:c r="Q1701" s="37" t="n">
        <x:v>0</x:v>
      </x:c>
      <x:c r="R1701" s="37" t="n">
        <x:v>0</x:v>
      </x:c>
      <x:c r="S1701" s="37" t="n">
        <x:v>0</x:v>
      </x:c>
      <x:c r="T1701" s="37" t="n">
        <x:v>0</x:v>
      </x:c>
      <x:c r="U1701" s="37" t="n">
        <x:v>31805.80415342993</x:v>
      </x:c>
      <x:c r="V1701" s="37" t="n">
        <x:v>0</x:v>
      </x:c>
      <x:c r="W1701" s="37" t="n">
        <x:v>155347.8904529214</x:v>
      </x:c>
      <x:c r="X1701" s="37" t="n">
        <x:v>0</x:v>
      </x:c>
      <x:c r="Y1701" s="37" t="n">
        <x:v>2172.1213283599986</x:v>
      </x:c>
      <x:c r="Z1701" s="37" t="n">
        <x:v>10038903.222248029</x:v>
      </x:c>
      <x:c r="AA1701" s="37" t="n">
        <x:v>0</x:v>
      </x:c>
      <x:c r="AB1701" s="37" t="n">
        <x:v>10038903.222248029</x:v>
      </x:c>
      <x:c r="AC1701" s="37" t="n">
        <x:v>1125093.4306091499</x:v>
      </x:c>
      <x:c r="AD1701" s="37" t="n">
        <x:v>0</x:v>
      </x:c>
      <x:c r="AE1701" s="37" t="n">
        <x:v>0</x:v>
      </x:c>
      <x:c r="AF1701" s="47" t="b">
        <x:v>0</x:v>
      </x:c>
      <x:c r="AG1701" s="47" t="b">
        <x:v>0</x:v>
      </x:c>
      <x:c r="AH1701" s="48" t="n">
        <x:v>0</x:v>
      </x:c>
      <x:c r="AI1701" s="48" t="n">
        <x:v>1.1920928955078125e-7</x:v>
      </x:c>
      <x:c r="AJ1701" s="37" t="str">
        <x:v>passed</x:v>
      </x:c>
    </x:row>
    <x:row r="1702" ht="21" customHeight="1">
      <x:c r="A1702" s="2"/>
      <x:c r="B1702" s="2"/>
      <x:c r="C1702" s="2" t="str">
        <x:v>2023</x:v>
      </x:c>
      <x:c r="D1702" s="5" t="n">
        <x:v>45181</x:v>
      </x:c>
      <x:c r="E1702" s="2" t="str">
        <x:v>constrained</x:v>
      </x:c>
      <x:c r="F1702" s="37" t="n">
        <x:v>11714601.185267232</x:v>
      </x:c>
      <x:c r="G1702" s="37" t="n">
        <x:v>74122.29992637847</x:v>
      </x:c>
      <x:c r="H1702" s="37" t="n">
        <x:v>-18088.15904722027</x:v>
      </x:c>
      <x:c r="I1702" s="37" t="n">
        <x:v>92210.45897359874</x:v>
      </x:c>
      <x:c r="J1702" s="37" t="n">
        <x:v>10477813.349080846</x:v>
      </x:c>
      <x:c r="K1702" s="37" t="n">
        <x:v>10403691.049154468</x:v>
      </x:c>
      <x:c r="L1702" s="37" t="n">
        <x:v>11788723.48519361</x:v>
      </x:c>
      <x:c r="M1702" s="37" t="n">
        <x:v>0</x:v>
      </x:c>
      <x:c r="N1702" s="37" t="n">
        <x:v>0</x:v>
      </x:c>
      <x:c r="O1702" s="37" t="n">
        <x:v>641.8607849031687</x:v>
      </x:c>
      <x:c r="P1702" s="37" t="n">
        <x:v>0</x:v>
      </x:c>
      <x:c r="Q1702" s="37" t="n">
        <x:v>0</x:v>
      </x:c>
      <x:c r="R1702" s="37" t="n">
        <x:v>0</x:v>
      </x:c>
      <x:c r="S1702" s="37" t="n">
        <x:v>0</x:v>
      </x:c>
      <x:c r="T1702" s="37" t="n">
        <x:v>0</x:v>
      </x:c>
      <x:c r="U1702" s="37" t="n">
        <x:v>30720.44529747225</x:v>
      </x:c>
      <x:c r="V1702" s="37" t="n">
        <x:v>0</x:v>
      </x:c>
      <x:c r="W1702" s="37" t="n">
        <x:v>162002.43590066582</x:v>
      </x:c>
      <x:c r="X1702" s="37" t="n">
        <x:v>0</x:v>
      </x:c>
      <x:c r="Y1702" s="37" t="n">
        <x:v>2178.1253051300437</x:v>
      </x:c>
      <x:c r="Z1702" s="37" t="n">
        <x:v>10611764.870137557</x:v>
      </x:c>
      <x:c r="AA1702" s="37" t="n">
        <x:v>0</x:v>
      </x:c>
      <x:c r="AB1702" s="37" t="n">
        <x:v>10611764.870137557</x:v>
      </x:c>
      <x:c r="AC1702" s="37" t="n">
        <x:v>1102836.315129675</x:v>
      </x:c>
      <x:c r="AD1702" s="37" t="n">
        <x:v>0</x:v>
      </x:c>
      <x:c r="AE1702" s="37" t="n">
        <x:v>0</x:v>
      </x:c>
      <x:c r="AF1702" s="47" t="b">
        <x:v>0</x:v>
      </x:c>
      <x:c r="AG1702" s="47" t="b">
        <x:v>0</x:v>
      </x:c>
      <x:c r="AH1702" s="48" t="n">
        <x:v>0</x:v>
      </x:c>
      <x:c r="AI1702" s="48" t="n">
        <x:v>1.1920928955078125e-7</x:v>
      </x:c>
      <x:c r="AJ1702" s="37" t="str">
        <x:v>passed</x:v>
      </x:c>
    </x:row>
    <x:row r="1703" ht="21" customHeight="1">
      <x:c r="A1703" s="2"/>
      <x:c r="B1703" s="2"/>
      <x:c r="C1703" s="2" t="str">
        <x:v>2023</x:v>
      </x:c>
      <x:c r="D1703" s="5" t="n">
        <x:v>45182</x:v>
      </x:c>
      <x:c r="E1703" s="2" t="str">
        <x:v>unhedged</x:v>
      </x:c>
      <x:c r="F1703" s="37" t="n">
        <x:v>1317632.086531908</x:v>
      </x:c>
      <x:c r="G1703" s="37" t="n">
        <x:v>10393472.76198723</x:v>
      </x:c>
      <x:c r="H1703" s="37" t="n">
        <x:v>25312.5</x:v>
      </x:c>
      <x:c r="I1703" s="37" t="n">
        <x:v>10368160.26198723</x:v>
      </x:c>
      <x:c r="J1703" s="37" t="n">
        <x:v>10393472.76198723</x:v>
      </x:c>
      <x:c r="K1703" s="37" t="n">
        <x:v>0</x:v>
      </x:c>
      <x:c r="L1703" s="37" t="n">
        <x:v>11711104.848519137</x:v>
      </x:c>
      <x:c r="M1703" s="37" t="n">
        <x:v>0</x:v>
      </x:c>
      <x:c r="N1703" s="37" t="n">
        <x:v>0</x:v>
      </x:c>
      <x:c r="O1703" s="37" t="n">
        <x:v>72.19506254629232</x:v>
      </x:c>
      <x:c r="P1703" s="37" t="n">
        <x:v>0</x:v>
      </x:c>
      <x:c r="Q1703" s="37" t="n">
        <x:v>0</x:v>
      </x:c>
      <x:c r="R1703" s="37" t="n">
        <x:v>0</x:v>
      </x:c>
      <x:c r="S1703" s="37" t="n">
        <x:v>0</x:v>
      </x:c>
      <x:c r="T1703" s="37" t="n">
        <x:v>0</x:v>
      </x:c>
      <x:c r="U1703" s="37" t="n">
        <x:v>101250</x:v>
      </x:c>
      <x:c r="V1703" s="37" t="n">
        <x:v>0</x:v>
      </x:c>
      <x:c r="W1703" s="37" t="n">
        <x:v>17424.955874030245</x:v>
      </x:c>
      <x:c r="X1703" s="37" t="n">
        <x:v>0</x:v>
      </x:c>
      <x:c r="Y1703" s="37" t="n">
        <x:v>1042.869342122179</x:v>
      </x:c>
      <x:c r="Z1703" s="37" t="n">
        <x:v>0</x:v>
      </x:c>
      <x:c r="AA1703" s="37" t="n">
        <x:v>0</x:v>
      </x:c>
      <x:c r="AB1703" s="37" t="n">
        <x:v>0</x:v>
      </x:c>
      <x:c r="AC1703" s="37" t="n">
        <x:v>1317632.086531908</x:v>
      </x:c>
      <x:c r="AD1703" s="37" t="n">
        <x:v>0</x:v>
      </x:c>
      <x:c r="AE1703" s="37" t="n">
        <x:v>0</x:v>
      </x:c>
      <x:c r="AF1703" s="47" t="b">
        <x:v>0</x:v>
      </x:c>
      <x:c r="AG1703" s="47" t="b">
        <x:v>0</x:v>
      </x:c>
      <x:c r="AH1703" s="48" t="n">
        <x:v>0</x:v>
      </x:c>
      <x:c r="AI1703" s="48" t="n">
        <x:v>1.1920928955078125e-7</x:v>
      </x:c>
      <x:c r="AJ1703" s="37" t="str">
        <x:v>passed</x:v>
      </x:c>
    </x:row>
    <x:row r="1704" ht="21" customHeight="1">
      <x:c r="A1704" s="2"/>
      <x:c r="B1704" s="2"/>
      <x:c r="C1704" s="2" t="str">
        <x:v>2023</x:v>
      </x:c>
      <x:c r="D1704" s="5" t="n">
        <x:v>45182</x:v>
      </x:c>
      <x:c r="E1704" s="2" t="str">
        <x:v>duration</x:v>
      </x:c>
      <x:c r="F1704" s="37" t="n">
        <x:v>7636182.400682442</x:v>
      </x:c>
      <x:c r="G1704" s="37" t="n">
        <x:v>4202843.756301436</x:v>
      </x:c>
      <x:c r="H1704" s="37" t="n">
        <x:v>-9391.324187733444</x:v>
      </x:c>
      <x:c r="I1704" s="37" t="n">
        <x:v>4212235.080489169</x:v>
      </x:c>
      <x:c r="J1704" s="37" t="n">
        <x:v>10393472.76198723</x:v>
      </x:c>
      <x:c r="K1704" s="37" t="n">
        <x:v>6190629.005685794</x:v>
      </x:c>
      <x:c r="L1704" s="37" t="n">
        <x:v>11839026.156983878</x:v>
      </x:c>
      <x:c r="M1704" s="37" t="n">
        <x:v>0</x:v>
      </x:c>
      <x:c r="N1704" s="37" t="n">
        <x:v>0</x:v>
      </x:c>
      <x:c r="O1704" s="37" t="n">
        <x:v>418.3980275429785</x:v>
      </x:c>
      <x:c r="P1704" s="37" t="n">
        <x:v>0</x:v>
      </x:c>
      <x:c r="Q1704" s="37" t="n">
        <x:v>0</x:v>
      </x:c>
      <x:c r="R1704" s="37" t="n">
        <x:v>0</x:v>
      </x:c>
      <x:c r="S1704" s="37" t="n">
        <x:v>0</x:v>
      </x:c>
      <x:c r="T1704" s="37" t="n">
        <x:v>0</x:v>
      </x:c>
      <x:c r="U1704" s="37" t="n">
        <x:v>47417.381478397</x:v>
      </x:c>
      <x:c r="V1704" s="37" t="n">
        <x:v>0</x:v>
      </x:c>
      <x:c r="W1704" s="37" t="n">
        <x:v>106934.72779990919</x:v>
      </x:c>
      <x:c r="X1704" s="37" t="n">
        <x:v>0</x:v>
      </x:c>
      <x:c r="Y1704" s="37" t="n">
        <x:v>1737.8702558990533</x:v>
      </x:c>
      <x:c r="Z1704" s="37" t="n">
        <x:v>6314441.585799511</x:v>
      </x:c>
      <x:c r="AA1704" s="37" t="n">
        <x:v>0</x:v>
      </x:c>
      <x:c r="AB1704" s="37" t="n">
        <x:v>6314441.585799511</x:v>
      </x:c>
      <x:c r="AC1704" s="37" t="n">
        <x:v>1321740.8148829313</x:v>
      </x:c>
      <x:c r="AD1704" s="37" t="n">
        <x:v>0</x:v>
      </x:c>
      <x:c r="AE1704" s="37" t="n">
        <x:v>0</x:v>
      </x:c>
      <x:c r="AF1704" s="47" t="b">
        <x:v>0</x:v>
      </x:c>
      <x:c r="AG1704" s="47" t="b">
        <x:v>0</x:v>
      </x:c>
      <x:c r="AH1704" s="48" t="n">
        <x:v>0</x:v>
      </x:c>
      <x:c r="AI1704" s="48" t="n">
        <x:v>5.960464477539063e-8</x:v>
      </x:c>
      <x:c r="AJ1704" s="37" t="str">
        <x:v>passed</x:v>
      </x:c>
    </x:row>
    <x:row r="1705" ht="21" customHeight="1">
      <x:c r="A1705" s="2"/>
      <x:c r="B1705" s="2"/>
      <x:c r="C1705" s="2" t="str">
        <x:v>2023</x:v>
      </x:c>
      <x:c r="D1705" s="5" t="n">
        <x:v>45182</x:v>
      </x:c>
      <x:c r="E1705" s="2" t="str">
        <x:v>unweighted</x:v>
      </x:c>
      <x:c r="F1705" s="37" t="n">
        <x:v>11164608.378701173</x:v>
      </x:c>
      <x:c r="G1705" s="37" t="n">
        <x:v>636218.5820994574</x:v>
      </x:c>
      <x:c r="H1705" s="37" t="n">
        <x:v>-17705.392737687594</x:v>
      </x:c>
      <x:c r="I1705" s="37" t="n">
        <x:v>653923.974837145</x:v>
      </x:c>
      <x:c r="J1705" s="37" t="n">
        <x:v>10488201.28303946</x:v>
      </x:c>
      <x:c r="K1705" s="37" t="n">
        <x:v>9851982.700940002</x:v>
      </x:c>
      <x:c r="L1705" s="37" t="n">
        <x:v>11800826.960800631</x:v>
      </x:c>
      <x:c r="M1705" s="37" t="n">
        <x:v>0</x:v>
      </x:c>
      <x:c r="N1705" s="37" t="n">
        <x:v>0</x:v>
      </x:c>
      <x:c r="O1705" s="37" t="n">
        <x:v>611.7258439939469</x:v>
      </x:c>
      <x:c r="P1705" s="37" t="n">
        <x:v>0</x:v>
      </x:c>
      <x:c r="Q1705" s="37" t="n">
        <x:v>0</x:v>
      </x:c>
      <x:c r="R1705" s="37" t="n">
        <x:v>0</x:v>
      </x:c>
      <x:c r="S1705" s="37" t="n">
        <x:v>0</x:v>
      </x:c>
      <x:c r="T1705" s="37" t="n">
        <x:v>0</x:v>
      </x:c>
      <x:c r="U1705" s="37" t="n">
        <x:v>31805.80415342993</x:v>
      </x:c>
      <x:c r="V1705" s="37" t="n">
        <x:v>0</x:v>
      </x:c>
      <x:c r="W1705" s="37" t="n">
        <x:v>155959.61629691534</x:v>
      </x:c>
      <x:c r="X1705" s="37" t="n">
        <x:v>0</x:v>
      </x:c>
      <x:c r="Y1705" s="37" t="n">
        <x:v>2172.1213283599986</x:v>
      </x:c>
      <x:c r="Z1705" s="37" t="n">
        <x:v>10049022.354958802</x:v>
      </x:c>
      <x:c r="AA1705" s="37" t="n">
        <x:v>0</x:v>
      </x:c>
      <x:c r="AB1705" s="37" t="n">
        <x:v>10049022.354958802</x:v>
      </x:c>
      <x:c r="AC1705" s="37" t="n">
        <x:v>1115586.0237423703</x:v>
      </x:c>
      <x:c r="AD1705" s="37" t="n">
        <x:v>0</x:v>
      </x:c>
      <x:c r="AE1705" s="37" t="n">
        <x:v>0</x:v>
      </x:c>
      <x:c r="AF1705" s="47" t="b">
        <x:v>0</x:v>
      </x:c>
      <x:c r="AG1705" s="47" t="b">
        <x:v>0</x:v>
      </x:c>
      <x:c r="AH1705" s="48" t="n">
        <x:v>0</x:v>
      </x:c>
      <x:c r="AI1705" s="48" t="n">
        <x:v>1.1920928955078125e-7</x:v>
      </x:c>
      <x:c r="AJ1705" s="37" t="str">
        <x:v>passed</x:v>
      </x:c>
    </x:row>
    <x:row r="1706" ht="21" customHeight="1">
      <x:c r="A1706" s="2"/>
      <x:c r="B1706" s="2"/>
      <x:c r="C1706" s="2" t="str">
        <x:v>2023</x:v>
      </x:c>
      <x:c r="D1706" s="5" t="n">
        <x:v>45182</x:v>
      </x:c>
      <x:c r="E1706" s="2" t="str">
        <x:v>constrained</x:v>
      </x:c>
      <x:c r="F1706" s="37" t="n">
        <x:v>11715243.08122259</x:v>
      </x:c>
      <x:c r="G1706" s="37" t="n">
        <x:v>74294.99796855202</x:v>
      </x:c>
      <x:c r="H1706" s="37" t="n">
        <x:v>-18122.551268144092</x:v>
      </x:c>
      <x:c r="I1706" s="37" t="n">
        <x:v>92417.54923669611</x:v>
      </x:c>
      <x:c r="J1706" s="37" t="n">
        <x:v>10487890.124478264</x:v>
      </x:c>
      <x:c r="K1706" s="37" t="n">
        <x:v>10413595.126509713</x:v>
      </x:c>
      <x:c r="L1706" s="37" t="n">
        <x:v>11789538.079191143</x:v>
      </x:c>
      <x:c r="M1706" s="37" t="n">
        <x:v>0</x:v>
      </x:c>
      <x:c r="N1706" s="37" t="n">
        <x:v>0</x:v>
      </x:c>
      <x:c r="O1706" s="37" t="n">
        <x:v>641.8959553577006</x:v>
      </x:c>
      <x:c r="P1706" s="37" t="n">
        <x:v>0</x:v>
      </x:c>
      <x:c r="Q1706" s="37" t="n">
        <x:v>0</x:v>
      </x:c>
      <x:c r="R1706" s="37" t="n">
        <x:v>0</x:v>
      </x:c>
      <x:c r="S1706" s="37" t="n">
        <x:v>0</x:v>
      </x:c>
      <x:c r="T1706" s="37" t="n">
        <x:v>0</x:v>
      </x:c>
      <x:c r="U1706" s="37" t="n">
        <x:v>30720.44529747225</x:v>
      </x:c>
      <x:c r="V1706" s="37" t="n">
        <x:v>0</x:v>
      </x:c>
      <x:c r="W1706" s="37" t="n">
        <x:v>162644.33185602352</x:v>
      </x:c>
      <x:c r="X1706" s="37" t="n">
        <x:v>0</x:v>
      </x:c>
      <x:c r="Y1706" s="37" t="n">
        <x:v>2178.1253051300437</x:v>
      </x:c>
      <x:c r="Z1706" s="37" t="n">
        <x:v>10621867.029039908</x:v>
      </x:c>
      <x:c r="AA1706" s="37" t="n">
        <x:v>0</x:v>
      </x:c>
      <x:c r="AB1706" s="37" t="n">
        <x:v>10621867.029039908</x:v>
      </x:c>
      <x:c r="AC1706" s="37" t="n">
        <x:v>1093376.0521826819</x:v>
      </x:c>
      <x:c r="AD1706" s="37" t="n">
        <x:v>0</x:v>
      </x:c>
      <x:c r="AE1706" s="37" t="n">
        <x:v>0</x:v>
      </x:c>
      <x:c r="AF1706" s="47" t="b">
        <x:v>0</x:v>
      </x:c>
      <x:c r="AG1706" s="47" t="b">
        <x:v>0</x:v>
      </x:c>
      <x:c r="AH1706" s="48" t="n">
        <x:v>0</x:v>
      </x:c>
      <x:c r="AI1706" s="48" t="n">
        <x:v>1.1920928955078125e-7</x:v>
      </x:c>
      <x:c r="AJ1706" s="37" t="str">
        <x:v>passed</x:v>
      </x:c>
    </x:row>
    <x:row r="1707" ht="21" customHeight="1">
      <x:c r="A1707" s="2"/>
      <x:c r="B1707" s="2"/>
      <x:c r="C1707" s="2" t="str">
        <x:v>2023</x:v>
      </x:c>
      <x:c r="D1707" s="5" t="n">
        <x:v>45183</x:v>
      </x:c>
      <x:c r="E1707" s="2" t="str">
        <x:v>unhedged</x:v>
      </x:c>
      <x:c r="F1707" s="37" t="n">
        <x:v>1317704.2855503485</x:v>
      </x:c>
      <x:c r="G1707" s="37" t="n">
        <x:v>10380539.247421907</x:v>
      </x:c>
      <x:c r="H1707" s="37" t="n">
        <x:v>25658.967391304348</x:v>
      </x:c>
      <x:c r="I1707" s="37" t="n">
        <x:v>10354880.280030603</x:v>
      </x:c>
      <x:c r="J1707" s="37" t="n">
        <x:v>10380539.247421907</x:v>
      </x:c>
      <x:c r="K1707" s="37" t="n">
        <x:v>0</x:v>
      </x:c>
      <x:c r="L1707" s="37" t="n">
        <x:v>11698243.532972256</x:v>
      </x:c>
      <x:c r="M1707" s="37" t="n">
        <x:v>0</x:v>
      </x:c>
      <x:c r="N1707" s="37" t="n">
        <x:v>0</x:v>
      </x:c>
      <x:c r="O1707" s="37" t="n">
        <x:v>72.19901844044216</x:v>
      </x:c>
      <x:c r="P1707" s="37" t="n">
        <x:v>0</x:v>
      </x:c>
      <x:c r="Q1707" s="37" t="n">
        <x:v>0</x:v>
      </x:c>
      <x:c r="R1707" s="37" t="n">
        <x:v>0</x:v>
      </x:c>
      <x:c r="S1707" s="37" t="n">
        <x:v>0</x:v>
      </x:c>
      <x:c r="T1707" s="37" t="n">
        <x:v>0</x:v>
      </x:c>
      <x:c r="U1707" s="37" t="n">
        <x:v>101250</x:v>
      </x:c>
      <x:c r="V1707" s="37" t="n">
        <x:v>0</x:v>
      </x:c>
      <x:c r="W1707" s="37" t="n">
        <x:v>17497.154892470688</x:v>
      </x:c>
      <x:c r="X1707" s="37" t="n">
        <x:v>0</x:v>
      </x:c>
      <x:c r="Y1707" s="37" t="n">
        <x:v>1042.869342122179</x:v>
      </x:c>
      <x:c r="Z1707" s="37" t="n">
        <x:v>0</x:v>
      </x:c>
      <x:c r="AA1707" s="37" t="n">
        <x:v>0</x:v>
      </x:c>
      <x:c r="AB1707" s="37" t="n">
        <x:v>0</x:v>
      </x:c>
      <x:c r="AC1707" s="37" t="n">
        <x:v>1317704.2855503485</x:v>
      </x:c>
      <x:c r="AD1707" s="37" t="n">
        <x:v>0</x:v>
      </x:c>
      <x:c r="AE1707" s="37" t="n">
        <x:v>0</x:v>
      </x:c>
      <x:c r="AF1707" s="47" t="b">
        <x:v>0</x:v>
      </x:c>
      <x:c r="AG1707" s="47" t="b">
        <x:v>0</x:v>
      </x:c>
      <x:c r="AH1707" s="48" t="n">
        <x:v>0</x:v>
      </x:c>
      <x:c r="AI1707" s="48" t="n">
        <x:v>1.1920928955078125e-7</x:v>
      </x:c>
      <x:c r="AJ1707" s="37" t="str">
        <x:v>passed</x:v>
      </x:c>
    </x:row>
    <x:row r="1708" ht="21" customHeight="1">
      <x:c r="A1708" s="2"/>
      <x:c r="B1708" s="2"/>
      <x:c r="C1708" s="2" t="str">
        <x:v>2023</x:v>
      </x:c>
      <x:c r="D1708" s="5" t="n">
        <x:v>45183</x:v>
      </x:c>
      <x:c r="E1708" s="2" t="str">
        <x:v>duration</x:v>
      </x:c>
      <x:c r="F1708" s="37" t="n">
        <x:v>7636600.821635906</x:v>
      </x:c>
      <x:c r="G1708" s="37" t="n">
        <x:v>4202807.875286437</x:v>
      </x:c>
      <x:c r="H1708" s="37" t="n">
        <x:v>-9331.66526079053</x:v>
      </x:c>
      <x:c r="I1708" s="37" t="n">
        <x:v>4212139.5405472275</x:v>
      </x:c>
      <x:c r="J1708" s="37" t="n">
        <x:v>10380539.247421907</x:v>
      </x:c>
      <x:c r="K1708" s="37" t="n">
        <x:v>6177731.372135471</x:v>
      </x:c>
      <x:c r="L1708" s="37" t="n">
        <x:v>11839408.696922343</x:v>
      </x:c>
      <x:c r="M1708" s="37" t="n">
        <x:v>0</x:v>
      </x:c>
      <x:c r="N1708" s="37" t="n">
        <x:v>0</x:v>
      </x:c>
      <x:c r="O1708" s="37" t="n">
        <x:v>418.420953463763</x:v>
      </x:c>
      <x:c r="P1708" s="37" t="n">
        <x:v>0</x:v>
      </x:c>
      <x:c r="Q1708" s="37" t="n">
        <x:v>0</x:v>
      </x:c>
      <x:c r="R1708" s="37" t="n">
        <x:v>0</x:v>
      </x:c>
      <x:c r="S1708" s="37" t="n">
        <x:v>0</x:v>
      </x:c>
      <x:c r="T1708" s="37" t="n">
        <x:v>0</x:v>
      </x:c>
      <x:c r="U1708" s="37" t="n">
        <x:v>47417.381478397</x:v>
      </x:c>
      <x:c r="V1708" s="37" t="n">
        <x:v>0</x:v>
      </x:c>
      <x:c r="W1708" s="37" t="n">
        <x:v>107353.14875337295</x:v>
      </x:c>
      <x:c r="X1708" s="37" t="n">
        <x:v>0</x:v>
      </x:c>
      <x:c r="Y1708" s="37" t="n">
        <x:v>1737.8702558990533</x:v>
      </x:c>
      <x:c r="Z1708" s="37" t="n">
        <x:v>6301285.99957818</x:v>
      </x:c>
      <x:c r="AA1708" s="37" t="n">
        <x:v>0</x:v>
      </x:c>
      <x:c r="AB1708" s="37" t="n">
        <x:v>6301285.99957818</x:v>
      </x:c>
      <x:c r="AC1708" s="37" t="n">
        <x:v>1335314.8220577259</x:v>
      </x:c>
      <x:c r="AD1708" s="37" t="n">
        <x:v>0</x:v>
      </x:c>
      <x:c r="AE1708" s="37" t="n">
        <x:v>0</x:v>
      </x:c>
      <x:c r="AF1708" s="47" t="b">
        <x:v>0</x:v>
      </x:c>
      <x:c r="AG1708" s="47" t="b">
        <x:v>0</x:v>
      </x:c>
      <x:c r="AH1708" s="48" t="n">
        <x:v>0</x:v>
      </x:c>
      <x:c r="AI1708" s="48" t="n">
        <x:v>5.960464477539063e-8</x:v>
      </x:c>
      <x:c r="AJ1708" s="37" t="str">
        <x:v>passed</x:v>
      </x:c>
    </x:row>
    <x:row r="1709" ht="21" customHeight="1">
      <x:c r="A1709" s="2"/>
      <x:c r="B1709" s="2"/>
      <x:c r="C1709" s="2" t="str">
        <x:v>2023</x:v>
      </x:c>
      <x:c r="D1709" s="5" t="n">
        <x:v>45183</x:v>
      </x:c>
      <x:c r="E1709" s="2" t="str">
        <x:v>unweighted</x:v>
      </x:c>
      <x:c r="F1709" s="37" t="n">
        <x:v>11165220.13806439</x:v>
      </x:c>
      <x:c r="G1709" s="37" t="n">
        <x:v>636156.9983615212</x:v>
      </x:c>
      <x:c r="H1709" s="37" t="n">
        <x:v>-17735.05648895179</x:v>
      </x:c>
      <x:c r="I1709" s="37" t="n">
        <x:v>653892.054850473</x:v>
      </x:c>
      <x:c r="J1709" s="37" t="n">
        <x:v>10474530.770092087</x:v>
      </x:c>
      <x:c r="K1709" s="37" t="n">
        <x:v>9838373.771730566</x:v>
      </x:c>
      <x:c r="L1709" s="37" t="n">
        <x:v>11801377.13642591</x:v>
      </x:c>
      <x:c r="M1709" s="37" t="n">
        <x:v>0</x:v>
      </x:c>
      <x:c r="N1709" s="37" t="n">
        <x:v>0</x:v>
      </x:c>
      <x:c r="O1709" s="37" t="n">
        <x:v>611.7593632172793</x:v>
      </x:c>
      <x:c r="P1709" s="37" t="n">
        <x:v>0</x:v>
      </x:c>
      <x:c r="Q1709" s="37" t="n">
        <x:v>0</x:v>
      </x:c>
      <x:c r="R1709" s="37" t="n">
        <x:v>0</x:v>
      </x:c>
      <x:c r="S1709" s="37" t="n">
        <x:v>0</x:v>
      </x:c>
      <x:c r="T1709" s="37" t="n">
        <x:v>0</x:v>
      </x:c>
      <x:c r="U1709" s="37" t="n">
        <x:v>31805.80415342993</x:v>
      </x:c>
      <x:c r="V1709" s="37" t="n">
        <x:v>0</x:v>
      </x:c>
      <x:c r="W1709" s="37" t="n">
        <x:v>156571.37566013262</x:v>
      </x:c>
      <x:c r="X1709" s="37" t="n">
        <x:v>0</x:v>
      </x:c>
      <x:c r="Y1709" s="37" t="n">
        <x:v>2172.1213283599986</x:v>
      </x:c>
      <x:c r="Z1709" s="37" t="n">
        <x:v>10035141.247165177</x:v>
      </x:c>
      <x:c r="AA1709" s="37" t="n">
        <x:v>0</x:v>
      </x:c>
      <x:c r="AB1709" s="37" t="n">
        <x:v>10035141.247165177</x:v>
      </x:c>
      <x:c r="AC1709" s="37" t="n">
        <x:v>1130078.890899213</x:v>
      </x:c>
      <x:c r="AD1709" s="37" t="n">
        <x:v>0</x:v>
      </x:c>
      <x:c r="AE1709" s="37" t="n">
        <x:v>0</x:v>
      </x:c>
      <x:c r="AF1709" s="47" t="b">
        <x:v>0</x:v>
      </x:c>
      <x:c r="AG1709" s="47" t="b">
        <x:v>0</x:v>
      </x:c>
      <x:c r="AH1709" s="48" t="n">
        <x:v>0</x:v>
      </x:c>
      <x:c r="AI1709" s="48" t="n">
        <x:v>1.1920928955078125e-7</x:v>
      </x:c>
      <x:c r="AJ1709" s="37" t="str">
        <x:v>passed</x:v>
      </x:c>
    </x:row>
    <x:row r="1710" ht="21" customHeight="1">
      <x:c r="A1710" s="2"/>
      <x:c r="B1710" s="2"/>
      <x:c r="C1710" s="2" t="str">
        <x:v>2023</x:v>
      </x:c>
      <x:c r="D1710" s="5" t="n">
        <x:v>45183</x:v>
      </x:c>
      <x:c r="E1710" s="2" t="str">
        <x:v>constrained</x:v>
      </x:c>
      <x:c r="F1710" s="37" t="n">
        <x:v>11715885.01235033</x:v>
      </x:c>
      <x:c r="G1710" s="37" t="n">
        <x:v>73864.06478342158</x:v>
      </x:c>
      <x:c r="H1710" s="37" t="n">
        <x:v>-18156.94348906791</x:v>
      </x:c>
      <x:c r="I1710" s="37" t="n">
        <x:v>92021.00827248949</x:v>
      </x:c>
      <x:c r="J1710" s="37" t="n">
        <x:v>10474217.121716404</x:v>
      </x:c>
      <x:c r="K1710" s="37" t="n">
        <x:v>10400353.056932984</x:v>
      </x:c>
      <x:c r="L1710" s="37" t="n">
        <x:v>11789749.077133752</x:v>
      </x:c>
      <x:c r="M1710" s="37" t="n">
        <x:v>0</x:v>
      </x:c>
      <x:c r="N1710" s="37" t="n">
        <x:v>0</x:v>
      </x:c>
      <x:c r="O1710" s="37" t="n">
        <x:v>641.9311277400702</x:v>
      </x:c>
      <x:c r="P1710" s="37" t="n">
        <x:v>0</x:v>
      </x:c>
      <x:c r="Q1710" s="37" t="n">
        <x:v>0</x:v>
      </x:c>
      <x:c r="R1710" s="37" t="n">
        <x:v>0</x:v>
      </x:c>
      <x:c r="S1710" s="37" t="n">
        <x:v>0</x:v>
      </x:c>
      <x:c r="T1710" s="37" t="n">
        <x:v>0</x:v>
      </x:c>
      <x:c r="U1710" s="37" t="n">
        <x:v>30720.44529747225</x:v>
      </x:c>
      <x:c r="V1710" s="37" t="n">
        <x:v>0</x:v>
      </x:c>
      <x:c r="W1710" s="37" t="n">
        <x:v>163286.2629837636</x:v>
      </x:c>
      <x:c r="X1710" s="37" t="n">
        <x:v>0</x:v>
      </x:c>
      <x:c r="Y1710" s="37" t="n">
        <x:v>2178.1253051300437</x:v>
      </x:c>
      <x:c r="Z1710" s="37" t="n">
        <x:v>10608360.118071644</x:v>
      </x:c>
      <x:c r="AA1710" s="37" t="n">
        <x:v>0</x:v>
      </x:c>
      <x:c r="AB1710" s="37" t="n">
        <x:v>10608360.118071644</x:v>
      </x:c>
      <x:c r="AC1710" s="37" t="n">
        <x:v>1107524.8942786865</x:v>
      </x:c>
      <x:c r="AD1710" s="37" t="n">
        <x:v>0</x:v>
      </x:c>
      <x:c r="AE1710" s="37" t="n">
        <x:v>0</x:v>
      </x:c>
      <x:c r="AF1710" s="47" t="b">
        <x:v>0</x:v>
      </x:c>
      <x:c r="AG1710" s="47" t="b">
        <x:v>0</x:v>
      </x:c>
      <x:c r="AH1710" s="48" t="n">
        <x:v>0</x:v>
      </x:c>
      <x:c r="AI1710" s="48" t="n">
        <x:v>1.1920928955078125e-7</x:v>
      </x:c>
      <x:c r="AJ1710" s="37" t="str">
        <x:v>passed</x:v>
      </x:c>
    </x:row>
    <x:row r="1711" ht="21" customHeight="1">
      <x:c r="A1711" s="2"/>
      <x:c r="B1711" s="2"/>
      <x:c r="C1711" s="2" t="str">
        <x:v>2023</x:v>
      </x:c>
      <x:c r="D1711" s="5" t="n">
        <x:v>45184</x:v>
      </x:c>
      <x:c r="E1711" s="2" t="str">
        <x:v>unhedged</x:v>
      </x:c>
      <x:c r="F1711" s="37" t="n">
        <x:v>1317776.4885248991</x:v>
      </x:c>
      <x:c r="G1711" s="37" t="n">
        <x:v>10348498.543297006</x:v>
      </x:c>
      <x:c r="H1711" s="37" t="n">
        <x:v>26005.434782608696</x:v>
      </x:c>
      <x:c r="I1711" s="37" t="n">
        <x:v>10322493.108514396</x:v>
      </x:c>
      <x:c r="J1711" s="37" t="n">
        <x:v>10348498.543297006</x:v>
      </x:c>
      <x:c r="K1711" s="37" t="n">
        <x:v>0</x:v>
      </x:c>
      <x:c r="L1711" s="37" t="n">
        <x:v>11666275.031821905</x:v>
      </x:c>
      <x:c r="M1711" s="37" t="n">
        <x:v>0</x:v>
      </x:c>
      <x:c r="N1711" s="37" t="n">
        <x:v>0</x:v>
      </x:c>
      <x:c r="O1711" s="37" t="n">
        <x:v>72.20297455065884</x:v>
      </x:c>
      <x:c r="P1711" s="37" t="n">
        <x:v>0</x:v>
      </x:c>
      <x:c r="Q1711" s="37" t="n">
        <x:v>0</x:v>
      </x:c>
      <x:c r="R1711" s="37" t="n">
        <x:v>0</x:v>
      </x:c>
      <x:c r="S1711" s="37" t="n">
        <x:v>0</x:v>
      </x:c>
      <x:c r="T1711" s="37" t="n">
        <x:v>0</x:v>
      </x:c>
      <x:c r="U1711" s="37" t="n">
        <x:v>101250</x:v>
      </x:c>
      <x:c r="V1711" s="37" t="n">
        <x:v>0</x:v>
      </x:c>
      <x:c r="W1711" s="37" t="n">
        <x:v>17569.357867021346</x:v>
      </x:c>
      <x:c r="X1711" s="37" t="n">
        <x:v>0</x:v>
      </x:c>
      <x:c r="Y1711" s="37" t="n">
        <x:v>1042.869342122179</x:v>
      </x:c>
      <x:c r="Z1711" s="37" t="n">
        <x:v>0</x:v>
      </x:c>
      <x:c r="AA1711" s="37" t="n">
        <x:v>0</x:v>
      </x:c>
      <x:c r="AB1711" s="37" t="n">
        <x:v>0</x:v>
      </x:c>
      <x:c r="AC1711" s="37" t="n">
        <x:v>1317776.4885248991</x:v>
      </x:c>
      <x:c r="AD1711" s="37" t="n">
        <x:v>0</x:v>
      </x:c>
      <x:c r="AE1711" s="37" t="n">
        <x:v>0</x:v>
      </x:c>
      <x:c r="AF1711" s="47" t="b">
        <x:v>0</x:v>
      </x:c>
      <x:c r="AG1711" s="47" t="b">
        <x:v>0</x:v>
      </x:c>
      <x:c r="AH1711" s="48" t="n">
        <x:v>0</x:v>
      </x:c>
      <x:c r="AI1711" s="48" t="n">
        <x:v>1.1920928955078125e-7</x:v>
      </x:c>
      <x:c r="AJ1711" s="37" t="str">
        <x:v>passed</x:v>
      </x:c>
    </x:row>
    <x:row r="1712" ht="21" customHeight="1">
      <x:c r="A1712" s="2"/>
      <x:c r="B1712" s="2"/>
      <x:c r="C1712" s="2" t="str">
        <x:v>2023</x:v>
      </x:c>
      <x:c r="D1712" s="5" t="n">
        <x:v>45184</x:v>
      </x:c>
      <x:c r="E1712" s="2" t="str">
        <x:v>duration</x:v>
      </x:c>
      <x:c r="F1712" s="37" t="n">
        <x:v>7637019.265516545</x:v>
      </x:c>
      <x:c r="G1712" s="37" t="n">
        <x:v>4218886.6781476885</x:v>
      </x:c>
      <x:c r="H1712" s="37" t="n">
        <x:v>-9272.006333847617</x:v>
      </x:c>
      <x:c r="I1712" s="37" t="n">
        <x:v>4228158.684481536</x:v>
      </x:c>
      <x:c r="J1712" s="37" t="n">
        <x:v>10348498.543297006</x:v>
      </x:c>
      <x:c r="K1712" s="37" t="n">
        <x:v>6129611.865149316</x:v>
      </x:c>
      <x:c r="L1712" s="37" t="n">
        <x:v>11855905.943664234</x:v>
      </x:c>
      <x:c r="M1712" s="37" t="n">
        <x:v>0</x:v>
      </x:c>
      <x:c r="N1712" s="37" t="n">
        <x:v>0</x:v>
      </x:c>
      <x:c r="O1712" s="37" t="n">
        <x:v>418.443880639039</x:v>
      </x:c>
      <x:c r="P1712" s="37" t="n">
        <x:v>0</x:v>
      </x:c>
      <x:c r="Q1712" s="37" t="n">
        <x:v>0</x:v>
      </x:c>
      <x:c r="R1712" s="37" t="n">
        <x:v>0</x:v>
      </x:c>
      <x:c r="S1712" s="37" t="n">
        <x:v>0</x:v>
      </x:c>
      <x:c r="T1712" s="37" t="n">
        <x:v>0</x:v>
      </x:c>
      <x:c r="U1712" s="37" t="n">
        <x:v>47417.381478397</x:v>
      </x:c>
      <x:c r="V1712" s="37" t="n">
        <x:v>0</x:v>
      </x:c>
      <x:c r="W1712" s="37" t="n">
        <x:v>107771.59263401199</x:v>
      </x:c>
      <x:c r="X1712" s="37" t="n">
        <x:v>0</x:v>
      </x:c>
      <x:c r="Y1712" s="37" t="n">
        <x:v>1737.8702558990533</x:v>
      </x:c>
      <x:c r="Z1712" s="37" t="n">
        <x:v>6252204.102452302</x:v>
      </x:c>
      <x:c r="AA1712" s="37" t="n">
        <x:v>0</x:v>
      </x:c>
      <x:c r="AB1712" s="37" t="n">
        <x:v>6252204.102452302</x:v>
      </x:c>
      <x:c r="AC1712" s="37" t="n">
        <x:v>1384815.1630642423</x:v>
      </x:c>
      <x:c r="AD1712" s="37" t="n">
        <x:v>0</x:v>
      </x:c>
      <x:c r="AE1712" s="37" t="n">
        <x:v>0</x:v>
      </x:c>
      <x:c r="AF1712" s="47" t="b">
        <x:v>0</x:v>
      </x:c>
      <x:c r="AG1712" s="47" t="b">
        <x:v>0</x:v>
      </x:c>
      <x:c r="AH1712" s="48" t="n">
        <x:v>0</x:v>
      </x:c>
      <x:c r="AI1712" s="48" t="n">
        <x:v>5.960464477539063e-8</x:v>
      </x:c>
      <x:c r="AJ1712" s="37" t="str">
        <x:v>passed</x:v>
      </x:c>
    </x:row>
    <x:row r="1713" ht="21" customHeight="1">
      <x:c r="A1713" s="2"/>
      <x:c r="B1713" s="2"/>
      <x:c r="C1713" s="2" t="str">
        <x:v>2023</x:v>
      </x:c>
      <x:c r="D1713" s="5" t="n">
        <x:v>45184</x:v>
      </x:c>
      <x:c r="E1713" s="2" t="str">
        <x:v>unweighted</x:v>
      </x:c>
      <x:c r="F1713" s="37" t="n">
        <x:v>11165831.93094867</x:v>
      </x:c>
      <x:c r="G1713" s="37" t="n">
        <x:v>638781.3696076846</x:v>
      </x:c>
      <x:c r="H1713" s="37" t="n">
        <x:v>-17764.720240215986</x:v>
      </x:c>
      <x:c r="I1713" s="37" t="n">
        <x:v>656546.0898479006</x:v>
      </x:c>
      <x:c r="J1713" s="37" t="n">
        <x:v>10442780.100005481</x:v>
      </x:c>
      <x:c r="K1713" s="37" t="n">
        <x:v>9803998.730397796</x:v>
      </x:c>
      <x:c r="L1713" s="37" t="n">
        <x:v>11804613.300556354</x:v>
      </x:c>
      <x:c r="M1713" s="37" t="n">
        <x:v>0</x:v>
      </x:c>
      <x:c r="N1713" s="37" t="n">
        <x:v>0</x:v>
      </x:c>
      <x:c r="O1713" s="37" t="n">
        <x:v>611.7928842790425</x:v>
      </x:c>
      <x:c r="P1713" s="37" t="n">
        <x:v>0</x:v>
      </x:c>
      <x:c r="Q1713" s="37" t="n">
        <x:v>0</x:v>
      </x:c>
      <x:c r="R1713" s="37" t="n">
        <x:v>0</x:v>
      </x:c>
      <x:c r="S1713" s="37" t="n">
        <x:v>0</x:v>
      </x:c>
      <x:c r="T1713" s="37" t="n">
        <x:v>0</x:v>
      </x:c>
      <x:c r="U1713" s="37" t="n">
        <x:v>31805.80415342993</x:v>
      </x:c>
      <x:c r="V1713" s="37" t="n">
        <x:v>0</x:v>
      </x:c>
      <x:c r="W1713" s="37" t="n">
        <x:v>157183.16854441166</x:v>
      </x:c>
      <x:c r="X1713" s="37" t="n">
        <x:v>0</x:v>
      </x:c>
      <x:c r="Y1713" s="37" t="n">
        <x:v>2172.1213283599986</x:v>
      </x:c>
      <x:c r="Z1713" s="37" t="n">
        <x:v>10000078.705005752</x:v>
      </x:c>
      <x:c r="AA1713" s="37" t="n">
        <x:v>0</x:v>
      </x:c>
      <x:c r="AB1713" s="37" t="n">
        <x:v>10000078.705005752</x:v>
      </x:c>
      <x:c r="AC1713" s="37" t="n">
        <x:v>1165753.2259429172</x:v>
      </x:c>
      <x:c r="AD1713" s="37" t="n">
        <x:v>0</x:v>
      </x:c>
      <x:c r="AE1713" s="37" t="n">
        <x:v>0</x:v>
      </x:c>
      <x:c r="AF1713" s="47" t="b">
        <x:v>0</x:v>
      </x:c>
      <x:c r="AG1713" s="47" t="b">
        <x:v>0</x:v>
      </x:c>
      <x:c r="AH1713" s="48" t="n">
        <x:v>0</x:v>
      </x:c>
      <x:c r="AI1713" s="48" t="n">
        <x:v>1.1920928955078125e-7</x:v>
      </x:c>
      <x:c r="AJ1713" s="37" t="str">
        <x:v>passed</x:v>
      </x:c>
    </x:row>
    <x:row r="1714" ht="21" customHeight="1">
      <x:c r="A1714" s="2"/>
      <x:c r="B1714" s="2"/>
      <x:c r="C1714" s="2" t="str">
        <x:v>2023</x:v>
      </x:c>
      <x:c r="D1714" s="5" t="n">
        <x:v>45184</x:v>
      </x:c>
      <x:c r="E1714" s="2" t="str">
        <x:v>constrained</x:v>
      </x:c>
      <x:c r="F1714" s="37" t="n">
        <x:v>11716526.978652379</x:v>
      </x:c>
      <x:c r="G1714" s="37" t="n">
        <x:v>74690.37795233929</x:v>
      </x:c>
      <x:c r="H1714" s="37" t="n">
        <x:v>-18191.335709991727</x:v>
      </x:c>
      <x:c r="I1714" s="37" t="n">
        <x:v>92881.71366233102</x:v>
      </x:c>
      <x:c r="J1714" s="37" t="n">
        <x:v>10442384.562593149</x:v>
      </x:c>
      <x:c r="K1714" s="37" t="n">
        <x:v>10367694.18464081</x:v>
      </x:c>
      <x:c r="L1714" s="37" t="n">
        <x:v>11791217.356604718</x:v>
      </x:c>
      <x:c r="M1714" s="37" t="n">
        <x:v>0</x:v>
      </x:c>
      <x:c r="N1714" s="37" t="n">
        <x:v>0</x:v>
      </x:c>
      <x:c r="O1714" s="37" t="n">
        <x:v>641.966302048415</x:v>
      </x:c>
      <x:c r="P1714" s="37" t="n">
        <x:v>0</x:v>
      </x:c>
      <x:c r="Q1714" s="37" t="n">
        <x:v>0</x:v>
      </x:c>
      <x:c r="R1714" s="37" t="n">
        <x:v>0</x:v>
      </x:c>
      <x:c r="S1714" s="37" t="n">
        <x:v>0</x:v>
      </x:c>
      <x:c r="T1714" s="37" t="n">
        <x:v>0</x:v>
      </x:c>
      <x:c r="U1714" s="37" t="n">
        <x:v>30720.44529747225</x:v>
      </x:c>
      <x:c r="V1714" s="37" t="n">
        <x:v>0</x:v>
      </x:c>
      <x:c r="W1714" s="37" t="n">
        <x:v>163928.229285812</x:v>
      </x:c>
      <x:c r="X1714" s="37" t="n">
        <x:v>0</x:v>
      </x:c>
      <x:c r="Y1714" s="37" t="n">
        <x:v>2178.1253051300437</x:v>
      </x:c>
      <x:c r="Z1714" s="37" t="n">
        <x:v>10575048.068333626</x:v>
      </x:c>
      <x:c r="AA1714" s="37" t="n">
        <x:v>0</x:v>
      </x:c>
      <x:c r="AB1714" s="37" t="n">
        <x:v>10575048.068333626</x:v>
      </x:c>
      <x:c r="AC1714" s="37" t="n">
        <x:v>1141478.9103187528</x:v>
      </x:c>
      <x:c r="AD1714" s="37" t="n">
        <x:v>0</x:v>
      </x:c>
      <x:c r="AE1714" s="37" t="n">
        <x:v>0</x:v>
      </x:c>
      <x:c r="AF1714" s="47" t="b">
        <x:v>0</x:v>
      </x:c>
      <x:c r="AG1714" s="47" t="b">
        <x:v>0</x:v>
      </x:c>
      <x:c r="AH1714" s="48" t="n">
        <x:v>0</x:v>
      </x:c>
      <x:c r="AI1714" s="48" t="n">
        <x:v>1.1920928955078125e-7</x:v>
      </x:c>
      <x:c r="AJ1714" s="37" t="str">
        <x:v>passed</x:v>
      </x:c>
    </x:row>
    <x:row r="1715" ht="21" customHeight="1">
      <x:c r="A1715" s="2"/>
      <x:c r="B1715" s="2"/>
      <x:c r="C1715" s="2" t="str">
        <x:v>2023</x:v>
      </x:c>
      <x:c r="D1715" s="5" t="n">
        <x:v>45187</x:v>
      </x:c>
      <x:c r="E1715" s="2" t="str">
        <x:v>unhedged</x:v>
      </x:c>
      <x:c r="F1715" s="37" t="n">
        <x:v>1317993.121187383</x:v>
      </x:c>
      <x:c r="G1715" s="37" t="n">
        <x:v>10351531.402743153</x:v>
      </x:c>
      <x:c r="H1715" s="37" t="n">
        <x:v>27044.836956521736</x:v>
      </x:c>
      <x:c r="I1715" s="37" t="n">
        <x:v>10324486.565786632</x:v>
      </x:c>
      <x:c r="J1715" s="37" t="n">
        <x:v>10351531.402743153</x:v>
      </x:c>
      <x:c r="K1715" s="37" t="n">
        <x:v>0</x:v>
      </x:c>
      <x:c r="L1715" s="37" t="n">
        <x:v>11669524.523930537</x:v>
      </x:c>
      <x:c r="M1715" s="37" t="n">
        <x:v>0</x:v>
      </x:c>
      <x:c r="N1715" s="37" t="n">
        <x:v>0</x:v>
      </x:c>
      <x:c r="O1715" s="37" t="n">
        <x:v>216.63266248395666</x:v>
      </x:c>
      <x:c r="P1715" s="37" t="n">
        <x:v>0</x:v>
      </x:c>
      <x:c r="Q1715" s="37" t="n">
        <x:v>0</x:v>
      </x:c>
      <x:c r="R1715" s="37" t="n">
        <x:v>0</x:v>
      </x:c>
      <x:c r="S1715" s="37" t="n">
        <x:v>0</x:v>
      </x:c>
      <x:c r="T1715" s="37" t="n">
        <x:v>0</x:v>
      </x:c>
      <x:c r="U1715" s="37" t="n">
        <x:v>101250</x:v>
      </x:c>
      <x:c r="V1715" s="37" t="n">
        <x:v>0</x:v>
      </x:c>
      <x:c r="W1715" s="37" t="n">
        <x:v>17785.990529505303</x:v>
      </x:c>
      <x:c r="X1715" s="37" t="n">
        <x:v>0</x:v>
      </x:c>
      <x:c r="Y1715" s="37" t="n">
        <x:v>1042.869342122179</x:v>
      </x:c>
      <x:c r="Z1715" s="37" t="n">
        <x:v>0</x:v>
      </x:c>
      <x:c r="AA1715" s="37" t="n">
        <x:v>0</x:v>
      </x:c>
      <x:c r="AB1715" s="37" t="n">
        <x:v>0</x:v>
      </x:c>
      <x:c r="AC1715" s="37" t="n">
        <x:v>1317993.121187383</x:v>
      </x:c>
      <x:c r="AD1715" s="37" t="n">
        <x:v>0</x:v>
      </x:c>
      <x:c r="AE1715" s="37" t="n">
        <x:v>0</x:v>
      </x:c>
      <x:c r="AF1715" s="47" t="b">
        <x:v>0</x:v>
      </x:c>
      <x:c r="AG1715" s="47" t="b">
        <x:v>0</x:v>
      </x:c>
      <x:c r="AH1715" s="48" t="n">
        <x:v>0</x:v>
      </x:c>
      <x:c r="AI1715" s="48" t="n">
        <x:v>1.1920928955078125e-7</x:v>
      </x:c>
      <x:c r="AJ1715" s="37" t="str">
        <x:v>passed</x:v>
      </x:c>
    </x:row>
    <x:row r="1716" ht="21" customHeight="1">
      <x:c r="A1716" s="2"/>
      <x:c r="B1716" s="2"/>
      <x:c r="C1716" s="2" t="str">
        <x:v>2023</x:v>
      </x:c>
      <x:c r="D1716" s="5" t="n">
        <x:v>45187</x:v>
      </x:c>
      <x:c r="E1716" s="2" t="str">
        <x:v>duration</x:v>
      </x:c>
      <x:c r="F1716" s="37" t="n">
        <x:v>7638274.734734074</x:v>
      </x:c>
      <x:c r="G1716" s="37" t="n">
        <x:v>4217363.710979118</x:v>
      </x:c>
      <x:c r="H1716" s="37" t="n">
        <x:v>-9093.029553018872</x:v>
      </x:c>
      <x:c r="I1716" s="37" t="n">
        <x:v>4226456.7405321365</x:v>
      </x:c>
      <x:c r="J1716" s="37" t="n">
        <x:v>10351531.402743153</x:v>
      </x:c>
      <x:c r="K1716" s="37" t="n">
        <x:v>6134167.691764034</x:v>
      </x:c>
      <x:c r="L1716" s="37" t="n">
        <x:v>11855638.445713192</x:v>
      </x:c>
      <x:c r="M1716" s="37" t="n">
        <x:v>0</x:v>
      </x:c>
      <x:c r="N1716" s="37" t="n">
        <x:v>0</x:v>
      </x:c>
      <x:c r="O1716" s="37" t="n">
        <x:v>1255.4692175295204</x:v>
      </x:c>
      <x:c r="P1716" s="37" t="n">
        <x:v>0</x:v>
      </x:c>
      <x:c r="Q1716" s="37" t="n">
        <x:v>0</x:v>
      </x:c>
      <x:c r="R1716" s="37" t="n">
        <x:v>0</x:v>
      </x:c>
      <x:c r="S1716" s="37" t="n">
        <x:v>0</x:v>
      </x:c>
      <x:c r="T1716" s="37" t="n">
        <x:v>0</x:v>
      </x:c>
      <x:c r="U1716" s="37" t="n">
        <x:v>47417.381478397</x:v>
      </x:c>
      <x:c r="V1716" s="37" t="n">
        <x:v>0</x:v>
      </x:c>
      <x:c r="W1716" s="37" t="n">
        <x:v>109027.06185154151</x:v>
      </x:c>
      <x:c r="X1716" s="37" t="n">
        <x:v>0</x:v>
      </x:c>
      <x:c r="Y1716" s="37" t="n">
        <x:v>1737.8702558990533</x:v>
      </x:c>
      <x:c r="Z1716" s="37" t="n">
        <x:v>6256851.045599315</x:v>
      </x:c>
      <x:c r="AA1716" s="37" t="n">
        <x:v>0</x:v>
      </x:c>
      <x:c r="AB1716" s="37" t="n">
        <x:v>6256851.045599315</x:v>
      </x:c>
      <x:c r="AC1716" s="37" t="n">
        <x:v>1381423.689134759</x:v>
      </x:c>
      <x:c r="AD1716" s="37" t="n">
        <x:v>0</x:v>
      </x:c>
      <x:c r="AE1716" s="37" t="n">
        <x:v>0</x:v>
      </x:c>
      <x:c r="AF1716" s="47" t="b">
        <x:v>0</x:v>
      </x:c>
      <x:c r="AG1716" s="47" t="b">
        <x:v>0</x:v>
      </x:c>
      <x:c r="AH1716" s="48" t="n">
        <x:v>0</x:v>
      </x:c>
      <x:c r="AI1716" s="48" t="n">
        <x:v>5.960464477539063e-8</x:v>
      </x:c>
      <x:c r="AJ1716" s="37" t="str">
        <x:v>passed</x:v>
      </x:c>
    </x:row>
    <x:row r="1717" ht="21" customHeight="1">
      <x:c r="A1717" s="2"/>
      <x:c r="B1717" s="2"/>
      <x:c r="C1717" s="2" t="str">
        <x:v>2023</x:v>
      </x:c>
      <x:c r="D1717" s="5" t="n">
        <x:v>45187</x:v>
      </x:c>
      <x:c r="E1717" s="2" t="str">
        <x:v>unweighted</x:v>
      </x:c>
      <x:c r="F1717" s="37" t="n">
        <x:v>11167667.510746237</x:v>
      </x:c>
      <x:c r="G1717" s="37" t="n">
        <x:v>638948.0107414249</x:v>
      </x:c>
      <x:c r="H1717" s="37" t="n">
        <x:v>-17853.71149400857</x:v>
      </x:c>
      <x:c r="I1717" s="37" t="n">
        <x:v>656801.7222354334</x:v>
      </x:c>
      <x:c r="J1717" s="37" t="n">
        <x:v>10446076.903917857</x:v>
      </x:c>
      <x:c r="K1717" s="37" t="n">
        <x:v>9807128.893176433</x:v>
      </x:c>
      <x:c r="L1717" s="37" t="n">
        <x:v>11806615.521487663</x:v>
      </x:c>
      <x:c r="M1717" s="37" t="n">
        <x:v>0</x:v>
      </x:c>
      <x:c r="N1717" s="37" t="n">
        <x:v>0</x:v>
      </x:c>
      <x:c r="O1717" s="37" t="n">
        <x:v>1835.5797975677997</x:v>
      </x:c>
      <x:c r="P1717" s="37" t="n">
        <x:v>0</x:v>
      </x:c>
      <x:c r="Q1717" s="37" t="n">
        <x:v>0</x:v>
      </x:c>
      <x:c r="R1717" s="37" t="n">
        <x:v>0</x:v>
      </x:c>
      <x:c r="S1717" s="37" t="n">
        <x:v>0</x:v>
      </x:c>
      <x:c r="T1717" s="37" t="n">
        <x:v>0</x:v>
      </x:c>
      <x:c r="U1717" s="37" t="n">
        <x:v>31805.80415342993</x:v>
      </x:c>
      <x:c r="V1717" s="37" t="n">
        <x:v>0</x:v>
      </x:c>
      <x:c r="W1717" s="37" t="n">
        <x:v>159018.74834197946</x:v>
      </x:c>
      <x:c r="X1717" s="37" t="n">
        <x:v>0</x:v>
      </x:c>
      <x:c r="Y1717" s="37" t="n">
        <x:v>2172.1213283599986</x:v>
      </x:c>
      <x:c r="Z1717" s="37" t="n">
        <x:v>10003271.471039962</x:v>
      </x:c>
      <x:c r="AA1717" s="37" t="n">
        <x:v>0</x:v>
      </x:c>
      <x:c r="AB1717" s="37" t="n">
        <x:v>10003271.471039962</x:v>
      </x:c>
      <x:c r="AC1717" s="37" t="n">
        <x:v>1164396.0397062749</x:v>
      </x:c>
      <x:c r="AD1717" s="37" t="n">
        <x:v>0</x:v>
      </x:c>
      <x:c r="AE1717" s="37" t="n">
        <x:v>0</x:v>
      </x:c>
      <x:c r="AF1717" s="47" t="b">
        <x:v>0</x:v>
      </x:c>
      <x:c r="AG1717" s="47" t="b">
        <x:v>0</x:v>
      </x:c>
      <x:c r="AH1717" s="48" t="n">
        <x:v>0</x:v>
      </x:c>
      <x:c r="AI1717" s="48" t="n">
        <x:v>1.1920928955078125e-7</x:v>
      </x:c>
      <x:c r="AJ1717" s="37" t="str">
        <x:v>passed</x:v>
      </x:c>
    </x:row>
    <x:row r="1718" ht="21" customHeight="1">
      <x:c r="A1718" s="2"/>
      <x:c r="B1718" s="2"/>
      <x:c r="C1718" s="2" t="str">
        <x:v>2023</x:v>
      </x:c>
      <x:c r="D1718" s="5" t="n">
        <x:v>45187</x:v>
      </x:c>
      <x:c r="E1718" s="2" t="str">
        <x:v>constrained</x:v>
      </x:c>
      <x:c r="F1718" s="37" t="n">
        <x:v>11718453.088623643</x:v>
      </x:c>
      <x:c r="G1718" s="37" t="n">
        <x:v>74740.139265771</x:v>
      </x:c>
      <x:c r="H1718" s="37" t="n">
        <x:v>-18294.51237276318</x:v>
      </x:c>
      <x:c r="I1718" s="37" t="n">
        <x:v>93034.65163853418</x:v>
      </x:c>
      <x:c r="J1718" s="37" t="n">
        <x:v>10445687.967716044</x:v>
      </x:c>
      <x:c r="K1718" s="37" t="n">
        <x:v>10370947.828450274</x:v>
      </x:c>
      <x:c r="L1718" s="37" t="n">
        <x:v>11793193.227889413</x:v>
      </x:c>
      <x:c r="M1718" s="37" t="n">
        <x:v>0</x:v>
      </x:c>
      <x:c r="N1718" s="37" t="n">
        <x:v>0</x:v>
      </x:c>
      <x:c r="O1718" s="37" t="n">
        <x:v>1926.1099712643772</x:v>
      </x:c>
      <x:c r="P1718" s="37" t="n">
        <x:v>0</x:v>
      </x:c>
      <x:c r="Q1718" s="37" t="n">
        <x:v>0</x:v>
      </x:c>
      <x:c r="R1718" s="37" t="n">
        <x:v>0</x:v>
      </x:c>
      <x:c r="S1718" s="37" t="n">
        <x:v>0</x:v>
      </x:c>
      <x:c r="T1718" s="37" t="n">
        <x:v>0</x:v>
      </x:c>
      <x:c r="U1718" s="37" t="n">
        <x:v>30720.44529747225</x:v>
      </x:c>
      <x:c r="V1718" s="37" t="n">
        <x:v>0</x:v>
      </x:c>
      <x:c r="W1718" s="37" t="n">
        <x:v>165854.33925707638</x:v>
      </x:c>
      <x:c r="X1718" s="37" t="n">
        <x:v>0</x:v>
      </x:c>
      <x:c r="Y1718" s="37" t="n">
        <x:v>2178.1253051300437</x:v>
      </x:c>
      <x:c r="Z1718" s="37" t="n">
        <x:v>10578366.785019279</x:v>
      </x:c>
      <x:c r="AA1718" s="37" t="n">
        <x:v>0</x:v>
      </x:c>
      <x:c r="AB1718" s="37" t="n">
        <x:v>10578366.785019279</x:v>
      </x:c>
      <x:c r="AC1718" s="37" t="n">
        <x:v>1140086.3036043644</x:v>
      </x:c>
      <x:c r="AD1718" s="37" t="n">
        <x:v>0</x:v>
      </x:c>
      <x:c r="AE1718" s="37" t="n">
        <x:v>0</x:v>
      </x:c>
      <x:c r="AF1718" s="47" t="b">
        <x:v>0</x:v>
      </x:c>
      <x:c r="AG1718" s="47" t="b">
        <x:v>0</x:v>
      </x:c>
      <x:c r="AH1718" s="48" t="n">
        <x:v>0</x:v>
      </x:c>
      <x:c r="AI1718" s="48" t="n">
        <x:v>1.1920928955078125e-7</x:v>
      </x:c>
      <x:c r="AJ1718" s="37" t="str">
        <x:v>passed</x:v>
      </x:c>
    </x:row>
    <x:row r="1719" ht="21" customHeight="1">
      <x:c r="A1719" s="2"/>
      <x:c r="B1719" s="2"/>
      <x:c r="C1719" s="2" t="str">
        <x:v>2023</x:v>
      </x:c>
      <x:c r="D1719" s="5" t="n">
        <x:v>45188</x:v>
      </x:c>
      <x:c r="E1719" s="2" t="str">
        <x:v>unhedged</x:v>
      </x:c>
      <x:c r="F1719" s="37" t="n">
        <x:v>1318065.339988544</x:v>
      </x:c>
      <x:c r="G1719" s="37" t="n">
        <x:v>10333932.007838346</x:v>
      </x:c>
      <x:c r="H1719" s="37" t="n">
        <x:v>27391.304347826088</x:v>
      </x:c>
      <x:c r="I1719" s="37" t="n">
        <x:v>10306540.70349052</x:v>
      </x:c>
      <x:c r="J1719" s="37" t="n">
        <x:v>10333932.007838346</x:v>
      </x:c>
      <x:c r="K1719" s="37" t="n">
        <x:v>0</x:v>
      </x:c>
      <x:c r="L1719" s="37" t="n">
        <x:v>11651997.34782689</x:v>
      </x:c>
      <x:c r="M1719" s="37" t="n">
        <x:v>0</x:v>
      </x:c>
      <x:c r="N1719" s="37" t="n">
        <x:v>0</x:v>
      </x:c>
      <x:c r="O1719" s="37" t="n">
        <x:v>72.21880116080865</x:v>
      </x:c>
      <x:c r="P1719" s="37" t="n">
        <x:v>0</x:v>
      </x:c>
      <x:c r="Q1719" s="37" t="n">
        <x:v>0</x:v>
      </x:c>
      <x:c r="R1719" s="37" t="n">
        <x:v>0</x:v>
      </x:c>
      <x:c r="S1719" s="37" t="n">
        <x:v>0</x:v>
      </x:c>
      <x:c r="T1719" s="37" t="n">
        <x:v>0</x:v>
      </x:c>
      <x:c r="U1719" s="37" t="n">
        <x:v>101250</x:v>
      </x:c>
      <x:c r="V1719" s="37" t="n">
        <x:v>0</x:v>
      </x:c>
      <x:c r="W1719" s="37" t="n">
        <x:v>17858.20933066611</x:v>
      </x:c>
      <x:c r="X1719" s="37" t="n">
        <x:v>0</x:v>
      </x:c>
      <x:c r="Y1719" s="37" t="n">
        <x:v>1042.869342122179</x:v>
      </x:c>
      <x:c r="Z1719" s="37" t="n">
        <x:v>0</x:v>
      </x:c>
      <x:c r="AA1719" s="37" t="n">
        <x:v>0</x:v>
      </x:c>
      <x:c r="AB1719" s="37" t="n">
        <x:v>0</x:v>
      </x:c>
      <x:c r="AC1719" s="37" t="n">
        <x:v>1318065.339988544</x:v>
      </x:c>
      <x:c r="AD1719" s="37" t="n">
        <x:v>0</x:v>
      </x:c>
      <x:c r="AE1719" s="37" t="n">
        <x:v>0</x:v>
      </x:c>
      <x:c r="AF1719" s="47" t="b">
        <x:v>0</x:v>
      </x:c>
      <x:c r="AG1719" s="47" t="b">
        <x:v>0</x:v>
      </x:c>
      <x:c r="AH1719" s="48" t="n">
        <x:v>0</x:v>
      </x:c>
      <x:c r="AI1719" s="48" t="n">
        <x:v>1.1920928955078125e-7</x:v>
      </x:c>
      <x:c r="AJ1719" s="37" t="str">
        <x:v>passed</x:v>
      </x:c>
    </x:row>
    <x:row r="1720" ht="21" customHeight="1">
      <x:c r="A1720" s="2"/>
      <x:c r="B1720" s="2"/>
      <x:c r="C1720" s="2" t="str">
        <x:v>2023</x:v>
      </x:c>
      <x:c r="D1720" s="5" t="n">
        <x:v>45188</x:v>
      </x:c>
      <x:c r="E1720" s="2" t="str">
        <x:v>duration</x:v>
      </x:c>
      <x:c r="F1720" s="37" t="n">
        <x:v>7638693.270335979</x:v>
      </x:c>
      <x:c r="G1720" s="37" t="n">
        <x:v>4215401.0864649555</x:v>
      </x:c>
      <x:c r="H1720" s="37" t="n">
        <x:v>-9033.370626075959</x:v>
      </x:c>
      <x:c r="I1720" s="37" t="n">
        <x:v>4224434.457091032</x:v>
      </x:c>
      <x:c r="J1720" s="37" t="n">
        <x:v>10333932.007838346</x:v>
      </x:c>
      <x:c r="K1720" s="37" t="n">
        <x:v>6118530.921373391</x:v>
      </x:c>
      <x:c r="L1720" s="37" t="n">
        <x:v>11854094.356800934</x:v>
      </x:c>
      <x:c r="M1720" s="37" t="n">
        <x:v>0</x:v>
      </x:c>
      <x:c r="N1720" s="37" t="n">
        <x:v>0</x:v>
      </x:c>
      <x:c r="O1720" s="37" t="n">
        <x:v>418.53560190461576</x:v>
      </x:c>
      <x:c r="P1720" s="37" t="n">
        <x:v>0</x:v>
      </x:c>
      <x:c r="Q1720" s="37" t="n">
        <x:v>0</x:v>
      </x:c>
      <x:c r="R1720" s="37" t="n">
        <x:v>0</x:v>
      </x:c>
      <x:c r="S1720" s="37" t="n">
        <x:v>0</x:v>
      </x:c>
      <x:c r="T1720" s="37" t="n">
        <x:v>0</x:v>
      </x:c>
      <x:c r="U1720" s="37" t="n">
        <x:v>47417.381478397</x:v>
      </x:c>
      <x:c r="V1720" s="37" t="n">
        <x:v>0</x:v>
      </x:c>
      <x:c r="W1720" s="37" t="n">
        <x:v>109445.59745344613</x:v>
      </x:c>
      <x:c r="X1720" s="37" t="n">
        <x:v>0</x:v>
      </x:c>
      <x:c r="Y1720" s="37" t="n">
        <x:v>1737.8702558990533</x:v>
      </x:c>
      <x:c r="Z1720" s="37" t="n">
        <x:v>6240901.539800858</x:v>
      </x:c>
      <x:c r="AA1720" s="37" t="n">
        <x:v>0</x:v>
      </x:c>
      <x:c r="AB1720" s="37" t="n">
        <x:v>6240901.539800858</x:v>
      </x:c>
      <x:c r="AC1720" s="37" t="n">
        <x:v>1397791.7305351207</x:v>
      </x:c>
      <x:c r="AD1720" s="37" t="n">
        <x:v>0</x:v>
      </x:c>
      <x:c r="AE1720" s="37" t="n">
        <x:v>0</x:v>
      </x:c>
      <x:c r="AF1720" s="47" t="b">
        <x:v>0</x:v>
      </x:c>
      <x:c r="AG1720" s="47" t="b">
        <x:v>0</x:v>
      </x:c>
      <x:c r="AH1720" s="48" t="n">
        <x:v>0</x:v>
      </x:c>
      <x:c r="AI1720" s="48" t="n">
        <x:v>5.960464477539063e-8</x:v>
      </x:c>
      <x:c r="AJ1720" s="37" t="str">
        <x:v>passed</x:v>
      </x:c>
    </x:row>
    <x:row r="1721" ht="21" customHeight="1">
      <x:c r="A1721" s="2"/>
      <x:c r="B1721" s="2"/>
      <x:c r="C1721" s="2" t="str">
        <x:v>2023</x:v>
      </x:c>
      <x:c r="D1721" s="5" t="n">
        <x:v>45188</x:v>
      </x:c>
      <x:c r="E1721" s="2" t="str">
        <x:v>unweighted</x:v>
      </x:c>
      <x:c r="F1721" s="37" t="n">
        <x:v>11168279.437733129</x:v>
      </x:c>
      <x:c r="G1721" s="37" t="n">
        <x:v>639133.6841973976</x:v>
      </x:c>
      <x:c r="H1721" s="37" t="n">
        <x:v>-17883.375245272768</x:v>
      </x:c>
      <x:c r="I1721" s="37" t="n">
        <x:v>657017.0594426703</x:v>
      </x:c>
      <x:c r="J1721" s="37" t="n">
        <x:v>10428041.089649683</x:v>
      </x:c>
      <x:c r="K1721" s="37" t="n">
        <x:v>9788907.405452287</x:v>
      </x:c>
      <x:c r="L1721" s="37" t="n">
        <x:v>11807413.121930527</x:v>
      </x:c>
      <x:c r="M1721" s="37" t="n">
        <x:v>0</x:v>
      </x:c>
      <x:c r="N1721" s="37" t="n">
        <x:v>0</x:v>
      </x:c>
      <x:c r="O1721" s="37" t="n">
        <x:v>611.9269868917763</x:v>
      </x:c>
      <x:c r="P1721" s="37" t="n">
        <x:v>0</x:v>
      </x:c>
      <x:c r="Q1721" s="37" t="n">
        <x:v>0</x:v>
      </x:c>
      <x:c r="R1721" s="37" t="n">
        <x:v>0</x:v>
      </x:c>
      <x:c r="S1721" s="37" t="n">
        <x:v>0</x:v>
      </x:c>
      <x:c r="T1721" s="37" t="n">
        <x:v>0</x:v>
      </x:c>
      <x:c r="U1721" s="37" t="n">
        <x:v>31805.80415342993</x:v>
      </x:c>
      <x:c r="V1721" s="37" t="n">
        <x:v>0</x:v>
      </x:c>
      <x:c r="W1721" s="37" t="n">
        <x:v>159630.67532887124</x:v>
      </x:c>
      <x:c r="X1721" s="37" t="n">
        <x:v>0</x:v>
      </x:c>
      <x:c r="Y1721" s="37" t="n">
        <x:v>2172.1213283599986</x:v>
      </x:c>
      <x:c r="Z1721" s="37" t="n">
        <x:v>9984685.553561334</x:v>
      </x:c>
      <x:c r="AA1721" s="37" t="n">
        <x:v>0</x:v>
      </x:c>
      <x:c r="AB1721" s="37" t="n">
        <x:v>9984685.553561334</x:v>
      </x:c>
      <x:c r="AC1721" s="37" t="n">
        <x:v>1183593.884171795</x:v>
      </x:c>
      <x:c r="AD1721" s="37" t="n">
        <x:v>0</x:v>
      </x:c>
      <x:c r="AE1721" s="37" t="n">
        <x:v>0</x:v>
      </x:c>
      <x:c r="AF1721" s="47" t="b">
        <x:v>0</x:v>
      </x:c>
      <x:c r="AG1721" s="47" t="b">
        <x:v>0</x:v>
      </x:c>
      <x:c r="AH1721" s="48" t="n">
        <x:v>0</x:v>
      </x:c>
      <x:c r="AI1721" s="48" t="n">
        <x:v>1.1920928955078125e-7</x:v>
      </x:c>
      <x:c r="AJ1721" s="37" t="str">
        <x:v>passed</x:v>
      </x:c>
    </x:row>
    <x:row r="1722" ht="21" customHeight="1">
      <x:c r="A1722" s="2"/>
      <x:c r="B1722" s="2"/>
      <x:c r="C1722" s="2" t="str">
        <x:v>2023</x:v>
      </x:c>
      <x:c r="D1722" s="5" t="n">
        <x:v>45188</x:v>
      </x:c>
      <x:c r="E1722" s="2" t="str">
        <x:v>constrained</x:v>
      </x:c>
      <x:c r="F1722" s="37" t="n">
        <x:v>11719095.195642201</x:v>
      </x:c>
      <x:c r="G1722" s="37" t="n">
        <x:v>74311.17494236617</x:v>
      </x:c>
      <x:c r="H1722" s="37" t="n">
        <x:v>-18328.904593687002</x:v>
      </x:c>
      <x:c r="I1722" s="37" t="n">
        <x:v>92640.07953605318</x:v>
      </x:c>
      <x:c r="J1722" s="37" t="n">
        <x:v>10427626.96101077</x:v>
      </x:c>
      <x:c r="K1722" s="37" t="n">
        <x:v>10353315.786068404</x:v>
      </x:c>
      <x:c r="L1722" s="37" t="n">
        <x:v>11793406.370584568</x:v>
      </x:c>
      <x:c r="M1722" s="37" t="n">
        <x:v>0</x:v>
      </x:c>
      <x:c r="N1722" s="37" t="n">
        <x:v>0</x:v>
      </x:c>
      <x:c r="O1722" s="37" t="n">
        <x:v>642.1070185583085</x:v>
      </x:c>
      <x:c r="P1722" s="37" t="n">
        <x:v>0</x:v>
      </x:c>
      <x:c r="Q1722" s="37" t="n">
        <x:v>0</x:v>
      </x:c>
      <x:c r="R1722" s="37" t="n">
        <x:v>0</x:v>
      </x:c>
      <x:c r="S1722" s="37" t="n">
        <x:v>0</x:v>
      </x:c>
      <x:c r="T1722" s="37" t="n">
        <x:v>0</x:v>
      </x:c>
      <x:c r="U1722" s="37" t="n">
        <x:v>30720.44529747225</x:v>
      </x:c>
      <x:c r="V1722" s="37" t="n">
        <x:v>0</x:v>
      </x:c>
      <x:c r="W1722" s="37" t="n">
        <x:v>166496.4462756347</x:v>
      </x:c>
      <x:c r="X1722" s="37" t="n">
        <x:v>0</x:v>
      </x:c>
      <x:c r="Y1722" s="37" t="n">
        <x:v>2178.1253051300437</x:v>
      </x:c>
      <x:c r="Z1722" s="37" t="n">
        <x:v>10560382.101789773</x:v>
      </x:c>
      <x:c r="AA1722" s="37" t="n">
        <x:v>0</x:v>
      </x:c>
      <x:c r="AB1722" s="37" t="n">
        <x:v>10560382.101789773</x:v>
      </x:c>
      <x:c r="AC1722" s="37" t="n">
        <x:v>1158713.0938524287</x:v>
      </x:c>
      <x:c r="AD1722" s="37" t="n">
        <x:v>0</x:v>
      </x:c>
      <x:c r="AE1722" s="37" t="n">
        <x:v>0</x:v>
      </x:c>
      <x:c r="AF1722" s="47" t="b">
        <x:v>0</x:v>
      </x:c>
      <x:c r="AG1722" s="47" t="b">
        <x:v>0</x:v>
      </x:c>
      <x:c r="AH1722" s="48" t="n">
        <x:v>0</x:v>
      </x:c>
      <x:c r="AI1722" s="48" t="n">
        <x:v>1.1920928955078125e-7</x:v>
      </x:c>
      <x:c r="AJ1722" s="37" t="str">
        <x:v>passed</x:v>
      </x:c>
    </x:row>
    <x:row r="1723" ht="21" customHeight="1">
      <x:c r="A1723" s="2"/>
      <x:c r="B1723" s="2"/>
      <x:c r="C1723" s="2" t="str">
        <x:v>2023</x:v>
      </x:c>
      <x:c r="D1723" s="5" t="n">
        <x:v>45189</x:v>
      </x:c>
      <x:c r="E1723" s="2" t="str">
        <x:v>unhedged</x:v>
      </x:c>
      <x:c r="F1723" s="37" t="n">
        <x:v>1318137.5627468997</x:v>
      </x:c>
      <x:c r="G1723" s="37" t="n">
        <x:v>10337255.744097121</x:v>
      </x:c>
      <x:c r="H1723" s="37" t="n">
        <x:v>27737.771739130432</x:v>
      </x:c>
      <x:c r="I1723" s="37" t="n">
        <x:v>10309517.97235799</x:v>
      </x:c>
      <x:c r="J1723" s="37" t="n">
        <x:v>10337255.744097121</x:v>
      </x:c>
      <x:c r="K1723" s="37" t="n">
        <x:v>0</x:v>
      </x:c>
      <x:c r="L1723" s="37" t="n">
        <x:v>11655393.30684402</x:v>
      </x:c>
      <x:c r="M1723" s="37" t="n">
        <x:v>0</x:v>
      </x:c>
      <x:c r="N1723" s="37" t="n">
        <x:v>0</x:v>
      </x:c>
      <x:c r="O1723" s="37" t="n">
        <x:v>72.2227583557833</x:v>
      </x:c>
      <x:c r="P1723" s="37" t="n">
        <x:v>0</x:v>
      </x:c>
      <x:c r="Q1723" s="37" t="n">
        <x:v>0</x:v>
      </x:c>
      <x:c r="R1723" s="37" t="n">
        <x:v>0</x:v>
      </x:c>
      <x:c r="S1723" s="37" t="n">
        <x:v>0</x:v>
      </x:c>
      <x:c r="T1723" s="37" t="n">
        <x:v>0</x:v>
      </x:c>
      <x:c r="U1723" s="37" t="n">
        <x:v>101250</x:v>
      </x:c>
      <x:c r="V1723" s="37" t="n">
        <x:v>0</x:v>
      </x:c>
      <x:c r="W1723" s="37" t="n">
        <x:v>17930.432089021895</x:v>
      </x:c>
      <x:c r="X1723" s="37" t="n">
        <x:v>0</x:v>
      </x:c>
      <x:c r="Y1723" s="37" t="n">
        <x:v>1042.869342122179</x:v>
      </x:c>
      <x:c r="Z1723" s="37" t="n">
        <x:v>0</x:v>
      </x:c>
      <x:c r="AA1723" s="37" t="n">
        <x:v>0</x:v>
      </x:c>
      <x:c r="AB1723" s="37" t="n">
        <x:v>0</x:v>
      </x:c>
      <x:c r="AC1723" s="37" t="n">
        <x:v>1318137.5627468997</x:v>
      </x:c>
      <x:c r="AD1723" s="37" t="n">
        <x:v>0</x:v>
      </x:c>
      <x:c r="AE1723" s="37" t="n">
        <x:v>0</x:v>
      </x:c>
      <x:c r="AF1723" s="47" t="b">
        <x:v>0</x:v>
      </x:c>
      <x:c r="AG1723" s="47" t="b">
        <x:v>0</x:v>
      </x:c>
      <x:c r="AH1723" s="48" t="n">
        <x:v>0</x:v>
      </x:c>
      <x:c r="AI1723" s="48" t="n">
        <x:v>1.1920928955078125e-7</x:v>
      </x:c>
      <x:c r="AJ1723" s="37" t="str">
        <x:v>passed</x:v>
      </x:c>
    </x:row>
    <x:row r="1724" ht="21" customHeight="1">
      <x:c r="A1724" s="2"/>
      <x:c r="B1724" s="2"/>
      <x:c r="C1724" s="2" t="str">
        <x:v>2023</x:v>
      </x:c>
      <x:c r="D1724" s="5" t="n">
        <x:v>45189</x:v>
      </x:c>
      <x:c r="E1724" s="2" t="str">
        <x:v>duration</x:v>
      </x:c>
      <x:c r="F1724" s="37" t="n">
        <x:v>7639111.8288713405</x:v>
      </x:c>
      <x:c r="G1724" s="37" t="n">
        <x:v>4211793.429732266</x:v>
      </x:c>
      <x:c r="H1724" s="37" t="n">
        <x:v>-8973.711699133046</x:v>
      </x:c>
      <x:c r="I1724" s="37" t="n">
        <x:v>4220767.141431399</x:v>
      </x:c>
      <x:c r="J1724" s="37" t="n">
        <x:v>10337255.744097121</x:v>
      </x:c>
      <x:c r="K1724" s="37" t="n">
        <x:v>6125462.314364856</x:v>
      </x:c>
      <x:c r="L1724" s="37" t="n">
        <x:v>11850905.258603606</x:v>
      </x:c>
      <x:c r="M1724" s="37" t="n">
        <x:v>0</x:v>
      </x:c>
      <x:c r="N1724" s="37" t="n">
        <x:v>0</x:v>
      </x:c>
      <x:c r="O1724" s="37" t="n">
        <x:v>418.5585353616625</x:v>
      </x:c>
      <x:c r="P1724" s="37" t="n">
        <x:v>0</x:v>
      </x:c>
      <x:c r="Q1724" s="37" t="n">
        <x:v>0</x:v>
      </x:c>
      <x:c r="R1724" s="37" t="n">
        <x:v>0</x:v>
      </x:c>
      <x:c r="S1724" s="37" t="n">
        <x:v>0</x:v>
      </x:c>
      <x:c r="T1724" s="37" t="n">
        <x:v>0</x:v>
      </x:c>
      <x:c r="U1724" s="37" t="n">
        <x:v>47417.381478397</x:v>
      </x:c>
      <x:c r="V1724" s="37" t="n">
        <x:v>0</x:v>
      </x:c>
      <x:c r="W1724" s="37" t="n">
        <x:v>109864.15598880779</x:v>
      </x:c>
      <x:c r="X1724" s="37" t="n">
        <x:v>0</x:v>
      </x:c>
      <x:c r="Y1724" s="37" t="n">
        <x:v>1737.8702558990533</x:v>
      </x:c>
      <x:c r="Z1724" s="37" t="n">
        <x:v>6247971.560652154</x:v>
      </x:c>
      <x:c r="AA1724" s="37" t="n">
        <x:v>0</x:v>
      </x:c>
      <x:c r="AB1724" s="37" t="n">
        <x:v>6247971.560652154</x:v>
      </x:c>
      <x:c r="AC1724" s="37" t="n">
        <x:v>1391140.268219187</x:v>
      </x:c>
      <x:c r="AD1724" s="37" t="n">
        <x:v>0</x:v>
      </x:c>
      <x:c r="AE1724" s="37" t="n">
        <x:v>0</x:v>
      </x:c>
      <x:c r="AF1724" s="47" t="b">
        <x:v>0</x:v>
      </x:c>
      <x:c r="AG1724" s="47" t="b">
        <x:v>0</x:v>
      </x:c>
      <x:c r="AH1724" s="48" t="n">
        <x:v>0</x:v>
      </x:c>
      <x:c r="AI1724" s="48" t="n">
        <x:v>5.960464477539063e-8</x:v>
      </x:c>
      <x:c r="AJ1724" s="37" t="str">
        <x:v>passed</x:v>
      </x:c>
    </x:row>
    <x:row r="1725" ht="21" customHeight="1">
      <x:c r="A1725" s="2"/>
      <x:c r="B1725" s="2"/>
      <x:c r="C1725" s="2" t="str">
        <x:v>2023</x:v>
      </x:c>
      <x:c r="D1725" s="5" t="n">
        <x:v>45189</x:v>
      </x:c>
      <x:c r="E1725" s="2" t="str">
        <x:v>unweighted</x:v>
      </x:c>
      <x:c r="F1725" s="37" t="n">
        <x:v>11168891.398250267</x:v>
      </x:c>
      <x:c r="G1725" s="37" t="n">
        <x:v>638993.8574150067</x:v>
      </x:c>
      <x:c r="H1725" s="37" t="n">
        <x:v>-17913.03899653696</x:v>
      </x:c>
      <x:c r="I1725" s="37" t="n">
        <x:v>656906.8964115437</x:v>
      </x:c>
      <x:c r="J1725" s="37" t="n">
        <x:v>10431792.813099325</x:v>
      </x:c>
      <x:c r="K1725" s="37" t="n">
        <x:v>9792798.95568432</x:v>
      </x:c>
      <x:c r="L1725" s="37" t="n">
        <x:v>11807885.255665274</x:v>
      </x:c>
      <x:c r="M1725" s="37" t="n">
        <x:v>0</x:v>
      </x:c>
      <x:c r="N1725" s="37" t="n">
        <x:v>0</x:v>
      </x:c>
      <x:c r="O1725" s="37" t="n">
        <x:v>611.9605171382427</x:v>
      </x:c>
      <x:c r="P1725" s="37" t="n">
        <x:v>0</x:v>
      </x:c>
      <x:c r="Q1725" s="37" t="n">
        <x:v>0</x:v>
      </x:c>
      <x:c r="R1725" s="37" t="n">
        <x:v>0</x:v>
      </x:c>
      <x:c r="S1725" s="37" t="n">
        <x:v>0</x:v>
      </x:c>
      <x:c r="T1725" s="37" t="n">
        <x:v>0</x:v>
      </x:c>
      <x:c r="U1725" s="37" t="n">
        <x:v>31805.80415342993</x:v>
      </x:c>
      <x:c r="V1725" s="37" t="n">
        <x:v>0</x:v>
      </x:c>
      <x:c r="W1725" s="37" t="n">
        <x:v>160242.63584600948</x:v>
      </x:c>
      <x:c r="X1725" s="37" t="n">
        <x:v>0</x:v>
      </x:c>
      <x:c r="Y1725" s="37" t="n">
        <x:v>2172.1213283599986</x:v>
      </x:c>
      <x:c r="Z1725" s="37" t="n">
        <x:v>9988654.934798006</x:v>
      </x:c>
      <x:c r="AA1725" s="37" t="n">
        <x:v>0</x:v>
      </x:c>
      <x:c r="AB1725" s="37" t="n">
        <x:v>9988654.934798006</x:v>
      </x:c>
      <x:c r="AC1725" s="37" t="n">
        <x:v>1180236.463452261</x:v>
      </x:c>
      <x:c r="AD1725" s="37" t="n">
        <x:v>0</x:v>
      </x:c>
      <x:c r="AE1725" s="37" t="n">
        <x:v>0</x:v>
      </x:c>
      <x:c r="AF1725" s="47" t="b">
        <x:v>0</x:v>
      </x:c>
      <x:c r="AG1725" s="47" t="b">
        <x:v>0</x:v>
      </x:c>
      <x:c r="AH1725" s="48" t="n">
        <x:v>0</x:v>
      </x:c>
      <x:c r="AI1725" s="48" t="n">
        <x:v>1.1920928955078125e-7</x:v>
      </x:c>
      <x:c r="AJ1725" s="37" t="str">
        <x:v>passed</x:v>
      </x:c>
    </x:row>
    <x:row r="1726" ht="21" customHeight="1">
      <x:c r="A1726" s="2"/>
      <x:c r="B1726" s="2"/>
      <x:c r="C1726" s="2" t="str">
        <x:v>2023</x:v>
      </x:c>
      <x:c r="D1726" s="5" t="n">
        <x:v>45189</x:v>
      </x:c>
      <x:c r="E1726" s="2" t="str">
        <x:v>constrained</x:v>
      </x:c>
      <x:c r="F1726" s="37" t="n">
        <x:v>11719737.337844703</x:v>
      </x:c>
      <x:c r="G1726" s="37" t="n">
        <x:v>74482.4632837601</x:v>
      </x:c>
      <x:c r="H1726" s="37" t="n">
        <x:v>-18363.29681461082</x:v>
      </x:c>
      <x:c r="I1726" s="37" t="n">
        <x:v>92845.76009837091</x:v>
      </x:c>
      <x:c r="J1726" s="37" t="n">
        <x:v>10431385.9881609</x:v>
      </x:c>
      <x:c r="K1726" s="37" t="n">
        <x:v>10356903.52487714</x:v>
      </x:c>
      <x:c r="L1726" s="37" t="n">
        <x:v>11794219.801128464</x:v>
      </x:c>
      <x:c r="M1726" s="37" t="n">
        <x:v>0</x:v>
      </x:c>
      <x:c r="N1726" s="37" t="n">
        <x:v>0</x:v>
      </x:c>
      <x:c r="O1726" s="37" t="n">
        <x:v>642.1422025021166</x:v>
      </x:c>
      <x:c r="P1726" s="37" t="n">
        <x:v>0</x:v>
      </x:c>
      <x:c r="Q1726" s="37" t="n">
        <x:v>0</x:v>
      </x:c>
      <x:c r="R1726" s="37" t="n">
        <x:v>0</x:v>
      </x:c>
      <x:c r="S1726" s="37" t="n">
        <x:v>0</x:v>
      </x:c>
      <x:c r="T1726" s="37" t="n">
        <x:v>0</x:v>
      </x:c>
      <x:c r="U1726" s="37" t="n">
        <x:v>30720.44529747225</x:v>
      </x:c>
      <x:c r="V1726" s="37" t="n">
        <x:v>0</x:v>
      </x:c>
      <x:c r="W1726" s="37" t="n">
        <x:v>167138.5884781368</x:v>
      </x:c>
      <x:c r="X1726" s="37" t="n">
        <x:v>0</x:v>
      </x:c>
      <x:c r="Y1726" s="37" t="n">
        <x:v>2178.1253051300437</x:v>
      </x:c>
      <x:c r="Z1726" s="37" t="n">
        <x:v>10564041.595374683</x:v>
      </x:c>
      <x:c r="AA1726" s="37" t="n">
        <x:v>0</x:v>
      </x:c>
      <x:c r="AB1726" s="37" t="n">
        <x:v>10564041.595374683</x:v>
      </x:c>
      <x:c r="AC1726" s="37" t="n">
        <x:v>1155695.7424700204</x:v>
      </x:c>
      <x:c r="AD1726" s="37" t="n">
        <x:v>0</x:v>
      </x:c>
      <x:c r="AE1726" s="37" t="n">
        <x:v>0</x:v>
      </x:c>
      <x:c r="AF1726" s="47" t="b">
        <x:v>0</x:v>
      </x:c>
      <x:c r="AG1726" s="47" t="b">
        <x:v>0</x:v>
      </x:c>
      <x:c r="AH1726" s="48" t="n">
        <x:v>0</x:v>
      </x:c>
      <x:c r="AI1726" s="48" t="n">
        <x:v>1.1920928955078125e-7</x:v>
      </x:c>
      <x:c r="AJ1726" s="37" t="str">
        <x:v>passed</x:v>
      </x:c>
    </x:row>
    <x:row r="1727" ht="21" customHeight="1">
      <x:c r="A1727" s="2"/>
      <x:c r="B1727" s="2"/>
      <x:c r="C1727" s="2" t="str">
        <x:v>2023</x:v>
      </x:c>
      <x:c r="D1727" s="5" t="n">
        <x:v>45190</x:v>
      </x:c>
      <x:c r="E1727" s="2" t="str">
        <x:v>unhedged</x:v>
      </x:c>
      <x:c r="F1727" s="37" t="n">
        <x:v>1318209.7894626665</x:v>
      </x:c>
      <x:c r="G1727" s="37" t="n">
        <x:v>10284508.511391494</x:v>
      </x:c>
      <x:c r="H1727" s="37" t="n">
        <x:v>28084.23913043478</x:v>
      </x:c>
      <x:c r="I1727" s="37" t="n">
        <x:v>10256424.272261059</x:v>
      </x:c>
      <x:c r="J1727" s="37" t="n">
        <x:v>10284508.511391494</x:v>
      </x:c>
      <x:c r="K1727" s="37" t="n">
        <x:v>0</x:v>
      </x:c>
      <x:c r="L1727" s="37" t="n">
        <x:v>11602718.300854161</x:v>
      </x:c>
      <x:c r="M1727" s="37" t="n">
        <x:v>0</x:v>
      </x:c>
      <x:c r="N1727" s="37" t="n">
        <x:v>0</x:v>
      </x:c>
      <x:c r="O1727" s="37" t="n">
        <x:v>72.22671576682478</x:v>
      </x:c>
      <x:c r="P1727" s="37" t="n">
        <x:v>0</x:v>
      </x:c>
      <x:c r="Q1727" s="37" t="n">
        <x:v>0</x:v>
      </x:c>
      <x:c r="R1727" s="37" t="n">
        <x:v>0</x:v>
      </x:c>
      <x:c r="S1727" s="37" t="n">
        <x:v>0</x:v>
      </x:c>
      <x:c r="T1727" s="37" t="n">
        <x:v>0</x:v>
      </x:c>
      <x:c r="U1727" s="37" t="n">
        <x:v>101250</x:v>
      </x:c>
      <x:c r="V1727" s="37" t="n">
        <x:v>0</x:v>
      </x:c>
      <x:c r="W1727" s="37" t="n">
        <x:v>18002.65880478872</x:v>
      </x:c>
      <x:c r="X1727" s="37" t="n">
        <x:v>0</x:v>
      </x:c>
      <x:c r="Y1727" s="37" t="n">
        <x:v>1042.869342122179</x:v>
      </x:c>
      <x:c r="Z1727" s="37" t="n">
        <x:v>0</x:v>
      </x:c>
      <x:c r="AA1727" s="37" t="n">
        <x:v>0</x:v>
      </x:c>
      <x:c r="AB1727" s="37" t="n">
        <x:v>0</x:v>
      </x:c>
      <x:c r="AC1727" s="37" t="n">
        <x:v>1318209.7894626665</x:v>
      </x:c>
      <x:c r="AD1727" s="37" t="n">
        <x:v>0</x:v>
      </x:c>
      <x:c r="AE1727" s="37" t="n">
        <x:v>0</x:v>
      </x:c>
      <x:c r="AF1727" s="47" t="b">
        <x:v>0</x:v>
      </x:c>
      <x:c r="AG1727" s="47" t="b">
        <x:v>0</x:v>
      </x:c>
      <x:c r="AH1727" s="48" t="n">
        <x:v>0</x:v>
      </x:c>
      <x:c r="AI1727" s="48" t="n">
        <x:v>1.1920928955078125e-7</x:v>
      </x:c>
      <x:c r="AJ1727" s="37" t="str">
        <x:v>passed</x:v>
      </x:c>
    </x:row>
    <x:row r="1728" ht="21" customHeight="1">
      <x:c r="A1728" s="2"/>
      <x:c r="B1728" s="2"/>
      <x:c r="C1728" s="2" t="str">
        <x:v>2023</x:v>
      </x:c>
      <x:c r="D1728" s="5" t="n">
        <x:v>45190</x:v>
      </x:c>
      <x:c r="E1728" s="2" t="str">
        <x:v>duration</x:v>
      </x:c>
      <x:c r="F1728" s="37" t="n">
        <x:v>7639530.410341415</x:v>
      </x:c>
      <x:c r="G1728" s="37" t="n">
        <x:v>4226143.328809581</x:v>
      </x:c>
      <x:c r="H1728" s="37" t="n">
        <x:v>-8914.052772190133</x:v>
      </x:c>
      <x:c r="I1728" s="37" t="n">
        <x:v>4235057.381581771</x:v>
      </x:c>
      <x:c r="J1728" s="37" t="n">
        <x:v>10284508.511391494</x:v>
      </x:c>
      <x:c r="K1728" s="37" t="n">
        <x:v>6058365.182581913</x:v>
      </x:c>
      <x:c r="L1728" s="37" t="n">
        <x:v>11865673.739150995</x:v>
      </x:c>
      <x:c r="M1728" s="37" t="n">
        <x:v>0</x:v>
      </x:c>
      <x:c r="N1728" s="37" t="n">
        <x:v>0</x:v>
      </x:c>
      <x:c r="O1728" s="37" t="n">
        <x:v>418.5814700741321</x:v>
      </x:c>
      <x:c r="P1728" s="37" t="n">
        <x:v>0</x:v>
      </x:c>
      <x:c r="Q1728" s="37" t="n">
        <x:v>0</x:v>
      </x:c>
      <x:c r="R1728" s="37" t="n">
        <x:v>0</x:v>
      </x:c>
      <x:c r="S1728" s="37" t="n">
        <x:v>0</x:v>
      </x:c>
      <x:c r="T1728" s="37" t="n">
        <x:v>0</x:v>
      </x:c>
      <x:c r="U1728" s="37" t="n">
        <x:v>47417.381478397</x:v>
      </x:c>
      <x:c r="V1728" s="37" t="n">
        <x:v>0</x:v>
      </x:c>
      <x:c r="W1728" s="37" t="n">
        <x:v>110282.73745888192</x:v>
      </x:c>
      <x:c r="X1728" s="37" t="n">
        <x:v>0</x:v>
      </x:c>
      <x:c r="Y1728" s="37" t="n">
        <x:v>1737.8702558990533</x:v>
      </x:c>
      <x:c r="Z1728" s="37" t="n">
        <x:v>6179532.486233551</x:v>
      </x:c>
      <x:c r="AA1728" s="37" t="n">
        <x:v>0</x:v>
      </x:c>
      <x:c r="AB1728" s="37" t="n">
        <x:v>6179532.486233551</x:v>
      </x:c>
      <x:c r="AC1728" s="37" t="n">
        <x:v>1459997.9241078636</x:v>
      </x:c>
      <x:c r="AD1728" s="37" t="n">
        <x:v>0</x:v>
      </x:c>
      <x:c r="AE1728" s="37" t="n">
        <x:v>0</x:v>
      </x:c>
      <x:c r="AF1728" s="47" t="b">
        <x:v>0</x:v>
      </x:c>
      <x:c r="AG1728" s="47" t="b">
        <x:v>0</x:v>
      </x:c>
      <x:c r="AH1728" s="48" t="n">
        <x:v>0</x:v>
      </x:c>
      <x:c r="AI1728" s="48" t="n">
        <x:v>5.960464477539063e-8</x:v>
      </x:c>
      <x:c r="AJ1728" s="37" t="str">
        <x:v>passed</x:v>
      </x:c>
    </x:row>
    <x:row r="1729" ht="21" customHeight="1">
      <x:c r="A1729" s="2"/>
      <x:c r="B1729" s="2"/>
      <x:c r="C1729" s="2" t="str">
        <x:v>2023</x:v>
      </x:c>
      <x:c r="D1729" s="5" t="n">
        <x:v>45190</x:v>
      </x:c>
      <x:c r="E1729" s="2" t="str">
        <x:v>unweighted</x:v>
      </x:c>
      <x:c r="F1729" s="37" t="n">
        <x:v>11169503.392299484</x:v>
      </x:c>
      <x:c r="G1729" s="37" t="n">
        <x:v>640478.5442343857</x:v>
      </x:c>
      <x:c r="H1729" s="37" t="n">
        <x:v>-17942.70274780116</x:v>
      </x:c>
      <x:c r="I1729" s="37" t="n">
        <x:v>658421.2469821869</x:v>
      </x:c>
      <x:c r="J1729" s="37" t="n">
        <x:v>10376721.463114373</x:v>
      </x:c>
      <x:c r="K1729" s="37" t="n">
        <x:v>9736242.918879988</x:v>
      </x:c>
      <x:c r="L1729" s="37" t="n">
        <x:v>11809981.93653387</x:v>
      </x:c>
      <x:c r="M1729" s="37" t="n">
        <x:v>0</x:v>
      </x:c>
      <x:c r="N1729" s="37" t="n">
        <x:v>0</x:v>
      </x:c>
      <x:c r="O1729" s="37" t="n">
        <x:v>611.994049217552</x:v>
      </x:c>
      <x:c r="P1729" s="37" t="n">
        <x:v>0</x:v>
      </x:c>
      <x:c r="Q1729" s="37" t="n">
        <x:v>0</x:v>
      </x:c>
      <x:c r="R1729" s="37" t="n">
        <x:v>0</x:v>
      </x:c>
      <x:c r="S1729" s="37" t="n">
        <x:v>0</x:v>
      </x:c>
      <x:c r="T1729" s="37" t="n">
        <x:v>0</x:v>
      </x:c>
      <x:c r="U1729" s="37" t="n">
        <x:v>31805.80415342993</x:v>
      </x:c>
      <x:c r="V1729" s="37" t="n">
        <x:v>0</x:v>
      </x:c>
      <x:c r="W1729" s="37" t="n">
        <x:v>160854.62989522703</x:v>
      </x:c>
      <x:c r="X1729" s="37" t="n">
        <x:v>0</x:v>
      </x:c>
      <x:c r="Y1729" s="37" t="n">
        <x:v>2172.1213283599986</x:v>
      </x:c>
      <x:c r="Z1729" s="37" t="n">
        <x:v>9930967.777257588</x:v>
      </x:c>
      <x:c r="AA1729" s="37" t="n">
        <x:v>0</x:v>
      </x:c>
      <x:c r="AB1729" s="37" t="n">
        <x:v>9930967.777257588</x:v>
      </x:c>
      <x:c r="AC1729" s="37" t="n">
        <x:v>1238535.6150418967</x:v>
      </x:c>
      <x:c r="AD1729" s="37" t="n">
        <x:v>0</x:v>
      </x:c>
      <x:c r="AE1729" s="37" t="n">
        <x:v>0</x:v>
      </x:c>
      <x:c r="AF1729" s="47" t="b">
        <x:v>0</x:v>
      </x:c>
      <x:c r="AG1729" s="47" t="b">
        <x:v>0</x:v>
      </x:c>
      <x:c r="AH1729" s="48" t="n">
        <x:v>0</x:v>
      </x:c>
      <x:c r="AI1729" s="48" t="n">
        <x:v>1.1920928955078125e-7</x:v>
      </x:c>
      <x:c r="AJ1729" s="37" t="str">
        <x:v>passed</x:v>
      </x:c>
    </x:row>
    <x:row r="1730" ht="21" customHeight="1">
      <x:c r="A1730" s="2"/>
      <x:c r="B1730" s="2"/>
      <x:c r="C1730" s="2" t="str">
        <x:v>2023</x:v>
      </x:c>
      <x:c r="D1730" s="5" t="n">
        <x:v>45190</x:v>
      </x:c>
      <x:c r="E1730" s="2" t="str">
        <x:v>constrained</x:v>
      </x:c>
      <x:c r="F1730" s="37" t="n">
        <x:v>11720379.515233077</x:v>
      </x:c>
      <x:c r="G1730" s="37" t="n">
        <x:v>74675.9034240733</x:v>
      </x:c>
      <x:c r="H1730" s="37" t="n">
        <x:v>-18397.68903553464</x:v>
      </x:c>
      <x:c r="I1730" s="37" t="n">
        <x:v>93073.59245960794</x:v>
      </x:c>
      <x:c r="J1730" s="37" t="n">
        <x:v>10376314.404454764</x:v>
      </x:c>
      <x:c r="K1730" s="37" t="n">
        <x:v>10301638.501030691</x:v>
      </x:c>
      <x:c r="L1730" s="37" t="n">
        <x:v>11795055.41865715</x:v>
      </x:c>
      <x:c r="M1730" s="37" t="n">
        <x:v>0</x:v>
      </x:c>
      <x:c r="N1730" s="37" t="n">
        <x:v>0</x:v>
      </x:c>
      <x:c r="O1730" s="37" t="n">
        <x:v>642.1773883737624</x:v>
      </x:c>
      <x:c r="P1730" s="37" t="n">
        <x:v>0</x:v>
      </x:c>
      <x:c r="Q1730" s="37" t="n">
        <x:v>0</x:v>
      </x:c>
      <x:c r="R1730" s="37" t="n">
        <x:v>0</x:v>
      </x:c>
      <x:c r="S1730" s="37" t="n">
        <x:v>0</x:v>
      </x:c>
      <x:c r="T1730" s="37" t="n">
        <x:v>0</x:v>
      </x:c>
      <x:c r="U1730" s="37" t="n">
        <x:v>30720.44529747225</x:v>
      </x:c>
      <x:c r="V1730" s="37" t="n">
        <x:v>0</x:v>
      </x:c>
      <x:c r="W1730" s="37" t="n">
        <x:v>167780.76586651057</x:v>
      </x:c>
      <x:c r="X1730" s="37" t="n">
        <x:v>0</x:v>
      </x:c>
      <x:c r="Y1730" s="37" t="n">
        <x:v>2178.1253051300437</x:v>
      </x:c>
      <x:c r="Z1730" s="37" t="n">
        <x:v>10507671.271051304</x:v>
      </x:c>
      <x:c r="AA1730" s="37" t="n">
        <x:v>0</x:v>
      </x:c>
      <x:c r="AB1730" s="37" t="n">
        <x:v>10507671.271051304</x:v>
      </x:c>
      <x:c r="AC1730" s="37" t="n">
        <x:v>1212708.2441817727</x:v>
      </x:c>
      <x:c r="AD1730" s="37" t="n">
        <x:v>0</x:v>
      </x:c>
      <x:c r="AE1730" s="37" t="n">
        <x:v>0</x:v>
      </x:c>
      <x:c r="AF1730" s="47" t="b">
        <x:v>0</x:v>
      </x:c>
      <x:c r="AG1730" s="47" t="b">
        <x:v>0</x:v>
      </x:c>
      <x:c r="AH1730" s="48" t="n">
        <x:v>0</x:v>
      </x:c>
      <x:c r="AI1730" s="48" t="n">
        <x:v>1.1920928955078125e-7</x:v>
      </x:c>
      <x:c r="AJ1730" s="37" t="str">
        <x:v>passed</x:v>
      </x:c>
    </x:row>
    <x:row r="1731" ht="21" customHeight="1">
      <x:c r="A1731" s="2"/>
      <x:c r="B1731" s="2"/>
      <x:c r="C1731" s="2" t="str">
        <x:v>2023</x:v>
      </x:c>
      <x:c r="D1731" s="5" t="n">
        <x:v>45191</x:v>
      </x:c>
      <x:c r="E1731" s="2" t="str">
        <x:v>unhedged</x:v>
      </x:c>
      <x:c r="F1731" s="37" t="n">
        <x:v>1318282.020136062</x:v>
      </x:c>
      <x:c r="G1731" s="37" t="n">
        <x:v>10305186.194407573</x:v>
      </x:c>
      <x:c r="H1731" s="37" t="n">
        <x:v>28430.70652173913</x:v>
      </x:c>
      <x:c r="I1731" s="37" t="n">
        <x:v>10276755.487885835</x:v>
      </x:c>
      <x:c r="J1731" s="37" t="n">
        <x:v>10305186.194407573</x:v>
      </x:c>
      <x:c r="K1731" s="37" t="n">
        <x:v>0</x:v>
      </x:c>
      <x:c r="L1731" s="37" t="n">
        <x:v>11623468.214543635</x:v>
      </x:c>
      <x:c r="M1731" s="37" t="n">
        <x:v>0</x:v>
      </x:c>
      <x:c r="N1731" s="37" t="n">
        <x:v>0</x:v>
      </x:c>
      <x:c r="O1731" s="37" t="n">
        <x:v>72.23067339556292</x:v>
      </x:c>
      <x:c r="P1731" s="37" t="n">
        <x:v>0</x:v>
      </x:c>
      <x:c r="Q1731" s="37" t="n">
        <x:v>0</x:v>
      </x:c>
      <x:c r="R1731" s="37" t="n">
        <x:v>0</x:v>
      </x:c>
      <x:c r="S1731" s="37" t="n">
        <x:v>0</x:v>
      </x:c>
      <x:c r="T1731" s="37" t="n">
        <x:v>0</x:v>
      </x:c>
      <x:c r="U1731" s="37" t="n">
        <x:v>101250</x:v>
      </x:c>
      <x:c r="V1731" s="37" t="n">
        <x:v>0</x:v>
      </x:c>
      <x:c r="W1731" s="37" t="n">
        <x:v>18074.889478184283</x:v>
      </x:c>
      <x:c r="X1731" s="37" t="n">
        <x:v>0</x:v>
      </x:c>
      <x:c r="Y1731" s="37" t="n">
        <x:v>1042.869342122179</x:v>
      </x:c>
      <x:c r="Z1731" s="37" t="n">
        <x:v>0</x:v>
      </x:c>
      <x:c r="AA1731" s="37" t="n">
        <x:v>0</x:v>
      </x:c>
      <x:c r="AB1731" s="37" t="n">
        <x:v>0</x:v>
      </x:c>
      <x:c r="AC1731" s="37" t="n">
        <x:v>1318282.020136062</x:v>
      </x:c>
      <x:c r="AD1731" s="37" t="n">
        <x:v>0</x:v>
      </x:c>
      <x:c r="AE1731" s="37" t="n">
        <x:v>0</x:v>
      </x:c>
      <x:c r="AF1731" s="47" t="b">
        <x:v>0</x:v>
      </x:c>
      <x:c r="AG1731" s="47" t="b">
        <x:v>0</x:v>
      </x:c>
      <x:c r="AH1731" s="48" t="n">
        <x:v>0</x:v>
      </x:c>
      <x:c r="AI1731" s="48" t="n">
        <x:v>1.1920928955078125e-7</x:v>
      </x:c>
      <x:c r="AJ1731" s="37" t="str">
        <x:v>passed</x:v>
      </x:c>
    </x:row>
    <x:row r="1732" ht="21" customHeight="1">
      <x:c r="A1732" s="2"/>
      <x:c r="B1732" s="2"/>
      <x:c r="C1732" s="2" t="str">
        <x:v>2023</x:v>
      </x:c>
      <x:c r="D1732" s="5" t="n">
        <x:v>45191</x:v>
      </x:c>
      <x:c r="E1732" s="2" t="str">
        <x:v>duration</x:v>
      </x:c>
      <x:c r="F1732" s="37" t="n">
        <x:v>7639949.014747462</x:v>
      </x:c>
      <x:c r="G1732" s="37" t="n">
        <x:v>4225403.065327788</x:v>
      </x:c>
      <x:c r="H1732" s="37" t="n">
        <x:v>-8854.393845247214</x:v>
      </x:c>
      <x:c r="I1732" s="37" t="n">
        <x:v>4234257.459173035</x:v>
      </x:c>
      <x:c r="J1732" s="37" t="n">
        <x:v>10305186.194407573</x:v>
      </x:c>
      <x:c r="K1732" s="37" t="n">
        <x:v>6079783.129079785</x:v>
      </x:c>
      <x:c r="L1732" s="37" t="n">
        <x:v>11865352.08007525</x:v>
      </x:c>
      <x:c r="M1732" s="37" t="n">
        <x:v>0</x:v>
      </x:c>
      <x:c r="N1732" s="37" t="n">
        <x:v>0</x:v>
      </x:c>
      <x:c r="O1732" s="37" t="n">
        <x:v>418.60440604761243</x:v>
      </x:c>
      <x:c r="P1732" s="37" t="n">
        <x:v>0</x:v>
      </x:c>
      <x:c r="Q1732" s="37" t="n">
        <x:v>0</x:v>
      </x:c>
      <x:c r="R1732" s="37" t="n">
        <x:v>0</x:v>
      </x:c>
      <x:c r="S1732" s="37" t="n">
        <x:v>0</x:v>
      </x:c>
      <x:c r="T1732" s="37" t="n">
        <x:v>0</x:v>
      </x:c>
      <x:c r="U1732" s="37" t="n">
        <x:v>47417.381478397</x:v>
      </x:c>
      <x:c r="V1732" s="37" t="n">
        <x:v>0</x:v>
      </x:c>
      <x:c r="W1732" s="37" t="n">
        <x:v>110701.34186492953</x:v>
      </x:c>
      <x:c r="X1732" s="37" t="n">
        <x:v>0</x:v>
      </x:c>
      <x:c r="Y1732" s="37" t="n">
        <x:v>1737.8702558990533</x:v>
      </x:c>
      <x:c r="Z1732" s="37" t="n">
        <x:v>6201378.791661381</x:v>
      </x:c>
      <x:c r="AA1732" s="37" t="n">
        <x:v>0</x:v>
      </x:c>
      <x:c r="AB1732" s="37" t="n">
        <x:v>6201378.791661381</x:v>
      </x:c>
      <x:c r="AC1732" s="37" t="n">
        <x:v>1438570.2230860814</x:v>
      </x:c>
      <x:c r="AD1732" s="37" t="n">
        <x:v>0</x:v>
      </x:c>
      <x:c r="AE1732" s="37" t="n">
        <x:v>0</x:v>
      </x:c>
      <x:c r="AF1732" s="47" t="b">
        <x:v>0</x:v>
      </x:c>
      <x:c r="AG1732" s="47" t="b">
        <x:v>0</x:v>
      </x:c>
      <x:c r="AH1732" s="48" t="n">
        <x:v>0</x:v>
      </x:c>
      <x:c r="AI1732" s="48" t="n">
        <x:v>5.960464477539063e-8</x:v>
      </x:c>
      <x:c r="AJ1732" s="37" t="str">
        <x:v>passed</x:v>
      </x:c>
    </x:row>
    <x:row r="1733" ht="21" customHeight="1">
      <x:c r="A1733" s="2"/>
      <x:c r="B1733" s="2"/>
      <x:c r="C1733" s="2" t="str">
        <x:v>2023</x:v>
      </x:c>
      <x:c r="D1733" s="5" t="n">
        <x:v>45191</x:v>
      </x:c>
      <x:c r="E1733" s="2" t="str">
        <x:v>unweighted</x:v>
      </x:c>
      <x:c r="F1733" s="37" t="n">
        <x:v>11170115.419882625</x:v>
      </x:c>
      <x:c r="G1733" s="37" t="n">
        <x:v>640206.8631190037</x:v>
      </x:c>
      <x:c r="H1733" s="37" t="n">
        <x:v>-17972.366499065352</x:v>
      </x:c>
      <x:c r="I1733" s="37" t="n">
        <x:v>658179.229618069</x:v>
      </x:c>
      <x:c r="J1733" s="37" t="n">
        <x:v>10397982.878536234</x:v>
      </x:c>
      <x:c r="K1733" s="37" t="n">
        <x:v>9757776.01541723</x:v>
      </x:c>
      <x:c r="L1733" s="37" t="n">
        <x:v>11810322.28300163</x:v>
      </x:c>
      <x:c r="M1733" s="37" t="n">
        <x:v>0</x:v>
      </x:c>
      <x:c r="N1733" s="37" t="n">
        <x:v>0</x:v>
      </x:c>
      <x:c r="O1733" s="37" t="n">
        <x:v>612.0275831408799</x:v>
      </x:c>
      <x:c r="P1733" s="37" t="n">
        <x:v>0</x:v>
      </x:c>
      <x:c r="Q1733" s="37" t="n">
        <x:v>0</x:v>
      </x:c>
      <x:c r="R1733" s="37" t="n">
        <x:v>0</x:v>
      </x:c>
      <x:c r="S1733" s="37" t="n">
        <x:v>0</x:v>
      </x:c>
      <x:c r="T1733" s="37" t="n">
        <x:v>0</x:v>
      </x:c>
      <x:c r="U1733" s="37" t="n">
        <x:v>31805.80415342993</x:v>
      </x:c>
      <x:c r="V1733" s="37" t="n">
        <x:v>0</x:v>
      </x:c>
      <x:c r="W1733" s="37" t="n">
        <x:v>161466.6574783679</x:v>
      </x:c>
      <x:c r="X1733" s="37" t="n">
        <x:v>0</x:v>
      </x:c>
      <x:c r="Y1733" s="37" t="n">
        <x:v>2172.1213283599986</x:v>
      </x:c>
      <x:c r="Z1733" s="37" t="n">
        <x:v>9952931.535725575</x:v>
      </x:c>
      <x:c r="AA1733" s="37" t="n">
        <x:v>0</x:v>
      </x:c>
      <x:c r="AB1733" s="37" t="n">
        <x:v>9952931.535725575</x:v>
      </x:c>
      <x:c r="AC1733" s="37" t="n">
        <x:v>1217183.8841570504</x:v>
      </x:c>
      <x:c r="AD1733" s="37" t="n">
        <x:v>0</x:v>
      </x:c>
      <x:c r="AE1733" s="37" t="n">
        <x:v>0</x:v>
      </x:c>
      <x:c r="AF1733" s="47" t="b">
        <x:v>0</x:v>
      </x:c>
      <x:c r="AG1733" s="47" t="b">
        <x:v>0</x:v>
      </x:c>
      <x:c r="AH1733" s="48" t="n">
        <x:v>0</x:v>
      </x:c>
      <x:c r="AI1733" s="48" t="n">
        <x:v>1.1920928955078125e-7</x:v>
      </x:c>
      <x:c r="AJ1733" s="37" t="str">
        <x:v>passed</x:v>
      </x:c>
    </x:row>
    <x:row r="1734" ht="21" customHeight="1">
      <x:c r="A1734" s="2"/>
      <x:c r="B1734" s="2"/>
      <x:c r="C1734" s="2" t="str">
        <x:v>2023</x:v>
      </x:c>
      <x:c r="D1734" s="5" t="n">
        <x:v>45191</x:v>
      </x:c>
      <x:c r="E1734" s="2" t="str">
        <x:v>constrained</x:v>
      </x:c>
      <x:c r="F1734" s="37" t="n">
        <x:v>11721021.727809256</x:v>
      </x:c>
      <x:c r="G1734" s="37" t="n">
        <x:v>74649.59159403692</x:v>
      </x:c>
      <x:c r="H1734" s="37" t="n">
        <x:v>-18432.08125645846</x:v>
      </x:c>
      <x:c r="I1734" s="37" t="n">
        <x:v>93081.67285049538</x:v>
      </x:c>
      <x:c r="J1734" s="37" t="n">
        <x:v>10397574.925570657</x:v>
      </x:c>
      <x:c r="K1734" s="37" t="n">
        <x:v>10322925.333976619</x:v>
      </x:c>
      <x:c r="L1734" s="37" t="n">
        <x:v>11795671.319403293</x:v>
      </x:c>
      <x:c r="M1734" s="37" t="n">
        <x:v>0</x:v>
      </x:c>
      <x:c r="N1734" s="37" t="n">
        <x:v>0</x:v>
      </x:c>
      <x:c r="O1734" s="37" t="n">
        <x:v>642.2125761788338</x:v>
      </x:c>
      <x:c r="P1734" s="37" t="n">
        <x:v>0</x:v>
      </x:c>
      <x:c r="Q1734" s="37" t="n">
        <x:v>0</x:v>
      </x:c>
      <x:c r="R1734" s="37" t="n">
        <x:v>0</x:v>
      </x:c>
      <x:c r="S1734" s="37" t="n">
        <x:v>0</x:v>
      </x:c>
      <x:c r="T1734" s="37" t="n">
        <x:v>0</x:v>
      </x:c>
      <x:c r="U1734" s="37" t="n">
        <x:v>30720.44529747225</x:v>
      </x:c>
      <x:c r="V1734" s="37" t="n">
        <x:v>0</x:v>
      </x:c>
      <x:c r="W1734" s="37" t="n">
        <x:v>168422.9784426894</x:v>
      </x:c>
      <x:c r="X1734" s="37" t="n">
        <x:v>0</x:v>
      </x:c>
      <x:c r="Y1734" s="37" t="n">
        <x:v>2178.1253051300437</x:v>
      </x:c>
      <x:c r="Z1734" s="37" t="n">
        <x:v>10529383.840656152</x:v>
      </x:c>
      <x:c r="AA1734" s="37" t="n">
        <x:v>0</x:v>
      </x:c>
      <x:c r="AB1734" s="37" t="n">
        <x:v>10529383.840656152</x:v>
      </x:c>
      <x:c r="AC1734" s="37" t="n">
        <x:v>1191637.887153104</x:v>
      </x:c>
      <x:c r="AD1734" s="37" t="n">
        <x:v>0</x:v>
      </x:c>
      <x:c r="AE1734" s="37" t="n">
        <x:v>0</x:v>
      </x:c>
      <x:c r="AF1734" s="47" t="b">
        <x:v>0</x:v>
      </x:c>
      <x:c r="AG1734" s="47" t="b">
        <x:v>0</x:v>
      </x:c>
      <x:c r="AH1734" s="48" t="n">
        <x:v>0</x:v>
      </x:c>
      <x:c r="AI1734" s="48" t="n">
        <x:v>1.1920928955078125e-7</x:v>
      </x:c>
      <x:c r="AJ1734" s="37" t="str">
        <x:v>passed</x:v>
      </x:c>
    </x:row>
    <x:row r="1735" ht="21" customHeight="1">
      <x:c r="A1735" s="2"/>
      <x:c r="B1735" s="2"/>
      <x:c r="C1735" s="2" t="str">
        <x:v>2023</x:v>
      </x:c>
      <x:c r="D1735" s="5" t="n">
        <x:v>45194</x:v>
      </x:c>
      <x:c r="E1735" s="2" t="str">
        <x:v>unhedged</x:v>
      </x:c>
      <x:c r="F1735" s="37" t="n">
        <x:v>1318498.735904186</x:v>
      </x:c>
      <x:c r="G1735" s="37" t="n">
        <x:v>10274492.659428356</x:v>
      </x:c>
      <x:c r="H1735" s="37" t="n">
        <x:v>29470.108695652172</x:v>
      </x:c>
      <x:c r="I1735" s="37" t="n">
        <x:v>10245022.550732704</x:v>
      </x:c>
      <x:c r="J1735" s="37" t="n">
        <x:v>10274492.659428356</x:v>
      </x:c>
      <x:c r="K1735" s="37" t="n">
        <x:v>0</x:v>
      </x:c>
      <x:c r="L1735" s="37" t="n">
        <x:v>11592991.395332541</x:v>
      </x:c>
      <x:c r="M1735" s="37" t="n">
        <x:v>0</x:v>
      </x:c>
      <x:c r="N1735" s="37" t="n">
        <x:v>0</x:v>
      </x:c>
      <x:c r="O1735" s="37" t="n">
        <x:v>216.7157681239769</x:v>
      </x:c>
      <x:c r="P1735" s="37" t="n">
        <x:v>0</x:v>
      </x:c>
      <x:c r="Q1735" s="37" t="n">
        <x:v>0</x:v>
      </x:c>
      <x:c r="R1735" s="37" t="n">
        <x:v>0</x:v>
      </x:c>
      <x:c r="S1735" s="37" t="n">
        <x:v>0</x:v>
      </x:c>
      <x:c r="T1735" s="37" t="n">
        <x:v>0</x:v>
      </x:c>
      <x:c r="U1735" s="37" t="n">
        <x:v>101250</x:v>
      </x:c>
      <x:c r="V1735" s="37" t="n">
        <x:v>0</x:v>
      </x:c>
      <x:c r="W1735" s="37" t="n">
        <x:v>18291.60524630826</x:v>
      </x:c>
      <x:c r="X1735" s="37" t="n">
        <x:v>0</x:v>
      </x:c>
      <x:c r="Y1735" s="37" t="n">
        <x:v>1042.869342122179</x:v>
      </x:c>
      <x:c r="Z1735" s="37" t="n">
        <x:v>0</x:v>
      </x:c>
      <x:c r="AA1735" s="37" t="n">
        <x:v>0</x:v>
      </x:c>
      <x:c r="AB1735" s="37" t="n">
        <x:v>0</x:v>
      </x:c>
      <x:c r="AC1735" s="37" t="n">
        <x:v>1318498.735904186</x:v>
      </x:c>
      <x:c r="AD1735" s="37" t="n">
        <x:v>0</x:v>
      </x:c>
      <x:c r="AE1735" s="37" t="n">
        <x:v>0</x:v>
      </x:c>
      <x:c r="AF1735" s="47" t="b">
        <x:v>0</x:v>
      </x:c>
      <x:c r="AG1735" s="47" t="b">
        <x:v>0</x:v>
      </x:c>
      <x:c r="AH1735" s="48" t="n">
        <x:v>0</x:v>
      </x:c>
      <x:c r="AI1735" s="48" t="n">
        <x:v>1.1920928955078125e-7</x:v>
      </x:c>
      <x:c r="AJ1735" s="37" t="str">
        <x:v>passed</x:v>
      </x:c>
    </x:row>
    <x:row r="1736" ht="21" customHeight="1">
      <x:c r="A1736" s="2"/>
      <x:c r="B1736" s="2"/>
      <x:c r="C1736" s="2" t="str">
        <x:v>2023</x:v>
      </x:c>
      <x:c r="D1736" s="5" t="n">
        <x:v>45194</x:v>
      </x:c>
      <x:c r="E1736" s="2" t="str">
        <x:v>duration</x:v>
      </x:c>
      <x:c r="F1736" s="37" t="n">
        <x:v>7641204.965593996</x:v>
      </x:c>
      <x:c r="G1736" s="37" t="n">
        <x:v>4236560.769015109</x:v>
      </x:c>
      <x:c r="H1736" s="37" t="n">
        <x:v>-8675.417064418474</x:v>
      </x:c>
      <x:c r="I1736" s="37" t="n">
        <x:v>4245236.186079527</x:v>
      </x:c>
      <x:c r="J1736" s="37" t="n">
        <x:v>10274492.659428356</x:v>
      </x:c>
      <x:c r="K1736" s="37" t="n">
        <x:v>6037931.890413247</x:v>
      </x:c>
      <x:c r="L1736" s="37" t="n">
        <x:v>11877765.734609105</x:v>
      </x:c>
      <x:c r="M1736" s="37" t="n">
        <x:v>0</x:v>
      </x:c>
      <x:c r="N1736" s="37" t="n">
        <x:v>0</x:v>
      </x:c>
      <x:c r="O1736" s="37" t="n">
        <x:v>1255.9508465342224</x:v>
      </x:c>
      <x:c r="P1736" s="37" t="n">
        <x:v>0</x:v>
      </x:c>
      <x:c r="Q1736" s="37" t="n">
        <x:v>0</x:v>
      </x:c>
      <x:c r="R1736" s="37" t="n">
        <x:v>0</x:v>
      </x:c>
      <x:c r="S1736" s="37" t="n">
        <x:v>0</x:v>
      </x:c>
      <x:c r="T1736" s="37" t="n">
        <x:v>0</x:v>
      </x:c>
      <x:c r="U1736" s="37" t="n">
        <x:v>47417.381478397</x:v>
      </x:c>
      <x:c r="V1736" s="37" t="n">
        <x:v>0</x:v>
      </x:c>
      <x:c r="W1736" s="37" t="n">
        <x:v>111957.29271146376</x:v>
      </x:c>
      <x:c r="X1736" s="37" t="n">
        <x:v>0</x:v>
      </x:c>
      <x:c r="Y1736" s="37" t="n">
        <x:v>1737.8702558990533</x:v>
      </x:c>
      <x:c r="Z1736" s="37" t="n">
        <x:v>6158690.528221512</x:v>
      </x:c>
      <x:c r="AA1736" s="37" t="n">
        <x:v>0</x:v>
      </x:c>
      <x:c r="AB1736" s="37" t="n">
        <x:v>6158690.528221512</x:v>
      </x:c>
      <x:c r="AC1736" s="37" t="n">
        <x:v>1482514.4373724842</x:v>
      </x:c>
      <x:c r="AD1736" s="37" t="n">
        <x:v>0</x:v>
      </x:c>
      <x:c r="AE1736" s="37" t="n">
        <x:v>0</x:v>
      </x:c>
      <x:c r="AF1736" s="47" t="b">
        <x:v>0</x:v>
      </x:c>
      <x:c r="AG1736" s="47" t="b">
        <x:v>0</x:v>
      </x:c>
      <x:c r="AH1736" s="48" t="n">
        <x:v>0</x:v>
      </x:c>
      <x:c r="AI1736" s="48" t="n">
        <x:v>5.960464477539063e-8</x:v>
      </x:c>
      <x:c r="AJ1736" s="37" t="str">
        <x:v>passed</x:v>
      </x:c>
    </x:row>
    <x:row r="1737" ht="21" customHeight="1">
      <x:c r="A1737" s="2"/>
      <x:c r="B1737" s="2"/>
      <x:c r="C1737" s="2" t="str">
        <x:v>2023</x:v>
      </x:c>
      <x:c r="D1737" s="5" t="n">
        <x:v>45194</x:v>
      </x:c>
      <x:c r="E1737" s="2" t="str">
        <x:v>unweighted</x:v>
      </x:c>
      <x:c r="F1737" s="37" t="n">
        <x:v>11171951.703853946</x:v>
      </x:c>
      <x:c r="G1737" s="37" t="n">
        <x:v>641254.5634142639</x:v>
      </x:c>
      <x:c r="H1737" s="37" t="n">
        <x:v>-18061.35775285794</x:v>
      </x:c>
      <x:c r="I1737" s="37" t="n">
        <x:v>659315.9211671219</x:v>
      </x:c>
      <x:c r="J1737" s="37" t="n">
        <x:v>10365393.34214729</x:v>
      </x:c>
      <x:c r="K1737" s="37" t="n">
        <x:v>9724138.778733026</x:v>
      </x:c>
      <x:c r="L1737" s="37" t="n">
        <x:v>11813206.26726821</x:v>
      </x:c>
      <x:c r="M1737" s="37" t="n">
        <x:v>0</x:v>
      </x:c>
      <x:c r="N1737" s="37" t="n">
        <x:v>0</x:v>
      </x:c>
      <x:c r="O1737" s="37" t="n">
        <x:v>1836.2839713208377</x:v>
      </x:c>
      <x:c r="P1737" s="37" t="n">
        <x:v>0</x:v>
      </x:c>
      <x:c r="Q1737" s="37" t="n">
        <x:v>0</x:v>
      </x:c>
      <x:c r="R1737" s="37" t="n">
        <x:v>0</x:v>
      </x:c>
      <x:c r="S1737" s="37" t="n">
        <x:v>0</x:v>
      </x:c>
      <x:c r="T1737" s="37" t="n">
        <x:v>0</x:v>
      </x:c>
      <x:c r="U1737" s="37" t="n">
        <x:v>31805.80415342993</x:v>
      </x:c>
      <x:c r="V1737" s="37" t="n">
        <x:v>0</x:v>
      </x:c>
      <x:c r="W1737" s="37" t="n">
        <x:v>163302.94144968875</x:v>
      </x:c>
      <x:c r="X1737" s="37" t="n">
        <x:v>0</x:v>
      </x:c>
      <x:c r="Y1737" s="37" t="n">
        <x:v>2172.1213283599986</x:v>
      </x:c>
      <x:c r="Z1737" s="37" t="n">
        <x:v>9918621.554307686</x:v>
      </x:c>
      <x:c r="AA1737" s="37" t="n">
        <x:v>0</x:v>
      </x:c>
      <x:c r="AB1737" s="37" t="n">
        <x:v>9918621.554307686</x:v>
      </x:c>
      <x:c r="AC1737" s="37" t="n">
        <x:v>1253330.14954626</x:v>
      </x:c>
      <x:c r="AD1737" s="37" t="n">
        <x:v>0</x:v>
      </x:c>
      <x:c r="AE1737" s="37" t="n">
        <x:v>0</x:v>
      </x:c>
      <x:c r="AF1737" s="47" t="b">
        <x:v>0</x:v>
      </x:c>
      <x:c r="AG1737" s="47" t="b">
        <x:v>0</x:v>
      </x:c>
      <x:c r="AH1737" s="48" t="n">
        <x:v>0</x:v>
      </x:c>
      <x:c r="AI1737" s="48" t="n">
        <x:v>1.1920928955078125e-7</x:v>
      </x:c>
      <x:c r="AJ1737" s="37" t="str">
        <x:v>passed</x:v>
      </x:c>
    </x:row>
    <x:row r="1738" ht="21" customHeight="1">
      <x:c r="A1738" s="2"/>
      <x:c r="B1738" s="2"/>
      <x:c r="C1738" s="2" t="str">
        <x:v>2023</x:v>
      </x:c>
      <x:c r="D1738" s="5" t="n">
        <x:v>45194</x:v>
      </x:c>
      <x:c r="E1738" s="2" t="str">
        <x:v>constrained</x:v>
      </x:c>
      <x:c r="F1738" s="37" t="n">
        <x:v>11722948.576683884</x:v>
      </x:c>
      <x:c r="G1738" s="37" t="n">
        <x:v>74604.29219203368</x:v>
      </x:c>
      <x:c r="H1738" s="37" t="n">
        <x:v>-18535.25791922992</x:v>
      </x:c>
      <x:c r="I1738" s="37" t="n">
        <x:v>93139.5501112636</x:v>
      </x:c>
      <x:c r="J1738" s="37" t="n">
        <x:v>10364970.772826646</x:v>
      </x:c>
      <x:c r="K1738" s="37" t="n">
        <x:v>10290366.480634611</x:v>
      </x:c>
      <x:c r="L1738" s="37" t="n">
        <x:v>11797552.868875919</x:v>
      </x:c>
      <x:c r="M1738" s="37" t="n">
        <x:v>0</x:v>
      </x:c>
      <x:c r="N1738" s="37" t="n">
        <x:v>0</x:v>
      </x:c>
      <x:c r="O1738" s="37" t="n">
        <x:v>1926.8488746285439</x:v>
      </x:c>
      <x:c r="P1738" s="37" t="n">
        <x:v>0</x:v>
      </x:c>
      <x:c r="Q1738" s="37" t="n">
        <x:v>0</x:v>
      </x:c>
      <x:c r="R1738" s="37" t="n">
        <x:v>0</x:v>
      </x:c>
      <x:c r="S1738" s="37" t="n">
        <x:v>0</x:v>
      </x:c>
      <x:c r="T1738" s="37" t="n">
        <x:v>0</x:v>
      </x:c>
      <x:c r="U1738" s="37" t="n">
        <x:v>30720.44529747225</x:v>
      </x:c>
      <x:c r="V1738" s="37" t="n">
        <x:v>0</x:v>
      </x:c>
      <x:c r="W1738" s="37" t="n">
        <x:v>170349.82731731795</x:v>
      </x:c>
      <x:c r="X1738" s="37" t="n">
        <x:v>0</x:v>
      </x:c>
      <x:c r="Y1738" s="37" t="n">
        <x:v>2178.1253051300437</x:v>
      </x:c>
      <x:c r="Z1738" s="37" t="n">
        <x:v>10496173.810247304</x:v>
      </x:c>
      <x:c r="AA1738" s="37" t="n">
        <x:v>0</x:v>
      </x:c>
      <x:c r="AB1738" s="37" t="n">
        <x:v>10496173.810247304</x:v>
      </x:c>
      <x:c r="AC1738" s="37" t="n">
        <x:v>1226774.7664365806</x:v>
      </x:c>
      <x:c r="AD1738" s="37" t="n">
        <x:v>0</x:v>
      </x:c>
      <x:c r="AE1738" s="37" t="n">
        <x:v>0</x:v>
      </x:c>
      <x:c r="AF1738" s="47" t="b">
        <x:v>0</x:v>
      </x:c>
      <x:c r="AG1738" s="47" t="b">
        <x:v>0</x:v>
      </x:c>
      <x:c r="AH1738" s="48" t="n">
        <x:v>0</x:v>
      </x:c>
      <x:c r="AI1738" s="48" t="n">
        <x:v>1.1920928955078125e-7</x:v>
      </x:c>
      <x:c r="AJ1738" s="37" t="str">
        <x:v>passed</x:v>
      </x:c>
    </x:row>
    <x:row r="1739" ht="21" customHeight="1">
      <x:c r="A1739" s="2"/>
      <x:c r="B1739" s="2"/>
      <x:c r="C1739" s="2" t="str">
        <x:v>2023</x:v>
      </x:c>
      <x:c r="D1739" s="5" t="n">
        <x:v>45195</x:v>
      </x:c>
      <x:c r="E1739" s="2" t="str">
        <x:v>unhedged</x:v>
      </x:c>
      <x:c r="F1739" s="37" t="n">
        <x:v>1318570.982410263</x:v>
      </x:c>
      <x:c r="G1739" s="37" t="n">
        <x:v>10270978.68659075</x:v>
      </x:c>
      <x:c r="H1739" s="37" t="n">
        <x:v>29816.57608695652</x:v>
      </x:c>
      <x:c r="I1739" s="37" t="n">
        <x:v>10241162.110503793</x:v>
      </x:c>
      <x:c r="J1739" s="37" t="n">
        <x:v>10270978.68659075</x:v>
      </x:c>
      <x:c r="K1739" s="37" t="n">
        <x:v>0</x:v>
      </x:c>
      <x:c r="L1739" s="37" t="n">
        <x:v>11589549.669001013</x:v>
      </x:c>
      <x:c r="M1739" s="37" t="n">
        <x:v>0</x:v>
      </x:c>
      <x:c r="N1739" s="37" t="n">
        <x:v>0</x:v>
      </x:c>
      <x:c r="O1739" s="37" t="n">
        <x:v>72.2465060770046</x:v>
      </x:c>
      <x:c r="P1739" s="37" t="n">
        <x:v>0</x:v>
      </x:c>
      <x:c r="Q1739" s="37" t="n">
        <x:v>0</x:v>
      </x:c>
      <x:c r="R1739" s="37" t="n">
        <x:v>0</x:v>
      </x:c>
      <x:c r="S1739" s="37" t="n">
        <x:v>0</x:v>
      </x:c>
      <x:c r="T1739" s="37" t="n">
        <x:v>0</x:v>
      </x:c>
      <x:c r="U1739" s="37" t="n">
        <x:v>101250</x:v>
      </x:c>
      <x:c r="V1739" s="37" t="n">
        <x:v>0</x:v>
      </x:c>
      <x:c r="W1739" s="37" t="n">
        <x:v>18363.851752385264</x:v>
      </x:c>
      <x:c r="X1739" s="37" t="n">
        <x:v>0</x:v>
      </x:c>
      <x:c r="Y1739" s="37" t="n">
        <x:v>1042.869342122179</x:v>
      </x:c>
      <x:c r="Z1739" s="37" t="n">
        <x:v>0</x:v>
      </x:c>
      <x:c r="AA1739" s="37" t="n">
        <x:v>0</x:v>
      </x:c>
      <x:c r="AB1739" s="37" t="n">
        <x:v>0</x:v>
      </x:c>
      <x:c r="AC1739" s="37" t="n">
        <x:v>1318570.982410263</x:v>
      </x:c>
      <x:c r="AD1739" s="37" t="n">
        <x:v>0</x:v>
      </x:c>
      <x:c r="AE1739" s="37" t="n">
        <x:v>0</x:v>
      </x:c>
      <x:c r="AF1739" s="47" t="b">
        <x:v>0</x:v>
      </x:c>
      <x:c r="AG1739" s="47" t="b">
        <x:v>0</x:v>
      </x:c>
      <x:c r="AH1739" s="48" t="n">
        <x:v>0</x:v>
      </x:c>
      <x:c r="AI1739" s="48" t="n">
        <x:v>1.1920928955078125e-7</x:v>
      </x:c>
      <x:c r="AJ1739" s="37" t="str">
        <x:v>passed</x:v>
      </x:c>
    </x:row>
    <x:row r="1740" ht="21" customHeight="1">
      <x:c r="A1740" s="2"/>
      <x:c r="B1740" s="2"/>
      <x:c r="C1740" s="2" t="str">
        <x:v>2023</x:v>
      </x:c>
      <x:c r="D1740" s="5" t="n">
        <x:v>45195</x:v>
      </x:c>
      <x:c r="E1740" s="2" t="str">
        <x:v>duration</x:v>
      </x:c>
      <x:c r="F1740" s="37" t="n">
        <x:v>7641623.661756495</x:v>
      </x:c>
      <x:c r="G1740" s="37" t="n">
        <x:v>4237914.666377727</x:v>
      </x:c>
      <x:c r="H1740" s="37" t="n">
        <x:v>-8615.758137475554</x:v>
      </x:c>
      <x:c r="I1740" s="37" t="n">
        <x:v>4246530.424515203</x:v>
      </x:c>
      <x:c r="J1740" s="37" t="n">
        <x:v>10270978.68659075</x:v>
      </x:c>
      <x:c r="K1740" s="37" t="n">
        <x:v>6033064.020213023</x:v>
      </x:c>
      <x:c r="L1740" s="37" t="n">
        <x:v>11879538.328134222</x:v>
      </x:c>
      <x:c r="M1740" s="37" t="n">
        <x:v>0</x:v>
      </x:c>
      <x:c r="N1740" s="37" t="n">
        <x:v>0</x:v>
      </x:c>
      <x:c r="O1740" s="37" t="n">
        <x:v>418.6961624985561</x:v>
      </x:c>
      <x:c r="P1740" s="37" t="n">
        <x:v>0</x:v>
      </x:c>
      <x:c r="Q1740" s="37" t="n">
        <x:v>0</x:v>
      </x:c>
      <x:c r="R1740" s="37" t="n">
        <x:v>0</x:v>
      </x:c>
      <x:c r="S1740" s="37" t="n">
        <x:v>0</x:v>
      </x:c>
      <x:c r="T1740" s="37" t="n">
        <x:v>0</x:v>
      </x:c>
      <x:c r="U1740" s="37" t="n">
        <x:v>47417.381478397</x:v>
      </x:c>
      <x:c r="V1740" s="37" t="n">
        <x:v>0</x:v>
      </x:c>
      <x:c r="W1740" s="37" t="n">
        <x:v>112375.98887396231</x:v>
      </x:c>
      <x:c r="X1740" s="37" t="n">
        <x:v>0</x:v>
      </x:c>
      <x:c r="Y1740" s="37" t="n">
        <x:v>1737.8702558990533</x:v>
      </x:c>
      <x:c r="Z1740" s="37" t="n">
        <x:v>6153725.300617283</x:v>
      </x:c>
      <x:c r="AA1740" s="37" t="n">
        <x:v>0</x:v>
      </x:c>
      <x:c r="AB1740" s="37" t="n">
        <x:v>6153725.300617283</x:v>
      </x:c>
      <x:c r="AC1740" s="37" t="n">
        <x:v>1487898.3611392118</x:v>
      </x:c>
      <x:c r="AD1740" s="37" t="n">
        <x:v>0</x:v>
      </x:c>
      <x:c r="AE1740" s="37" t="n">
        <x:v>0</x:v>
      </x:c>
      <x:c r="AF1740" s="47" t="b">
        <x:v>0</x:v>
      </x:c>
      <x:c r="AG1740" s="47" t="b">
        <x:v>0</x:v>
      </x:c>
      <x:c r="AH1740" s="48" t="n">
        <x:v>0</x:v>
      </x:c>
      <x:c r="AI1740" s="48" t="n">
        <x:v>5.960464477539063e-8</x:v>
      </x:c>
      <x:c r="AJ1740" s="37" t="str">
        <x:v>passed</x:v>
      </x:c>
    </x:row>
    <x:row r="1741" ht="21" customHeight="1">
      <x:c r="A1741" s="2"/>
      <x:c r="B1741" s="2"/>
      <x:c r="C1741" s="2" t="str">
        <x:v>2023</x:v>
      </x:c>
      <x:c r="D1741" s="5" t="n">
        <x:v>45195</x:v>
      </x:c>
      <x:c r="E1741" s="2" t="str">
        <x:v>unweighted</x:v>
      </x:c>
      <x:c r="F1741" s="37" t="n">
        <x:v>11172563.865591144</x:v>
      </x:c>
      <x:c r="G1741" s="37" t="n">
        <x:v>641380.2328330808</x:v>
      </x:c>
      <x:c r="H1741" s="37" t="n">
        <x:v>-18091.021504122135</x:v>
      </x:c>
      <x:c r="I1741" s="37" t="n">
        <x:v>659471.254337203</x:v>
      </x:c>
      <x:c r="J1741" s="37" t="n">
        <x:v>10361485.519160345</x:v>
      </x:c>
      <x:c r="K1741" s="37" t="n">
        <x:v>9720105.286327265</x:v>
      </x:c>
      <x:c r="L1741" s="37" t="n">
        <x:v>11813944.098424224</x:v>
      </x:c>
      <x:c r="M1741" s="37" t="n">
        <x:v>0</x:v>
      </x:c>
      <x:c r="N1741" s="37" t="n">
        <x:v>0</x:v>
      </x:c>
      <x:c r="O1741" s="37" t="n">
        <x:v>612.1617371980101</x:v>
      </x:c>
      <x:c r="P1741" s="37" t="n">
        <x:v>0</x:v>
      </x:c>
      <x:c r="Q1741" s="37" t="n">
        <x:v>0</x:v>
      </x:c>
      <x:c r="R1741" s="37" t="n">
        <x:v>0</x:v>
      </x:c>
      <x:c r="S1741" s="37" t="n">
        <x:v>0</x:v>
      </x:c>
      <x:c r="T1741" s="37" t="n">
        <x:v>0</x:v>
      </x:c>
      <x:c r="U1741" s="37" t="n">
        <x:v>31805.80415342993</x:v>
      </x:c>
      <x:c r="V1741" s="37" t="n">
        <x:v>0</x:v>
      </x:c>
      <x:c r="W1741" s="37" t="n">
        <x:v>163915.10318688676</x:v>
      </x:c>
      <x:c r="X1741" s="37" t="n">
        <x:v>0</x:v>
      </x:c>
      <x:c r="Y1741" s="37" t="n">
        <x:v>2172.1213283599986</x:v>
      </x:c>
      <x:c r="Z1741" s="37" t="n">
        <x:v>9914507.39205381</x:v>
      </x:c>
      <x:c r="AA1741" s="37" t="n">
        <x:v>0</x:v>
      </x:c>
      <x:c r="AB1741" s="37" t="n">
        <x:v>9914507.39205381</x:v>
      </x:c>
      <x:c r="AC1741" s="37" t="n">
        <x:v>1258056.4735373333</x:v>
      </x:c>
      <x:c r="AD1741" s="37" t="n">
        <x:v>0</x:v>
      </x:c>
      <x:c r="AE1741" s="37" t="n">
        <x:v>0</x:v>
      </x:c>
      <x:c r="AF1741" s="47" t="b">
        <x:v>0</x:v>
      </x:c>
      <x:c r="AG1741" s="47" t="b">
        <x:v>0</x:v>
      </x:c>
      <x:c r="AH1741" s="48" t="n">
        <x:v>0</x:v>
      </x:c>
      <x:c r="AI1741" s="48" t="n">
        <x:v>1.1920928955078125e-7</x:v>
      </x:c>
      <x:c r="AJ1741" s="37" t="str">
        <x:v>passed</x:v>
      </x:c>
    </x:row>
    <x:row r="1742" ht="21" customHeight="1">
      <x:c r="A1742" s="2"/>
      <x:c r="B1742" s="2"/>
      <x:c r="C1742" s="2" t="str">
        <x:v>2023</x:v>
      </x:c>
      <x:c r="D1742" s="5" t="n">
        <x:v>45195</x:v>
      </x:c>
      <x:c r="E1742" s="2" t="str">
        <x:v>constrained</x:v>
      </x:c>
      <x:c r="F1742" s="37" t="n">
        <x:v>11723590.930030553</x:v>
      </x:c>
      <x:c r="G1742" s="37" t="n">
        <x:v>74555.93434857784</x:v>
      </x:c>
      <x:c r="H1742" s="37" t="n">
        <x:v>-18569.650140153735</x:v>
      </x:c>
      <x:c r="I1742" s="37" t="n">
        <x:v>93125.58448873158</x:v>
      </x:c>
      <x:c r="J1742" s="37" t="n">
        <x:v>10361057.399301482</x:v>
      </x:c>
      <x:c r="K1742" s="37" t="n">
        <x:v>10286501.464952905</x:v>
      </x:c>
      <x:c r="L1742" s="37" t="n">
        <x:v>11798146.86437913</x:v>
      </x:c>
      <x:c r="M1742" s="37" t="n">
        <x:v>0</x:v>
      </x:c>
      <x:c r="N1742" s="37" t="n">
        <x:v>0</x:v>
      </x:c>
      <x:c r="O1742" s="37" t="n">
        <x:v>642.3533466681838</x:v>
      </x:c>
      <x:c r="P1742" s="37" t="n">
        <x:v>0</x:v>
      </x:c>
      <x:c r="Q1742" s="37" t="n">
        <x:v>0</x:v>
      </x:c>
      <x:c r="R1742" s="37" t="n">
        <x:v>0</x:v>
      </x:c>
      <x:c r="S1742" s="37" t="n">
        <x:v>0</x:v>
      </x:c>
      <x:c r="T1742" s="37" t="n">
        <x:v>0</x:v>
      </x:c>
      <x:c r="U1742" s="37" t="n">
        <x:v>30720.44529747225</x:v>
      </x:c>
      <x:c r="V1742" s="37" t="n">
        <x:v>0</x:v>
      </x:c>
      <x:c r="W1742" s="37" t="n">
        <x:v>170992.18066398613</x:v>
      </x:c>
      <x:c r="X1742" s="37" t="n">
        <x:v>0</x:v>
      </x:c>
      <x:c r="Y1742" s="37" t="n">
        <x:v>2178.1253051300437</x:v>
      </x:c>
      <x:c r="Z1742" s="37" t="n">
        <x:v>10492231.494251963</x:v>
      </x:c>
      <x:c r="AA1742" s="37" t="n">
        <x:v>0</x:v>
      </x:c>
      <x:c r="AB1742" s="37" t="n">
        <x:v>10492231.494251963</x:v>
      </x:c>
      <x:c r="AC1742" s="37" t="n">
        <x:v>1231359.43577859</x:v>
      </x:c>
      <x:c r="AD1742" s="37" t="n">
        <x:v>0</x:v>
      </x:c>
      <x:c r="AE1742" s="37" t="n">
        <x:v>0</x:v>
      </x:c>
      <x:c r="AF1742" s="47" t="b">
        <x:v>0</x:v>
      </x:c>
      <x:c r="AG1742" s="47" t="b">
        <x:v>0</x:v>
      </x:c>
      <x:c r="AH1742" s="48" t="n">
        <x:v>0</x:v>
      </x:c>
      <x:c r="AI1742" s="48" t="n">
        <x:v>1.1920928955078125e-7</x:v>
      </x:c>
      <x:c r="AJ1742" s="37" t="str">
        <x:v>passed</x:v>
      </x:c>
    </x:row>
    <x:row r="1743" ht="21" customHeight="1">
      <x:c r="A1743" s="2"/>
      <x:c r="B1743" s="2"/>
      <x:c r="C1743" s="2" t="str">
        <x:v>2023</x:v>
      </x:c>
      <x:c r="D1743" s="5" t="n">
        <x:v>45196</x:v>
      </x:c>
      <x:c r="E1743" s="2" t="str">
        <x:v>unhedged</x:v>
      </x:c>
      <x:c r="F1743" s="37" t="n">
        <x:v>1318643.2328750526</x:v>
      </x:c>
      <x:c r="G1743" s="37" t="n">
        <x:v>10244151.124040768</x:v>
      </x:c>
      <x:c r="H1743" s="37" t="n">
        <x:v>30163.04347826087</x:v>
      </x:c>
      <x:c r="I1743" s="37" t="n">
        <x:v>10213988.080562506</x:v>
      </x:c>
      <x:c r="J1743" s="37" t="n">
        <x:v>10244151.124040768</x:v>
      </x:c>
      <x:c r="K1743" s="37" t="n">
        <x:v>0</x:v>
      </x:c>
      <x:c r="L1743" s="37" t="n">
        <x:v>11562794.35691582</x:v>
      </x:c>
      <x:c r="M1743" s="37" t="n">
        <x:v>0</x:v>
      </x:c>
      <x:c r="N1743" s="37" t="n">
        <x:v>0</x:v>
      </x:c>
      <x:c r="O1743" s="37" t="n">
        <x:v>72.25046478956938</x:v>
      </x:c>
      <x:c r="P1743" s="37" t="n">
        <x:v>0</x:v>
      </x:c>
      <x:c r="Q1743" s="37" t="n">
        <x:v>0</x:v>
      </x:c>
      <x:c r="R1743" s="37" t="n">
        <x:v>0</x:v>
      </x:c>
      <x:c r="S1743" s="37" t="n">
        <x:v>0</x:v>
      </x:c>
      <x:c r="T1743" s="37" t="n">
        <x:v>0</x:v>
      </x:c>
      <x:c r="U1743" s="37" t="n">
        <x:v>101250</x:v>
      </x:c>
      <x:c r="V1743" s="37" t="n">
        <x:v>0</x:v>
      </x:c>
      <x:c r="W1743" s="37" t="n">
        <x:v>18436.102217174834</x:v>
      </x:c>
      <x:c r="X1743" s="37" t="n">
        <x:v>0</x:v>
      </x:c>
      <x:c r="Y1743" s="37" t="n">
        <x:v>1042.869342122179</x:v>
      </x:c>
      <x:c r="Z1743" s="37" t="n">
        <x:v>0</x:v>
      </x:c>
      <x:c r="AA1743" s="37" t="n">
        <x:v>0</x:v>
      </x:c>
      <x:c r="AB1743" s="37" t="n">
        <x:v>0</x:v>
      </x:c>
      <x:c r="AC1743" s="37" t="n">
        <x:v>1318643.2328750526</x:v>
      </x:c>
      <x:c r="AD1743" s="37" t="n">
        <x:v>0</x:v>
      </x:c>
      <x:c r="AE1743" s="37" t="n">
        <x:v>0</x:v>
      </x:c>
      <x:c r="AF1743" s="47" t="b">
        <x:v>0</x:v>
      </x:c>
      <x:c r="AG1743" s="47" t="b">
        <x:v>0</x:v>
      </x:c>
      <x:c r="AH1743" s="48" t="n">
        <x:v>0</x:v>
      </x:c>
      <x:c r="AI1743" s="48" t="n">
        <x:v>1.1920928955078125e-7</x:v>
      </x:c>
      <x:c r="AJ1743" s="37" t="str">
        <x:v>passed</x:v>
      </x:c>
    </x:row>
    <x:row r="1744" ht="21" customHeight="1">
      <x:c r="A1744" s="2"/>
      <x:c r="B1744" s="2"/>
      <x:c r="C1744" s="2" t="str">
        <x:v>2023</x:v>
      </x:c>
      <x:c r="D1744" s="5" t="n">
        <x:v>45196</x:v>
      </x:c>
      <x:c r="E1744" s="2" t="str">
        <x:v>duration</x:v>
      </x:c>
      <x:c r="F1744" s="37" t="n">
        <x:v>7642042.38086125</x:v>
      </x:c>
      <x:c r="G1744" s="37" t="n">
        <x:v>4239072.273813744</x:v>
      </x:c>
      <x:c r="H1744" s="37" t="n">
        <x:v>-8556.099210532639</x:v>
      </x:c>
      <x:c r="I1744" s="37" t="n">
        <x:v>4247628.373024276</x:v>
      </x:c>
      <x:c r="J1744" s="37" t="n">
        <x:v>10244151.124040768</x:v>
      </x:c>
      <x:c r="K1744" s="37" t="n">
        <x:v>6005078.8502270235</x:v>
      </x:c>
      <x:c r="L1744" s="37" t="n">
        <x:v>11881114.654674994</x:v>
      </x:c>
      <x:c r="M1744" s="37" t="n">
        <x:v>0</x:v>
      </x:c>
      <x:c r="N1744" s="37" t="n">
        <x:v>0</x:v>
      </x:c>
      <x:c r="O1744" s="37" t="n">
        <x:v>418.7191047547385</x:v>
      </x:c>
      <x:c r="P1744" s="37" t="n">
        <x:v>0</x:v>
      </x:c>
      <x:c r="Q1744" s="37" t="n">
        <x:v>0</x:v>
      </x:c>
      <x:c r="R1744" s="37" t="n">
        <x:v>0</x:v>
      </x:c>
      <x:c r="S1744" s="37" t="n">
        <x:v>0</x:v>
      </x:c>
      <x:c r="T1744" s="37" t="n">
        <x:v>0</x:v>
      </x:c>
      <x:c r="U1744" s="37" t="n">
        <x:v>47417.381478397</x:v>
      </x:c>
      <x:c r="V1744" s="37" t="n">
        <x:v>0</x:v>
      </x:c>
      <x:c r="W1744" s="37" t="n">
        <x:v>112794.70797871705</x:v>
      </x:c>
      <x:c r="X1744" s="37" t="n">
        <x:v>0</x:v>
      </x:c>
      <x:c r="Y1744" s="37" t="n">
        <x:v>1737.8702558990533</x:v>
      </x:c>
      <x:c r="Z1744" s="37" t="n">
        <x:v>6125180.427231564</x:v>
      </x:c>
      <x:c r="AA1744" s="37" t="n">
        <x:v>0</x:v>
      </x:c>
      <x:c r="AB1744" s="37" t="n">
        <x:v>6125180.427231564</x:v>
      </x:c>
      <x:c r="AC1744" s="37" t="n">
        <x:v>1516861.9536296856</x:v>
      </x:c>
      <x:c r="AD1744" s="37" t="n">
        <x:v>0</x:v>
      </x:c>
      <x:c r="AE1744" s="37" t="n">
        <x:v>0</x:v>
      </x:c>
      <x:c r="AF1744" s="47" t="b">
        <x:v>0</x:v>
      </x:c>
      <x:c r="AG1744" s="47" t="b">
        <x:v>0</x:v>
      </x:c>
      <x:c r="AH1744" s="48" t="n">
        <x:v>0</x:v>
      </x:c>
      <x:c r="AI1744" s="48" t="n">
        <x:v>5.960464477539063e-8</x:v>
      </x:c>
      <x:c r="AJ1744" s="37" t="str">
        <x:v>passed</x:v>
      </x:c>
    </x:row>
    <x:row r="1745" ht="21" customHeight="1">
      <x:c r="A1745" s="2"/>
      <x:c r="B1745" s="2"/>
      <x:c r="C1745" s="2" t="str">
        <x:v>2023</x:v>
      </x:c>
      <x:c r="D1745" s="5" t="n">
        <x:v>45196</x:v>
      </x:c>
      <x:c r="E1745" s="2" t="str">
        <x:v>unweighted</x:v>
      </x:c>
      <x:c r="F1745" s="37" t="n">
        <x:v>11173176.060871452</x:v>
      </x:c>
      <x:c r="G1745" s="37" t="n">
        <x:v>641986.2744553074</x:v>
      </x:c>
      <x:c r="H1745" s="37" t="n">
        <x:v>-18120.68525538633</x:v>
      </x:c>
      <x:c r="I1745" s="37" t="n">
        <x:v>660106.9597106937</x:v>
      </x:c>
      <x:c r="J1745" s="37" t="n">
        <x:v>10334034.418101145</x:v>
      </x:c>
      <x:c r="K1745" s="37" t="n">
        <x:v>9692048.143645838</x:v>
      </x:c>
      <x:c r="L1745" s="37" t="n">
        <x:v>11815162.33532676</x:v>
      </x:c>
      <x:c r="M1745" s="37" t="n">
        <x:v>0</x:v>
      </x:c>
      <x:c r="N1745" s="37" t="n">
        <x:v>0</x:v>
      </x:c>
      <x:c r="O1745" s="37" t="n">
        <x:v>612.1952803079039</x:v>
      </x:c>
      <x:c r="P1745" s="37" t="n">
        <x:v>0</x:v>
      </x:c>
      <x:c r="Q1745" s="37" t="n">
        <x:v>0</x:v>
      </x:c>
      <x:c r="R1745" s="37" t="n">
        <x:v>0</x:v>
      </x:c>
      <x:c r="S1745" s="37" t="n">
        <x:v>0</x:v>
      </x:c>
      <x:c r="T1745" s="37" t="n">
        <x:v>0</x:v>
      </x:c>
      <x:c r="U1745" s="37" t="n">
        <x:v>31805.80415342993</x:v>
      </x:c>
      <x:c r="V1745" s="37" t="n">
        <x:v>0</x:v>
      </x:c>
      <x:c r="W1745" s="37" t="n">
        <x:v>164527.29846719466</x:v>
      </x:c>
      <x:c r="X1745" s="37" t="n">
        <x:v>0</x:v>
      </x:c>
      <x:c r="Y1745" s="37" t="n">
        <x:v>2172.1213283599986</x:v>
      </x:c>
      <x:c r="Z1745" s="37" t="n">
        <x:v>9885889.106518755</x:v>
      </x:c>
      <x:c r="AA1745" s="37" t="n">
        <x:v>0</x:v>
      </x:c>
      <x:c r="AB1745" s="37" t="n">
        <x:v>9885889.106518755</x:v>
      </x:c>
      <x:c r="AC1745" s="37" t="n">
        <x:v>1287286.9543526974</x:v>
      </x:c>
      <x:c r="AD1745" s="37" t="n">
        <x:v>0</x:v>
      </x:c>
      <x:c r="AE1745" s="37" t="n">
        <x:v>0</x:v>
      </x:c>
      <x:c r="AF1745" s="47" t="b">
        <x:v>0</x:v>
      </x:c>
      <x:c r="AG1745" s="47" t="b">
        <x:v>0</x:v>
      </x:c>
      <x:c r="AH1745" s="48" t="n">
        <x:v>0</x:v>
      </x:c>
      <x:c r="AI1745" s="48" t="n">
        <x:v>1.1920928955078125e-7</x:v>
      </x:c>
      <x:c r="AJ1745" s="37" t="str">
        <x:v>passed</x:v>
      </x:c>
    </x:row>
    <x:row r="1746" ht="21" customHeight="1">
      <x:c r="A1746" s="2"/>
      <x:c r="B1746" s="2"/>
      <x:c r="C1746" s="2" t="str">
        <x:v>2023</x:v>
      </x:c>
      <x:c r="D1746" s="5" t="n">
        <x:v>45196</x:v>
      </x:c>
      <x:c r="E1746" s="2" t="str">
        <x:v>constrained</x:v>
      </x:c>
      <x:c r="F1746" s="37" t="n">
        <x:v>11724233.318574665</x:v>
      </x:c>
      <x:c r="G1746" s="37" t="n">
        <x:v>74620.39786825431</x:v>
      </x:c>
      <x:c r="H1746" s="37" t="n">
        <x:v>-18604.042361077547</x:v>
      </x:c>
      <x:c r="I1746" s="37" t="n">
        <x:v>93224.44022933186</x:v>
      </x:c>
      <x:c r="J1746" s="37" t="n">
        <x:v>10333612.878539385</x:v>
      </x:c>
      <x:c r="K1746" s="37" t="n">
        <x:v>10258992.48067113</x:v>
      </x:c>
      <x:c r="L1746" s="37" t="n">
        <x:v>11798853.71644292</x:v>
      </x:c>
      <x:c r="M1746" s="37" t="n">
        <x:v>0</x:v>
      </x:c>
      <x:c r="N1746" s="37" t="n">
        <x:v>0</x:v>
      </x:c>
      <x:c r="O1746" s="37" t="n">
        <x:v>642.3885441124439</x:v>
      </x:c>
      <x:c r="P1746" s="37" t="n">
        <x:v>0</x:v>
      </x:c>
      <x:c r="Q1746" s="37" t="n">
        <x:v>0</x:v>
      </x:c>
      <x:c r="R1746" s="37" t="n">
        <x:v>0</x:v>
      </x:c>
      <x:c r="S1746" s="37" t="n">
        <x:v>0</x:v>
      </x:c>
      <x:c r="T1746" s="37" t="n">
        <x:v>0</x:v>
      </x:c>
      <x:c r="U1746" s="37" t="n">
        <x:v>30720.44529747225</x:v>
      </x:c>
      <x:c r="V1746" s="37" t="n">
        <x:v>0</x:v>
      </x:c>
      <x:c r="W1746" s="37" t="n">
        <x:v>171634.56920809858</x:v>
      </x:c>
      <x:c r="X1746" s="37" t="n">
        <x:v>0</x:v>
      </x:c>
      <x:c r="Y1746" s="37" t="n">
        <x:v>2178.1253051300437</x:v>
      </x:c>
      <x:c r="Z1746" s="37" t="n">
        <x:v>10464172.330284553</x:v>
      </x:c>
      <x:c r="AA1746" s="37" t="n">
        <x:v>0</x:v>
      </x:c>
      <x:c r="AB1746" s="37" t="n">
        <x:v>10464172.330284553</x:v>
      </x:c>
      <x:c r="AC1746" s="37" t="n">
        <x:v>1260060.9882901125</x:v>
      </x:c>
      <x:c r="AD1746" s="37" t="n">
        <x:v>0</x:v>
      </x:c>
      <x:c r="AE1746" s="37" t="n">
        <x:v>0</x:v>
      </x:c>
      <x:c r="AF1746" s="47" t="b">
        <x:v>0</x:v>
      </x:c>
      <x:c r="AG1746" s="47" t="b">
        <x:v>0</x:v>
      </x:c>
      <x:c r="AH1746" s="48" t="n">
        <x:v>0</x:v>
      </x:c>
      <x:c r="AI1746" s="48" t="n">
        <x:v>1.1920928955078125e-7</x:v>
      </x:c>
      <x:c r="AJ1746" s="37" t="str">
        <x:v>passed</x:v>
      </x:c>
    </x:row>
    <x:row r="1747" ht="21" customHeight="1">
      <x:c r="A1747" s="2"/>
      <x:c r="B1747" s="2"/>
      <x:c r="C1747" s="2" t="str">
        <x:v>2023</x:v>
      </x:c>
      <x:c r="D1747" s="5" t="n">
        <x:v>45197</x:v>
      </x:c>
      <x:c r="E1747" s="2" t="str">
        <x:v>unhedged</x:v>
      </x:c>
      <x:c r="F1747" s="37" t="n">
        <x:v>1318715.4872987722</x:v>
      </x:c>
      <x:c r="G1747" s="37" t="n">
        <x:v>10263283.20376017</x:v>
      </x:c>
      <x:c r="H1747" s="37" t="n">
        <x:v>30509.51086956522</x:v>
      </x:c>
      <x:c r="I1747" s="37" t="n">
        <x:v>10232773.692890605</x:v>
      </x:c>
      <x:c r="J1747" s="37" t="n">
        <x:v>10263283.20376017</x:v>
      </x:c>
      <x:c r="K1747" s="37" t="n">
        <x:v>0</x:v>
      </x:c>
      <x:c r="L1747" s="37" t="n">
        <x:v>11581998.691058941</x:v>
      </x:c>
      <x:c r="M1747" s="37" t="n">
        <x:v>0</x:v>
      </x:c>
      <x:c r="N1747" s="37" t="n">
        <x:v>0</x:v>
      </x:c>
      <x:c r="O1747" s="37" t="n">
        <x:v>72.25442371959798</x:v>
      </x:c>
      <x:c r="P1747" s="37" t="n">
        <x:v>0</x:v>
      </x:c>
      <x:c r="Q1747" s="37" t="n">
        <x:v>0</x:v>
      </x:c>
      <x:c r="R1747" s="37" t="n">
        <x:v>0</x:v>
      </x:c>
      <x:c r="S1747" s="37" t="n">
        <x:v>0</x:v>
      </x:c>
      <x:c r="T1747" s="37" t="n">
        <x:v>0</x:v>
      </x:c>
      <x:c r="U1747" s="37" t="n">
        <x:v>101250</x:v>
      </x:c>
      <x:c r="V1747" s="37" t="n">
        <x:v>0</x:v>
      </x:c>
      <x:c r="W1747" s="37" t="n">
        <x:v>18508.35664089443</x:v>
      </x:c>
      <x:c r="X1747" s="37" t="n">
        <x:v>0</x:v>
      </x:c>
      <x:c r="Y1747" s="37" t="n">
        <x:v>1042.869342122179</x:v>
      </x:c>
      <x:c r="Z1747" s="37" t="n">
        <x:v>0</x:v>
      </x:c>
      <x:c r="AA1747" s="37" t="n">
        <x:v>0</x:v>
      </x:c>
      <x:c r="AB1747" s="37" t="n">
        <x:v>0</x:v>
      </x:c>
      <x:c r="AC1747" s="37" t="n">
        <x:v>1318715.4872987722</x:v>
      </x:c>
      <x:c r="AD1747" s="37" t="n">
        <x:v>0</x:v>
      </x:c>
      <x:c r="AE1747" s="37" t="n">
        <x:v>0</x:v>
      </x:c>
      <x:c r="AF1747" s="47" t="b">
        <x:v>0</x:v>
      </x:c>
      <x:c r="AG1747" s="47" t="b">
        <x:v>0</x:v>
      </x:c>
      <x:c r="AH1747" s="48" t="n">
        <x:v>0</x:v>
      </x:c>
      <x:c r="AI1747" s="48" t="n">
        <x:v>1.1920928955078125e-7</x:v>
      </x:c>
      <x:c r="AJ1747" s="37" t="str">
        <x:v>passed</x:v>
      </x:c>
    </x:row>
    <x:row r="1748" ht="21" customHeight="1">
      <x:c r="A1748" s="2"/>
      <x:c r="B1748" s="2"/>
      <x:c r="C1748" s="2" t="str">
        <x:v>2023</x:v>
      </x:c>
      <x:c r="D1748" s="5" t="n">
        <x:v>45197</x:v>
      </x:c>
      <x:c r="E1748" s="2" t="str">
        <x:v>duration</x:v>
      </x:c>
      <x:c r="F1748" s="37" t="n">
        <x:v>7642461.122909516</x:v>
      </x:c>
      <x:c r="G1748" s="37" t="n">
        <x:v>4244179.574899739</x:v>
      </x:c>
      <x:c r="H1748" s="37" t="n">
        <x:v>-8496.440283589724</x:v>
      </x:c>
      <x:c r="I1748" s="37" t="n">
        <x:v>4252676.015183329</x:v>
      </x:c>
      <x:c r="J1748" s="37" t="n">
        <x:v>10263283.20376017</x:v>
      </x:c>
      <x:c r="K1748" s="37" t="n">
        <x:v>6019103.62886043</x:v>
      </x:c>
      <x:c r="L1748" s="37" t="n">
        <x:v>11886640.697809255</x:v>
      </x:c>
      <x:c r="M1748" s="37" t="n">
        <x:v>0</x:v>
      </x:c>
      <x:c r="N1748" s="37" t="n">
        <x:v>0</x:v>
      </x:c>
      <x:c r="O1748" s="37" t="n">
        <x:v>418.7420482663438</x:v>
      </x:c>
      <x:c r="P1748" s="37" t="n">
        <x:v>0</x:v>
      </x:c>
      <x:c r="Q1748" s="37" t="n">
        <x:v>0</x:v>
      </x:c>
      <x:c r="R1748" s="37" t="n">
        <x:v>0</x:v>
      </x:c>
      <x:c r="S1748" s="37" t="n">
        <x:v>0</x:v>
      </x:c>
      <x:c r="T1748" s="37" t="n">
        <x:v>0</x:v>
      </x:c>
      <x:c r="U1748" s="37" t="n">
        <x:v>47417.381478397</x:v>
      </x:c>
      <x:c r="V1748" s="37" t="n">
        <x:v>0</x:v>
      </x:c>
      <x:c r="W1748" s="37" t="n">
        <x:v>113213.4500269834</x:v>
      </x:c>
      <x:c r="X1748" s="37" t="n">
        <x:v>0</x:v>
      </x:c>
      <x:c r="Y1748" s="37" t="n">
        <x:v>1737.8702558990533</x:v>
      </x:c>
      <x:c r="Z1748" s="37" t="n">
        <x:v>6139485.701437638</x:v>
      </x:c>
      <x:c r="AA1748" s="37" t="n">
        <x:v>0</x:v>
      </x:c>
      <x:c r="AB1748" s="37" t="n">
        <x:v>6139485.701437638</x:v>
      </x:c>
      <x:c r="AC1748" s="37" t="n">
        <x:v>1502975.421471878</x:v>
      </x:c>
      <x:c r="AD1748" s="37" t="n">
        <x:v>0</x:v>
      </x:c>
      <x:c r="AE1748" s="37" t="n">
        <x:v>0</x:v>
      </x:c>
      <x:c r="AF1748" s="47" t="b">
        <x:v>0</x:v>
      </x:c>
      <x:c r="AG1748" s="47" t="b">
        <x:v>0</x:v>
      </x:c>
      <x:c r="AH1748" s="48" t="n">
        <x:v>0</x:v>
      </x:c>
      <x:c r="AI1748" s="48" t="n">
        <x:v>5.960464477539063e-8</x:v>
      </x:c>
      <x:c r="AJ1748" s="37" t="str">
        <x:v>passed</x:v>
      </x:c>
    </x:row>
    <x:row r="1749" ht="21" customHeight="1">
      <x:c r="A1749" s="2"/>
      <x:c r="B1749" s="2"/>
      <x:c r="C1749" s="2" t="str">
        <x:v>2023</x:v>
      </x:c>
      <x:c r="D1749" s="5" t="n">
        <x:v>45197</x:v>
      </x:c>
      <x:c r="E1749" s="2" t="str">
        <x:v>unweighted</x:v>
      </x:c>
      <x:c r="F1749" s="37" t="n">
        <x:v>11173788.289696706</x:v>
      </x:c>
      <x:c r="G1749" s="37" t="n">
        <x:v>642022.6591151282</x:v>
      </x:c>
      <x:c r="H1749" s="37" t="n">
        <x:v>-18150.349006650522</x:v>
      </x:c>
      <x:c r="I1749" s="37" t="n">
        <x:v>660173.0081217787</x:v>
      </x:c>
      <x:c r="J1749" s="37" t="n">
        <x:v>10353319.525628772</x:v>
      </x:c>
      <x:c r="K1749" s="37" t="n">
        <x:v>9711296.866513643</x:v>
      </x:c>
      <x:c r="L1749" s="37" t="n">
        <x:v>11815810.948811835</x:v>
      </x:c>
      <x:c r="M1749" s="37" t="n">
        <x:v>0</x:v>
      </x:c>
      <x:c r="N1749" s="37" t="n">
        <x:v>0</x:v>
      </x:c>
      <x:c r="O1749" s="37" t="n">
        <x:v>612.2288252543658</x:v>
      </x:c>
      <x:c r="P1749" s="37" t="n">
        <x:v>0</x:v>
      </x:c>
      <x:c r="Q1749" s="37" t="n">
        <x:v>0</x:v>
      </x:c>
      <x:c r="R1749" s="37" t="n">
        <x:v>0</x:v>
      </x:c>
      <x:c r="S1749" s="37" t="n">
        <x:v>0</x:v>
      </x:c>
      <x:c r="T1749" s="37" t="n">
        <x:v>0</x:v>
      </x:c>
      <x:c r="U1749" s="37" t="n">
        <x:v>31805.80415342993</x:v>
      </x:c>
      <x:c r="V1749" s="37" t="n">
        <x:v>0</x:v>
      </x:c>
      <x:c r="W1749" s="37" t="n">
        <x:v>165139.52729244903</x:v>
      </x:c>
      <x:c r="X1749" s="37" t="n">
        <x:v>0</x:v>
      </x:c>
      <x:c r="Y1749" s="37" t="n">
        <x:v>2172.1213283599986</x:v>
      </x:c>
      <x:c r="Z1749" s="37" t="n">
        <x:v>9905522.803843917</x:v>
      </x:c>
      <x:c r="AA1749" s="37" t="n">
        <x:v>0</x:v>
      </x:c>
      <x:c r="AB1749" s="37" t="n">
        <x:v>9905522.803843917</x:v>
      </x:c>
      <x:c r="AC1749" s="37" t="n">
        <x:v>1268265.4858527891</x:v>
      </x:c>
      <x:c r="AD1749" s="37" t="n">
        <x:v>0</x:v>
      </x:c>
      <x:c r="AE1749" s="37" t="n">
        <x:v>0</x:v>
      </x:c>
      <x:c r="AF1749" s="47" t="b">
        <x:v>0</x:v>
      </x:c>
      <x:c r="AG1749" s="47" t="b">
        <x:v>0</x:v>
      </x:c>
      <x:c r="AH1749" s="48" t="n">
        <x:v>0</x:v>
      </x:c>
      <x:c r="AI1749" s="48" t="n">
        <x:v>1.1920928955078125e-7</x:v>
      </x:c>
      <x:c r="AJ1749" s="37" t="str">
        <x:v>passed</x:v>
      </x:c>
    </x:row>
    <x:row r="1750" ht="21" customHeight="1">
      <x:c r="A1750" s="2"/>
      <x:c r="B1750" s="2"/>
      <x:c r="C1750" s="2" t="str">
        <x:v>2023</x:v>
      </x:c>
      <x:c r="D1750" s="5" t="n">
        <x:v>45197</x:v>
      </x:c>
      <x:c r="E1750" s="2" t="str">
        <x:v>constrained</x:v>
      </x:c>
      <x:c r="F1750" s="37" t="n">
        <x:v>11724875.74231815</x:v>
      </x:c>
      <x:c r="G1750" s="37" t="n">
        <x:v>74853.64018697613</x:v>
      </x:c>
      <x:c r="H1750" s="37" t="n">
        <x:v>-18638.43458200137</x:v>
      </x:c>
      <x:c r="I1750" s="37" t="n">
        <x:v>93492.0747689775</x:v>
      </x:c>
      <x:c r="J1750" s="37" t="n">
        <x:v>10352903.5245392</x:v>
      </x:c>
      <x:c r="K1750" s="37" t="n">
        <x:v>10278049.884352226</x:v>
      </x:c>
      <x:c r="L1750" s="37" t="n">
        <x:v>11799729.382505126</x:v>
      </x:c>
      <x:c r="M1750" s="37" t="n">
        <x:v>0</x:v>
      </x:c>
      <x:c r="N1750" s="37" t="n">
        <x:v>0</x:v>
      </x:c>
      <x:c r="O1750" s="37" t="n">
        <x:v>642.4237434845418</x:v>
      </x:c>
      <x:c r="P1750" s="37" t="n">
        <x:v>0</x:v>
      </x:c>
      <x:c r="Q1750" s="37" t="n">
        <x:v>0</x:v>
      </x:c>
      <x:c r="R1750" s="37" t="n">
        <x:v>0</x:v>
      </x:c>
      <x:c r="S1750" s="37" t="n">
        <x:v>0</x:v>
      </x:c>
      <x:c r="T1750" s="37" t="n">
        <x:v>0</x:v>
      </x:c>
      <x:c r="U1750" s="37" t="n">
        <x:v>30720.44529747225</x:v>
      </x:c>
      <x:c r="V1750" s="37" t="n">
        <x:v>0</x:v>
      </x:c>
      <x:c r="W1750" s="37" t="n">
        <x:v>172276.99295158312</x:v>
      </x:c>
      <x:c r="X1750" s="37" t="n">
        <x:v>0</x:v>
      </x:c>
      <x:c r="Y1750" s="37" t="n">
        <x:v>2178.1253051300437</x:v>
      </x:c>
      <x:c r="Z1750" s="37" t="n">
        <x:v>10483610.882039271</x:v>
      </x:c>
      <x:c r="AA1750" s="37" t="n">
        <x:v>0</x:v>
      </x:c>
      <x:c r="AB1750" s="37" t="n">
        <x:v>10483610.882039271</x:v>
      </x:c>
      <x:c r="AC1750" s="37" t="n">
        <x:v>1241264.8602788784</x:v>
      </x:c>
      <x:c r="AD1750" s="37" t="n">
        <x:v>0</x:v>
      </x:c>
      <x:c r="AE1750" s="37" t="n">
        <x:v>0</x:v>
      </x:c>
      <x:c r="AF1750" s="47" t="b">
        <x:v>0</x:v>
      </x:c>
      <x:c r="AG1750" s="47" t="b">
        <x:v>0</x:v>
      </x:c>
      <x:c r="AH1750" s="48" t="n">
        <x:v>0</x:v>
      </x:c>
      <x:c r="AI1750" s="48" t="n">
        <x:v>1.1920928955078125e-7</x:v>
      </x:c>
      <x:c r="AJ1750" s="37" t="str">
        <x:v>passed</x:v>
      </x:c>
    </x:row>
    <x:row r="1751" ht="21" customHeight="1">
      <x:c r="A1751" s="2"/>
      <x:c r="B1751" s="2"/>
      <x:c r="C1751" s="2" t="str">
        <x:v>2023</x:v>
      </x:c>
      <x:c r="D1751" s="5" t="n">
        <x:v>45198</x:v>
      </x:c>
      <x:c r="E1751" s="2" t="str">
        <x:v>unhedged</x:v>
      </x:c>
      <x:c r="F1751" s="37" t="n">
        <x:v>1318787.745681638</x:v>
      </x:c>
      <x:c r="G1751" s="37" t="n">
        <x:v>10269275.048362171</x:v>
      </x:c>
      <x:c r="H1751" s="37" t="n">
        <x:v>30855.978260869564</x:v>
      </x:c>
      <x:c r="I1751" s="37" t="n">
        <x:v>10238419.070101302</x:v>
      </x:c>
      <x:c r="J1751" s="37" t="n">
        <x:v>10269275.048362171</x:v>
      </x:c>
      <x:c r="K1751" s="37" t="n">
        <x:v>0</x:v>
      </x:c>
      <x:c r="L1751" s="37" t="n">
        <x:v>11588062.79404381</x:v>
      </x:c>
      <x:c r="M1751" s="37" t="n">
        <x:v>0</x:v>
      </x:c>
      <x:c r="N1751" s="37" t="n">
        <x:v>0</x:v>
      </x:c>
      <x:c r="O1751" s="37" t="n">
        <x:v>72.25838286569342</x:v>
      </x:c>
      <x:c r="P1751" s="37" t="n">
        <x:v>0</x:v>
      </x:c>
      <x:c r="Q1751" s="37" t="n">
        <x:v>0</x:v>
      </x:c>
      <x:c r="R1751" s="37" t="n">
        <x:v>0</x:v>
      </x:c>
      <x:c r="S1751" s="37" t="n">
        <x:v>0</x:v>
      </x:c>
      <x:c r="T1751" s="37" t="n">
        <x:v>0</x:v>
      </x:c>
      <x:c r="U1751" s="37" t="n">
        <x:v>101250</x:v>
      </x:c>
      <x:c r="V1751" s="37" t="n">
        <x:v>0</x:v>
      </x:c>
      <x:c r="W1751" s="37" t="n">
        <x:v>18580.615023760125</x:v>
      </x:c>
      <x:c r="X1751" s="37" t="n">
        <x:v>0</x:v>
      </x:c>
      <x:c r="Y1751" s="37" t="n">
        <x:v>1042.869342122179</x:v>
      </x:c>
      <x:c r="Z1751" s="37" t="n">
        <x:v>0</x:v>
      </x:c>
      <x:c r="AA1751" s="37" t="n">
        <x:v>0</x:v>
      </x:c>
      <x:c r="AB1751" s="37" t="n">
        <x:v>0</x:v>
      </x:c>
      <x:c r="AC1751" s="37" t="n">
        <x:v>1318787.745681638</x:v>
      </x:c>
      <x:c r="AD1751" s="37" t="n">
        <x:v>0</x:v>
      </x:c>
      <x:c r="AE1751" s="37" t="n">
        <x:v>0</x:v>
      </x:c>
      <x:c r="AF1751" s="47" t="b">
        <x:v>0</x:v>
      </x:c>
      <x:c r="AG1751" s="47" t="b">
        <x:v>0</x:v>
      </x:c>
      <x:c r="AH1751" s="48" t="n">
        <x:v>0</x:v>
      </x:c>
      <x:c r="AI1751" s="48" t="n">
        <x:v>1.1920928955078125e-7</x:v>
      </x:c>
      <x:c r="AJ1751" s="37" t="str">
        <x:v>passed</x:v>
      </x:c>
    </x:row>
    <x:row r="1752" ht="21" customHeight="1">
      <x:c r="A1752" s="2"/>
      <x:c r="B1752" s="2"/>
      <x:c r="C1752" s="2" t="str">
        <x:v>2023</x:v>
      </x:c>
      <x:c r="D1752" s="5" t="n">
        <x:v>45198</x:v>
      </x:c>
      <x:c r="E1752" s="2" t="str">
        <x:v>duration</x:v>
      </x:c>
      <x:c r="F1752" s="37" t="n">
        <x:v>7642879.887902552</x:v>
      </x:c>
      <x:c r="G1752" s="37" t="n">
        <x:v>4247134.0735583315</x:v>
      </x:c>
      <x:c r="H1752" s="37" t="n">
        <x:v>-8436.781356646812</x:v>
      </x:c>
      <x:c r="I1752" s="37" t="n">
        <x:v>4255570.854914978</x:v>
      </x:c>
      <x:c r="J1752" s="37" t="n">
        <x:v>10269275.048362171</x:v>
      </x:c>
      <x:c r="K1752" s="37" t="n">
        <x:v>6022140.97480384</x:v>
      </x:c>
      <x:c r="L1752" s="37" t="n">
        <x:v>11890013.961460885</x:v>
      </x:c>
      <x:c r="M1752" s="37" t="n">
        <x:v>0</x:v>
      </x:c>
      <x:c r="N1752" s="37" t="n">
        <x:v>0</x:v>
      </x:c>
      <x:c r="O1752" s="37" t="n">
        <x:v>418.76499303616583</x:v>
      </x:c>
      <x:c r="P1752" s="37" t="n">
        <x:v>0</x:v>
      </x:c>
      <x:c r="Q1752" s="37" t="n">
        <x:v>0</x:v>
      </x:c>
      <x:c r="R1752" s="37" t="n">
        <x:v>0</x:v>
      </x:c>
      <x:c r="S1752" s="37" t="n">
        <x:v>0</x:v>
      </x:c>
      <x:c r="T1752" s="37" t="n">
        <x:v>0</x:v>
      </x:c>
      <x:c r="U1752" s="37" t="n">
        <x:v>47417.381478397</x:v>
      </x:c>
      <x:c r="V1752" s="37" t="n">
        <x:v>0</x:v>
      </x:c>
      <x:c r="W1752" s="37" t="n">
        <x:v>113632.21502001956</x:v>
      </x:c>
      <x:c r="X1752" s="37" t="n">
        <x:v>0</x:v>
      </x:c>
      <x:c r="Y1752" s="37" t="n">
        <x:v>1737.8702558990533</x:v>
      </x:c>
      <x:c r="Z1752" s="37" t="n">
        <x:v>6142583.794299916</x:v>
      </x:c>
      <x:c r="AA1752" s="37" t="n">
        <x:v>0</x:v>
      </x:c>
      <x:c r="AB1752" s="37" t="n">
        <x:v>6142583.794299916</x:v>
      </x:c>
      <x:c r="AC1752" s="37" t="n">
        <x:v>1500296.093602636</x:v>
      </x:c>
      <x:c r="AD1752" s="37" t="n">
        <x:v>0</x:v>
      </x:c>
      <x:c r="AE1752" s="37" t="n">
        <x:v>0</x:v>
      </x:c>
      <x:c r="AF1752" s="47" t="b">
        <x:v>0</x:v>
      </x:c>
      <x:c r="AG1752" s="47" t="b">
        <x:v>0</x:v>
      </x:c>
      <x:c r="AH1752" s="48" t="n">
        <x:v>0</x:v>
      </x:c>
      <x:c r="AI1752" s="48" t="n">
        <x:v>5.960464477539063e-8</x:v>
      </x:c>
      <x:c r="AJ1752" s="37" t="str">
        <x:v>passed</x:v>
      </x:c>
    </x:row>
    <x:row r="1753" ht="21" customHeight="1">
      <x:c r="A1753" s="2"/>
      <x:c r="B1753" s="2"/>
      <x:c r="C1753" s="2" t="str">
        <x:v>2023</x:v>
      </x:c>
      <x:c r="D1753" s="5" t="n">
        <x:v>45198</x:v>
      </x:c>
      <x:c r="E1753" s="2" t="str">
        <x:v>unweighted</x:v>
      </x:c>
      <x:c r="F1753" s="37" t="n">
        <x:v>11174400.552068744</x:v>
      </x:c>
      <x:c r="G1753" s="37" t="n">
        <x:v>642127.1980805987</x:v>
      </x:c>
      <x:c r="H1753" s="37" t="n">
        <x:v>-18180.012757914723</x:v>
      </x:c>
      <x:c r="I1753" s="37" t="n">
        <x:v>660307.2108385134</x:v>
      </x:c>
      <x:c r="J1753" s="37" t="n">
        <x:v>10359055.823766047</x:v>
      </x:c>
      <x:c r="K1753" s="37" t="n">
        <x:v>9716928.625685448</x:v>
      </x:c>
      <x:c r="L1753" s="37" t="n">
        <x:v>11816527.750149343</x:v>
      </x:c>
      <x:c r="M1753" s="37" t="n">
        <x:v>0</x:v>
      </x:c>
      <x:c r="N1753" s="37" t="n">
        <x:v>0</x:v>
      </x:c>
      <x:c r="O1753" s="37" t="n">
        <x:v>612.2623720373958</x:v>
      </x:c>
      <x:c r="P1753" s="37" t="n">
        <x:v>0</x:v>
      </x:c>
      <x:c r="Q1753" s="37" t="n">
        <x:v>0</x:v>
      </x:c>
      <x:c r="R1753" s="37" t="n">
        <x:v>0</x:v>
      </x:c>
      <x:c r="S1753" s="37" t="n">
        <x:v>0</x:v>
      </x:c>
      <x:c r="T1753" s="37" t="n">
        <x:v>0</x:v>
      </x:c>
      <x:c r="U1753" s="37" t="n">
        <x:v>31805.80415342993</x:v>
      </x:c>
      <x:c r="V1753" s="37" t="n">
        <x:v>0</x:v>
      </x:c>
      <x:c r="W1753" s="37" t="n">
        <x:v>165751.78966448642</x:v>
      </x:c>
      <x:c r="X1753" s="37" t="n">
        <x:v>0</x:v>
      </x:c>
      <x:c r="Y1753" s="37" t="n">
        <x:v>2172.1213283599986</x:v>
      </x:c>
      <x:c r="Z1753" s="37" t="n">
        <x:v>9911267.198199157</x:v>
      </x:c>
      <x:c r="AA1753" s="37" t="n">
        <x:v>0</x:v>
      </x:c>
      <x:c r="AB1753" s="37" t="n">
        <x:v>9911267.198199157</x:v>
      </x:c>
      <x:c r="AC1753" s="37" t="n">
        <x:v>1263133.3538695872</x:v>
      </x:c>
      <x:c r="AD1753" s="37" t="n">
        <x:v>0</x:v>
      </x:c>
      <x:c r="AE1753" s="37" t="n">
        <x:v>0</x:v>
      </x:c>
      <x:c r="AF1753" s="47" t="b">
        <x:v>0</x:v>
      </x:c>
      <x:c r="AG1753" s="47" t="b">
        <x:v>0</x:v>
      </x:c>
      <x:c r="AH1753" s="48" t="n">
        <x:v>0</x:v>
      </x:c>
      <x:c r="AI1753" s="48" t="n">
        <x:v>1.1920928955078125e-7</x:v>
      </x:c>
      <x:c r="AJ1753" s="37" t="str">
        <x:v>passed</x:v>
      </x:c>
    </x:row>
    <x:row r="1754" ht="21" customHeight="1">
      <x:c r="A1754" s="2"/>
      <x:c r="B1754" s="2"/>
      <x:c r="C1754" s="2" t="str">
        <x:v>2023</x:v>
      </x:c>
      <x:c r="D1754" s="5" t="n">
        <x:v>45198</x:v>
      </x:c>
      <x:c r="E1754" s="2" t="str">
        <x:v>constrained</x:v>
      </x:c>
      <x:c r="F1754" s="37" t="n">
        <x:v>11725518.201262934</x:v>
      </x:c>
      <x:c r="G1754" s="37" t="n">
        <x:v>74907.23274166034</x:v>
      </x:c>
      <x:c r="H1754" s="37" t="n">
        <x:v>-18672.826802925192</x:v>
      </x:c>
      <x:c r="I1754" s="37" t="n">
        <x:v>93580.05954458553</x:v>
      </x:c>
      <x:c r="J1754" s="37" t="n">
        <x:v>10358641.971791476</x:v>
      </x:c>
      <x:c r="K1754" s="37" t="n">
        <x:v>10283734.739049815</x:v>
      </x:c>
      <x:c r="L1754" s="37" t="n">
        <x:v>11800425.434004594</x:v>
      </x:c>
      <x:c r="M1754" s="37" t="n">
        <x:v>0</x:v>
      </x:c>
      <x:c r="N1754" s="37" t="n">
        <x:v>0</x:v>
      </x:c>
      <x:c r="O1754" s="37" t="n">
        <x:v>642.4589447844774</x:v>
      </x:c>
      <x:c r="P1754" s="37" t="n">
        <x:v>0</x:v>
      </x:c>
      <x:c r="Q1754" s="37" t="n">
        <x:v>0</x:v>
      </x:c>
      <x:c r="R1754" s="37" t="n">
        <x:v>0</x:v>
      </x:c>
      <x:c r="S1754" s="37" t="n">
        <x:v>0</x:v>
      </x:c>
      <x:c r="T1754" s="37" t="n">
        <x:v>0</x:v>
      </x:c>
      <x:c r="U1754" s="37" t="n">
        <x:v>30720.44529747225</x:v>
      </x:c>
      <x:c r="V1754" s="37" t="n">
        <x:v>0</x:v>
      </x:c>
      <x:c r="W1754" s="37" t="n">
        <x:v>172919.4518963676</x:v>
      </x:c>
      <x:c r="X1754" s="37" t="n">
        <x:v>0</x:v>
      </x:c>
      <x:c r="Y1754" s="37" t="n">
        <x:v>2178.1253051300437</x:v>
      </x:c>
      <x:c r="Z1754" s="37" t="n">
        <x:v>10489409.43383081</x:v>
      </x:c>
      <x:c r="AA1754" s="37" t="n">
        <x:v>0</x:v>
      </x:c>
      <x:c r="AB1754" s="37" t="n">
        <x:v>10489409.43383081</x:v>
      </x:c>
      <x:c r="AC1754" s="37" t="n">
        <x:v>1236108.7674321234</x:v>
      </x:c>
      <x:c r="AD1754" s="37" t="n">
        <x:v>0</x:v>
      </x:c>
      <x:c r="AE1754" s="37" t="n">
        <x:v>0</x:v>
      </x:c>
      <x:c r="AF1754" s="47" t="b">
        <x:v>0</x:v>
      </x:c>
      <x:c r="AG1754" s="47" t="b">
        <x:v>0</x:v>
      </x:c>
      <x:c r="AH1754" s="48" t="n">
        <x:v>0</x:v>
      </x:c>
      <x:c r="AI1754" s="48" t="n">
        <x:v>1.1920928955078125e-7</x:v>
      </x:c>
      <x:c r="AJ1754" s="37" t="str">
        <x:v>passed</x:v>
      </x:c>
    </x:row>
    <x:row r="1755" ht="21" customHeight="1">
      <x:c r="A1755" s="2"/>
      <x:c r="B1755" s="2"/>
      <x:c r="C1755" s="2" t="str">
        <x:v>2023</x:v>
      </x:c>
      <x:c r="D1755" s="5" t="n">
        <x:v>45201</x:v>
      </x:c>
      <x:c r="E1755" s="2" t="str">
        <x:v>unhedged</x:v>
      </x:c>
      <x:c r="F1755" s="37" t="n">
        <x:v>1319004.5445872839</x:v>
      </x:c>
      <x:c r="G1755" s="37" t="n">
        <x:v>10229121.103704415</x:v>
      </x:c>
      <x:c r="H1755" s="37" t="n">
        <x:v>31895.380434782608</x:v>
      </x:c>
      <x:c r="I1755" s="37" t="n">
        <x:v>10197225.723269632</x:v>
      </x:c>
      <x:c r="J1755" s="37" t="n">
        <x:v>10229121.103704415</x:v>
      </x:c>
      <x:c r="K1755" s="37" t="n">
        <x:v>0</x:v>
      </x:c>
      <x:c r="L1755" s="37" t="n">
        <x:v>11548125.6482917</x:v>
      </x:c>
      <x:c r="M1755" s="37" t="n">
        <x:v>0</x:v>
      </x:c>
      <x:c r="N1755" s="37" t="n">
        <x:v>0</x:v>
      </x:c>
      <x:c r="O1755" s="37" t="n">
        <x:v>216.7989056459628</x:v>
      </x:c>
      <x:c r="P1755" s="37" t="n">
        <x:v>0</x:v>
      </x:c>
      <x:c r="Q1755" s="37" t="n">
        <x:v>0</x:v>
      </x:c>
      <x:c r="R1755" s="37" t="n">
        <x:v>0</x:v>
      </x:c>
      <x:c r="S1755" s="37" t="n">
        <x:v>0</x:v>
      </x:c>
      <x:c r="T1755" s="37" t="n">
        <x:v>0</x:v>
      </x:c>
      <x:c r="U1755" s="37" t="n">
        <x:v>101250</x:v>
      </x:c>
      <x:c r="V1755" s="37" t="n">
        <x:v>0</x:v>
      </x:c>
      <x:c r="W1755" s="37" t="n">
        <x:v>18797.413929406088</x:v>
      </x:c>
      <x:c r="X1755" s="37" t="n">
        <x:v>0</x:v>
      </x:c>
      <x:c r="Y1755" s="37" t="n">
        <x:v>1042.869342122179</x:v>
      </x:c>
      <x:c r="Z1755" s="37" t="n">
        <x:v>0</x:v>
      </x:c>
      <x:c r="AA1755" s="37" t="n">
        <x:v>0</x:v>
      </x:c>
      <x:c r="AB1755" s="37" t="n">
        <x:v>0</x:v>
      </x:c>
      <x:c r="AC1755" s="37" t="n">
        <x:v>1319004.5445872839</x:v>
      </x:c>
      <x:c r="AD1755" s="37" t="n">
        <x:v>0</x:v>
      </x:c>
      <x:c r="AE1755" s="37" t="n">
        <x:v>0</x:v>
      </x:c>
      <x:c r="AF1755" s="47" t="b">
        <x:v>0</x:v>
      </x:c>
      <x:c r="AG1755" s="47" t="b">
        <x:v>0</x:v>
      </x:c>
      <x:c r="AH1755" s="48" t="n">
        <x:v>0</x:v>
      </x:c>
      <x:c r="AI1755" s="48" t="n">
        <x:v>1.1920928955078125e-7</x:v>
      </x:c>
      <x:c r="AJ1755" s="37" t="str">
        <x:v>passed</x:v>
      </x:c>
    </x:row>
    <x:row r="1756" ht="21" customHeight="1">
      <x:c r="A1756" s="2"/>
      <x:c r="B1756" s="2"/>
      <x:c r="C1756" s="2" t="str">
        <x:v>2023</x:v>
      </x:c>
      <x:c r="D1756" s="5" t="n">
        <x:v>45201</x:v>
      </x:c>
      <x:c r="E1756" s="2" t="str">
        <x:v>duration</x:v>
      </x:c>
      <x:c r="F1756" s="37" t="n">
        <x:v>7655308.288778969</x:v>
      </x:c>
      <x:c r="G1756" s="37" t="n">
        <x:v>4239525.381584237</x:v>
      </x:c>
      <x:c r="H1756" s="37" t="n">
        <x:v>-8332.846940247951</x:v>
      </x:c>
      <x:c r="I1756" s="37" t="n">
        <x:v>4247858.228524486</x:v>
      </x:c>
      <x:c r="J1756" s="37" t="n">
        <x:v>10229121.103704415</x:v>
      </x:c>
      <x:c r="K1756" s="37" t="n">
        <x:v>5989595.722120178</x:v>
      </x:c>
      <x:c r="L1756" s="37" t="n">
        <x:v>11894833.670363206</x:v>
      </x:c>
      <x:c r="M1756" s="37" t="n">
        <x:v>0</x:v>
      </x:c>
      <x:c r="N1756" s="37" t="n">
        <x:v>0</x:v>
      </x:c>
      <x:c r="O1756" s="37" t="n">
        <x:v>1256.4326603021473</x:v>
      </x:c>
      <x:c r="P1756" s="37" t="n">
        <x:v>0</x:v>
      </x:c>
      <x:c r="Q1756" s="37" t="n">
        <x:v>1.1173085524667457</x:v>
      </x:c>
      <x:c r="R1756" s="37" t="n">
        <x:v>11173.085524667456</x:v>
      </x:c>
      <x:c r="S1756" s="37" t="n">
        <x:v>11173.085524667456</x:v>
      </x:c>
      <x:c r="T1756" s="37" t="n">
        <x:v>0</x:v>
      </x:c>
      <x:c r="U1756" s="37" t="n">
        <x:v>47417.381478397</x:v>
      </x:c>
      <x:c r="V1756" s="37" t="n">
        <x:v>0</x:v>
      </x:c>
      <x:c r="W1756" s="37" t="n">
        <x:v>114888.64768032171</x:v>
      </x:c>
      <x:c r="X1756" s="37" t="n">
        <x:v>0</x:v>
      </x:c>
      <x:c r="Y1756" s="37" t="n">
        <x:v>1738.98756445152</x:v>
      </x:c>
      <x:c r="Z1756" s="37" t="n">
        <x:v>6109387.636562581</x:v>
      </x:c>
      <x:c r="AA1756" s="37" t="n">
        <x:v>0</x:v>
      </x:c>
      <x:c r="AB1756" s="37" t="n">
        <x:v>6109387.636562581</x:v>
      </x:c>
      <x:c r="AC1756" s="37" t="n">
        <x:v>1545920.652216388</x:v>
      </x:c>
      <x:c r="AD1756" s="37" t="n">
        <x:v>0</x:v>
      </x:c>
      <x:c r="AE1756" s="37" t="n">
        <x:v>0</x:v>
      </x:c>
      <x:c r="AF1756" s="47" t="b">
        <x:v>0</x:v>
      </x:c>
      <x:c r="AG1756" s="47" t="b">
        <x:v>0</x:v>
      </x:c>
      <x:c r="AH1756" s="48" t="n">
        <x:v>-3.121769509562e-10</x:v>
      </x:c>
      <x:c r="AI1756" s="48" t="n">
        <x:v>5.960464477539063e-8</x:v>
      </x:c>
      <x:c r="AJ1756" s="37" t="str">
        <x:v>passed</x:v>
      </x:c>
    </x:row>
    <x:row r="1757" ht="21" customHeight="1">
      <x:c r="A1757" s="2"/>
      <x:c r="B1757" s="2"/>
      <x:c r="C1757" s="2" t="str">
        <x:v>2023</x:v>
      </x:c>
      <x:c r="D1757" s="5" t="n">
        <x:v>45201</x:v>
      </x:c>
      <x:c r="E1757" s="2" t="str">
        <x:v>unweighted</x:v>
      </x:c>
      <x:c r="F1757" s="37" t="n">
        <x:v>10863719.391340239</x:v>
      </x:c>
      <x:c r="G1757" s="37" t="n">
        <x:v>955656.3747651438</x:v>
      </x:c>
      <x:c r="H1757" s="37" t="n">
        <x:v>-17862.968578522854</x:v>
      </x:c>
      <x:c r="I1757" s="37" t="n">
        <x:v>973519.3433436668</x:v>
      </x:c>
      <x:c r="J1757" s="37" t="n">
        <x:v>10330130.494178537</x:v>
      </x:c>
      <x:c r="K1757" s="37" t="n">
        <x:v>9374474.119413393</x:v>
      </x:c>
      <x:c r="L1757" s="37" t="n">
        <x:v>11819375.766105384</x:v>
      </x:c>
      <x:c r="M1757" s="37" t="n">
        <x:v>0</x:v>
      </x:c>
      <x:c r="N1757" s="37" t="n">
        <x:v>0</x:v>
      </x:c>
      <x:c r="O1757" s="37" t="n">
        <x:v>1836.9884152095765</x:v>
      </x:c>
      <x:c r="P1757" s="37" t="n">
        <x:v>0</x:v>
      </x:c>
      <x:c r="Q1757" s="37" t="n">
        <x:v>40.984855318751286</x:v>
      </x:c>
      <x:c r="R1757" s="37" t="n">
        <x:v>-312477.1642883967</x:v>
      </x:c>
      <x:c r="S1757" s="37" t="n">
        <x:v>409848.55318751285</x:v>
      </x:c>
      <x:c r="T1757" s="37" t="n">
        <x:v>0</x:v>
      </x:c>
      <x:c r="U1757" s="37" t="n">
        <x:v>31805.80415342993</x:v>
      </x:c>
      <x:c r="V1757" s="37" t="n">
        <x:v>0</x:v>
      </x:c>
      <x:c r="W1757" s="37" t="n">
        <x:v>167588.778079696</x:v>
      </x:c>
      <x:c r="X1757" s="37" t="n">
        <x:v>0</x:v>
      </x:c>
      <x:c r="Y1757" s="37" t="n">
        <x:v>2213.10618367875</x:v>
      </x:c>
      <x:c r="Z1757" s="37" t="n">
        <x:v>9561963.60180166</x:v>
      </x:c>
      <x:c r="AA1757" s="37" t="n">
        <x:v>0</x:v>
      </x:c>
      <x:c r="AB1757" s="37" t="n">
        <x:v>9561963.60180166</x:v>
      </x:c>
      <x:c r="AC1757" s="37" t="n">
        <x:v>1301755.789538579</x:v>
      </x:c>
      <x:c r="AD1757" s="37" t="n">
        <x:v>0</x:v>
      </x:c>
      <x:c r="AE1757" s="37" t="n">
        <x:v>0</x:v>
      </x:c>
      <x:c r="AF1757" s="47" t="b">
        <x:v>0</x:v>
      </x:c>
      <x:c r="AG1757" s="47" t="b">
        <x:v>0</x:v>
      </x:c>
      <x:c r="AH1757" s="48" t="n">
        <x:v>1.0077911838379805e-9</x:v>
      </x:c>
      <x:c r="AI1757" s="48" t="n">
        <x:v>1.1920928955078125e-7</x:v>
      </x:c>
      <x:c r="AJ1757" s="37" t="str">
        <x:v>passed</x:v>
      </x:c>
    </x:row>
    <x:row r="1758" ht="21" customHeight="1">
      <x:c r="A1758" s="2"/>
      <x:c r="B1758" s="2"/>
      <x:c r="C1758" s="2" t="str">
        <x:v>2023</x:v>
      </x:c>
      <x:c r="D1758" s="5" t="n">
        <x:v>45201</x:v>
      </x:c>
      <x:c r="E1758" s="2" t="str">
        <x:v>constrained</x:v>
      </x:c>
      <x:c r="F1758" s="37" t="n">
        <x:v>11830092.379615953</x:v>
      </x:c>
      <x:c r="G1758" s="37" t="n">
        <x:v>-27709.658564562156</x:v>
      </x:c>
      <x:c r="H1758" s="37" t="n">
        <x:v>-18901.540532593466</x:v>
      </x:c>
      <x:c r="I1758" s="37" t="n">
        <x:v>-8808.11803196869</x:v>
      </x:c>
      <x:c r="J1758" s="37" t="n">
        <x:v>10329133.10707903</x:v>
      </x:c>
      <x:c r="K1758" s="37" t="n">
        <x:v>10356842.765643591</x:v>
      </x:c>
      <x:c r="L1758" s="37" t="n">
        <x:v>11802382.721051391</x:v>
      </x:c>
      <x:c r="M1758" s="37" t="n">
        <x:v>0</x:v>
      </x:c>
      <x:c r="N1758" s="37" t="n">
        <x:v>0</x:v>
      </x:c>
      <x:c r="O1758" s="37" t="n">
        <x:v>1927.588061451912</x:v>
      </x:c>
      <x:c r="P1758" s="37" t="n">
        <x:v>0</x:v>
      </x:c>
      <x:c r="Q1758" s="37" t="n">
        <x:v>16.294085335709052</x:v>
      </x:c>
      <x:c r="R1758" s="37" t="n">
        <x:v>102662.884376903</x:v>
      </x:c>
      <x:c r="S1758" s="37" t="n">
        <x:v>162940.85335709053</x:v>
      </x:c>
      <x:c r="T1758" s="37" t="n">
        <x:v>0</x:v>
      </x:c>
      <x:c r="U1758" s="37" t="n">
        <x:v>30720.44529747225</x:v>
      </x:c>
      <x:c r="V1758" s="37" t="n">
        <x:v>0</x:v>
      </x:c>
      <x:c r="W1758" s="37" t="n">
        <x:v>174847.0399578195</x:v>
      </x:c>
      <x:c r="X1758" s="37" t="n">
        <x:v>0</x:v>
      </x:c>
      <x:c r="Y1758" s="37" t="n">
        <x:v>2194.4193904657527</x:v>
      </x:c>
      <x:c r="Z1758" s="37" t="n">
        <x:v>10563979.620956464</x:v>
      </x:c>
      <x:c r="AA1758" s="37" t="n">
        <x:v>0</x:v>
      </x:c>
      <x:c r="AB1758" s="37" t="n">
        <x:v>10563979.620956464</x:v>
      </x:c>
      <x:c r="AC1758" s="37" t="n">
        <x:v>1266112.7586594895</x:v>
      </x:c>
      <x:c r="AD1758" s="37" t="n">
        <x:v>0</x:v>
      </x:c>
      <x:c r="AE1758" s="37" t="n">
        <x:v>0</x:v>
      </x:c>
      <x:c r="AF1758" s="47" t="b">
        <x:v>0</x:v>
      </x:c>
      <x:c r="AG1758" s="47" t="b">
        <x:v>0</x:v>
      </x:c>
      <x:c r="AH1758" s="48" t="n">
        <x:v>-1.5051071500238322e-10</x:v>
      </x:c>
      <x:c r="AI1758" s="48" t="n">
        <x:v>1.1920928955078125e-7</x:v>
      </x:c>
      <x:c r="AJ1758" s="37" t="str">
        <x:v>passed</x:v>
      </x:c>
    </x:row>
    <x:row r="1759" ht="21" customHeight="1">
      <x:c r="A1759" s="2"/>
      <x:c r="B1759" s="2"/>
      <x:c r="C1759" s="2" t="str">
        <x:v>2023</x:v>
      </x:c>
      <x:c r="D1759" s="5" t="n">
        <x:v>45202</x:v>
      </x:c>
      <x:c r="E1759" s="2" t="str">
        <x:v>unhedged</x:v>
      </x:c>
      <x:c r="F1759" s="37" t="n">
        <x:v>1319076.818808905</x:v>
      </x:c>
      <x:c r="G1759" s="37" t="n">
        <x:v>10184681.526882663</x:v>
      </x:c>
      <x:c r="H1759" s="37" t="n">
        <x:v>32241.84782608696</x:v>
      </x:c>
      <x:c r="I1759" s="37" t="n">
        <x:v>10152439.679056576</x:v>
      </x:c>
      <x:c r="J1759" s="37" t="n">
        <x:v>10184681.526882663</x:v>
      </x:c>
      <x:c r="K1759" s="37" t="n">
        <x:v>0</x:v>
      </x:c>
      <x:c r="L1759" s="37" t="n">
        <x:v>11503758.34569157</x:v>
      </x:c>
      <x:c r="M1759" s="37" t="n">
        <x:v>0</x:v>
      </x:c>
      <x:c r="N1759" s="37" t="n">
        <x:v>0</x:v>
      </x:c>
      <x:c r="O1759" s="37" t="n">
        <x:v>72.27422162122093</x:v>
      </x:c>
      <x:c r="P1759" s="37" t="n">
        <x:v>0</x:v>
      </x:c>
      <x:c r="Q1759" s="37" t="n">
        <x:v>0</x:v>
      </x:c>
      <x:c r="R1759" s="37" t="n">
        <x:v>0</x:v>
      </x:c>
      <x:c r="S1759" s="37" t="n">
        <x:v>0</x:v>
      </x:c>
      <x:c r="T1759" s="37" t="n">
        <x:v>0</x:v>
      </x:c>
      <x:c r="U1759" s="37" t="n">
        <x:v>101250</x:v>
      </x:c>
      <x:c r="V1759" s="37" t="n">
        <x:v>0</x:v>
      </x:c>
      <x:c r="W1759" s="37" t="n">
        <x:v>18869.68815102731</x:v>
      </x:c>
      <x:c r="X1759" s="37" t="n">
        <x:v>0</x:v>
      </x:c>
      <x:c r="Y1759" s="37" t="n">
        <x:v>1042.869342122179</x:v>
      </x:c>
      <x:c r="Z1759" s="37" t="n">
        <x:v>0</x:v>
      </x:c>
      <x:c r="AA1759" s="37" t="n">
        <x:v>0</x:v>
      </x:c>
      <x:c r="AB1759" s="37" t="n">
        <x:v>0</x:v>
      </x:c>
      <x:c r="AC1759" s="37" t="n">
        <x:v>1319076.818808905</x:v>
      </x:c>
      <x:c r="AD1759" s="37" t="n">
        <x:v>0</x:v>
      </x:c>
      <x:c r="AE1759" s="37" t="n">
        <x:v>0</x:v>
      </x:c>
      <x:c r="AF1759" s="47" t="b">
        <x:v>0</x:v>
      </x:c>
      <x:c r="AG1759" s="47" t="b">
        <x:v>0</x:v>
      </x:c>
      <x:c r="AH1759" s="48" t="n">
        <x:v>0</x:v>
      </x:c>
      <x:c r="AI1759" s="48" t="n">
        <x:v>1.1920928955078125e-7</x:v>
      </x:c>
      <x:c r="AJ1759" s="37" t="str">
        <x:v>passed</x:v>
      </x:c>
    </x:row>
    <x:row r="1760" ht="21" customHeight="1">
      <x:c r="A1760" s="2"/>
      <x:c r="B1760" s="2"/>
      <x:c r="C1760" s="2" t="str">
        <x:v>2023</x:v>
      </x:c>
      <x:c r="D1760" s="5" t="n">
        <x:v>45202</x:v>
      </x:c>
      <x:c r="E1760" s="2" t="str">
        <x:v>duration</x:v>
      </x:c>
      <x:c r="F1760" s="37" t="n">
        <x:v>7655727.7577263</x:v>
      </x:c>
      <x:c r="G1760" s="37" t="n">
        <x:v>4245211.982361484</x:v>
      </x:c>
      <x:c r="H1760" s="37" t="n">
        <x:v>-8273.724030193822</x:v>
      </x:c>
      <x:c r="I1760" s="37" t="n">
        <x:v>4253485.706391678</x:v>
      </x:c>
      <x:c r="J1760" s="37" t="n">
        <x:v>10184681.526882663</x:v>
      </x:c>
      <x:c r="K1760" s="37" t="n">
        <x:v>5939469.54452118</x:v>
      </x:c>
      <x:c r="L1760" s="37" t="n">
        <x:v>11900939.740087785</x:v>
      </x:c>
      <x:c r="M1760" s="37" t="n">
        <x:v>0</x:v>
      </x:c>
      <x:c r="N1760" s="37" t="n">
        <x:v>0</x:v>
      </x:c>
      <x:c r="O1760" s="37" t="n">
        <x:v>419.46894733048975</x:v>
      </x:c>
      <x:c r="P1760" s="37" t="n">
        <x:v>0</x:v>
      </x:c>
      <x:c r="Q1760" s="37" t="n">
        <x:v>0</x:v>
      </x:c>
      <x:c r="R1760" s="37" t="n">
        <x:v>0</x:v>
      </x:c>
      <x:c r="S1760" s="37" t="n">
        <x:v>0</x:v>
      </x:c>
      <x:c r="T1760" s="37" t="n">
        <x:v>0</x:v>
      </x:c>
      <x:c r="U1760" s="37" t="n">
        <x:v>47417.381478397</x:v>
      </x:c>
      <x:c r="V1760" s="37" t="n">
        <x:v>0</x:v>
      </x:c>
      <x:c r="W1760" s="37" t="n">
        <x:v>115308.1166276522</x:v>
      </x:c>
      <x:c r="X1760" s="37" t="n">
        <x:v>0</x:v>
      </x:c>
      <x:c r="Y1760" s="37" t="n">
        <x:v>1738.98756445152</x:v>
      </x:c>
      <x:c r="Z1760" s="37" t="n">
        <x:v>6058258.935411604</x:v>
      </x:c>
      <x:c r="AA1760" s="37" t="n">
        <x:v>0</x:v>
      </x:c>
      <x:c r="AB1760" s="37" t="n">
        <x:v>6058258.935411604</x:v>
      </x:c>
      <x:c r="AC1760" s="37" t="n">
        <x:v>1597468.8223146955</x:v>
      </x:c>
      <x:c r="AD1760" s="37" t="n">
        <x:v>0</x:v>
      </x:c>
      <x:c r="AE1760" s="37" t="n">
        <x:v>0</x:v>
      </x:c>
      <x:c r="AF1760" s="47" t="b">
        <x:v>0</x:v>
      </x:c>
      <x:c r="AG1760" s="47" t="b">
        <x:v>0</x:v>
      </x:c>
      <x:c r="AH1760" s="48" t="n">
        <x:v>0</x:v>
      </x:c>
      <x:c r="AI1760" s="48" t="n">
        <x:v>5.960464477539063e-8</x:v>
      </x:c>
      <x:c r="AJ1760" s="37" t="str">
        <x:v>passed</x:v>
      </x:c>
    </x:row>
    <x:row r="1761" ht="21" customHeight="1">
      <x:c r="A1761" s="2"/>
      <x:c r="B1761" s="2"/>
      <x:c r="C1761" s="2" t="str">
        <x:v>2023</x:v>
      </x:c>
      <x:c r="D1761" s="5" t="n">
        <x:v>45202</x:v>
      </x:c>
      <x:c r="E1761" s="2" t="str">
        <x:v>unweighted</x:v>
      </x:c>
      <x:c r="F1761" s="37" t="n">
        <x:v>10864314.663635656</x:v>
      </x:c>
      <x:c r="G1761" s="37" t="n">
        <x:v>956740.3335254283</x:v>
      </x:c>
      <x:c r="H1761" s="37" t="n">
        <x:v>-17889.19662479861</x:v>
      </x:c>
      <x:c r="I1761" s="37" t="n">
        <x:v>974629.5301502269</x:v>
      </x:c>
      <x:c r="J1761" s="37" t="n">
        <x:v>10283725.193260131</x:v>
      </x:c>
      <x:c r="K1761" s="37" t="n">
        <x:v>9326984.859734703</x:v>
      </x:c>
      <x:c r="L1761" s="37" t="n">
        <x:v>11821054.997161085</x:v>
      </x:c>
      <x:c r="M1761" s="37" t="n">
        <x:v>0</x:v>
      </x:c>
      <x:c r="N1761" s="37" t="n">
        <x:v>0</x:v>
      </x:c>
      <x:c r="O1761" s="37" t="n">
        <x:v>595.2722954172641</x:v>
      </x:c>
      <x:c r="P1761" s="37" t="n">
        <x:v>0</x:v>
      </x:c>
      <x:c r="Q1761" s="37" t="n">
        <x:v>0</x:v>
      </x:c>
      <x:c r="R1761" s="37" t="n">
        <x:v>0</x:v>
      </x:c>
      <x:c r="S1761" s="37" t="n">
        <x:v>0</x:v>
      </x:c>
      <x:c r="T1761" s="37" t="n">
        <x:v>0</x:v>
      </x:c>
      <x:c r="U1761" s="37" t="n">
        <x:v>31805.80415342993</x:v>
      </x:c>
      <x:c r="V1761" s="37" t="n">
        <x:v>0</x:v>
      </x:c>
      <x:c r="W1761" s="37" t="n">
        <x:v>168184.05037511326</x:v>
      </x:c>
      <x:c r="X1761" s="37" t="n">
        <x:v>0</x:v>
      </x:c>
      <x:c r="Y1761" s="37" t="n">
        <x:v>2213.10618367875</x:v>
      </x:c>
      <x:c r="Z1761" s="37" t="n">
        <x:v>9513524.556929396</x:v>
      </x:c>
      <x:c r="AA1761" s="37" t="n">
        <x:v>0</x:v>
      </x:c>
      <x:c r="AB1761" s="37" t="n">
        <x:v>9513524.556929396</x:v>
      </x:c>
      <x:c r="AC1761" s="37" t="n">
        <x:v>1350790.1067062598</x:v>
      </x:c>
      <x:c r="AD1761" s="37" t="n">
        <x:v>0</x:v>
      </x:c>
      <x:c r="AE1761" s="37" t="n">
        <x:v>0</x:v>
      </x:c>
      <x:c r="AF1761" s="47" t="b">
        <x:v>0</x:v>
      </x:c>
      <x:c r="AG1761" s="47" t="b">
        <x:v>0</x:v>
      </x:c>
      <x:c r="AH1761" s="48" t="n">
        <x:v>0</x:v>
      </x:c>
      <x:c r="AI1761" s="48" t="n">
        <x:v>1.1920928955078125e-7</x:v>
      </x:c>
      <x:c r="AJ1761" s="37" t="str">
        <x:v>passed</x:v>
      </x:c>
    </x:row>
    <x:row r="1762" ht="21" customHeight="1">
      <x:c r="A1762" s="2"/>
      <x:c r="B1762" s="2"/>
      <x:c r="C1762" s="2" t="str">
        <x:v>2023</x:v>
      </x:c>
      <x:c r="D1762" s="5" t="n">
        <x:v>45202</x:v>
      </x:c>
      <x:c r="E1762" s="2" t="str">
        <x:v>constrained</x:v>
      </x:c>
      <x:c r="F1762" s="37" t="n">
        <x:v>11830740.603855932</x:v>
      </x:c>
      <x:c r="G1762" s="37" t="n">
        <x:v>-27832.248521461348</x:v>
      </x:c>
      <x:c r="H1762" s="37" t="n">
        <x:v>-18936.91722916969</x:v>
      </x:c>
      <x:c r="I1762" s="37" t="n">
        <x:v>-8895.33129229166</x:v>
      </x:c>
      <x:c r="J1762" s="37" t="n">
        <x:v>10282687.884339716</x:v>
      </x:c>
      <x:c r="K1762" s="37" t="n">
        <x:v>10310520.132861178</x:v>
      </x:c>
      <x:c r="L1762" s="37" t="n">
        <x:v>11802908.35533447</x:v>
      </x:c>
      <x:c r="M1762" s="37" t="n">
        <x:v>0</x:v>
      </x:c>
      <x:c r="N1762" s="37" t="n">
        <x:v>0</x:v>
      </x:c>
      <x:c r="O1762" s="37" t="n">
        <x:v>648.2242399789393</x:v>
      </x:c>
      <x:c r="P1762" s="37" t="n">
        <x:v>0</x:v>
      </x:c>
      <x:c r="Q1762" s="37" t="n">
        <x:v>0</x:v>
      </x:c>
      <x:c r="R1762" s="37" t="n">
        <x:v>0</x:v>
      </x:c>
      <x:c r="S1762" s="37" t="n">
        <x:v>0</x:v>
      </x:c>
      <x:c r="T1762" s="37" t="n">
        <x:v>0</x:v>
      </x:c>
      <x:c r="U1762" s="37" t="n">
        <x:v>30720.44529747225</x:v>
      </x:c>
      <x:c r="V1762" s="37" t="n">
        <x:v>0</x:v>
      </x:c>
      <x:c r="W1762" s="37" t="n">
        <x:v>175495.26419779845</x:v>
      </x:c>
      <x:c r="X1762" s="37" t="n">
        <x:v>0</x:v>
      </x:c>
      <x:c r="Y1762" s="37" t="n">
        <x:v>2194.4193904657527</x:v>
      </x:c>
      <x:c r="Z1762" s="37" t="n">
        <x:v>10516730.535518402</x:v>
      </x:c>
      <x:c r="AA1762" s="37" t="n">
        <x:v>0</x:v>
      </x:c>
      <x:c r="AB1762" s="37" t="n">
        <x:v>10516730.535518402</x:v>
      </x:c>
      <x:c r="AC1762" s="37" t="n">
        <x:v>1314010.06833753</x:v>
      </x:c>
      <x:c r="AD1762" s="37" t="n">
        <x:v>0</x:v>
      </x:c>
      <x:c r="AE1762" s="37" t="n">
        <x:v>0</x:v>
      </x:c>
      <x:c r="AF1762" s="47" t="b">
        <x:v>0</x:v>
      </x:c>
      <x:c r="AG1762" s="47" t="b">
        <x:v>0</x:v>
      </x:c>
      <x:c r="AH1762" s="48" t="n">
        <x:v>0</x:v>
      </x:c>
      <x:c r="AI1762" s="48" t="n">
        <x:v>1.1920928955078125e-7</x:v>
      </x:c>
      <x:c r="AJ1762" s="37" t="str">
        <x:v>passed</x:v>
      </x:c>
    </x:row>
    <x:row r="1763" ht="21" customHeight="1">
      <x:c r="A1763" s="2"/>
      <x:c r="B1763" s="2"/>
      <x:c r="C1763" s="2" t="str">
        <x:v>2023</x:v>
      </x:c>
      <x:c r="D1763" s="5" t="n">
        <x:v>45203</x:v>
      </x:c>
      <x:c r="E1763" s="2" t="str">
        <x:v>unhedged</x:v>
      </x:c>
      <x:c r="F1763" s="37" t="n">
        <x:v>1319149.0969907576</x:v>
      </x:c>
      <x:c r="G1763" s="37" t="n">
        <x:v>10224056.30206376</x:v>
      </x:c>
      <x:c r="H1763" s="37" t="n">
        <x:v>32588.315217391304</x:v>
      </x:c>
      <x:c r="I1763" s="37" t="n">
        <x:v>10191467.986846369</x:v>
      </x:c>
      <x:c r="J1763" s="37" t="n">
        <x:v>10224056.30206376</x:v>
      </x:c>
      <x:c r="K1763" s="37" t="n">
        <x:v>0</x:v>
      </x:c>
      <x:c r="L1763" s="37" t="n">
        <x:v>11543205.399054516</x:v>
      </x:c>
      <x:c r="M1763" s="37" t="n">
        <x:v>0</x:v>
      </x:c>
      <x:c r="N1763" s="37" t="n">
        <x:v>0</x:v>
      </x:c>
      <x:c r="O1763" s="37" t="n">
        <x:v>72.27818185254</x:v>
      </x:c>
      <x:c r="P1763" s="37" t="n">
        <x:v>0</x:v>
      </x:c>
      <x:c r="Q1763" s="37" t="n">
        <x:v>0</x:v>
      </x:c>
      <x:c r="R1763" s="37" t="n">
        <x:v>0</x:v>
      </x:c>
      <x:c r="S1763" s="37" t="n">
        <x:v>0</x:v>
      </x:c>
      <x:c r="T1763" s="37" t="n">
        <x:v>0</x:v>
      </x:c>
      <x:c r="U1763" s="37" t="n">
        <x:v>101250</x:v>
      </x:c>
      <x:c r="V1763" s="37" t="n">
        <x:v>0</x:v>
      </x:c>
      <x:c r="W1763" s="37" t="n">
        <x:v>18941.96633287985</x:v>
      </x:c>
      <x:c r="X1763" s="37" t="n">
        <x:v>0</x:v>
      </x:c>
      <x:c r="Y1763" s="37" t="n">
        <x:v>1042.869342122179</x:v>
      </x:c>
      <x:c r="Z1763" s="37" t="n">
        <x:v>0</x:v>
      </x:c>
      <x:c r="AA1763" s="37" t="n">
        <x:v>0</x:v>
      </x:c>
      <x:c r="AB1763" s="37" t="n">
        <x:v>0</x:v>
      </x:c>
      <x:c r="AC1763" s="37" t="n">
        <x:v>1319149.0969907576</x:v>
      </x:c>
      <x:c r="AD1763" s="37" t="n">
        <x:v>0</x:v>
      </x:c>
      <x:c r="AE1763" s="37" t="n">
        <x:v>0</x:v>
      </x:c>
      <x:c r="AF1763" s="47" t="b">
        <x:v>0</x:v>
      </x:c>
      <x:c r="AG1763" s="47" t="b">
        <x:v>0</x:v>
      </x:c>
      <x:c r="AH1763" s="48" t="n">
        <x:v>0</x:v>
      </x:c>
      <x:c r="AI1763" s="48" t="n">
        <x:v>1.1920928955078125e-7</x:v>
      </x:c>
      <x:c r="AJ1763" s="37" t="str">
        <x:v>passed</x:v>
      </x:c>
    </x:row>
    <x:row r="1764" ht="21" customHeight="1">
      <x:c r="A1764" s="2"/>
      <x:c r="B1764" s="2"/>
      <x:c r="C1764" s="2" t="str">
        <x:v>2023</x:v>
      </x:c>
      <x:c r="D1764" s="5" t="n">
        <x:v>45203</x:v>
      </x:c>
      <x:c r="E1764" s="2" t="str">
        <x:v>duration</x:v>
      </x:c>
      <x:c r="F1764" s="37" t="n">
        <x:v>7656147.24965823</x:v>
      </x:c>
      <x:c r="G1764" s="37" t="n">
        <x:v>4248502.665073976</x:v>
      </x:c>
      <x:c r="H1764" s="37" t="n">
        <x:v>-8214.601120139696</x:v>
      </x:c>
      <x:c r="I1764" s="37" t="n">
        <x:v>4256717.266194115</x:v>
      </x:c>
      <x:c r="J1764" s="37" t="n">
        <x:v>10224056.30206376</x:v>
      </x:c>
      <x:c r="K1764" s="37" t="n">
        <x:v>5975553.636989784</x:v>
      </x:c>
      <x:c r="L1764" s="37" t="n">
        <x:v>11904649.914732207</x:v>
      </x:c>
      <x:c r="M1764" s="37" t="n">
        <x:v>0</x:v>
      </x:c>
      <x:c r="N1764" s="37" t="n">
        <x:v>0</x:v>
      </x:c>
      <x:c r="O1764" s="37" t="n">
        <x:v>419.49193193018436</x:v>
      </x:c>
      <x:c r="P1764" s="37" t="n">
        <x:v>0</x:v>
      </x:c>
      <x:c r="Q1764" s="37" t="n">
        <x:v>0</x:v>
      </x:c>
      <x:c r="R1764" s="37" t="n">
        <x:v>0</x:v>
      </x:c>
      <x:c r="S1764" s="37" t="n">
        <x:v>0</x:v>
      </x:c>
      <x:c r="T1764" s="37" t="n">
        <x:v>0</x:v>
      </x:c>
      <x:c r="U1764" s="37" t="n">
        <x:v>47417.381478397</x:v>
      </x:c>
      <x:c r="V1764" s="37" t="n">
        <x:v>0</x:v>
      </x:c>
      <x:c r="W1764" s="37" t="n">
        <x:v>115727.60855958238</x:v>
      </x:c>
      <x:c r="X1764" s="37" t="n">
        <x:v>0</x:v>
      </x:c>
      <x:c r="Y1764" s="37" t="n">
        <x:v>1738.98756445152</x:v>
      </x:c>
      <x:c r="Z1764" s="37" t="n">
        <x:v>6095064.70972958</x:v>
      </x:c>
      <x:c r="AA1764" s="37" t="n">
        <x:v>0</x:v>
      </x:c>
      <x:c r="AB1764" s="37" t="n">
        <x:v>6095064.70972958</x:v>
      </x:c>
      <x:c r="AC1764" s="37" t="n">
        <x:v>1561082.5399286496</x:v>
      </x:c>
      <x:c r="AD1764" s="37" t="n">
        <x:v>0</x:v>
      </x:c>
      <x:c r="AE1764" s="37" t="n">
        <x:v>0</x:v>
      </x:c>
      <x:c r="AF1764" s="47" t="b">
        <x:v>0</x:v>
      </x:c>
      <x:c r="AG1764" s="47" t="b">
        <x:v>0</x:v>
      </x:c>
      <x:c r="AH1764" s="48" t="n">
        <x:v>0</x:v>
      </x:c>
      <x:c r="AI1764" s="48" t="n">
        <x:v>5.960464477539063e-8</x:v>
      </x:c>
      <x:c r="AJ1764" s="37" t="str">
        <x:v>passed</x:v>
      </x:c>
    </x:row>
    <x:row r="1765" ht="21" customHeight="1">
      <x:c r="A1765" s="2"/>
      <x:c r="B1765" s="2"/>
      <x:c r="C1765" s="2" t="str">
        <x:v>2023</x:v>
      </x:c>
      <x:c r="D1765" s="5" t="n">
        <x:v>45203</x:v>
      </x:c>
      <x:c r="E1765" s="2" t="str">
        <x:v>unweighted</x:v>
      </x:c>
      <x:c r="F1765" s="37" t="n">
        <x:v>10864909.968548732</x:v>
      </x:c>
      <x:c r="G1765" s="37" t="n">
        <x:v>956305.0577891095</x:v>
      </x:c>
      <x:c r="H1765" s="37" t="n">
        <x:v>-17915.424671074372</x:v>
      </x:c>
      <x:c r="I1765" s="37" t="n">
        <x:v>974220.4824601839</x:v>
      </x:c>
      <x:c r="J1765" s="37" t="n">
        <x:v>10324234.44424201</x:v>
      </x:c>
      <x:c r="K1765" s="37" t="n">
        <x:v>9367929.386452902</x:v>
      </x:c>
      <x:c r="L1765" s="37" t="n">
        <x:v>11821215.026337842</x:v>
      </x:c>
      <x:c r="M1765" s="37" t="n">
        <x:v>0</x:v>
      </x:c>
      <x:c r="N1765" s="37" t="n">
        <x:v>0</x:v>
      </x:c>
      <x:c r="O1765" s="37" t="n">
        <x:v>595.3049130756408</x:v>
      </x:c>
      <x:c r="P1765" s="37" t="n">
        <x:v>0</x:v>
      </x:c>
      <x:c r="Q1765" s="37" t="n">
        <x:v>0</x:v>
      </x:c>
      <x:c r="R1765" s="37" t="n">
        <x:v>0</x:v>
      </x:c>
      <x:c r="S1765" s="37" t="n">
        <x:v>0</x:v>
      </x:c>
      <x:c r="T1765" s="37" t="n">
        <x:v>0</x:v>
      </x:c>
      <x:c r="U1765" s="37" t="n">
        <x:v>31805.80415342993</x:v>
      </x:c>
      <x:c r="V1765" s="37" t="n">
        <x:v>0</x:v>
      </x:c>
      <x:c r="W1765" s="37" t="n">
        <x:v>168779.3552881889</x:v>
      </x:c>
      <x:c r="X1765" s="37" t="n">
        <x:v>0</x:v>
      </x:c>
      <x:c r="Y1765" s="37" t="n">
        <x:v>2213.10618367875</x:v>
      </x:c>
      <x:c r="Z1765" s="37" t="n">
        <x:v>9555287.97418196</x:v>
      </x:c>
      <x:c r="AA1765" s="37" t="n">
        <x:v>0</x:v>
      </x:c>
      <x:c r="AB1765" s="37" t="n">
        <x:v>9555287.97418196</x:v>
      </x:c>
      <x:c r="AC1765" s="37" t="n">
        <x:v>1309621.9943667725</x:v>
      </x:c>
      <x:c r="AD1765" s="37" t="n">
        <x:v>0</x:v>
      </x:c>
      <x:c r="AE1765" s="37" t="n">
        <x:v>0</x:v>
      </x:c>
      <x:c r="AF1765" s="47" t="b">
        <x:v>0</x:v>
      </x:c>
      <x:c r="AG1765" s="47" t="b">
        <x:v>0</x:v>
      </x:c>
      <x:c r="AH1765" s="48" t="n">
        <x:v>0</x:v>
      </x:c>
      <x:c r="AI1765" s="48" t="n">
        <x:v>1.1920928955078125e-7</x:v>
      </x:c>
      <x:c r="AJ1765" s="37" t="str">
        <x:v>passed</x:v>
      </x:c>
    </x:row>
    <x:row r="1766" ht="21" customHeight="1">
      <x:c r="A1766" s="2"/>
      <x:c r="B1766" s="2"/>
      <x:c r="C1766" s="2" t="str">
        <x:v>2023</x:v>
      </x:c>
      <x:c r="D1766" s="5" t="n">
        <x:v>45203</x:v>
      </x:c>
      <x:c r="E1766" s="2" t="str">
        <x:v>constrained</x:v>
      </x:c>
      <x:c r="F1766" s="37" t="n">
        <x:v>11831388.863615049</x:v>
      </x:c>
      <x:c r="G1766" s="37" t="n">
        <x:v>-27714.03905083257</x:v>
      </x:c>
      <x:c r="H1766" s="37" t="n">
        <x:v>-18972.29392574592</x:v>
      </x:c>
      <x:c r="I1766" s="37" t="n">
        <x:v>-8741.74512508665</x:v>
      </x:c>
      <x:c r="J1766" s="37" t="n">
        <x:v>10323206.976005895</x:v>
      </x:c>
      <x:c r="K1766" s="37" t="n">
        <x:v>10350921.015056727</x:v>
      </x:c>
      <x:c r="L1766" s="37" t="n">
        <x:v>11803674.824564217</x:v>
      </x:c>
      <x:c r="M1766" s="37" t="n">
        <x:v>0</x:v>
      </x:c>
      <x:c r="N1766" s="37" t="n">
        <x:v>0</x:v>
      </x:c>
      <x:c r="O1766" s="37" t="n">
        <x:v>648.2597591169178</x:v>
      </x:c>
      <x:c r="P1766" s="37" t="n">
        <x:v>0</x:v>
      </x:c>
      <x:c r="Q1766" s="37" t="n">
        <x:v>0</x:v>
      </x:c>
      <x:c r="R1766" s="37" t="n">
        <x:v>0</x:v>
      </x:c>
      <x:c r="S1766" s="37" t="n">
        <x:v>0</x:v>
      </x:c>
      <x:c r="T1766" s="37" t="n">
        <x:v>0</x:v>
      </x:c>
      <x:c r="U1766" s="37" t="n">
        <x:v>30720.44529747225</x:v>
      </x:c>
      <x:c r="V1766" s="37" t="n">
        <x:v>0</x:v>
      </x:c>
      <x:c r="W1766" s="37" t="n">
        <x:v>176143.52395691536</x:v>
      </x:c>
      <x:c r="X1766" s="37" t="n">
        <x:v>0</x:v>
      </x:c>
      <x:c r="Y1766" s="37" t="n">
        <x:v>2194.4193904657527</x:v>
      </x:c>
      <x:c r="Z1766" s="37" t="n">
        <x:v>10557939.435357863</x:v>
      </x:c>
      <x:c r="AA1766" s="37" t="n">
        <x:v>0</x:v>
      </x:c>
      <x:c r="AB1766" s="37" t="n">
        <x:v>10557939.435357863</x:v>
      </x:c>
      <x:c r="AC1766" s="37" t="n">
        <x:v>1273449.428257186</x:v>
      </x:c>
      <x:c r="AD1766" s="37" t="n">
        <x:v>0</x:v>
      </x:c>
      <x:c r="AE1766" s="37" t="n">
        <x:v>0</x:v>
      </x:c>
      <x:c r="AF1766" s="47" t="b">
        <x:v>0</x:v>
      </x:c>
      <x:c r="AG1766" s="47" t="b">
        <x:v>0</x:v>
      </x:c>
      <x:c r="AH1766" s="48" t="n">
        <x:v>0</x:v>
      </x:c>
      <x:c r="AI1766" s="48" t="n">
        <x:v>1.1920928955078125e-7</x:v>
      </x:c>
      <x:c r="AJ1766" s="37" t="str">
        <x:v>passed</x:v>
      </x:c>
    </x:row>
    <x:row r="1767" ht="21" customHeight="1">
      <x:c r="A1767" s="2"/>
      <x:c r="B1767" s="2"/>
      <x:c r="C1767" s="2" t="str">
        <x:v>2023</x:v>
      </x:c>
      <x:c r="D1767" s="5" t="n">
        <x:v>45204</x:v>
      </x:c>
      <x:c r="E1767" s="2" t="str">
        <x:v>unhedged</x:v>
      </x:c>
      <x:c r="F1767" s="37" t="n">
        <x:v>1319221.3791330587</x:v>
      </x:c>
      <x:c r="G1767" s="37" t="n">
        <x:v>10235039.522113778</x:v>
      </x:c>
      <x:c r="H1767" s="37" t="n">
        <x:v>32934.782608695656</x:v>
      </x:c>
      <x:c r="I1767" s="37" t="n">
        <x:v>10202104.739505082</x:v>
      </x:c>
      <x:c r="J1767" s="37" t="n">
        <x:v>10235039.522113778</x:v>
      </x:c>
      <x:c r="K1767" s="37" t="n">
        <x:v>0</x:v>
      </x:c>
      <x:c r="L1767" s="37" t="n">
        <x:v>11554260.901246836</x:v>
      </x:c>
      <x:c r="M1767" s="37" t="n">
        <x:v>0</x:v>
      </x:c>
      <x:c r="N1767" s="37" t="n">
        <x:v>0</x:v>
      </x:c>
      <x:c r="O1767" s="37" t="n">
        <x:v>72.28214230109006</x:v>
      </x:c>
      <x:c r="P1767" s="37" t="n">
        <x:v>0</x:v>
      </x:c>
      <x:c r="Q1767" s="37" t="n">
        <x:v>0</x:v>
      </x:c>
      <x:c r="R1767" s="37" t="n">
        <x:v>0</x:v>
      </x:c>
      <x:c r="S1767" s="37" t="n">
        <x:v>0</x:v>
      </x:c>
      <x:c r="T1767" s="37" t="n">
        <x:v>0</x:v>
      </x:c>
      <x:c r="U1767" s="37" t="n">
        <x:v>101250</x:v>
      </x:c>
      <x:c r="V1767" s="37" t="n">
        <x:v>0</x:v>
      </x:c>
      <x:c r="W1767" s="37" t="n">
        <x:v>19014.24847518094</x:v>
      </x:c>
      <x:c r="X1767" s="37" t="n">
        <x:v>0</x:v>
      </x:c>
      <x:c r="Y1767" s="37" t="n">
        <x:v>1042.869342122179</x:v>
      </x:c>
      <x:c r="Z1767" s="37" t="n">
        <x:v>0</x:v>
      </x:c>
      <x:c r="AA1767" s="37" t="n">
        <x:v>0</x:v>
      </x:c>
      <x:c r="AB1767" s="37" t="n">
        <x:v>0</x:v>
      </x:c>
      <x:c r="AC1767" s="37" t="n">
        <x:v>1319221.3791330587</x:v>
      </x:c>
      <x:c r="AD1767" s="37" t="n">
        <x:v>0</x:v>
      </x:c>
      <x:c r="AE1767" s="37" t="n">
        <x:v>0</x:v>
      </x:c>
      <x:c r="AF1767" s="47" t="b">
        <x:v>0</x:v>
      </x:c>
      <x:c r="AG1767" s="47" t="b">
        <x:v>0</x:v>
      </x:c>
      <x:c r="AH1767" s="48" t="n">
        <x:v>0</x:v>
      </x:c>
      <x:c r="AI1767" s="48" t="n">
        <x:v>1.1920928955078125e-7</x:v>
      </x:c>
      <x:c r="AJ1767" s="37" t="str">
        <x:v>passed</x:v>
      </x:c>
    </x:row>
    <x:row r="1768" ht="21" customHeight="1">
      <x:c r="A1768" s="2"/>
      <x:c r="B1768" s="2"/>
      <x:c r="C1768" s="2" t="str">
        <x:v>2023</x:v>
      </x:c>
      <x:c r="D1768" s="5" t="n">
        <x:v>45204</x:v>
      </x:c>
      <x:c r="E1768" s="2" t="str">
        <x:v>duration</x:v>
      </x:c>
      <x:c r="F1768" s="37" t="n">
        <x:v>7656566.764576021</x:v>
      </x:c>
      <x:c r="G1768" s="37" t="n">
        <x:v>4249612.635731081</x:v>
      </x:c>
      <x:c r="H1768" s="37" t="n">
        <x:v>-8155.478210085561</x:v>
      </x:c>
      <x:c r="I1768" s="37" t="n">
        <x:v>4257768.113941167</x:v>
      </x:c>
      <x:c r="J1768" s="37" t="n">
        <x:v>10235039.522113778</x:v>
      </x:c>
      <x:c r="K1768" s="37" t="n">
        <x:v>5985426.886382696</x:v>
      </x:c>
      <x:c r="L1768" s="37" t="n">
        <x:v>11906179.4003071</x:v>
      </x:c>
      <x:c r="M1768" s="37" t="n">
        <x:v>0</x:v>
      </x:c>
      <x:c r="N1768" s="37" t="n">
        <x:v>0</x:v>
      </x:c>
      <x:c r="O1768" s="37" t="n">
        <x:v>419.51491779088974</x:v>
      </x:c>
      <x:c r="P1768" s="37" t="n">
        <x:v>0</x:v>
      </x:c>
      <x:c r="Q1768" s="37" t="n">
        <x:v>0</x:v>
      </x:c>
      <x:c r="R1768" s="37" t="n">
        <x:v>0</x:v>
      </x:c>
      <x:c r="S1768" s="37" t="n">
        <x:v>0</x:v>
      </x:c>
      <x:c r="T1768" s="37" t="n">
        <x:v>0</x:v>
      </x:c>
      <x:c r="U1768" s="37" t="n">
        <x:v>47417.381478397</x:v>
      </x:c>
      <x:c r="V1768" s="37" t="n">
        <x:v>0</x:v>
      </x:c>
      <x:c r="W1768" s="37" t="n">
        <x:v>116147.12347737327</x:v>
      </x:c>
      <x:c r="X1768" s="37" t="n">
        <x:v>0</x:v>
      </x:c>
      <x:c r="Y1768" s="37" t="n">
        <x:v>1738.98756445152</x:v>
      </x:c>
      <x:c r="Z1768" s="37" t="n">
        <x:v>6105135.42411035</x:v>
      </x:c>
      <x:c r="AA1768" s="37" t="n">
        <x:v>0</x:v>
      </x:c>
      <x:c r="AB1768" s="37" t="n">
        <x:v>6105135.42411035</x:v>
      </x:c>
      <x:c r="AC1768" s="37" t="n">
        <x:v>1551431.3404656705</x:v>
      </x:c>
      <x:c r="AD1768" s="37" t="n">
        <x:v>0</x:v>
      </x:c>
      <x:c r="AE1768" s="37" t="n">
        <x:v>0</x:v>
      </x:c>
      <x:c r="AF1768" s="47" t="b">
        <x:v>0</x:v>
      </x:c>
      <x:c r="AG1768" s="47" t="b">
        <x:v>0</x:v>
      </x:c>
      <x:c r="AH1768" s="48" t="n">
        <x:v>0</x:v>
      </x:c>
      <x:c r="AI1768" s="48" t="n">
        <x:v>5.960464477539063e-8</x:v>
      </x:c>
      <x:c r="AJ1768" s="37" t="str">
        <x:v>passed</x:v>
      </x:c>
    </x:row>
    <x:row r="1769" ht="21" customHeight="1">
      <x:c r="A1769" s="2"/>
      <x:c r="B1769" s="2"/>
      <x:c r="C1769" s="2" t="str">
        <x:v>2023</x:v>
      </x:c>
      <x:c r="D1769" s="5" t="n">
        <x:v>45204</x:v>
      </x:c>
      <x:c r="E1769" s="2" t="str">
        <x:v>unweighted</x:v>
      </x:c>
      <x:c r="F1769" s="37" t="n">
        <x:v>10865505.306081256</x:v>
      </x:c>
      <x:c r="G1769" s="37" t="n">
        <x:v>956129.5722128906</x:v>
      </x:c>
      <x:c r="H1769" s="37" t="n">
        <x:v>-17941.652717350127</x:v>
      </x:c>
      <x:c r="I1769" s="37" t="n">
        <x:v>974071.2249302408</x:v>
      </x:c>
      <x:c r="J1769" s="37" t="n">
        <x:v>10334998.854509244</x:v>
      </x:c>
      <x:c r="K1769" s="37" t="n">
        <x:v>9378869.282296354</x:v>
      </x:c>
      <x:c r="L1769" s="37" t="n">
        <x:v>11821634.878294146</x:v>
      </x:c>
      <x:c r="M1769" s="37" t="n">
        <x:v>0</x:v>
      </x:c>
      <x:c r="N1769" s="37" t="n">
        <x:v>0</x:v>
      </x:c>
      <x:c r="O1769" s="37" t="n">
        <x:v>595.3375325240195</x:v>
      </x:c>
      <x:c r="P1769" s="37" t="n">
        <x:v>0</x:v>
      </x:c>
      <x:c r="Q1769" s="37" t="n">
        <x:v>0</x:v>
      </x:c>
      <x:c r="R1769" s="37" t="n">
        <x:v>0</x:v>
      </x:c>
      <x:c r="S1769" s="37" t="n">
        <x:v>0</x:v>
      </x:c>
      <x:c r="T1769" s="37" t="n">
        <x:v>0</x:v>
      </x:c>
      <x:c r="U1769" s="37" t="n">
        <x:v>31805.80415342993</x:v>
      </x:c>
      <x:c r="V1769" s="37" t="n">
        <x:v>0</x:v>
      </x:c>
      <x:c r="W1769" s="37" t="n">
        <x:v>169374.69282071292</x:v>
      </x:c>
      <x:c r="X1769" s="37" t="n">
        <x:v>0</x:v>
      </x:c>
      <x:c r="Y1769" s="37" t="n">
        <x:v>2213.10618367875</x:v>
      </x:c>
      <x:c r="Z1769" s="37" t="n">
        <x:v>9566446.667942282</x:v>
      </x:c>
      <x:c r="AA1769" s="37" t="n">
        <x:v>0</x:v>
      </x:c>
      <x:c r="AB1769" s="37" t="n">
        <x:v>9566446.667942282</x:v>
      </x:c>
      <x:c r="AC1769" s="37" t="n">
        <x:v>1299058.638138974</x:v>
      </x:c>
      <x:c r="AD1769" s="37" t="n">
        <x:v>0</x:v>
      </x:c>
      <x:c r="AE1769" s="37" t="n">
        <x:v>0</x:v>
      </x:c>
      <x:c r="AF1769" s="47" t="b">
        <x:v>0</x:v>
      </x:c>
      <x:c r="AG1769" s="47" t="b">
        <x:v>0</x:v>
      </x:c>
      <x:c r="AH1769" s="48" t="n">
        <x:v>0</x:v>
      </x:c>
      <x:c r="AI1769" s="48" t="n">
        <x:v>1.1920928955078125e-7</x:v>
      </x:c>
      <x:c r="AJ1769" s="37" t="str">
        <x:v>passed</x:v>
      </x:c>
    </x:row>
    <x:row r="1770" ht="21" customHeight="1">
      <x:c r="A1770" s="2"/>
      <x:c r="B1770" s="2"/>
      <x:c r="C1770" s="2" t="str">
        <x:v>2023</x:v>
      </x:c>
      <x:c r="D1770" s="5" t="n">
        <x:v>45204</x:v>
      </x:c>
      <x:c r="E1770" s="2" t="str">
        <x:v>constrained</x:v>
      </x:c>
      <x:c r="F1770" s="37" t="n">
        <x:v>11832037.158895249</x:v>
      </x:c>
      <x:c r="G1770" s="37" t="n">
        <x:v>-27708.53248638526</x:v>
      </x:c>
      <x:c r="H1770" s="37" t="n">
        <x:v>-19007.67062232214</x:v>
      </x:c>
      <x:c r="I1770" s="37" t="n">
        <x:v>-8700.861864063118</x:v>
      </x:c>
      <x:c r="J1770" s="37" t="n">
        <x:v>10333970.56590153</x:v>
      </x:c>
      <x:c r="K1770" s="37" t="n">
        <x:v>10361679.098387918</x:v>
      </x:c>
      <x:c r="L1770" s="37" t="n">
        <x:v>11804328.626408864</x:v>
      </x:c>
      <x:c r="M1770" s="37" t="n">
        <x:v>0</x:v>
      </x:c>
      <x:c r="N1770" s="37" t="n">
        <x:v>0</x:v>
      </x:c>
      <x:c r="O1770" s="37" t="n">
        <x:v>648.2952801994979</x:v>
      </x:c>
      <x:c r="P1770" s="37" t="n">
        <x:v>0</x:v>
      </x:c>
      <x:c r="Q1770" s="37" t="n">
        <x:v>0</x:v>
      </x:c>
      <x:c r="R1770" s="37" t="n">
        <x:v>0</x:v>
      </x:c>
      <x:c r="S1770" s="37" t="n">
        <x:v>0</x:v>
      </x:c>
      <x:c r="T1770" s="37" t="n">
        <x:v>0</x:v>
      </x:c>
      <x:c r="U1770" s="37" t="n">
        <x:v>30720.44529747225</x:v>
      </x:c>
      <x:c r="V1770" s="37" t="n">
        <x:v>0</x:v>
      </x:c>
      <x:c r="W1770" s="37" t="n">
        <x:v>176791.81923711486</x:v>
      </x:c>
      <x:c r="X1770" s="37" t="n">
        <x:v>0</x:v>
      </x:c>
      <x:c r="Y1770" s="37" t="n">
        <x:v>2194.4193904657527</x:v>
      </x:c>
      <x:c r="Z1770" s="37" t="n">
        <x:v>10568912.680355676</x:v>
      </x:c>
      <x:c r="AA1770" s="37" t="n">
        <x:v>0</x:v>
      </x:c>
      <x:c r="AB1770" s="37" t="n">
        <x:v>10568912.680355676</x:v>
      </x:c>
      <x:c r="AC1770" s="37" t="n">
        <x:v>1263124.478539573</x:v>
      </x:c>
      <x:c r="AD1770" s="37" t="n">
        <x:v>0</x:v>
      </x:c>
      <x:c r="AE1770" s="37" t="n">
        <x:v>0</x:v>
      </x:c>
      <x:c r="AF1770" s="47" t="b">
        <x:v>0</x:v>
      </x:c>
      <x:c r="AG1770" s="47" t="b">
        <x:v>0</x:v>
      </x:c>
      <x:c r="AH1770" s="48" t="n">
        <x:v>0</x:v>
      </x:c>
      <x:c r="AI1770" s="48" t="n">
        <x:v>1.1920928955078125e-7</x:v>
      </x:c>
      <x:c r="AJ1770" s="37" t="str">
        <x:v>passed</x:v>
      </x:c>
    </x:row>
    <x:row r="1771" ht="21" customHeight="1">
      <x:c r="A1771" s="2"/>
      <x:c r="B1771" s="2"/>
      <x:c r="C1771" s="2" t="str">
        <x:v>2023</x:v>
      </x:c>
      <x:c r="D1771" s="5" t="n">
        <x:v>45205</x:v>
      </x:c>
      <x:c r="E1771" s="2" t="str">
        <x:v>unhedged</x:v>
      </x:c>
      <x:c r="F1771" s="37" t="n">
        <x:v>1319293.665236025</x:v>
      </x:c>
      <x:c r="G1771" s="37" t="n">
        <x:v>10218603.671536697</x:v>
      </x:c>
      <x:c r="H1771" s="37" t="n">
        <x:v>33281.25</x:v>
      </x:c>
      <x:c r="I1771" s="37" t="n">
        <x:v>10185322.421536697</x:v>
      </x:c>
      <x:c r="J1771" s="37" t="n">
        <x:v>10218603.671536697</x:v>
      </x:c>
      <x:c r="K1771" s="37" t="n">
        <x:v>0</x:v>
      </x:c>
      <x:c r="L1771" s="37" t="n">
        <x:v>11537897.336772721</x:v>
      </x:c>
      <x:c r="M1771" s="37" t="n">
        <x:v>0</x:v>
      </x:c>
      <x:c r="N1771" s="37" t="n">
        <x:v>0</x:v>
      </x:c>
      <x:c r="O1771" s="37" t="n">
        <x:v>72.28610296617262</x:v>
      </x:c>
      <x:c r="P1771" s="37" t="n">
        <x:v>0</x:v>
      </x:c>
      <x:c r="Q1771" s="37" t="n">
        <x:v>0</x:v>
      </x:c>
      <x:c r="R1771" s="37" t="n">
        <x:v>0</x:v>
      </x:c>
      <x:c r="S1771" s="37" t="n">
        <x:v>0</x:v>
      </x:c>
      <x:c r="T1771" s="37" t="n">
        <x:v>0</x:v>
      </x:c>
      <x:c r="U1771" s="37" t="n">
        <x:v>101250</x:v>
      </x:c>
      <x:c r="V1771" s="37" t="n">
        <x:v>0</x:v>
      </x:c>
      <x:c r="W1771" s="37" t="n">
        <x:v>19086.53457814711</x:v>
      </x:c>
      <x:c r="X1771" s="37" t="n">
        <x:v>0</x:v>
      </x:c>
      <x:c r="Y1771" s="37" t="n">
        <x:v>1042.869342122179</x:v>
      </x:c>
      <x:c r="Z1771" s="37" t="n">
        <x:v>0</x:v>
      </x:c>
      <x:c r="AA1771" s="37" t="n">
        <x:v>0</x:v>
      </x:c>
      <x:c r="AB1771" s="37" t="n">
        <x:v>0</x:v>
      </x:c>
      <x:c r="AC1771" s="37" t="n">
        <x:v>1319293.665236025</x:v>
      </x:c>
      <x:c r="AD1771" s="37" t="n">
        <x:v>0</x:v>
      </x:c>
      <x:c r="AE1771" s="37" t="n">
        <x:v>0</x:v>
      </x:c>
      <x:c r="AF1771" s="47" t="b">
        <x:v>0</x:v>
      </x:c>
      <x:c r="AG1771" s="47" t="b">
        <x:v>0</x:v>
      </x:c>
      <x:c r="AH1771" s="48" t="n">
        <x:v>0</x:v>
      </x:c>
      <x:c r="AI1771" s="48" t="n">
        <x:v>1.1920928955078125e-7</x:v>
      </x:c>
      <x:c r="AJ1771" s="37" t="str">
        <x:v>passed</x:v>
      </x:c>
    </x:row>
    <x:row r="1772" ht="21" customHeight="1">
      <x:c r="A1772" s="2"/>
      <x:c r="B1772" s="2"/>
      <x:c r="C1772" s="2" t="str">
        <x:v>2023</x:v>
      </x:c>
      <x:c r="D1772" s="5" t="n">
        <x:v>45205</x:v>
      </x:c>
      <x:c r="E1772" s="2" t="str">
        <x:v>duration</x:v>
      </x:c>
      <x:c r="F1772" s="37" t="n">
        <x:v>7656986.30248093</x:v>
      </x:c>
      <x:c r="G1772" s="37" t="n">
        <x:v>4244255.9475841</x:v>
      </x:c>
      <x:c r="H1772" s="37" t="n">
        <x:v>-8096.355300031428</x:v>
      </x:c>
      <x:c r="I1772" s="37" t="n">
        <x:v>4252352.302884132</x:v>
      </x:c>
      <x:c r="J1772" s="37" t="n">
        <x:v>10218603.671536697</x:v>
      </x:c>
      <x:c r="K1772" s="37" t="n">
        <x:v>5974347.723952597</x:v>
      </x:c>
      <x:c r="L1772" s="37" t="n">
        <x:v>11901242.25006503</x:v>
      </x:c>
      <x:c r="M1772" s="37" t="n">
        <x:v>0</x:v>
      </x:c>
      <x:c r="N1772" s="37" t="n">
        <x:v>0</x:v>
      </x:c>
      <x:c r="O1772" s="37" t="n">
        <x:v>419.5379049098119</x:v>
      </x:c>
      <x:c r="P1772" s="37" t="n">
        <x:v>0</x:v>
      </x:c>
      <x:c r="Q1772" s="37" t="n">
        <x:v>0</x:v>
      </x:c>
      <x:c r="R1772" s="37" t="n">
        <x:v>0</x:v>
      </x:c>
      <x:c r="S1772" s="37" t="n">
        <x:v>0</x:v>
      </x:c>
      <x:c r="T1772" s="37" t="n">
        <x:v>0</x:v>
      </x:c>
      <x:c r="U1772" s="37" t="n">
        <x:v>47417.381478397</x:v>
      </x:c>
      <x:c r="V1772" s="37" t="n">
        <x:v>0</x:v>
      </x:c>
      <x:c r="W1772" s="37" t="n">
        <x:v>116566.66138228308</x:v>
      </x:c>
      <x:c r="X1772" s="37" t="n">
        <x:v>0</x:v>
      </x:c>
      <x:c r="Y1772" s="37" t="n">
        <x:v>1738.98756445152</x:v>
      </x:c>
      <x:c r="Z1772" s="37" t="n">
        <x:v>6093834.678431649</x:v>
      </x:c>
      <x:c r="AA1772" s="37" t="n">
        <x:v>0</x:v>
      </x:c>
      <x:c r="AB1772" s="37" t="n">
        <x:v>6093834.678431649</x:v>
      </x:c>
      <x:c r="AC1772" s="37" t="n">
        <x:v>1563151.6240492817</x:v>
      </x:c>
      <x:c r="AD1772" s="37" t="n">
        <x:v>0</x:v>
      </x:c>
      <x:c r="AE1772" s="37" t="n">
        <x:v>0</x:v>
      </x:c>
      <x:c r="AF1772" s="47" t="b">
        <x:v>0</x:v>
      </x:c>
      <x:c r="AG1772" s="47" t="b">
        <x:v>0</x:v>
      </x:c>
      <x:c r="AH1772" s="48" t="n">
        <x:v>0</x:v>
      </x:c>
      <x:c r="AI1772" s="48" t="n">
        <x:v>5.960464477539063e-8</x:v>
      </x:c>
      <x:c r="AJ1772" s="37" t="str">
        <x:v>passed</x:v>
      </x:c>
    </x:row>
    <x:row r="1773" ht="21" customHeight="1">
      <x:c r="A1773" s="2"/>
      <x:c r="B1773" s="2"/>
      <x:c r="C1773" s="2" t="str">
        <x:v>2023</x:v>
      </x:c>
      <x:c r="D1773" s="5" t="n">
        <x:v>45205</x:v>
      </x:c>
      <x:c r="E1773" s="2" t="str">
        <x:v>unweighted</x:v>
      </x:c>
      <x:c r="F1773" s="37" t="n">
        <x:v>10866100.676235016</x:v>
      </x:c>
      <x:c r="G1773" s="37" t="n">
        <x:v>955809.8779698317</x:v>
      </x:c>
      <x:c r="H1773" s="37" t="n">
        <x:v>-17967.880763625875</x:v>
      </x:c>
      <x:c r="I1773" s="37" t="n">
        <x:v>973777.7587334575</x:v>
      </x:c>
      <x:c r="J1773" s="37" t="n">
        <x:v>10317186.991081644</x:v>
      </x:c>
      <x:c r="K1773" s="37" t="n">
        <x:v>9361377.113111813</x:v>
      </x:c>
      <x:c r="L1773" s="37" t="n">
        <x:v>11821910.554204848</x:v>
      </x:c>
      <x:c r="M1773" s="37" t="n">
        <x:v>0</x:v>
      </x:c>
      <x:c r="N1773" s="37" t="n">
        <x:v>0</x:v>
      </x:c>
      <x:c r="O1773" s="37" t="n">
        <x:v>595.3701537605375</x:v>
      </x:c>
      <x:c r="P1773" s="37" t="n">
        <x:v>0</x:v>
      </x:c>
      <x:c r="Q1773" s="37" t="n">
        <x:v>0</x:v>
      </x:c>
      <x:c r="R1773" s="37" t="n">
        <x:v>0</x:v>
      </x:c>
      <x:c r="S1773" s="37" t="n">
        <x:v>0</x:v>
      </x:c>
      <x:c r="T1773" s="37" t="n">
        <x:v>0</x:v>
      </x:c>
      <x:c r="U1773" s="37" t="n">
        <x:v>31805.80415342993</x:v>
      </x:c>
      <x:c r="V1773" s="37" t="n">
        <x:v>0</x:v>
      </x:c>
      <x:c r="W1773" s="37" t="n">
        <x:v>169970.06297447346</x:v>
      </x:c>
      <x:c r="X1773" s="37" t="n">
        <x:v>0</x:v>
      </x:c>
      <x:c r="Y1773" s="37" t="n">
        <x:v>2213.10618367875</x:v>
      </x:c>
      <x:c r="Z1773" s="37" t="n">
        <x:v>9548604.655374048</x:v>
      </x:c>
      <x:c r="AA1773" s="37" t="n">
        <x:v>0</x:v>
      </x:c>
      <x:c r="AB1773" s="37" t="n">
        <x:v>9548604.655374048</x:v>
      </x:c>
      <x:c r="AC1773" s="37" t="n">
        <x:v>1317496.0208609682</x:v>
      </x:c>
      <x:c r="AD1773" s="37" t="n">
        <x:v>0</x:v>
      </x:c>
      <x:c r="AE1773" s="37" t="n">
        <x:v>0</x:v>
      </x:c>
      <x:c r="AF1773" s="47" t="b">
        <x:v>0</x:v>
      </x:c>
      <x:c r="AG1773" s="47" t="b">
        <x:v>0</x:v>
      </x:c>
      <x:c r="AH1773" s="48" t="n">
        <x:v>0</x:v>
      </x:c>
      <x:c r="AI1773" s="48" t="n">
        <x:v>1.1920928955078125e-7</x:v>
      </x:c>
      <x:c r="AJ1773" s="37" t="str">
        <x:v>passed</x:v>
      </x:c>
    </x:row>
    <x:row r="1774" ht="21" customHeight="1">
      <x:c r="A1774" s="2"/>
      <x:c r="B1774" s="2"/>
      <x:c r="C1774" s="2" t="str">
        <x:v>2023</x:v>
      </x:c>
      <x:c r="D1774" s="5" t="n">
        <x:v>45205</x:v>
      </x:c>
      <x:c r="E1774" s="2" t="str">
        <x:v>constrained</x:v>
      </x:c>
      <x:c r="F1774" s="37" t="n">
        <x:v>11832685.489698477</x:v>
      </x:c>
      <x:c r="G1774" s="37" t="n">
        <x:v>-27578.80913808031</x:v>
      </x:c>
      <x:c r="H1774" s="37" t="n">
        <x:v>-19043.04731889836</x:v>
      </x:c>
      <x:c r="I1774" s="37" t="n">
        <x:v>-8535.76181918195</x:v>
      </x:c>
      <x:c r="J1774" s="37" t="n">
        <x:v>10316300.540933434</x:v>
      </x:c>
      <x:c r="K1774" s="37" t="n">
        <x:v>10343879.350071514</x:v>
      </x:c>
      <x:c r="L1774" s="37" t="n">
        <x:v>11805106.680560397</x:v>
      </x:c>
      <x:c r="M1774" s="37" t="n">
        <x:v>0</x:v>
      </x:c>
      <x:c r="N1774" s="37" t="n">
        <x:v>0</x:v>
      </x:c>
      <x:c r="O1774" s="37" t="n">
        <x:v>648.3308032285422</x:v>
      </x:c>
      <x:c r="P1774" s="37" t="n">
        <x:v>0</x:v>
      </x:c>
      <x:c r="Q1774" s="37" t="n">
        <x:v>0</x:v>
      </x:c>
      <x:c r="R1774" s="37" t="n">
        <x:v>0</x:v>
      </x:c>
      <x:c r="S1774" s="37" t="n">
        <x:v>0</x:v>
      </x:c>
      <x:c r="T1774" s="37" t="n">
        <x:v>0</x:v>
      </x:c>
      <x:c r="U1774" s="37" t="n">
        <x:v>30720.44529747225</x:v>
      </x:c>
      <x:c r="V1774" s="37" t="n">
        <x:v>0</x:v>
      </x:c>
      <x:c r="W1774" s="37" t="n">
        <x:v>177440.1500403434</x:v>
      </x:c>
      <x:c r="X1774" s="37" t="n">
        <x:v>0</x:v>
      </x:c>
      <x:c r="Y1774" s="37" t="n">
        <x:v>2194.4193904657527</x:v>
      </x:c>
      <x:c r="Z1774" s="37" t="n">
        <x:v>10550756.937072944</x:v>
      </x:c>
      <x:c r="AA1774" s="37" t="n">
        <x:v>0</x:v>
      </x:c>
      <x:c r="AB1774" s="37" t="n">
        <x:v>10550756.937072944</x:v>
      </x:c>
      <x:c r="AC1774" s="37" t="n">
        <x:v>1281928.5526255332</x:v>
      </x:c>
      <x:c r="AD1774" s="37" t="n">
        <x:v>0</x:v>
      </x:c>
      <x:c r="AE1774" s="37" t="n">
        <x:v>0</x:v>
      </x:c>
      <x:c r="AF1774" s="47" t="b">
        <x:v>0</x:v>
      </x:c>
      <x:c r="AG1774" s="47" t="b">
        <x:v>0</x:v>
      </x:c>
      <x:c r="AH1774" s="48" t="n">
        <x:v>0</x:v>
      </x:c>
      <x:c r="AI1774" s="48" t="n">
        <x:v>1.1920928955078125e-7</x:v>
      </x:c>
      <x:c r="AJ1774" s="37" t="str">
        <x:v>passed</x:v>
      </x:c>
    </x:row>
    <x:row r="1775" ht="21" customHeight="1">
      <x:c r="A1775" s="2"/>
      <x:c r="B1775" s="2"/>
      <x:c r="C1775" s="2" t="str">
        <x:v>2023</x:v>
      </x:c>
      <x:c r="D1775" s="5" t="n">
        <x:v>45209</x:v>
      </x:c>
      <x:c r="E1775" s="2" t="str">
        <x:v>unhedged</x:v>
      </x:c>
      <x:c r="F1775" s="37" t="n">
        <x:v>1319582.849258884</x:v>
      </x:c>
      <x:c r="G1775" s="37" t="n">
        <x:v>10275317.368218329</x:v>
      </x:c>
      <x:c r="H1775" s="37" t="n">
        <x:v>34667.11956521739</x:v>
      </x:c>
      <x:c r="I1775" s="37" t="n">
        <x:v>10240650.248653112</x:v>
      </x:c>
      <x:c r="J1775" s="37" t="n">
        <x:v>10275317.368218329</x:v>
      </x:c>
      <x:c r="K1775" s="37" t="n">
        <x:v>0</x:v>
      </x:c>
      <x:c r="L1775" s="37" t="n">
        <x:v>11594900.217477214</x:v>
      </x:c>
      <x:c r="M1775" s="37" t="n">
        <x:v>0</x:v>
      </x:c>
      <x:c r="N1775" s="37" t="n">
        <x:v>0</x:v>
      </x:c>
      <x:c r="O1775" s="37" t="n">
        <x:v>289.18402285920456</x:v>
      </x:c>
      <x:c r="P1775" s="37" t="n">
        <x:v>0</x:v>
      </x:c>
      <x:c r="Q1775" s="37" t="n">
        <x:v>0</x:v>
      </x:c>
      <x:c r="R1775" s="37" t="n">
        <x:v>0</x:v>
      </x:c>
      <x:c r="S1775" s="37" t="n">
        <x:v>0</x:v>
      </x:c>
      <x:c r="T1775" s="37" t="n">
        <x:v>0</x:v>
      </x:c>
      <x:c r="U1775" s="37" t="n">
        <x:v>101250</x:v>
      </x:c>
      <x:c r="V1775" s="37" t="n">
        <x:v>0</x:v>
      </x:c>
      <x:c r="W1775" s="37" t="n">
        <x:v>19375.718601006316</x:v>
      </x:c>
      <x:c r="X1775" s="37" t="n">
        <x:v>0</x:v>
      </x:c>
      <x:c r="Y1775" s="37" t="n">
        <x:v>1042.869342122179</x:v>
      </x:c>
      <x:c r="Z1775" s="37" t="n">
        <x:v>0</x:v>
      </x:c>
      <x:c r="AA1775" s="37" t="n">
        <x:v>0</x:v>
      </x:c>
      <x:c r="AB1775" s="37" t="n">
        <x:v>0</x:v>
      </x:c>
      <x:c r="AC1775" s="37" t="n">
        <x:v>1319582.849258884</x:v>
      </x:c>
      <x:c r="AD1775" s="37" t="n">
        <x:v>0</x:v>
      </x:c>
      <x:c r="AE1775" s="37" t="n">
        <x:v>0</x:v>
      </x:c>
      <x:c r="AF1775" s="47" t="b">
        <x:v>0</x:v>
      </x:c>
      <x:c r="AG1775" s="47" t="b">
        <x:v>0</x:v>
      </x:c>
      <x:c r="AH1775" s="48" t="n">
        <x:v>0</x:v>
      </x:c>
      <x:c r="AI1775" s="48" t="n">
        <x:v>1.1920928955078125e-7</x:v>
      </x:c>
      <x:c r="AJ1775" s="37" t="str">
        <x:v>passed</x:v>
      </x:c>
    </x:row>
    <x:row r="1776" ht="21" customHeight="1">
      <x:c r="A1776" s="2"/>
      <x:c r="B1776" s="2"/>
      <x:c r="C1776" s="2" t="str">
        <x:v>2023</x:v>
      </x:c>
      <x:c r="D1776" s="5" t="n">
        <x:v>45209</x:v>
      </x:c>
      <x:c r="E1776" s="2" t="str">
        <x:v>duration</x:v>
      </x:c>
      <x:c r="F1776" s="37" t="n">
        <x:v>7658664.683996946</x:v>
      </x:c>
      <x:c r="G1776" s="37" t="n">
        <x:v>4248047.126196053</x:v>
      </x:c>
      <x:c r="H1776" s="37" t="n">
        <x:v>-7859.86365981491</x:v>
      </x:c>
      <x:c r="I1776" s="37" t="n">
        <x:v>4255906.989855868</x:v>
      </x:c>
      <x:c r="J1776" s="37" t="n">
        <x:v>10275317.368218329</x:v>
      </x:c>
      <x:c r="K1776" s="37" t="n">
        <x:v>6027270.242022276</x:v>
      </x:c>
      <x:c r="L1776" s="37" t="n">
        <x:v>11906711.810192998</x:v>
      </x:c>
      <x:c r="M1776" s="37" t="n">
        <x:v>0</x:v>
      </x:c>
      <x:c r="N1776" s="37" t="n">
        <x:v>0</x:v>
      </x:c>
      <x:c r="O1776" s="37" t="n">
        <x:v>1678.381516015157</x:v>
      </x:c>
      <x:c r="P1776" s="37" t="n">
        <x:v>0</x:v>
      </x:c>
      <x:c r="Q1776" s="37" t="n">
        <x:v>0</x:v>
      </x:c>
      <x:c r="R1776" s="37" t="n">
        <x:v>0</x:v>
      </x:c>
      <x:c r="S1776" s="37" t="n">
        <x:v>0</x:v>
      </x:c>
      <x:c r="T1776" s="37" t="n">
        <x:v>0</x:v>
      </x:c>
      <x:c r="U1776" s="37" t="n">
        <x:v>47417.381478397</x:v>
      </x:c>
      <x:c r="V1776" s="37" t="n">
        <x:v>0</x:v>
      </x:c>
      <x:c r="W1776" s="37" t="n">
        <x:v>118245.04289829824</x:v>
      </x:c>
      <x:c r="X1776" s="37" t="n">
        <x:v>0</x:v>
      </x:c>
      <x:c r="Y1776" s="37" t="n">
        <x:v>1738.98756445152</x:v>
      </x:c>
      <x:c r="Z1776" s="37" t="n">
        <x:v>6147815.646862722</x:v>
      </x:c>
      <x:c r="AA1776" s="37" t="n">
        <x:v>0</x:v>
      </x:c>
      <x:c r="AB1776" s="37" t="n">
        <x:v>6147815.646862722</x:v>
      </x:c>
      <x:c r="AC1776" s="37" t="n">
        <x:v>1510849.0371342236</x:v>
      </x:c>
      <x:c r="AD1776" s="37" t="n">
        <x:v>0</x:v>
      </x:c>
      <x:c r="AE1776" s="37" t="n">
        <x:v>0</x:v>
      </x:c>
      <x:c r="AF1776" s="47" t="b">
        <x:v>0</x:v>
      </x:c>
      <x:c r="AG1776" s="47" t="b">
        <x:v>0</x:v>
      </x:c>
      <x:c r="AH1776" s="48" t="n">
        <x:v>0</x:v>
      </x:c>
      <x:c r="AI1776" s="48" t="n">
        <x:v>5.960464477539063e-8</x:v>
      </x:c>
      <x:c r="AJ1776" s="37" t="str">
        <x:v>passed</x:v>
      </x:c>
    </x:row>
    <x:row r="1777" ht="21" customHeight="1">
      <x:c r="A1777" s="2"/>
      <x:c r="B1777" s="2"/>
      <x:c r="C1777" s="2" t="str">
        <x:v>2023</x:v>
      </x:c>
      <x:c r="D1777" s="5" t="n">
        <x:v>45209</x:v>
      </x:c>
      <x:c r="E1777" s="2" t="str">
        <x:v>unweighted</x:v>
      </x:c>
      <x:c r="F1777" s="37" t="n">
        <x:v>10868482.483098147</x:v>
      </x:c>
      <x:c r="G1777" s="37" t="n">
        <x:v>955684.0964628571</x:v>
      </x:c>
      <x:c r="H1777" s="37" t="n">
        <x:v>-18072.792948728915</x:v>
      </x:c>
      <x:c r="I1777" s="37" t="n">
        <x:v>973756.889411586</x:v>
      </x:c>
      <x:c r="J1777" s="37" t="n">
        <x:v>10375501.07988098</x:v>
      </x:c>
      <x:c r="K1777" s="37" t="n">
        <x:v>9419816.983418124</x:v>
      </x:c>
      <x:c r="L1777" s="37" t="n">
        <x:v>11824166.579561004</x:v>
      </x:c>
      <x:c r="M1777" s="37" t="n">
        <x:v>0</x:v>
      </x:c>
      <x:c r="N1777" s="37" t="n">
        <x:v>0</x:v>
      </x:c>
      <x:c r="O1777" s="37" t="n">
        <x:v>2381.8068631310016</x:v>
      </x:c>
      <x:c r="P1777" s="37" t="n">
        <x:v>0</x:v>
      </x:c>
      <x:c r="Q1777" s="37" t="n">
        <x:v>0</x:v>
      </x:c>
      <x:c r="R1777" s="37" t="n">
        <x:v>0</x:v>
      </x:c>
      <x:c r="S1777" s="37" t="n">
        <x:v>0</x:v>
      </x:c>
      <x:c r="T1777" s="37" t="n">
        <x:v>0</x:v>
      </x:c>
      <x:c r="U1777" s="37" t="n">
        <x:v>31805.80415342993</x:v>
      </x:c>
      <x:c r="V1777" s="37" t="n">
        <x:v>0</x:v>
      </x:c>
      <x:c r="W1777" s="37" t="n">
        <x:v>172351.86983760446</x:v>
      </x:c>
      <x:c r="X1777" s="37" t="n">
        <x:v>0</x:v>
      </x:c>
      <x:c r="Y1777" s="37" t="n">
        <x:v>2213.10618367875</x:v>
      </x:c>
      <x:c r="Z1777" s="37" t="n">
        <x:v>9608213.323086487</x:v>
      </x:c>
      <x:c r="AA1777" s="37" t="n">
        <x:v>0</x:v>
      </x:c>
      <x:c r="AB1777" s="37" t="n">
        <x:v>9608213.323086487</x:v>
      </x:c>
      <x:c r="AC1777" s="37" t="n">
        <x:v>1260269.1600116603</x:v>
      </x:c>
      <x:c r="AD1777" s="37" t="n">
        <x:v>0</x:v>
      </x:c>
      <x:c r="AE1777" s="37" t="n">
        <x:v>0</x:v>
      </x:c>
      <x:c r="AF1777" s="47" t="b">
        <x:v>0</x:v>
      </x:c>
      <x:c r="AG1777" s="47" t="b">
        <x:v>0</x:v>
      </x:c>
      <x:c r="AH1777" s="48" t="n">
        <x:v>0</x:v>
      </x:c>
      <x:c r="AI1777" s="48" t="n">
        <x:v>1.1920928955078125e-7</x:v>
      </x:c>
      <x:c r="AJ1777" s="37" t="str">
        <x:v>passed</x:v>
      </x:c>
    </x:row>
    <x:row r="1778" ht="21" customHeight="1">
      <x:c r="A1778" s="2"/>
      <x:c r="B1778" s="2"/>
      <x:c r="C1778" s="2" t="str">
        <x:v>2023</x:v>
      </x:c>
      <x:c r="D1778" s="5" t="n">
        <x:v>45209</x:v>
      </x:c>
      <x:c r="E1778" s="2" t="str">
        <x:v>constrained</x:v>
      </x:c>
      <x:c r="F1778" s="37" t="n">
        <x:v>11835279.168180611</x:v>
      </x:c>
      <x:c r="G1778" s="37" t="n">
        <x:v>-27278.238714326733</x:v>
      </x:c>
      <x:c r="H1778" s="37" t="n">
        <x:v>-19184.554105203264</x:v>
      </x:c>
      <x:c r="I1778" s="37" t="n">
        <x:v>-8093.684609123469</x:v>
      </x:c>
      <x:c r="J1778" s="37" t="n">
        <x:v>10374606.48494583</x:v>
      </x:c>
      <x:c r="K1778" s="37" t="n">
        <x:v>10401884.723660156</x:v>
      </x:c>
      <x:c r="L1778" s="37" t="n">
        <x:v>11808000.929466285</x:v>
      </x:c>
      <x:c r="M1778" s="37" t="n">
        <x:v>0</x:v>
      </x:c>
      <x:c r="N1778" s="37" t="n">
        <x:v>0</x:v>
      </x:c>
      <x:c r="O1778" s="37" t="n">
        <x:v>2593.678482133895</x:v>
      </x:c>
      <x:c r="P1778" s="37" t="n">
        <x:v>0</x:v>
      </x:c>
      <x:c r="Q1778" s="37" t="n">
        <x:v>0</x:v>
      </x:c>
      <x:c r="R1778" s="37" t="n">
        <x:v>0</x:v>
      </x:c>
      <x:c r="S1778" s="37" t="n">
        <x:v>0</x:v>
      </x:c>
      <x:c r="T1778" s="37" t="n">
        <x:v>0</x:v>
      </x:c>
      <x:c r="U1778" s="37" t="n">
        <x:v>30720.44529747225</x:v>
      </x:c>
      <x:c r="V1778" s="37" t="n">
        <x:v>0</x:v>
      </x:c>
      <x:c r="W1778" s="37" t="n">
        <x:v>180033.8285224773</x:v>
      </x:c>
      <x:c r="X1778" s="37" t="n">
        <x:v>0</x:v>
      </x:c>
      <x:c r="Y1778" s="37" t="n">
        <x:v>2194.4193904657527</x:v>
      </x:c>
      <x:c r="Z1778" s="37" t="n">
        <x:v>10609922.41813336</x:v>
      </x:c>
      <x:c r="AA1778" s="37" t="n">
        <x:v>0</x:v>
      </x:c>
      <x:c r="AB1778" s="37" t="n">
        <x:v>10609922.41813336</x:v>
      </x:c>
      <x:c r="AC1778" s="37" t="n">
        <x:v>1225356.7500472516</x:v>
      </x:c>
      <x:c r="AD1778" s="37" t="n">
        <x:v>0</x:v>
      </x:c>
      <x:c r="AE1778" s="37" t="n">
        <x:v>0</x:v>
      </x:c>
      <x:c r="AF1778" s="47" t="b">
        <x:v>0</x:v>
      </x:c>
      <x:c r="AG1778" s="47" t="b">
        <x:v>0</x:v>
      </x:c>
      <x:c r="AH1778" s="48" t="n">
        <x:v>0</x:v>
      </x:c>
      <x:c r="AI1778" s="48" t="n">
        <x:v>1.1920928955078125e-7</x:v>
      </x:c>
      <x:c r="AJ1778" s="37" t="str">
        <x:v>passed</x:v>
      </x:c>
    </x:row>
    <x:row r="1779" ht="21" customHeight="1">
      <x:c r="A1779" s="2"/>
      <x:c r="B1779" s="2"/>
      <x:c r="C1779" s="2" t="str">
        <x:v>2023</x:v>
      </x:c>
      <x:c r="D1779" s="5" t="n">
        <x:v>45210</x:v>
      </x:c>
      <x:c r="E1779" s="2" t="str">
        <x:v>unhedged</x:v>
      </x:c>
      <x:c r="F1779" s="37" t="n">
        <x:v>1319655.1551684327</x:v>
      </x:c>
      <x:c r="G1779" s="37" t="n">
        <x:v>10302391.977712013</x:v>
      </x:c>
      <x:c r="H1779" s="37" t="n">
        <x:v>35013.58695652174</x:v>
      </x:c>
      <x:c r="I1779" s="37" t="n">
        <x:v>10267378.390755491</x:v>
      </x:c>
      <x:c r="J1779" s="37" t="n">
        <x:v>10302391.977712013</x:v>
      </x:c>
      <x:c r="K1779" s="37" t="n">
        <x:v>0</x:v>
      </x:c>
      <x:c r="L1779" s="37" t="n">
        <x:v>11622047.132880446</x:v>
      </x:c>
      <x:c r="M1779" s="37" t="n">
        <x:v>0</x:v>
      </x:c>
      <x:c r="N1779" s="37" t="n">
        <x:v>0</x:v>
      </x:c>
      <x:c r="O1779" s="37" t="n">
        <x:v>72.30590954865329</x:v>
      </x:c>
      <x:c r="P1779" s="37" t="n">
        <x:v>0</x:v>
      </x:c>
      <x:c r="Q1779" s="37" t="n">
        <x:v>0</x:v>
      </x:c>
      <x:c r="R1779" s="37" t="n">
        <x:v>0</x:v>
      </x:c>
      <x:c r="S1779" s="37" t="n">
        <x:v>0</x:v>
      </x:c>
      <x:c r="T1779" s="37" t="n">
        <x:v>0</x:v>
      </x:c>
      <x:c r="U1779" s="37" t="n">
        <x:v>101250</x:v>
      </x:c>
      <x:c r="V1779" s="37" t="n">
        <x:v>0</x:v>
      </x:c>
      <x:c r="W1779" s="37" t="n">
        <x:v>19448.02451055497</x:v>
      </x:c>
      <x:c r="X1779" s="37" t="n">
        <x:v>0</x:v>
      </x:c>
      <x:c r="Y1779" s="37" t="n">
        <x:v>1042.869342122179</x:v>
      </x:c>
      <x:c r="Z1779" s="37" t="n">
        <x:v>0</x:v>
      </x:c>
      <x:c r="AA1779" s="37" t="n">
        <x:v>0</x:v>
      </x:c>
      <x:c r="AB1779" s="37" t="n">
        <x:v>0</x:v>
      </x:c>
      <x:c r="AC1779" s="37" t="n">
        <x:v>1319655.1551684327</x:v>
      </x:c>
      <x:c r="AD1779" s="37" t="n">
        <x:v>0</x:v>
      </x:c>
      <x:c r="AE1779" s="37" t="n">
        <x:v>0</x:v>
      </x:c>
      <x:c r="AF1779" s="47" t="b">
        <x:v>0</x:v>
      </x:c>
      <x:c r="AG1779" s="47" t="b">
        <x:v>0</x:v>
      </x:c>
      <x:c r="AH1779" s="48" t="n">
        <x:v>0</x:v>
      </x:c>
      <x:c r="AI1779" s="48" t="n">
        <x:v>1.1920928955078125e-7</x:v>
      </x:c>
      <x:c r="AJ1779" s="37" t="str">
        <x:v>passed</x:v>
      </x:c>
    </x:row>
    <x:row r="1780" ht="21" customHeight="1">
      <x:c r="A1780" s="2"/>
      <x:c r="B1780" s="2"/>
      <x:c r="C1780" s="2" t="str">
        <x:v>2023</x:v>
      </x:c>
      <x:c r="D1780" s="5" t="n">
        <x:v>45210</x:v>
      </x:c>
      <x:c r="E1780" s="2" t="str">
        <x:v>duration</x:v>
      </x:c>
      <x:c r="F1780" s="37" t="n">
        <x:v>7659084.336856342</x:v>
      </x:c>
      <x:c r="G1780" s="37" t="n">
        <x:v>4238313.730261591</x:v>
      </x:c>
      <x:c r="H1780" s="37" t="n">
        <x:v>-7800.740749760778</x:v>
      </x:c>
      <x:c r="I1780" s="37" t="n">
        <x:v>4246114.471011352</x:v>
      </x:c>
      <x:c r="J1780" s="37" t="n">
        <x:v>10302391.977712013</x:v>
      </x:c>
      <x:c r="K1780" s="37" t="n">
        <x:v>6064078.247450421</x:v>
      </x:c>
      <x:c r="L1780" s="37" t="n">
        <x:v>11897398.067117933</x:v>
      </x:c>
      <x:c r="M1780" s="37" t="n">
        <x:v>0</x:v>
      </x:c>
      <x:c r="N1780" s="37" t="n">
        <x:v>0</x:v>
      </x:c>
      <x:c r="O1780" s="37" t="n">
        <x:v>419.6528593963012</x:v>
      </x:c>
      <x:c r="P1780" s="37" t="n">
        <x:v>0</x:v>
      </x:c>
      <x:c r="Q1780" s="37" t="n">
        <x:v>0</x:v>
      </x:c>
      <x:c r="R1780" s="37" t="n">
        <x:v>0</x:v>
      </x:c>
      <x:c r="S1780" s="37" t="n">
        <x:v>0</x:v>
      </x:c>
      <x:c r="T1780" s="37" t="n">
        <x:v>0</x:v>
      </x:c>
      <x:c r="U1780" s="37" t="n">
        <x:v>47417.381478397</x:v>
      </x:c>
      <x:c r="V1780" s="37" t="n">
        <x:v>0</x:v>
      </x:c>
      <x:c r="W1780" s="37" t="n">
        <x:v>118664.69575769454</x:v>
      </x:c>
      <x:c r="X1780" s="37" t="n">
        <x:v>0</x:v>
      </x:c>
      <x:c r="Y1780" s="37" t="n">
        <x:v>1738.98756445152</x:v>
      </x:c>
      <x:c r="Z1780" s="37" t="n">
        <x:v>6185359.812399429</x:v>
      </x:c>
      <x:c r="AA1780" s="37" t="n">
        <x:v>0</x:v>
      </x:c>
      <x:c r="AB1780" s="37" t="n">
        <x:v>6185359.812399429</x:v>
      </x:c>
      <x:c r="AC1780" s="37" t="n">
        <x:v>1473724.5244569127</x:v>
      </x:c>
      <x:c r="AD1780" s="37" t="n">
        <x:v>0</x:v>
      </x:c>
      <x:c r="AE1780" s="37" t="n">
        <x:v>0</x:v>
      </x:c>
      <x:c r="AF1780" s="47" t="b">
        <x:v>0</x:v>
      </x:c>
      <x:c r="AG1780" s="47" t="b">
        <x:v>0</x:v>
      </x:c>
      <x:c r="AH1780" s="48" t="n">
        <x:v>0</x:v>
      </x:c>
      <x:c r="AI1780" s="48" t="n">
        <x:v>5.960464477539063e-8</x:v>
      </x:c>
      <x:c r="AJ1780" s="37" t="str">
        <x:v>passed</x:v>
      </x:c>
    </x:row>
    <x:row r="1781" ht="21" customHeight="1">
      <x:c r="A1781" s="2"/>
      <x:c r="B1781" s="2"/>
      <x:c r="C1781" s="2" t="str">
        <x:v>2023</x:v>
      </x:c>
      <x:c r="D1781" s="5" t="n">
        <x:v>45210</x:v>
      </x:c>
      <x:c r="E1781" s="2" t="str">
        <x:v>unweighted</x:v>
      </x:c>
      <x:c r="F1781" s="37" t="n">
        <x:v>10869078.016384892</x:v>
      </x:c>
      <x:c r="G1781" s="37" t="n">
        <x:v>954791.3880899289</x:v>
      </x:c>
      <x:c r="H1781" s="37" t="n">
        <x:v>-18099.020995004666</x:v>
      </x:c>
      <x:c r="I1781" s="37" t="n">
        <x:v>972890.4090849336</x:v>
      </x:c>
      <x:c r="J1781" s="37" t="n">
        <x:v>10404197.611482315</x:v>
      </x:c>
      <x:c r="K1781" s="37" t="n">
        <x:v>9449406.223392386</x:v>
      </x:c>
      <x:c r="L1781" s="37" t="n">
        <x:v>11823869.404474821</x:v>
      </x:c>
      <x:c r="M1781" s="37" t="n">
        <x:v>0</x:v>
      </x:c>
      <x:c r="N1781" s="37" t="n">
        <x:v>0</x:v>
      </x:c>
      <x:c r="O1781" s="37" t="n">
        <x:v>595.5332867447287</x:v>
      </x:c>
      <x:c r="P1781" s="37" t="n">
        <x:v>0</x:v>
      </x:c>
      <x:c r="Q1781" s="37" t="n">
        <x:v>0</x:v>
      </x:c>
      <x:c r="R1781" s="37" t="n">
        <x:v>0</x:v>
      </x:c>
      <x:c r="S1781" s="37" t="n">
        <x:v>0</x:v>
      </x:c>
      <x:c r="T1781" s="37" t="n">
        <x:v>0</x:v>
      </x:c>
      <x:c r="U1781" s="37" t="n">
        <x:v>31805.80415342993</x:v>
      </x:c>
      <x:c r="V1781" s="37" t="n">
        <x:v>0</x:v>
      </x:c>
      <x:c r="W1781" s="37" t="n">
        <x:v>172947.4031243492</x:v>
      </x:c>
      <x:c r="X1781" s="37" t="n">
        <x:v>0</x:v>
      </x:c>
      <x:c r="Y1781" s="37" t="n">
        <x:v>2213.10618367875</x:v>
      </x:c>
      <x:c r="Z1781" s="37" t="n">
        <x:v>9638394.347860234</x:v>
      </x:c>
      <x:c r="AA1781" s="37" t="n">
        <x:v>0</x:v>
      </x:c>
      <x:c r="AB1781" s="37" t="n">
        <x:v>9638394.347860234</x:v>
      </x:c>
      <x:c r="AC1781" s="37" t="n">
        <x:v>1230683.6685246583</x:v>
      </x:c>
      <x:c r="AD1781" s="37" t="n">
        <x:v>0</x:v>
      </x:c>
      <x:c r="AE1781" s="37" t="n">
        <x:v>0</x:v>
      </x:c>
      <x:c r="AF1781" s="47" t="b">
        <x:v>0</x:v>
      </x:c>
      <x:c r="AG1781" s="47" t="b">
        <x:v>0</x:v>
      </x:c>
      <x:c r="AH1781" s="48" t="n">
        <x:v>0</x:v>
      </x:c>
      <x:c r="AI1781" s="48" t="n">
        <x:v>1.1920928955078125e-7</x:v>
      </x:c>
      <x:c r="AJ1781" s="37" t="str">
        <x:v>passed</x:v>
      </x:c>
    </x:row>
    <x:row r="1782" ht="21" customHeight="1">
      <x:c r="A1782" s="2"/>
      <x:c r="B1782" s="2"/>
      <x:c r="C1782" s="2" t="str">
        <x:v>2023</x:v>
      </x:c>
      <x:c r="D1782" s="5" t="n">
        <x:v>45210</x:v>
      </x:c>
      <x:c r="E1782" s="2" t="str">
        <x:v>constrained</x:v>
      </x:c>
      <x:c r="F1782" s="37" t="n">
        <x:v>11835927.676628182</x:v>
      </x:c>
      <x:c r="G1782" s="37" t="n">
        <x:v>-27492.77378987382</x:v>
      </x:c>
      <x:c r="H1782" s="37" t="n">
        <x:v>-19219.930801779487</x:v>
      </x:c>
      <x:c r="I1782" s="37" t="n">
        <x:v>-8272.842988094333</x:v>
      </x:c>
      <x:c r="J1782" s="37" t="n">
        <x:v>10403351.219505178</x:v>
      </x:c>
      <x:c r="K1782" s="37" t="n">
        <x:v>10430843.993295051</x:v>
      </x:c>
      <x:c r="L1782" s="37" t="n">
        <x:v>11808434.902838308</x:v>
      </x:c>
      <x:c r="M1782" s="37" t="n">
        <x:v>0</x:v>
      </x:c>
      <x:c r="N1782" s="37" t="n">
        <x:v>0</x:v>
      </x:c>
      <x:c r="O1782" s="37" t="n">
        <x:v>648.5084475707263</x:v>
      </x:c>
      <x:c r="P1782" s="37" t="n">
        <x:v>0</x:v>
      </x:c>
      <x:c r="Q1782" s="37" t="n">
        <x:v>0</x:v>
      </x:c>
      <x:c r="R1782" s="37" t="n">
        <x:v>0</x:v>
      </x:c>
      <x:c r="S1782" s="37" t="n">
        <x:v>0</x:v>
      </x:c>
      <x:c r="T1782" s="37" t="n">
        <x:v>0</x:v>
      </x:c>
      <x:c r="U1782" s="37" t="n">
        <x:v>30720.44529747225</x:v>
      </x:c>
      <x:c r="V1782" s="37" t="n">
        <x:v>0</x:v>
      </x:c>
      <x:c r="W1782" s="37" t="n">
        <x:v>180682.33697004803</x:v>
      </x:c>
      <x:c r="X1782" s="37" t="n">
        <x:v>0</x:v>
      </x:c>
      <x:c r="Y1782" s="37" t="n">
        <x:v>2194.4193904657527</x:v>
      </x:c>
      <x:c r="Z1782" s="37" t="n">
        <x:v>10639460.873160953</x:v>
      </x:c>
      <x:c r="AA1782" s="37" t="n">
        <x:v>0</x:v>
      </x:c>
      <x:c r="AB1782" s="37" t="n">
        <x:v>10639460.873160953</x:v>
      </x:c>
      <x:c r="AC1782" s="37" t="n">
        <x:v>1196466.803467229</x:v>
      </x:c>
      <x:c r="AD1782" s="37" t="n">
        <x:v>0</x:v>
      </x:c>
      <x:c r="AE1782" s="37" t="n">
        <x:v>0</x:v>
      </x:c>
      <x:c r="AF1782" s="47" t="b">
        <x:v>0</x:v>
      </x:c>
      <x:c r="AG1782" s="47" t="b">
        <x:v>0</x:v>
      </x:c>
      <x:c r="AH1782" s="48" t="n">
        <x:v>0</x:v>
      </x:c>
      <x:c r="AI1782" s="48" t="n">
        <x:v>1.1920928955078125e-7</x:v>
      </x:c>
      <x:c r="AJ1782" s="37" t="str">
        <x:v>passed</x:v>
      </x:c>
    </x:row>
    <x:row r="1783" ht="21" customHeight="1">
      <x:c r="A1783" s="2"/>
      <x:c r="B1783" s="2"/>
      <x:c r="C1783" s="2" t="str">
        <x:v>2023</x:v>
      </x:c>
      <x:c r="D1783" s="5" t="n">
        <x:v>45211</x:v>
      </x:c>
      <x:c r="E1783" s="2" t="str">
        <x:v>unhedged</x:v>
      </x:c>
      <x:c r="F1783" s="37" t="n">
        <x:v>1319727.4650399487</x:v>
      </x:c>
      <x:c r="G1783" s="37" t="n">
        <x:v>10244925.224889765</x:v>
      </x:c>
      <x:c r="H1783" s="37" t="n">
        <x:v>35360.05434782609</x:v>
      </x:c>
      <x:c r="I1783" s="37" t="n">
        <x:v>10209565.170541938</x:v>
      </x:c>
      <x:c r="J1783" s="37" t="n">
        <x:v>10244925.224889765</x:v>
      </x:c>
      <x:c r="K1783" s="37" t="n">
        <x:v>0</x:v>
      </x:c>
      <x:c r="L1783" s="37" t="n">
        <x:v>11564652.689929713</x:v>
      </x:c>
      <x:c r="M1783" s="37" t="n">
        <x:v>0</x:v>
      </x:c>
      <x:c r="N1783" s="37" t="n">
        <x:v>0</x:v>
      </x:c>
      <x:c r="O1783" s="37" t="n">
        <x:v>72.30987151595764</x:v>
      </x:c>
      <x:c r="P1783" s="37" t="n">
        <x:v>0</x:v>
      </x:c>
      <x:c r="Q1783" s="37" t="n">
        <x:v>0</x:v>
      </x:c>
      <x:c r="R1783" s="37" t="n">
        <x:v>0</x:v>
      </x:c>
      <x:c r="S1783" s="37" t="n">
        <x:v>0</x:v>
      </x:c>
      <x:c r="T1783" s="37" t="n">
        <x:v>0</x:v>
      </x:c>
      <x:c r="U1783" s="37" t="n">
        <x:v>101250</x:v>
      </x:c>
      <x:c r="V1783" s="37" t="n">
        <x:v>0</x:v>
      </x:c>
      <x:c r="W1783" s="37" t="n">
        <x:v>19520.334382070927</x:v>
      </x:c>
      <x:c r="X1783" s="37" t="n">
        <x:v>0</x:v>
      </x:c>
      <x:c r="Y1783" s="37" t="n">
        <x:v>1042.869342122179</x:v>
      </x:c>
      <x:c r="Z1783" s="37" t="n">
        <x:v>0</x:v>
      </x:c>
      <x:c r="AA1783" s="37" t="n">
        <x:v>0</x:v>
      </x:c>
      <x:c r="AB1783" s="37" t="n">
        <x:v>0</x:v>
      </x:c>
      <x:c r="AC1783" s="37" t="n">
        <x:v>1319727.4650399487</x:v>
      </x:c>
      <x:c r="AD1783" s="37" t="n">
        <x:v>0</x:v>
      </x:c>
      <x:c r="AE1783" s="37" t="n">
        <x:v>0</x:v>
      </x:c>
      <x:c r="AF1783" s="47" t="b">
        <x:v>0</x:v>
      </x:c>
      <x:c r="AG1783" s="47" t="b">
        <x:v>0</x:v>
      </x:c>
      <x:c r="AH1783" s="48" t="n">
        <x:v>0</x:v>
      </x:c>
      <x:c r="AI1783" s="48" t="n">
        <x:v>1.1920928955078125e-7</x:v>
      </x:c>
      <x:c r="AJ1783" s="37" t="str">
        <x:v>passed</x:v>
      </x:c>
    </x:row>
    <x:row r="1784" ht="21" customHeight="1">
      <x:c r="A1784" s="2"/>
      <x:c r="B1784" s="2"/>
      <x:c r="C1784" s="2" t="str">
        <x:v>2023</x:v>
      </x:c>
      <x:c r="D1784" s="5" t="n">
        <x:v>45211</x:v>
      </x:c>
      <x:c r="E1784" s="2" t="str">
        <x:v>duration</x:v>
      </x:c>
      <x:c r="F1784" s="37" t="n">
        <x:v>7659504.012710418</x:v>
      </x:c>
      <x:c r="G1784" s="37" t="n">
        <x:v>4249323.570402505</x:v>
      </x:c>
      <x:c r="H1784" s="37" t="n">
        <x:v>-7741.617839706658</x:v>
      </x:c>
      <x:c r="I1784" s="37" t="n">
        <x:v>4257065.188242212</x:v>
      </x:c>
      <x:c r="J1784" s="37" t="n">
        <x:v>10244925.224889765</x:v>
      </x:c>
      <x:c r="K1784" s="37" t="n">
        <x:v>5995601.654487259</x:v>
      </x:c>
      <x:c r="L1784" s="37" t="n">
        <x:v>11908827.583112922</x:v>
      </x:c>
      <x:c r="M1784" s="37" t="n">
        <x:v>0</x:v>
      </x:c>
      <x:c r="N1784" s="37" t="n">
        <x:v>0</x:v>
      </x:c>
      <x:c r="O1784" s="37" t="n">
        <x:v>419.67585407570004</x:v>
      </x:c>
      <x:c r="P1784" s="37" t="n">
        <x:v>0</x:v>
      </x:c>
      <x:c r="Q1784" s="37" t="n">
        <x:v>0</x:v>
      </x:c>
      <x:c r="R1784" s="37" t="n">
        <x:v>0</x:v>
      </x:c>
      <x:c r="S1784" s="37" t="n">
        <x:v>0</x:v>
      </x:c>
      <x:c r="T1784" s="37" t="n">
        <x:v>0</x:v>
      </x:c>
      <x:c r="U1784" s="37" t="n">
        <x:v>47417.381478397</x:v>
      </x:c>
      <x:c r="V1784" s="37" t="n">
        <x:v>0</x:v>
      </x:c>
      <x:c r="W1784" s="37" t="n">
        <x:v>119084.37161177024</x:v>
      </x:c>
      <x:c r="X1784" s="37" t="n">
        <x:v>0</x:v>
      </x:c>
      <x:c r="Y1784" s="37" t="n">
        <x:v>1738.98756445152</x:v>
      </x:c>
      <x:c r="Z1784" s="37" t="n">
        <x:v>6115513.687577004</x:v>
      </x:c>
      <x:c r="AA1784" s="37" t="n">
        <x:v>0</x:v>
      </x:c>
      <x:c r="AB1784" s="37" t="n">
        <x:v>6115513.687577004</x:v>
      </x:c>
      <x:c r="AC1784" s="37" t="n">
        <x:v>1543990.325133414</x:v>
      </x:c>
      <x:c r="AD1784" s="37" t="n">
        <x:v>0</x:v>
      </x:c>
      <x:c r="AE1784" s="37" t="n">
        <x:v>0</x:v>
      </x:c>
      <x:c r="AF1784" s="47" t="b">
        <x:v>0</x:v>
      </x:c>
      <x:c r="AG1784" s="47" t="b">
        <x:v>0</x:v>
      </x:c>
      <x:c r="AH1784" s="48" t="n">
        <x:v>0</x:v>
      </x:c>
      <x:c r="AI1784" s="48" t="n">
        <x:v>5.960464477539063e-8</x:v>
      </x:c>
      <x:c r="AJ1784" s="37" t="str">
        <x:v>passed</x:v>
      </x:c>
    </x:row>
    <x:row r="1785" ht="21" customHeight="1">
      <x:c r="A1785" s="2"/>
      <x:c r="B1785" s="2"/>
      <x:c r="C1785" s="2" t="str">
        <x:v>2023</x:v>
      </x:c>
      <x:c r="D1785" s="5" t="n">
        <x:v>45211</x:v>
      </x:c>
      <x:c r="E1785" s="2" t="str">
        <x:v>unweighted</x:v>
      </x:c>
      <x:c r="F1785" s="37" t="n">
        <x:v>10869673.5823036</x:v>
      </x:c>
      <x:c r="G1785" s="37" t="n">
        <x:v>956970.2362436627</x:v>
      </x:c>
      <x:c r="H1785" s="37" t="n">
        <x:v>-18125.249041280433</x:v>
      </x:c>
      <x:c r="I1785" s="37" t="n">
        <x:v>975095.4852849431</x:v>
      </x:c>
      <x:c r="J1785" s="37" t="n">
        <x:v>10345234.766521376</x:v>
      </x:c>
      <x:c r="K1785" s="37" t="n">
        <x:v>9388264.530277712</x:v>
      </x:c>
      <x:c r="L1785" s="37" t="n">
        <x:v>11826643.818547264</x:v>
      </x:c>
      <x:c r="M1785" s="37" t="n">
        <x:v>0</x:v>
      </x:c>
      <x:c r="N1785" s="37" t="n">
        <x:v>0</x:v>
      </x:c>
      <x:c r="O1785" s="37" t="n">
        <x:v>595.5659187082201</x:v>
      </x:c>
      <x:c r="P1785" s="37" t="n">
        <x:v>0</x:v>
      </x:c>
      <x:c r="Q1785" s="37" t="n">
        <x:v>0</x:v>
      </x:c>
      <x:c r="R1785" s="37" t="n">
        <x:v>0</x:v>
      </x:c>
      <x:c r="S1785" s="37" t="n">
        <x:v>0</x:v>
      </x:c>
      <x:c r="T1785" s="37" t="n">
        <x:v>0</x:v>
      </x:c>
      <x:c r="U1785" s="37" t="n">
        <x:v>31805.80415342993</x:v>
      </x:c>
      <x:c r="V1785" s="37" t="n">
        <x:v>0</x:v>
      </x:c>
      <x:c r="W1785" s="37" t="n">
        <x:v>173542.9690430574</x:v>
      </x:c>
      <x:c r="X1785" s="37" t="n">
        <x:v>0</x:v>
      </x:c>
      <x:c r="Y1785" s="37" t="n">
        <x:v>2213.10618367875</x:v>
      </x:c>
      <x:c r="Z1785" s="37" t="n">
        <x:v>9576029.820883267</x:v>
      </x:c>
      <x:c r="AA1785" s="37" t="n">
        <x:v>0</x:v>
      </x:c>
      <x:c r="AB1785" s="37" t="n">
        <x:v>9576029.820883267</x:v>
      </x:c>
      <x:c r="AC1785" s="37" t="n">
        <x:v>1293643.7614203338</x:v>
      </x:c>
      <x:c r="AD1785" s="37" t="n">
        <x:v>0</x:v>
      </x:c>
      <x:c r="AE1785" s="37" t="n">
        <x:v>0</x:v>
      </x:c>
      <x:c r="AF1785" s="47" t="b">
        <x:v>0</x:v>
      </x:c>
      <x:c r="AG1785" s="47" t="b">
        <x:v>0</x:v>
      </x:c>
      <x:c r="AH1785" s="48" t="n">
        <x:v>0</x:v>
      </x:c>
      <x:c r="AI1785" s="48" t="n">
        <x:v>1.1920928955078125e-7</x:v>
      </x:c>
      <x:c r="AJ1785" s="37" t="str">
        <x:v>passed</x:v>
      </x:c>
    </x:row>
    <x:row r="1786" ht="21" customHeight="1">
      <x:c r="A1786" s="2"/>
      <x:c r="B1786" s="2"/>
      <x:c r="C1786" s="2" t="str">
        <x:v>2023</x:v>
      </x:c>
      <x:c r="D1786" s="5" t="n">
        <x:v>45211</x:v>
      </x:c>
      <x:c r="E1786" s="2" t="str">
        <x:v>constrained</x:v>
      </x:c>
      <x:c r="F1786" s="37" t="n">
        <x:v>11836576.220610464</x:v>
      </x:c>
      <x:c r="G1786" s="37" t="n">
        <x:v>-27529.43807407638</x:v>
      </x:c>
      <x:c r="H1786" s="37" t="n">
        <x:v>-19255.30749835572</x:v>
      </x:c>
      <x:c r="I1786" s="37" t="n">
        <x:v>-8274.130575720661</x:v>
      </x:c>
      <x:c r="J1786" s="37" t="n">
        <x:v>10344231.37482703</x:v>
      </x:c>
      <x:c r="K1786" s="37" t="n">
        <x:v>10371760.812901106</x:v>
      </x:c>
      <x:c r="L1786" s="37" t="n">
        <x:v>11809046.782536387</x:v>
      </x:c>
      <x:c r="M1786" s="37" t="n">
        <x:v>0</x:v>
      </x:c>
      <x:c r="N1786" s="37" t="n">
        <x:v>0</x:v>
      </x:c>
      <x:c r="O1786" s="37" t="n">
        <x:v>648.5439822822809</x:v>
      </x:c>
      <x:c r="P1786" s="37" t="n">
        <x:v>0</x:v>
      </x:c>
      <x:c r="Q1786" s="37" t="n">
        <x:v>0</x:v>
      </x:c>
      <x:c r="R1786" s="37" t="n">
        <x:v>0</x:v>
      </x:c>
      <x:c r="S1786" s="37" t="n">
        <x:v>0</x:v>
      </x:c>
      <x:c r="T1786" s="37" t="n">
        <x:v>0</x:v>
      </x:c>
      <x:c r="U1786" s="37" t="n">
        <x:v>30720.44529747225</x:v>
      </x:c>
      <x:c r="V1786" s="37" t="n">
        <x:v>0</x:v>
      </x:c>
      <x:c r="W1786" s="37" t="n">
        <x:v>181330.8809523303</x:v>
      </x:c>
      <x:c r="X1786" s="37" t="n">
        <x:v>0</x:v>
      </x:c>
      <x:c r="Y1786" s="37" t="n">
        <x:v>2194.4193904657527</x:v>
      </x:c>
      <x:c r="Z1786" s="37" t="n">
        <x:v>10579196.029159129</x:v>
      </x:c>
      <x:c r="AA1786" s="37" t="n">
        <x:v>0</x:v>
      </x:c>
      <x:c r="AB1786" s="37" t="n">
        <x:v>10579196.029159129</x:v>
      </x:c>
      <x:c r="AC1786" s="37" t="n">
        <x:v>1257380.1914513353</x:v>
      </x:c>
      <x:c r="AD1786" s="37" t="n">
        <x:v>0</x:v>
      </x:c>
      <x:c r="AE1786" s="37" t="n">
        <x:v>0</x:v>
      </x:c>
      <x:c r="AF1786" s="47" t="b">
        <x:v>0</x:v>
      </x:c>
      <x:c r="AG1786" s="47" t="b">
        <x:v>0</x:v>
      </x:c>
      <x:c r="AH1786" s="48" t="n">
        <x:v>0</x:v>
      </x:c>
      <x:c r="AI1786" s="48" t="n">
        <x:v>1.1920928955078125e-7</x:v>
      </x:c>
      <x:c r="AJ1786" s="37" t="str">
        <x:v>passed</x:v>
      </x:c>
    </x:row>
    <x:row r="1787" ht="21" customHeight="1">
      <x:c r="A1787" s="2"/>
      <x:c r="B1787" s="2"/>
      <x:c r="C1787" s="2" t="str">
        <x:v>2023</x:v>
      </x:c>
      <x:c r="D1787" s="5" t="n">
        <x:v>45212</x:v>
      </x:c>
      <x:c r="E1787" s="2" t="str">
        <x:v>unhedged</x:v>
      </x:c>
      <x:c r="F1787" s="37" t="n">
        <x:v>1319799.7788736497</x:v>
      </x:c>
      <x:c r="G1787" s="37" t="n">
        <x:v>10273121.025377162</x:v>
      </x:c>
      <x:c r="H1787" s="37" t="n">
        <x:v>35706.52173913043</x:v>
      </x:c>
      <x:c r="I1787" s="37" t="n">
        <x:v>10237414.503638031</x:v>
      </x:c>
      <x:c r="J1787" s="37" t="n">
        <x:v>10273121.025377162</x:v>
      </x:c>
      <x:c r="K1787" s="37" t="n">
        <x:v>0</x:v>
      </x:c>
      <x:c r="L1787" s="37" t="n">
        <x:v>11592920.804250812</x:v>
      </x:c>
      <x:c r="M1787" s="37" t="n">
        <x:v>0</x:v>
      </x:c>
      <x:c r="N1787" s="37" t="n">
        <x:v>0</x:v>
      </x:c>
      <x:c r="O1787" s="37" t="n">
        <x:v>72.31383370095864</x:v>
      </x:c>
      <x:c r="P1787" s="37" t="n">
        <x:v>0</x:v>
      </x:c>
      <x:c r="Q1787" s="37" t="n">
        <x:v>0</x:v>
      </x:c>
      <x:c r="R1787" s="37" t="n">
        <x:v>0</x:v>
      </x:c>
      <x:c r="S1787" s="37" t="n">
        <x:v>0</x:v>
      </x:c>
      <x:c r="T1787" s="37" t="n">
        <x:v>0</x:v>
      </x:c>
      <x:c r="U1787" s="37" t="n">
        <x:v>101250</x:v>
      </x:c>
      <x:c r="V1787" s="37" t="n">
        <x:v>0</x:v>
      </x:c>
      <x:c r="W1787" s="37" t="n">
        <x:v>19592.648215771886</x:v>
      </x:c>
      <x:c r="X1787" s="37" t="n">
        <x:v>0</x:v>
      </x:c>
      <x:c r="Y1787" s="37" t="n">
        <x:v>1042.869342122179</x:v>
      </x:c>
      <x:c r="Z1787" s="37" t="n">
        <x:v>0</x:v>
      </x:c>
      <x:c r="AA1787" s="37" t="n">
        <x:v>0</x:v>
      </x:c>
      <x:c r="AB1787" s="37" t="n">
        <x:v>0</x:v>
      </x:c>
      <x:c r="AC1787" s="37" t="n">
        <x:v>1319799.7788736497</x:v>
      </x:c>
      <x:c r="AD1787" s="37" t="n">
        <x:v>0</x:v>
      </x:c>
      <x:c r="AE1787" s="37" t="n">
        <x:v>0</x:v>
      </x:c>
      <x:c r="AF1787" s="47" t="b">
        <x:v>0</x:v>
      </x:c>
      <x:c r="AG1787" s="47" t="b">
        <x:v>0</x:v>
      </x:c>
      <x:c r="AH1787" s="48" t="n">
        <x:v>0</x:v>
      </x:c>
      <x:c r="AI1787" s="48" t="n">
        <x:v>1.1920928955078125e-7</x:v>
      </x:c>
      <x:c r="AJ1787" s="37" t="str">
        <x:v>passed</x:v>
      </x:c>
    </x:row>
    <x:row r="1788" ht="21" customHeight="1">
      <x:c r="A1788" s="2"/>
      <x:c r="B1788" s="2"/>
      <x:c r="C1788" s="2" t="str">
        <x:v>2023</x:v>
      </x:c>
      <x:c r="D1788" s="5" t="n">
        <x:v>45212</x:v>
      </x:c>
      <x:c r="E1788" s="2" t="str">
        <x:v>duration</x:v>
      </x:c>
      <x:c r="F1788" s="37" t="n">
        <x:v>7659923.711560429</x:v>
      </x:c>
      <x:c r="G1788" s="37" t="n">
        <x:v>4244938.167520311</x:v>
      </x:c>
      <x:c r="H1788" s="37" t="n">
        <x:v>-7682.494929652529</x:v>
      </x:c>
      <x:c r="I1788" s="37" t="n">
        <x:v>4252620.662449963</x:v>
      </x:c>
      <x:c r="J1788" s="37" t="n">
        <x:v>10273121.025377162</x:v>
      </x:c>
      <x:c r="K1788" s="37" t="n">
        <x:v>6028182.85785685</x:v>
      </x:c>
      <x:c r="L1788" s="37" t="n">
        <x:v>11904861.879080739</x:v>
      </x:c>
      <x:c r="M1788" s="37" t="n">
        <x:v>0</x:v>
      </x:c>
      <x:c r="N1788" s="37" t="n">
        <x:v>0</x:v>
      </x:c>
      <x:c r="O1788" s="37" t="n">
        <x:v>419.69885001145303</x:v>
      </x:c>
      <x:c r="P1788" s="37" t="n">
        <x:v>0</x:v>
      </x:c>
      <x:c r="Q1788" s="37" t="n">
        <x:v>0</x:v>
      </x:c>
      <x:c r="R1788" s="37" t="n">
        <x:v>0</x:v>
      </x:c>
      <x:c r="S1788" s="37" t="n">
        <x:v>0</x:v>
      </x:c>
      <x:c r="T1788" s="37" t="n">
        <x:v>0</x:v>
      </x:c>
      <x:c r="U1788" s="37" t="n">
        <x:v>47417.381478397</x:v>
      </x:c>
      <x:c r="V1788" s="37" t="n">
        <x:v>0</x:v>
      </x:c>
      <x:c r="W1788" s="37" t="n">
        <x:v>119504.0704617817</x:v>
      </x:c>
      <x:c r="X1788" s="37" t="n">
        <x:v>0</x:v>
      </x:c>
      <x:c r="Y1788" s="37" t="n">
        <x:v>1738.98756445152</x:v>
      </x:c>
      <x:c r="Z1788" s="37" t="n">
        <x:v>6148746.515013987</x:v>
      </x:c>
      <x:c r="AA1788" s="37" t="n">
        <x:v>0</x:v>
      </x:c>
      <x:c r="AB1788" s="37" t="n">
        <x:v>6148746.515013987</x:v>
      </x:c>
      <x:c r="AC1788" s="37" t="n">
        <x:v>1511177.1965464419</x:v>
      </x:c>
      <x:c r="AD1788" s="37" t="n">
        <x:v>0</x:v>
      </x:c>
      <x:c r="AE1788" s="37" t="n">
        <x:v>0</x:v>
      </x:c>
      <x:c r="AF1788" s="47" t="b">
        <x:v>0</x:v>
      </x:c>
      <x:c r="AG1788" s="47" t="b">
        <x:v>0</x:v>
      </x:c>
      <x:c r="AH1788" s="48" t="n">
        <x:v>0</x:v>
      </x:c>
      <x:c r="AI1788" s="48" t="n">
        <x:v>5.960464477539063e-8</x:v>
      </x:c>
      <x:c r="AJ1788" s="37" t="str">
        <x:v>passed</x:v>
      </x:c>
    </x:row>
    <x:row r="1789" ht="21" customHeight="1">
      <x:c r="A1789" s="2"/>
      <x:c r="B1789" s="2"/>
      <x:c r="C1789" s="2" t="str">
        <x:v>2023</x:v>
      </x:c>
      <x:c r="D1789" s="5" t="n">
        <x:v>45212</x:v>
      </x:c>
      <x:c r="E1789" s="2" t="str">
        <x:v>unweighted</x:v>
      </x:c>
      <x:c r="F1789" s="37" t="n">
        <x:v>10870269.180856055</x:v>
      </x:c>
      <x:c r="G1789" s="37" t="n">
        <x:v>956418.8195884097</x:v>
      </x:c>
      <x:c r="H1789" s="37" t="n">
        <x:v>-18151.47708755619</x:v>
      </x:c>
      <x:c r="I1789" s="37" t="n">
        <x:v>974570.2966759659</x:v>
      </x:c>
      <x:c r="J1789" s="37" t="n">
        <x:v>10374600.46999304</x:v>
      </x:c>
      <x:c r="K1789" s="37" t="n">
        <x:v>9418181.65040463</x:v>
      </x:c>
      <x:c r="L1789" s="37" t="n">
        <x:v>11826688.000444464</x:v>
      </x:c>
      <x:c r="M1789" s="37" t="n">
        <x:v>0</x:v>
      </x:c>
      <x:c r="N1789" s="37" t="n">
        <x:v>0</x:v>
      </x:c>
      <x:c r="O1789" s="37" t="n">
        <x:v>595.598552454263</x:v>
      </x:c>
      <x:c r="P1789" s="37" t="n">
        <x:v>0</x:v>
      </x:c>
      <x:c r="Q1789" s="37" t="n">
        <x:v>0</x:v>
      </x:c>
      <x:c r="R1789" s="37" t="n">
        <x:v>0</x:v>
      </x:c>
      <x:c r="S1789" s="37" t="n">
        <x:v>0</x:v>
      </x:c>
      <x:c r="T1789" s="37" t="n">
        <x:v>0</x:v>
      </x:c>
      <x:c r="U1789" s="37" t="n">
        <x:v>31805.80415342993</x:v>
      </x:c>
      <x:c r="V1789" s="37" t="n">
        <x:v>0</x:v>
      </x:c>
      <x:c r="W1789" s="37" t="n">
        <x:v>174138.56759551167</x:v>
      </x:c>
      <x:c r="X1789" s="37" t="n">
        <x:v>0</x:v>
      </x:c>
      <x:c r="Y1789" s="37" t="n">
        <x:v>2213.10618367875</x:v>
      </x:c>
      <x:c r="Z1789" s="37" t="n">
        <x:v>9606545.283412723</x:v>
      </x:c>
      <x:c r="AA1789" s="37" t="n">
        <x:v>0</x:v>
      </x:c>
      <x:c r="AB1789" s="37" t="n">
        <x:v>9606545.283412723</x:v>
      </x:c>
      <x:c r="AC1789" s="37" t="n">
        <x:v>1263723.8974433318</x:v>
      </x:c>
      <x:c r="AD1789" s="37" t="n">
        <x:v>0</x:v>
      </x:c>
      <x:c r="AE1789" s="37" t="n">
        <x:v>0</x:v>
      </x:c>
      <x:c r="AF1789" s="47" t="b">
        <x:v>0</x:v>
      </x:c>
      <x:c r="AG1789" s="47" t="b">
        <x:v>0</x:v>
      </x:c>
      <x:c r="AH1789" s="48" t="n">
        <x:v>0</x:v>
      </x:c>
      <x:c r="AI1789" s="48" t="n">
        <x:v>1.1920928955078125e-7</x:v>
      </x:c>
      <x:c r="AJ1789" s="37" t="str">
        <x:v>passed</x:v>
      </x:c>
    </x:row>
    <x:row r="1790" ht="21" customHeight="1">
      <x:c r="A1790" s="2"/>
      <x:c r="B1790" s="2"/>
      <x:c r="C1790" s="2" t="str">
        <x:v>2023</x:v>
      </x:c>
      <x:c r="D1790" s="5" t="n">
        <x:v>45212</x:v>
      </x:c>
      <x:c r="E1790" s="2" t="str">
        <x:v>constrained</x:v>
      </x:c>
      <x:c r="F1790" s="37" t="n">
        <x:v>11837224.8001294</x:v>
      </x:c>
      <x:c r="G1790" s="37" t="n">
        <x:v>-27530.202502756696</x:v>
      </x:c>
      <x:c r="H1790" s="37" t="n">
        <x:v>-19290.684194931942</x:v>
      </x:c>
      <x:c r="I1790" s="37" t="n">
        <x:v>-8239.518307824754</x:v>
      </x:c>
      <x:c r="J1790" s="37" t="n">
        <x:v>10373618.468448484</x:v>
      </x:c>
      <x:c r="K1790" s="37" t="n">
        <x:v>10401148.670951242</x:v>
      </x:c>
      <x:c r="L1790" s="37" t="n">
        <x:v>11809694.597626643</x:v>
      </x:c>
      <x:c r="M1790" s="37" t="n">
        <x:v>0</x:v>
      </x:c>
      <x:c r="N1790" s="37" t="n">
        <x:v>0</x:v>
      </x:c>
      <x:c r="O1790" s="37" t="n">
        <x:v>648.5795189365745</x:v>
      </x:c>
      <x:c r="P1790" s="37" t="n">
        <x:v>0</x:v>
      </x:c>
      <x:c r="Q1790" s="37" t="n">
        <x:v>0</x:v>
      </x:c>
      <x:c r="R1790" s="37" t="n">
        <x:v>0</x:v>
      </x:c>
      <x:c r="S1790" s="37" t="n">
        <x:v>0</x:v>
      </x:c>
      <x:c r="T1790" s="37" t="n">
        <x:v>0</x:v>
      </x:c>
      <x:c r="U1790" s="37" t="n">
        <x:v>30720.44529747225</x:v>
      </x:c>
      <x:c r="V1790" s="37" t="n">
        <x:v>0</x:v>
      </x:c>
      <x:c r="W1790" s="37" t="n">
        <x:v>181979.46047126688</x:v>
      </x:c>
      <x:c r="X1790" s="37" t="n">
        <x:v>0</x:v>
      </x:c>
      <x:c r="Y1790" s="37" t="n">
        <x:v>2194.4193904657527</x:v>
      </x:c>
      <x:c r="Z1790" s="37" t="n">
        <x:v>10609171.644370267</x:v>
      </x:c>
      <x:c r="AA1790" s="37" t="n">
        <x:v>0</x:v>
      </x:c>
      <x:c r="AB1790" s="37" t="n">
        <x:v>10609171.644370267</x:v>
      </x:c>
      <x:c r="AC1790" s="37" t="n">
        <x:v>1228053.1557591334</x:v>
      </x:c>
      <x:c r="AD1790" s="37" t="n">
        <x:v>0</x:v>
      </x:c>
      <x:c r="AE1790" s="37" t="n">
        <x:v>0</x:v>
      </x:c>
      <x:c r="AF1790" s="47" t="b">
        <x:v>0</x:v>
      </x:c>
      <x:c r="AG1790" s="47" t="b">
        <x:v>0</x:v>
      </x:c>
      <x:c r="AH1790" s="48" t="n">
        <x:v>0</x:v>
      </x:c>
      <x:c r="AI1790" s="48" t="n">
        <x:v>1.1920928955078125e-7</x:v>
      </x:c>
      <x:c r="AJ1790" s="37" t="str">
        <x:v>passed</x:v>
      </x:c>
    </x:row>
    <x:row r="1791" ht="21" customHeight="1">
      <x:c r="A1791" s="2"/>
      <x:c r="B1791" s="2"/>
      <x:c r="C1791" s="2" t="str">
        <x:v>2023</x:v>
      </x:c>
      <x:c r="D1791" s="5" t="n">
        <x:v>45215</x:v>
      </x:c>
      <x:c r="E1791" s="2" t="str">
        <x:v>unhedged</x:v>
      </x:c>
      <x:c r="F1791" s="37" t="n">
        <x:v>1320016.744150032</x:v>
      </x:c>
      <x:c r="G1791" s="37" t="n">
        <x:v>10243947.845494375</x:v>
      </x:c>
      <x:c r="H1791" s="37" t="n">
        <x:v>36745.92391304348</x:v>
      </x:c>
      <x:c r="I1791" s="37" t="n">
        <x:v>10207201.921581332</x:v>
      </x:c>
      <x:c r="J1791" s="37" t="n">
        <x:v>10243947.845494375</x:v>
      </x:c>
      <x:c r="K1791" s="37" t="n">
        <x:v>0</x:v>
      </x:c>
      <x:c r="L1791" s="37" t="n">
        <x:v>11563964.589644406</x:v>
      </x:c>
      <x:c r="M1791" s="37" t="n">
        <x:v>0</x:v>
      </x:c>
      <x:c r="N1791" s="37" t="n">
        <x:v>0</x:v>
      </x:c>
      <x:c r="O1791" s="37" t="n">
        <x:v>216.96527638239786</x:v>
      </x:c>
      <x:c r="P1791" s="37" t="n">
        <x:v>0</x:v>
      </x:c>
      <x:c r="Q1791" s="37" t="n">
        <x:v>0</x:v>
      </x:c>
      <x:c r="R1791" s="37" t="n">
        <x:v>0</x:v>
      </x:c>
      <x:c r="S1791" s="37" t="n">
        <x:v>0</x:v>
      </x:c>
      <x:c r="T1791" s="37" t="n">
        <x:v>0</x:v>
      </x:c>
      <x:c r="U1791" s="37" t="n">
        <x:v>101250</x:v>
      </x:c>
      <x:c r="V1791" s="37" t="n">
        <x:v>0</x:v>
      </x:c>
      <x:c r="W1791" s="37" t="n">
        <x:v>19809.613492154283</x:v>
      </x:c>
      <x:c r="X1791" s="37" t="n">
        <x:v>0</x:v>
      </x:c>
      <x:c r="Y1791" s="37" t="n">
        <x:v>1042.869342122179</x:v>
      </x:c>
      <x:c r="Z1791" s="37" t="n">
        <x:v>0</x:v>
      </x:c>
      <x:c r="AA1791" s="37" t="n">
        <x:v>0</x:v>
      </x:c>
      <x:c r="AB1791" s="37" t="n">
        <x:v>0</x:v>
      </x:c>
      <x:c r="AC1791" s="37" t="n">
        <x:v>1320016.744150032</x:v>
      </x:c>
      <x:c r="AD1791" s="37" t="n">
        <x:v>0</x:v>
      </x:c>
      <x:c r="AE1791" s="37" t="n">
        <x:v>0</x:v>
      </x:c>
      <x:c r="AF1791" s="47" t="b">
        <x:v>0</x:v>
      </x:c>
      <x:c r="AG1791" s="47" t="b">
        <x:v>0</x:v>
      </x:c>
      <x:c r="AH1791" s="48" t="n">
        <x:v>0</x:v>
      </x:c>
      <x:c r="AI1791" s="48" t="n">
        <x:v>1.1920928955078125e-7</x:v>
      </x:c>
      <x:c r="AJ1791" s="37" t="str">
        <x:v>passed</x:v>
      </x:c>
    </x:row>
    <x:row r="1792" ht="21" customHeight="1">
      <x:c r="A1792" s="2"/>
      <x:c r="B1792" s="2"/>
      <x:c r="C1792" s="2" t="str">
        <x:v>2023</x:v>
      </x:c>
      <x:c r="D1792" s="5" t="n">
        <x:v>45215</x:v>
      </x:c>
      <x:c r="E1792" s="2" t="str">
        <x:v>duration</x:v>
      </x:c>
      <x:c r="F1792" s="37" t="n">
        <x:v>7661182.946098691</x:v>
      </x:c>
      <x:c r="G1792" s="37" t="n">
        <x:v>4249690.090511715</x:v>
      </x:c>
      <x:c r="H1792" s="37" t="n">
        <x:v>-7505.126199490136</x:v>
      </x:c>
      <x:c r="I1792" s="37" t="n">
        <x:v>4257195.216711205</x:v>
      </x:c>
      <x:c r="J1792" s="37" t="n">
        <x:v>10243947.845494375</x:v>
      </x:c>
      <x:c r="K1792" s="37" t="n">
        <x:v>5994257.75498266</x:v>
      </x:c>
      <x:c r="L1792" s="37" t="n">
        <x:v>11910873.036610406</x:v>
      </x:c>
      <x:c r="M1792" s="37" t="n">
        <x:v>0</x:v>
      </x:c>
      <x:c r="N1792" s="37" t="n">
        <x:v>0</x:v>
      </x:c>
      <x:c r="O1792" s="37" t="n">
        <x:v>1259.2345382617787</x:v>
      </x:c>
      <x:c r="P1792" s="37" t="n">
        <x:v>0</x:v>
      </x:c>
      <x:c r="Q1792" s="37" t="n">
        <x:v>0</x:v>
      </x:c>
      <x:c r="R1792" s="37" t="n">
        <x:v>0</x:v>
      </x:c>
      <x:c r="S1792" s="37" t="n">
        <x:v>0</x:v>
      </x:c>
      <x:c r="T1792" s="37" t="n">
        <x:v>0</x:v>
      </x:c>
      <x:c r="U1792" s="37" t="n">
        <x:v>47417.381478397</x:v>
      </x:c>
      <x:c r="V1792" s="37" t="n">
        <x:v>0</x:v>
      </x:c>
      <x:c r="W1792" s="37" t="n">
        <x:v>120763.30500004347</x:v>
      </x:c>
      <x:c r="X1792" s="37" t="n">
        <x:v>0</x:v>
      </x:c>
      <x:c r="Y1792" s="37" t="n">
        <x:v>1738.98756445152</x:v>
      </x:c>
      <x:c r="Z1792" s="37" t="n">
        <x:v>6114142.910082313</x:v>
      </x:c>
      <x:c r="AA1792" s="37" t="n">
        <x:v>0</x:v>
      </x:c>
      <x:c r="AB1792" s="37" t="n">
        <x:v>6114142.910082313</x:v>
      </x:c>
      <x:c r="AC1792" s="37" t="n">
        <x:v>1547040.0360163776</x:v>
      </x:c>
      <x:c r="AD1792" s="37" t="n">
        <x:v>0</x:v>
      </x:c>
      <x:c r="AE1792" s="37" t="n">
        <x:v>0</x:v>
      </x:c>
      <x:c r="AF1792" s="47" t="b">
        <x:v>0</x:v>
      </x:c>
      <x:c r="AG1792" s="47" t="b">
        <x:v>0</x:v>
      </x:c>
      <x:c r="AH1792" s="48" t="n">
        <x:v>0</x:v>
      </x:c>
      <x:c r="AI1792" s="48" t="n">
        <x:v>5.960464477539063e-8</x:v>
      </x:c>
      <x:c r="AJ1792" s="37" t="str">
        <x:v>passed</x:v>
      </x:c>
    </x:row>
    <x:row r="1793" ht="21" customHeight="1">
      <x:c r="A1793" s="2"/>
      <x:c r="B1793" s="2"/>
      <x:c r="C1793" s="2" t="str">
        <x:v>2023</x:v>
      </x:c>
      <x:c r="D1793" s="5" t="n">
        <x:v>45215</x:v>
      </x:c>
      <x:c r="E1793" s="2" t="str">
        <x:v>unweighted</x:v>
      </x:c>
      <x:c r="F1793" s="37" t="n">
        <x:v>10872056.1723338</x:v>
      </x:c>
      <x:c r="G1793" s="37" t="n">
        <x:v>957614.4153670544</x:v>
      </x:c>
      <x:c r="H1793" s="37" t="n">
        <x:v>-18230.161226383458</x:v>
      </x:c>
      <x:c r="I1793" s="37" t="n">
        <x:v>975844.5765934378</x:v>
      </x:c>
      <x:c r="J1793" s="37" t="n">
        <x:v>10343997.010360349</x:v>
      </x:c>
      <x:c r="K1793" s="37" t="n">
        <x:v>9386382.594993293</x:v>
      </x:c>
      <x:c r="L1793" s="37" t="n">
        <x:v>11829670.587700853</x:v>
      </x:c>
      <x:c r="M1793" s="37" t="n">
        <x:v>0</x:v>
      </x:c>
      <x:c r="N1793" s="37" t="n">
        <x:v>0</x:v>
      </x:c>
      <x:c r="O1793" s="37" t="n">
        <x:v>1786.9914777446538</x:v>
      </x:c>
      <x:c r="P1793" s="37" t="n">
        <x:v>0</x:v>
      </x:c>
      <x:c r="Q1793" s="37" t="n">
        <x:v>0</x:v>
      </x:c>
      <x:c r="R1793" s="37" t="n">
        <x:v>0</x:v>
      </x:c>
      <x:c r="S1793" s="37" t="n">
        <x:v>0</x:v>
      </x:c>
      <x:c r="T1793" s="37" t="n">
        <x:v>0</x:v>
      </x:c>
      <x:c r="U1793" s="37" t="n">
        <x:v>31805.80415342993</x:v>
      </x:c>
      <x:c r="V1793" s="37" t="n">
        <x:v>0</x:v>
      </x:c>
      <x:c r="W1793" s="37" t="n">
        <x:v>175925.55907325633</x:v>
      </x:c>
      <x:c r="X1793" s="37" t="n">
        <x:v>0</x:v>
      </x:c>
      <x:c r="Y1793" s="37" t="n">
        <x:v>2213.10618367875</x:v>
      </x:c>
      <x:c r="Z1793" s="37" t="n">
        <x:v>9574110.24689316</x:v>
      </x:c>
      <x:c r="AA1793" s="37" t="n">
        <x:v>0</x:v>
      </x:c>
      <x:c r="AB1793" s="37" t="n">
        <x:v>9574110.24689316</x:v>
      </x:c>
      <x:c r="AC1793" s="37" t="n">
        <x:v>1297945.9254406393</x:v>
      </x:c>
      <x:c r="AD1793" s="37" t="n">
        <x:v>0</x:v>
      </x:c>
      <x:c r="AE1793" s="37" t="n">
        <x:v>0</x:v>
      </x:c>
      <x:c r="AF1793" s="47" t="b">
        <x:v>0</x:v>
      </x:c>
      <x:c r="AG1793" s="47" t="b">
        <x:v>0</x:v>
      </x:c>
      <x:c r="AH1793" s="48" t="n">
        <x:v>0</x:v>
      </x:c>
      <x:c r="AI1793" s="48" t="n">
        <x:v>1.1920928955078125e-7</x:v>
      </x:c>
      <x:c r="AJ1793" s="37" t="str">
        <x:v>passed</x:v>
      </x:c>
    </x:row>
    <x:row r="1794" ht="21" customHeight="1">
      <x:c r="A1794" s="2"/>
      <x:c r="B1794" s="2"/>
      <x:c r="C1794" s="2" t="str">
        <x:v>2023</x:v>
      </x:c>
      <x:c r="D1794" s="5" t="n">
        <x:v>45215</x:v>
      </x:c>
      <x:c r="E1794" s="2" t="str">
        <x:v>constrained</x:v>
      </x:c>
      <x:c r="F1794" s="37" t="n">
        <x:v>11839170.75192563</x:v>
      </x:c>
      <x:c r="G1794" s="37" t="n">
        <x:v>-27450.137369846103</x:v>
      </x:c>
      <x:c r="H1794" s="37" t="n">
        <x:v>-19396.814284660624</x:v>
      </x:c>
      <x:c r="I1794" s="37" t="n">
        <x:v>-8053.323085185479</x:v>
      </x:c>
      <x:c r="J1794" s="37" t="n">
        <x:v>10343020.864930294</x:v>
      </x:c>
      <x:c r="K1794" s="37" t="n">
        <x:v>10370471.00230014</x:v>
      </x:c>
      <x:c r="L1794" s="37" t="n">
        <x:v>11811720.614555784</x:v>
      </x:c>
      <x:c r="M1794" s="37" t="n">
        <x:v>0</x:v>
      </x:c>
      <x:c r="N1794" s="37" t="n">
        <x:v>0</x:v>
      </x:c>
      <x:c r="O1794" s="37" t="n">
        <x:v>1945.9517962299287</x:v>
      </x:c>
      <x:c r="P1794" s="37" t="n">
        <x:v>0</x:v>
      </x:c>
      <x:c r="Q1794" s="37" t="n">
        <x:v>0</x:v>
      </x:c>
      <x:c r="R1794" s="37" t="n">
        <x:v>0</x:v>
      </x:c>
      <x:c r="S1794" s="37" t="n">
        <x:v>0</x:v>
      </x:c>
      <x:c r="T1794" s="37" t="n">
        <x:v>0</x:v>
      </x:c>
      <x:c r="U1794" s="37" t="n">
        <x:v>30720.44529747225</x:v>
      </x:c>
      <x:c r="V1794" s="37" t="n">
        <x:v>0</x:v>
      </x:c>
      <x:c r="W1794" s="37" t="n">
        <x:v>183925.4122674968</x:v>
      </x:c>
      <x:c r="X1794" s="37" t="n">
        <x:v>0</x:v>
      </x:c>
      <x:c r="Y1794" s="37" t="n">
        <x:v>2194.4193904657527</x:v>
      </x:c>
      <x:c r="Z1794" s="37" t="n">
        <x:v>10577880.422346143</x:v>
      </x:c>
      <x:c r="AA1794" s="37" t="n">
        <x:v>0</x:v>
      </x:c>
      <x:c r="AB1794" s="37" t="n">
        <x:v>10577880.422346143</x:v>
      </x:c>
      <x:c r="AC1794" s="37" t="n">
        <x:v>1261290.3295794874</x:v>
      </x:c>
      <x:c r="AD1794" s="37" t="n">
        <x:v>0</x:v>
      </x:c>
      <x:c r="AE1794" s="37" t="n">
        <x:v>0</x:v>
      </x:c>
      <x:c r="AF1794" s="47" t="b">
        <x:v>0</x:v>
      </x:c>
      <x:c r="AG1794" s="47" t="b">
        <x:v>0</x:v>
      </x:c>
      <x:c r="AH1794" s="48" t="n">
        <x:v>0</x:v>
      </x:c>
      <x:c r="AI1794" s="48" t="n">
        <x:v>1.1920928955078125e-7</x:v>
      </x:c>
      <x:c r="AJ1794" s="37" t="str">
        <x:v>passed</x:v>
      </x:c>
    </x:row>
    <x:row r="1795" ht="21" customHeight="1">
      <x:c r="A1795" s="2"/>
      <x:c r="B1795" s="2"/>
      <x:c r="C1795" s="2" t="str">
        <x:v>2023</x:v>
      </x:c>
      <x:c r="D1795" s="5" t="n">
        <x:v>45216</x:v>
      </x:c>
      <x:c r="E1795" s="2" t="str">
        <x:v>unhedged</x:v>
      </x:c>
      <x:c r="F1795" s="37" t="n">
        <x:v>1320089.073834643</x:v>
      </x:c>
      <x:c r="G1795" s="37" t="n">
        <x:v>10187371.140780527</x:v>
      </x:c>
      <x:c r="H1795" s="37" t="n">
        <x:v>37092.391304347824</x:v>
      </x:c>
      <x:c r="I1795" s="37" t="n">
        <x:v>10150278.74947618</x:v>
      </x:c>
      <x:c r="J1795" s="37" t="n">
        <x:v>10187371.140780527</x:v>
      </x:c>
      <x:c r="K1795" s="37" t="n">
        <x:v>0</x:v>
      </x:c>
      <x:c r="L1795" s="37" t="n">
        <x:v>11507460.21461517</x:v>
      </x:c>
      <x:c r="M1795" s="37" t="n">
        <x:v>0</x:v>
      </x:c>
      <x:c r="N1795" s="37" t="n">
        <x:v>0</x:v>
      </x:c>
      <x:c r="O1795" s="37" t="n">
        <x:v>72.32968461094424</x:v>
      </x:c>
      <x:c r="P1795" s="37" t="n">
        <x:v>0</x:v>
      </x:c>
      <x:c r="Q1795" s="37" t="n">
        <x:v>0</x:v>
      </x:c>
      <x:c r="R1795" s="37" t="n">
        <x:v>0</x:v>
      </x:c>
      <x:c r="S1795" s="37" t="n">
        <x:v>0</x:v>
      </x:c>
      <x:c r="T1795" s="37" t="n">
        <x:v>0</x:v>
      </x:c>
      <x:c r="U1795" s="37" t="n">
        <x:v>101250</x:v>
      </x:c>
      <x:c r="V1795" s="37" t="n">
        <x:v>0</x:v>
      </x:c>
      <x:c r="W1795" s="37" t="n">
        <x:v>19881.943176765228</x:v>
      </x:c>
      <x:c r="X1795" s="37" t="n">
        <x:v>0</x:v>
      </x:c>
      <x:c r="Y1795" s="37" t="n">
        <x:v>1042.869342122179</x:v>
      </x:c>
      <x:c r="Z1795" s="37" t="n">
        <x:v>0</x:v>
      </x:c>
      <x:c r="AA1795" s="37" t="n">
        <x:v>0</x:v>
      </x:c>
      <x:c r="AB1795" s="37" t="n">
        <x:v>0</x:v>
      </x:c>
      <x:c r="AC1795" s="37" t="n">
        <x:v>1320089.073834643</x:v>
      </x:c>
      <x:c r="AD1795" s="37" t="n">
        <x:v>0</x:v>
      </x:c>
      <x:c r="AE1795" s="37" t="n">
        <x:v>0</x:v>
      </x:c>
      <x:c r="AF1795" s="47" t="b">
        <x:v>0</x:v>
      </x:c>
      <x:c r="AG1795" s="47" t="b">
        <x:v>0</x:v>
      </x:c>
      <x:c r="AH1795" s="48" t="n">
        <x:v>0</x:v>
      </x:c>
      <x:c r="AI1795" s="48" t="n">
        <x:v>1.1920928955078125e-7</x:v>
      </x:c>
      <x:c r="AJ1795" s="37" t="str">
        <x:v>passed</x:v>
      </x:c>
    </x:row>
    <x:row r="1796" ht="21" customHeight="1">
      <x:c r="A1796" s="2"/>
      <x:c r="B1796" s="2"/>
      <x:c r="C1796" s="2" t="str">
        <x:v>2023</x:v>
      </x:c>
      <x:c r="D1796" s="5" t="n">
        <x:v>45216</x:v>
      </x:c>
      <x:c r="E1796" s="2" t="str">
        <x:v>duration</x:v>
      </x:c>
      <x:c r="F1796" s="37" t="n">
        <x:v>7661602.736945053</x:v>
      </x:c>
      <x:c r="G1796" s="37" t="n">
        <x:v>4248601.615423072</x:v>
      </x:c>
      <x:c r="H1796" s="37" t="n">
        <x:v>-7446.003289436012</x:v>
      </x:c>
      <x:c r="I1796" s="37" t="n">
        <x:v>4256047.618712508</x:v>
      </x:c>
      <x:c r="J1796" s="37" t="n">
        <x:v>10187371.140780527</x:v>
      </x:c>
      <x:c r="K1796" s="37" t="n">
        <x:v>5938769.525357456</x:v>
      </x:c>
      <x:c r="L1796" s="37" t="n">
        <x:v>11910204.352368124</x:v>
      </x:c>
      <x:c r="M1796" s="37" t="n">
        <x:v>0</x:v>
      </x:c>
      <x:c r="N1796" s="37" t="n">
        <x:v>0</x:v>
      </x:c>
      <x:c r="O1796" s="37" t="n">
        <x:v>419.7908463617787</x:v>
      </x:c>
      <x:c r="P1796" s="37" t="n">
        <x:v>0</x:v>
      </x:c>
      <x:c r="Q1796" s="37" t="n">
        <x:v>0</x:v>
      </x:c>
      <x:c r="R1796" s="37" t="n">
        <x:v>0</x:v>
      </x:c>
      <x:c r="S1796" s="37" t="n">
        <x:v>0</x:v>
      </x:c>
      <x:c r="T1796" s="37" t="n">
        <x:v>0</x:v>
      </x:c>
      <x:c r="U1796" s="37" t="n">
        <x:v>47417.381478397</x:v>
      </x:c>
      <x:c r="V1796" s="37" t="n">
        <x:v>0</x:v>
      </x:c>
      <x:c r="W1796" s="37" t="n">
        <x:v>121183.09584640525</x:v>
      </x:c>
      <x:c r="X1796" s="37" t="n">
        <x:v>0</x:v>
      </x:c>
      <x:c r="Y1796" s="37" t="n">
        <x:v>1738.98756445152</x:v>
      </x:c>
      <x:c r="Z1796" s="37" t="n">
        <x:v>6057544.915864605</x:v>
      </x:c>
      <x:c r="AA1796" s="37" t="n">
        <x:v>0</x:v>
      </x:c>
      <x:c r="AB1796" s="37" t="n">
        <x:v>6057544.915864605</x:v>
      </x:c>
      <x:c r="AC1796" s="37" t="n">
        <x:v>1604057.8210804472</x:v>
      </x:c>
      <x:c r="AD1796" s="37" t="n">
        <x:v>0</x:v>
      </x:c>
      <x:c r="AE1796" s="37" t="n">
        <x:v>0</x:v>
      </x:c>
      <x:c r="AF1796" s="47" t="b">
        <x:v>0</x:v>
      </x:c>
      <x:c r="AG1796" s="47" t="b">
        <x:v>0</x:v>
      </x:c>
      <x:c r="AH1796" s="48" t="n">
        <x:v>0</x:v>
      </x:c>
      <x:c r="AI1796" s="48" t="n">
        <x:v>5.960464477539063e-8</x:v>
      </x:c>
      <x:c r="AJ1796" s="37" t="str">
        <x:v>passed</x:v>
      </x:c>
    </x:row>
    <x:row r="1797" ht="21" customHeight="1">
      <x:c r="A1797" s="2"/>
      <x:c r="B1797" s="2"/>
      <x:c r="C1797" s="2" t="str">
        <x:v>2023</x:v>
      </x:c>
      <x:c r="D1797" s="5" t="n">
        <x:v>45216</x:v>
      </x:c>
      <x:c r="E1797" s="2" t="str">
        <x:v>unweighted</x:v>
      </x:c>
      <x:c r="F1797" s="37" t="n">
        <x:v>10872651.901439134</x:v>
      </x:c>
      <x:c r="G1797" s="37" t="n">
        <x:v>958977.9967083842</x:v>
      </x:c>
      <x:c r="H1797" s="37" t="n">
        <x:v>-18256.38927265922</x:v>
      </x:c>
      <x:c r="I1797" s="37" t="n">
        <x:v>977234.3859810435</x:v>
      </x:c>
      <x:c r="J1797" s="37" t="n">
        <x:v>10286385.720224006</x:v>
      </x:c>
      <x:c r="K1797" s="37" t="n">
        <x:v>9327407.72351562</x:v>
      </x:c>
      <x:c r="L1797" s="37" t="n">
        <x:v>11831629.898147518</x:v>
      </x:c>
      <x:c r="M1797" s="37" t="n">
        <x:v>0</x:v>
      </x:c>
      <x:c r="N1797" s="37" t="n">
        <x:v>0</x:v>
      </x:c>
      <x:c r="O1797" s="37" t="n">
        <x:v>595.729105334729</x:v>
      </x:c>
      <x:c r="P1797" s="37" t="n">
        <x:v>0</x:v>
      </x:c>
      <x:c r="Q1797" s="37" t="n">
        <x:v>0</x:v>
      </x:c>
      <x:c r="R1797" s="37" t="n">
        <x:v>0</x:v>
      </x:c>
      <x:c r="S1797" s="37" t="n">
        <x:v>0</x:v>
      </x:c>
      <x:c r="T1797" s="37" t="n">
        <x:v>0</x:v>
      </x:c>
      <x:c r="U1797" s="37" t="n">
        <x:v>31805.80415342993</x:v>
      </x:c>
      <x:c r="V1797" s="37" t="n">
        <x:v>0</x:v>
      </x:c>
      <x:c r="W1797" s="37" t="n">
        <x:v>176521.28817859106</x:v>
      </x:c>
      <x:c r="X1797" s="37" t="n">
        <x:v>0</x:v>
      </x:c>
      <x:c r="Y1797" s="37" t="n">
        <x:v>2213.10618367875</x:v>
      </x:c>
      <x:c r="Z1797" s="37" t="n">
        <x:v>9513955.877985934</x:v>
      </x:c>
      <x:c r="AA1797" s="37" t="n">
        <x:v>0</x:v>
      </x:c>
      <x:c r="AB1797" s="37" t="n">
        <x:v>9513955.877985934</x:v>
      </x:c>
      <x:c r="AC1797" s="37" t="n">
        <x:v>1358696.0234532002</x:v>
      </x:c>
      <x:c r="AD1797" s="37" t="n">
        <x:v>0</x:v>
      </x:c>
      <x:c r="AE1797" s="37" t="n">
        <x:v>0</x:v>
      </x:c>
      <x:c r="AF1797" s="47" t="b">
        <x:v>0</x:v>
      </x:c>
      <x:c r="AG1797" s="47" t="b">
        <x:v>0</x:v>
      </x:c>
      <x:c r="AH1797" s="48" t="n">
        <x:v>0</x:v>
      </x:c>
      <x:c r="AI1797" s="48" t="n">
        <x:v>1.1920928955078125e-7</x:v>
      </x:c>
      <x:c r="AJ1797" s="37" t="str">
        <x:v>passed</x:v>
      </x:c>
    </x:row>
    <x:row r="1798" ht="21" customHeight="1">
      <x:c r="A1798" s="2"/>
      <x:c r="B1798" s="2"/>
      <x:c r="C1798" s="2" t="str">
        <x:v>2023</x:v>
      </x:c>
      <x:c r="D1798" s="5" t="n">
        <x:v>45216</x:v>
      </x:c>
      <x:c r="E1798" s="2" t="str">
        <x:v>constrained</x:v>
      </x:c>
      <x:c r="F1798" s="37" t="n">
        <x:v>11839819.473610668</x:v>
      </x:c>
      <x:c r="G1798" s="37" t="n">
        <x:v>-27331.815625907868</x:v>
      </x:c>
      <x:c r="H1798" s="37" t="n">
        <x:v>-19432.19098123685</x:v>
      </x:c>
      <x:c r="I1798" s="37" t="n">
        <x:v>-7899.624644671017</x:v>
      </x:c>
      <x:c r="J1798" s="37" t="n">
        <x:v>10285419.96425496</x:v>
      </x:c>
      <x:c r="K1798" s="37" t="n">
        <x:v>10312751.779880868</x:v>
      </x:c>
      <x:c r="L1798" s="37" t="n">
        <x:v>11812487.65798476</x:v>
      </x:c>
      <x:c r="M1798" s="37" t="n">
        <x:v>0</x:v>
      </x:c>
      <x:c r="N1798" s="37" t="n">
        <x:v>0</x:v>
      </x:c>
      <x:c r="O1798" s="37" t="n">
        <x:v>648.7216850370169</x:v>
      </x:c>
      <x:c r="P1798" s="37" t="n">
        <x:v>0</x:v>
      </x:c>
      <x:c r="Q1798" s="37" t="n">
        <x:v>0</x:v>
      </x:c>
      <x:c r="R1798" s="37" t="n">
        <x:v>0</x:v>
      </x:c>
      <x:c r="S1798" s="37" t="n">
        <x:v>0</x:v>
      </x:c>
      <x:c r="T1798" s="37" t="n">
        <x:v>0</x:v>
      </x:c>
      <x:c r="U1798" s="37" t="n">
        <x:v>30720.44529747225</x:v>
      </x:c>
      <x:c r="V1798" s="37" t="n">
        <x:v>0</x:v>
      </x:c>
      <x:c r="W1798" s="37" t="n">
        <x:v>184574.13395253383</x:v>
      </x:c>
      <x:c r="X1798" s="37" t="n">
        <x:v>0</x:v>
      </x:c>
      <x:c r="Y1798" s="37" t="n">
        <x:v>2194.4193904657527</x:v>
      </x:c>
      <x:c r="Z1798" s="37" t="n">
        <x:v>10519006.815478485</x:v>
      </x:c>
      <x:c r="AA1798" s="37" t="n">
        <x:v>0</x:v>
      </x:c>
      <x:c r="AB1798" s="37" t="n">
        <x:v>10519006.815478485</x:v>
      </x:c>
      <x:c r="AC1798" s="37" t="n">
        <x:v>1320812.6581321824</x:v>
      </x:c>
      <x:c r="AD1798" s="37" t="n">
        <x:v>0</x:v>
      </x:c>
      <x:c r="AE1798" s="37" t="n">
        <x:v>0</x:v>
      </x:c>
      <x:c r="AF1798" s="47" t="b">
        <x:v>0</x:v>
      </x:c>
      <x:c r="AG1798" s="47" t="b">
        <x:v>0</x:v>
      </x:c>
      <x:c r="AH1798" s="48" t="n">
        <x:v>0</x:v>
      </x:c>
      <x:c r="AI1798" s="48" t="n">
        <x:v>1.1920928955078125e-7</x:v>
      </x:c>
      <x:c r="AJ1798" s="37" t="str">
        <x:v>passed</x:v>
      </x:c>
    </x:row>
    <x:row r="1799" ht="21" customHeight="1">
      <x:c r="A1799" s="2"/>
      <x:c r="B1799" s="2"/>
      <x:c r="C1799" s="2" t="str">
        <x:v>2023</x:v>
      </x:c>
      <x:c r="D1799" s="5" t="n">
        <x:v>45217</x:v>
      </x:c>
      <x:c r="E1799" s="2" t="str">
        <x:v>unhedged</x:v>
      </x:c>
      <x:c r="F1799" s="37" t="n">
        <x:v>1320161.4074825244</x:v>
      </x:c>
      <x:c r="G1799" s="37" t="n">
        <x:v>10168091.433258511</x:v>
      </x:c>
      <x:c r="H1799" s="37" t="n">
        <x:v>37438.858695652176</x:v>
      </x:c>
      <x:c r="I1799" s="37" t="n">
        <x:v>10130652.574562859</x:v>
      </x:c>
      <x:c r="J1799" s="37" t="n">
        <x:v>10168091.433258511</x:v>
      </x:c>
      <x:c r="K1799" s="37" t="n">
        <x:v>0</x:v>
      </x:c>
      <x:c r="L1799" s="37" t="n">
        <x:v>11488252.840741035</x:v>
      </x:c>
      <x:c r="M1799" s="37" t="n">
        <x:v>0</x:v>
      </x:c>
      <x:c r="N1799" s="37" t="n">
        <x:v>0</x:v>
      </x:c>
      <x:c r="O1799" s="37" t="n">
        <x:v>72.3336478814017</x:v>
      </x:c>
      <x:c r="P1799" s="37" t="n">
        <x:v>0</x:v>
      </x:c>
      <x:c r="Q1799" s="37" t="n">
        <x:v>0</x:v>
      </x:c>
      <x:c r="R1799" s="37" t="n">
        <x:v>0</x:v>
      </x:c>
      <x:c r="S1799" s="37" t="n">
        <x:v>0</x:v>
      </x:c>
      <x:c r="T1799" s="37" t="n">
        <x:v>0</x:v>
      </x:c>
      <x:c r="U1799" s="37" t="n">
        <x:v>101250</x:v>
      </x:c>
      <x:c r="V1799" s="37" t="n">
        <x:v>0</x:v>
      </x:c>
      <x:c r="W1799" s="37" t="n">
        <x:v>19954.27682464663</x:v>
      </x:c>
      <x:c r="X1799" s="37" t="n">
        <x:v>0</x:v>
      </x:c>
      <x:c r="Y1799" s="37" t="n">
        <x:v>1042.869342122179</x:v>
      </x:c>
      <x:c r="Z1799" s="37" t="n">
        <x:v>0</x:v>
      </x:c>
      <x:c r="AA1799" s="37" t="n">
        <x:v>0</x:v>
      </x:c>
      <x:c r="AB1799" s="37" t="n">
        <x:v>0</x:v>
      </x:c>
      <x:c r="AC1799" s="37" t="n">
        <x:v>1320161.4074825244</x:v>
      </x:c>
      <x:c r="AD1799" s="37" t="n">
        <x:v>0</x:v>
      </x:c>
      <x:c r="AE1799" s="37" t="n">
        <x:v>0</x:v>
      </x:c>
      <x:c r="AF1799" s="47" t="b">
        <x:v>0</x:v>
      </x:c>
      <x:c r="AG1799" s="47" t="b">
        <x:v>0</x:v>
      </x:c>
      <x:c r="AH1799" s="48" t="n">
        <x:v>0</x:v>
      </x:c>
      <x:c r="AI1799" s="48" t="n">
        <x:v>1.1920928955078125e-7</x:v>
      </x:c>
      <x:c r="AJ1799" s="37" t="str">
        <x:v>passed</x:v>
      </x:c>
    </x:row>
    <x:row r="1800" ht="21" customHeight="1">
      <x:c r="A1800" s="2"/>
      <x:c r="B1800" s="2"/>
      <x:c r="C1800" s="2" t="str">
        <x:v>2023</x:v>
      </x:c>
      <x:c r="D1800" s="5" t="n">
        <x:v>45217</x:v>
      </x:c>
      <x:c r="E1800" s="2" t="str">
        <x:v>duration</x:v>
      </x:c>
      <x:c r="F1800" s="37" t="n">
        <x:v>7662022.550793652</x:v>
      </x:c>
      <x:c r="G1800" s="37" t="n">
        <x:v>4249314.4556100415</x:v>
      </x:c>
      <x:c r="H1800" s="37" t="n">
        <x:v>-7386.880379381874</x:v>
      </x:c>
      <x:c r="I1800" s="37" t="n">
        <x:v>4256701.335989423</x:v>
      </x:c>
      <x:c r="J1800" s="37" t="n">
        <x:v>10168091.433258511</x:v>
      </x:c>
      <x:c r="K1800" s="37" t="n">
        <x:v>5918776.977648469</x:v>
      </x:c>
      <x:c r="L1800" s="37" t="n">
        <x:v>11911337.006403694</x:v>
      </x:c>
      <x:c r="M1800" s="37" t="n">
        <x:v>0</x:v>
      </x:c>
      <x:c r="N1800" s="37" t="n">
        <x:v>0</x:v>
      </x:c>
      <x:c r="O1800" s="37" t="n">
        <x:v>419.8138485997915</x:v>
      </x:c>
      <x:c r="P1800" s="37" t="n">
        <x:v>0</x:v>
      </x:c>
      <x:c r="Q1800" s="37" t="n">
        <x:v>0</x:v>
      </x:c>
      <x:c r="R1800" s="37" t="n">
        <x:v>0</x:v>
      </x:c>
      <x:c r="S1800" s="37" t="n">
        <x:v>0</x:v>
      </x:c>
      <x:c r="T1800" s="37" t="n">
        <x:v>0</x:v>
      </x:c>
      <x:c r="U1800" s="37" t="n">
        <x:v>47417.381478397</x:v>
      </x:c>
      <x:c r="V1800" s="37" t="n">
        <x:v>0</x:v>
      </x:c>
      <x:c r="W1800" s="37" t="n">
        <x:v>121602.90969500504</x:v>
      </x:c>
      <x:c r="X1800" s="37" t="n">
        <x:v>0</x:v>
      </x:c>
      <x:c r="Y1800" s="37" t="n">
        <x:v>1738.98756445152</x:v>
      </x:c>
      <x:c r="Z1800" s="37" t="n">
        <x:v>6037152.517201439</x:v>
      </x:c>
      <x:c r="AA1800" s="37" t="n">
        <x:v>0</x:v>
      </x:c>
      <x:c r="AB1800" s="37" t="n">
        <x:v>6037152.517201439</x:v>
      </x:c>
      <x:c r="AC1800" s="37" t="n">
        <x:v>1624870.0335922139</x:v>
      </x:c>
      <x:c r="AD1800" s="37" t="n">
        <x:v>0</x:v>
      </x:c>
      <x:c r="AE1800" s="37" t="n">
        <x:v>0</x:v>
      </x:c>
      <x:c r="AF1800" s="47" t="b">
        <x:v>0</x:v>
      </x:c>
      <x:c r="AG1800" s="47" t="b">
        <x:v>0</x:v>
      </x:c>
      <x:c r="AH1800" s="48" t="n">
        <x:v>0</x:v>
      </x:c>
      <x:c r="AI1800" s="48" t="n">
        <x:v>5.960464477539063e-8</x:v>
      </x:c>
      <x:c r="AJ1800" s="37" t="str">
        <x:v>passed</x:v>
      </x:c>
    </x:row>
    <x:row r="1801" ht="21" customHeight="1">
      <x:c r="A1801" s="2"/>
      <x:c r="B1801" s="2"/>
      <x:c r="C1801" s="2" t="str">
        <x:v>2023</x:v>
      </x:c>
      <x:c r="D1801" s="5" t="n">
        <x:v>45217</x:v>
      </x:c>
      <x:c r="E1801" s="2" t="str">
        <x:v>unweighted</x:v>
      </x:c>
      <x:c r="F1801" s="37" t="n">
        <x:v>10873247.663187157</x:v>
      </x:c>
      <x:c r="G1801" s="37" t="n">
        <x:v>958954.4650915824</x:v>
      </x:c>
      <x:c r="H1801" s="37" t="n">
        <x:v>-18282.61731893497</x:v>
      </x:c>
      <x:c r="I1801" s="37" t="n">
        <x:v>977237.0824105174</x:v>
      </x:c>
      <x:c r="J1801" s="37" t="n">
        <x:v>10265836.70699779</x:v>
      </x:c>
      <x:c r="K1801" s="37" t="n">
        <x:v>9306882.241906207</x:v>
      </x:c>
      <x:c r="L1801" s="37" t="n">
        <x:v>11832202.12827874</x:v>
      </x:c>
      <x:c r="M1801" s="37" t="n">
        <x:v>0</x:v>
      </x:c>
      <x:c r="N1801" s="37" t="n">
        <x:v>0</x:v>
      </x:c>
      <x:c r="O1801" s="37" t="n">
        <x:v>595.7617480233312</x:v>
      </x:c>
      <x:c r="P1801" s="37" t="n">
        <x:v>0</x:v>
      </x:c>
      <x:c r="Q1801" s="37" t="n">
        <x:v>0</x:v>
      </x:c>
      <x:c r="R1801" s="37" t="n">
        <x:v>0</x:v>
      </x:c>
      <x:c r="S1801" s="37" t="n">
        <x:v>0</x:v>
      </x:c>
      <x:c r="T1801" s="37" t="n">
        <x:v>0</x:v>
      </x:c>
      <x:c r="U1801" s="37" t="n">
        <x:v>31805.80415342993</x:v>
      </x:c>
      <x:c r="V1801" s="37" t="n">
        <x:v>0</x:v>
      </x:c>
      <x:c r="W1801" s="37" t="n">
        <x:v>177117.0499266144</x:v>
      </x:c>
      <x:c r="X1801" s="37" t="n">
        <x:v>0</x:v>
      </x:c>
      <x:c r="Y1801" s="37" t="n">
        <x:v>2213.10618367875</x:v>
      </x:c>
      <x:c r="Z1801" s="37" t="n">
        <x:v>9493019.886744332</x:v>
      </x:c>
      <x:c r="AA1801" s="37" t="n">
        <x:v>0</x:v>
      </x:c>
      <x:c r="AB1801" s="37" t="n">
        <x:v>9493019.886744332</x:v>
      </x:c>
      <x:c r="AC1801" s="37" t="n">
        <x:v>1380227.7764428258</x:v>
      </x:c>
      <x:c r="AD1801" s="37" t="n">
        <x:v>0</x:v>
      </x:c>
      <x:c r="AE1801" s="37" t="n">
        <x:v>0</x:v>
      </x:c>
      <x:c r="AF1801" s="47" t="b">
        <x:v>0</x:v>
      </x:c>
      <x:c r="AG1801" s="47" t="b">
        <x:v>0</x:v>
      </x:c>
      <x:c r="AH1801" s="48" t="n">
        <x:v>0</x:v>
      </x:c>
      <x:c r="AI1801" s="48" t="n">
        <x:v>1.1920928955078125e-7</x:v>
      </x:c>
      <x:c r="AJ1801" s="37" t="str">
        <x:v>passed</x:v>
      </x:c>
    </x:row>
    <x:row r="1802" ht="21" customHeight="1">
      <x:c r="A1802" s="2"/>
      <x:c r="B1802" s="2"/>
      <x:c r="C1802" s="2" t="str">
        <x:v>2023</x:v>
      </x:c>
      <x:c r="D1802" s="5" t="n">
        <x:v>45217</x:v>
      </x:c>
      <x:c r="E1802" s="2" t="str">
        <x:v>constrained</x:v>
      </x:c>
      <x:c r="F1802" s="37" t="n">
        <x:v>11840468.230842099</x:v>
      </x:c>
      <x:c r="G1802" s="37" t="n">
        <x:v>-27679.535772321495</x:v>
      </x:c>
      <x:c r="H1802" s="37" t="n">
        <x:v>-19467.567677813066</x:v>
      </x:c>
      <x:c r="I1802" s="37" t="n">
        <x:v>-8211.96809450843</x:v>
      </x:c>
      <x:c r="J1802" s="37" t="n">
        <x:v>10264940.113171142</x:v>
      </x:c>
      <x:c r="K1802" s="37" t="n">
        <x:v>10292619.648943461</x:v>
      </x:c>
      <x:c r="L1802" s="37" t="n">
        <x:v>11812788.695069777</x:v>
      </x:c>
      <x:c r="M1802" s="37" t="n">
        <x:v>0</x:v>
      </x:c>
      <x:c r="N1802" s="37" t="n">
        <x:v>0</x:v>
      </x:c>
      <x:c r="O1802" s="37" t="n">
        <x:v>648.7572314310819</x:v>
      </x:c>
      <x:c r="P1802" s="37" t="n">
        <x:v>0</x:v>
      </x:c>
      <x:c r="Q1802" s="37" t="n">
        <x:v>0</x:v>
      </x:c>
      <x:c r="R1802" s="37" t="n">
        <x:v>0</x:v>
      </x:c>
      <x:c r="S1802" s="37" t="n">
        <x:v>0</x:v>
      </x:c>
      <x:c r="T1802" s="37" t="n">
        <x:v>0</x:v>
      </x:c>
      <x:c r="U1802" s="37" t="n">
        <x:v>30720.44529747225</x:v>
      </x:c>
      <x:c r="V1802" s="37" t="n">
        <x:v>0</x:v>
      </x:c>
      <x:c r="W1802" s="37" t="n">
        <x:v>185222.8911839649</x:v>
      </x:c>
      <x:c r="X1802" s="37" t="n">
        <x:v>0</x:v>
      </x:c>
      <x:c r="Y1802" s="37" t="n">
        <x:v>2194.4193904657527</x:v>
      </x:c>
      <x:c r="Z1802" s="37" t="n">
        <x:v>10498472.04192233</x:v>
      </x:c>
      <x:c r="AA1802" s="37" t="n">
        <x:v>0</x:v>
      </x:c>
      <x:c r="AB1802" s="37" t="n">
        <x:v>10498472.04192233</x:v>
      </x:c>
      <x:c r="AC1802" s="37" t="n">
        <x:v>1341996.1889197677</x:v>
      </x:c>
      <x:c r="AD1802" s="37" t="n">
        <x:v>0</x:v>
      </x:c>
      <x:c r="AE1802" s="37" t="n">
        <x:v>0</x:v>
      </x:c>
      <x:c r="AF1802" s="47" t="b">
        <x:v>0</x:v>
      </x:c>
      <x:c r="AG1802" s="47" t="b">
        <x:v>0</x:v>
      </x:c>
      <x:c r="AH1802" s="48" t="n">
        <x:v>0</x:v>
      </x:c>
      <x:c r="AI1802" s="48" t="n">
        <x:v>1.1920928955078125e-7</x:v>
      </x:c>
      <x:c r="AJ1802" s="37" t="str">
        <x:v>passed</x:v>
      </x:c>
    </x:row>
    <x:row r="1803" ht="21" customHeight="1">
      <x:c r="A1803" s="2"/>
      <x:c r="B1803" s="2"/>
      <x:c r="C1803" s="2" t="str">
        <x:v>2023</x:v>
      </x:c>
      <x:c r="D1803" s="5" t="n">
        <x:v>45218</x:v>
      </x:c>
      <x:c r="E1803" s="2" t="str">
        <x:v>unhedged</x:v>
      </x:c>
      <x:c r="F1803" s="37" t="n">
        <x:v>1320233.7450938935</x:v>
      </x:c>
      <x:c r="G1803" s="37" t="n">
        <x:v>10146133.002850283</x:v>
      </x:c>
      <x:c r="H1803" s="37" t="n">
        <x:v>37785.32608695652</x:v>
      </x:c>
      <x:c r="I1803" s="37" t="n">
        <x:v>10108347.676763326</x:v>
      </x:c>
      <x:c r="J1803" s="37" t="n">
        <x:v>10146133.002850283</x:v>
      </x:c>
      <x:c r="K1803" s="37" t="n">
        <x:v>0</x:v>
      </x:c>
      <x:c r="L1803" s="37" t="n">
        <x:v>11466366.747944176</x:v>
      </x:c>
      <x:c r="M1803" s="37" t="n">
        <x:v>0</x:v>
      </x:c>
      <x:c r="N1803" s="37" t="n">
        <x:v>0</x:v>
      </x:c>
      <x:c r="O1803" s="37" t="n">
        <x:v>72.33761136909015</x:v>
      </x:c>
      <x:c r="P1803" s="37" t="n">
        <x:v>0</x:v>
      </x:c>
      <x:c r="Q1803" s="37" t="n">
        <x:v>0</x:v>
      </x:c>
      <x:c r="R1803" s="37" t="n">
        <x:v>0</x:v>
      </x:c>
      <x:c r="S1803" s="37" t="n">
        <x:v>0</x:v>
      </x:c>
      <x:c r="T1803" s="37" t="n">
        <x:v>0</x:v>
      </x:c>
      <x:c r="U1803" s="37" t="n">
        <x:v>101250</x:v>
      </x:c>
      <x:c r="V1803" s="37" t="n">
        <x:v>0</x:v>
      </x:c>
      <x:c r="W1803" s="37" t="n">
        <x:v>20026.61443601572</x:v>
      </x:c>
      <x:c r="X1803" s="37" t="n">
        <x:v>0</x:v>
      </x:c>
      <x:c r="Y1803" s="37" t="n">
        <x:v>1042.869342122179</x:v>
      </x:c>
      <x:c r="Z1803" s="37" t="n">
        <x:v>0</x:v>
      </x:c>
      <x:c r="AA1803" s="37" t="n">
        <x:v>0</x:v>
      </x:c>
      <x:c r="AB1803" s="37" t="n">
        <x:v>0</x:v>
      </x:c>
      <x:c r="AC1803" s="37" t="n">
        <x:v>1320233.7450938935</x:v>
      </x:c>
      <x:c r="AD1803" s="37" t="n">
        <x:v>0</x:v>
      </x:c>
      <x:c r="AE1803" s="37" t="n">
        <x:v>0</x:v>
      </x:c>
      <x:c r="AF1803" s="47" t="b">
        <x:v>0</x:v>
      </x:c>
      <x:c r="AG1803" s="47" t="b">
        <x:v>0</x:v>
      </x:c>
      <x:c r="AH1803" s="48" t="n">
        <x:v>0</x:v>
      </x:c>
      <x:c r="AI1803" s="48" t="n">
        <x:v>1.1920928955078125e-7</x:v>
      </x:c>
      <x:c r="AJ1803" s="37" t="str">
        <x:v>passed</x:v>
      </x:c>
    </x:row>
    <x:row r="1804" ht="21" customHeight="1">
      <x:c r="A1804" s="2"/>
      <x:c r="B1804" s="2"/>
      <x:c r="C1804" s="2" t="str">
        <x:v>2023</x:v>
      </x:c>
      <x:c r="D1804" s="5" t="n">
        <x:v>45218</x:v>
      </x:c>
      <x:c r="E1804" s="2" t="str">
        <x:v>duration</x:v>
      </x:c>
      <x:c r="F1804" s="37" t="n">
        <x:v>7662442.387645751</x:v>
      </x:c>
      <x:c r="G1804" s="37" t="n">
        <x:v>4261938.03933938</x:v>
      </x:c>
      <x:c r="H1804" s="37" t="n">
        <x:v>-7327.757469327749</x:v>
      </x:c>
      <x:c r="I1804" s="37" t="n">
        <x:v>4269265.796808708</x:v>
      </x:c>
      <x:c r="J1804" s="37" t="n">
        <x:v>10146133.002850283</x:v>
      </x:c>
      <x:c r="K1804" s="37" t="n">
        <x:v>5884194.963510903</x:v>
      </x:c>
      <x:c r="L1804" s="37" t="n">
        <x:v>11924380.426985132</x:v>
      </x:c>
      <x:c r="M1804" s="37" t="n">
        <x:v>0</x:v>
      </x:c>
      <x:c r="N1804" s="37" t="n">
        <x:v>0</x:v>
      </x:c>
      <x:c r="O1804" s="37" t="n">
        <x:v>419.83685209881514</x:v>
      </x:c>
      <x:c r="P1804" s="37" t="n">
        <x:v>0</x:v>
      </x:c>
      <x:c r="Q1804" s="37" t="n">
        <x:v>0</x:v>
      </x:c>
      <x:c r="R1804" s="37" t="n">
        <x:v>0</x:v>
      </x:c>
      <x:c r="S1804" s="37" t="n">
        <x:v>0</x:v>
      </x:c>
      <x:c r="T1804" s="37" t="n">
        <x:v>0</x:v>
      </x:c>
      <x:c r="U1804" s="37" t="n">
        <x:v>47417.381478397</x:v>
      </x:c>
      <x:c r="V1804" s="37" t="n">
        <x:v>0</x:v>
      </x:c>
      <x:c r="W1804" s="37" t="n">
        <x:v>122022.74654710386</x:v>
      </x:c>
      <x:c r="X1804" s="37" t="n">
        <x:v>0</x:v>
      </x:c>
      <x:c r="Y1804" s="37" t="n">
        <x:v>1738.98756445152</x:v>
      </x:c>
      <x:c r="Z1804" s="37" t="n">
        <x:v>6001878.86278112</x:v>
      </x:c>
      <x:c r="AA1804" s="37" t="n">
        <x:v>0</x:v>
      </x:c>
      <x:c r="AB1804" s="37" t="n">
        <x:v>6001878.86278112</x:v>
      </x:c>
      <x:c r="AC1804" s="37" t="n">
        <x:v>1660563.5248646308</x:v>
      </x:c>
      <x:c r="AD1804" s="37" t="n">
        <x:v>0</x:v>
      </x:c>
      <x:c r="AE1804" s="37" t="n">
        <x:v>0</x:v>
      </x:c>
      <x:c r="AF1804" s="47" t="b">
        <x:v>0</x:v>
      </x:c>
      <x:c r="AG1804" s="47" t="b">
        <x:v>0</x:v>
      </x:c>
      <x:c r="AH1804" s="48" t="n">
        <x:v>0</x:v>
      </x:c>
      <x:c r="AI1804" s="48" t="n">
        <x:v>5.960464477539063e-8</x:v>
      </x:c>
      <x:c r="AJ1804" s="37" t="str">
        <x:v>passed</x:v>
      </x:c>
    </x:row>
    <x:row r="1805" ht="21" customHeight="1">
      <x:c r="A1805" s="2"/>
      <x:c r="B1805" s="2"/>
      <x:c r="C1805" s="2" t="str">
        <x:v>2023</x:v>
      </x:c>
      <x:c r="D1805" s="5" t="n">
        <x:v>45218</x:v>
      </x:c>
      <x:c r="E1805" s="2" t="str">
        <x:v>unweighted</x:v>
      </x:c>
      <x:c r="F1805" s="37" t="n">
        <x:v>10873843.457579661</x:v>
      </x:c>
      <x:c r="G1805" s="37" t="n">
        <x:v>960282.6760813954</x:v>
      </x:c>
      <x:c r="H1805" s="37" t="n">
        <x:v>-18308.84536521073</x:v>
      </x:c>
      <x:c r="I1805" s="37" t="n">
        <x:v>978591.5214466061</x:v>
      </x:c>
      <x:c r="J1805" s="37" t="n">
        <x:v>10242393.849412354</x:v>
      </x:c>
      <x:c r="K1805" s="37" t="n">
        <x:v>9282111.173330959</x:v>
      </x:c>
      <x:c r="L1805" s="37" t="n">
        <x:v>11834126.133661056</x:v>
      </x:c>
      <x:c r="M1805" s="37" t="n">
        <x:v>0</x:v>
      </x:c>
      <x:c r="N1805" s="37" t="n">
        <x:v>0</x:v>
      </x:c>
      <x:c r="O1805" s="37" t="n">
        <x:v>595.794392503798</x:v>
      </x:c>
      <x:c r="P1805" s="37" t="n">
        <x:v>0</x:v>
      </x:c>
      <x:c r="Q1805" s="37" t="n">
        <x:v>0</x:v>
      </x:c>
      <x:c r="R1805" s="37" t="n">
        <x:v>0</x:v>
      </x:c>
      <x:c r="S1805" s="37" t="n">
        <x:v>0</x:v>
      </x:c>
      <x:c r="T1805" s="37" t="n">
        <x:v>0</x:v>
      </x:c>
      <x:c r="U1805" s="37" t="n">
        <x:v>31805.80415342993</x:v>
      </x:c>
      <x:c r="V1805" s="37" t="n">
        <x:v>0</x:v>
      </x:c>
      <x:c r="W1805" s="37" t="n">
        <x:v>177712.8443191182</x:v>
      </x:c>
      <x:c r="X1805" s="37" t="n">
        <x:v>0</x:v>
      </x:c>
      <x:c r="Y1805" s="37" t="n">
        <x:v>2213.10618367875</x:v>
      </x:c>
      <x:c r="Z1805" s="37" t="n">
        <x:v>9467753.396797579</x:v>
      </x:c>
      <x:c r="AA1805" s="37" t="n">
        <x:v>0</x:v>
      </x:c>
      <x:c r="AB1805" s="37" t="n">
        <x:v>9467753.396797579</x:v>
      </x:c>
      <x:c r="AC1805" s="37" t="n">
        <x:v>1406090.0607820824</x:v>
      </x:c>
      <x:c r="AD1805" s="37" t="n">
        <x:v>0</x:v>
      </x:c>
      <x:c r="AE1805" s="37" t="n">
        <x:v>0</x:v>
      </x:c>
      <x:c r="AF1805" s="47" t="b">
        <x:v>0</x:v>
      </x:c>
      <x:c r="AG1805" s="47" t="b">
        <x:v>0</x:v>
      </x:c>
      <x:c r="AH1805" s="48" t="n">
        <x:v>0</x:v>
      </x:c>
      <x:c r="AI1805" s="48" t="n">
        <x:v>1.1920928955078125e-7</x:v>
      </x:c>
      <x:c r="AJ1805" s="37" t="str">
        <x:v>passed</x:v>
      </x:c>
    </x:row>
    <x:row r="1806" ht="21" customHeight="1">
      <x:c r="A1806" s="2"/>
      <x:c r="B1806" s="2"/>
      <x:c r="C1806" s="2" t="str">
        <x:v>2023</x:v>
      </x:c>
      <x:c r="D1806" s="5" t="n">
        <x:v>45218</x:v>
      </x:c>
      <x:c r="E1806" s="2" t="str">
        <x:v>constrained</x:v>
      </x:c>
      <x:c r="F1806" s="37" t="n">
        <x:v>11841117.023621872</x:v>
      </x:c>
      <x:c r="G1806" s="37" t="n">
        <x:v>-27347.22921129125</x:v>
      </x:c>
      <x:c r="H1806" s="37" t="n">
        <x:v>-19502.9443743893</x:v>
      </x:c>
      <x:c r="I1806" s="37" t="n">
        <x:v>-7844.284836901952</x:v>
      </x:c>
      <x:c r="J1806" s="37" t="n">
        <x:v>10241476.386681277</x:v>
      </x:c>
      <x:c r="K1806" s="37" t="n">
        <x:v>10268823.615892569</x:v>
      </x:c>
      <x:c r="L1806" s="37" t="n">
        <x:v>11813769.79441058</x:v>
      </x:c>
      <x:c r="M1806" s="37" t="n">
        <x:v>0</x:v>
      </x:c>
      <x:c r="N1806" s="37" t="n">
        <x:v>0</x:v>
      </x:c>
      <x:c r="O1806" s="37" t="n">
        <x:v>648.7927797734737</x:v>
      </x:c>
      <x:c r="P1806" s="37" t="n">
        <x:v>0</x:v>
      </x:c>
      <x:c r="Q1806" s="37" t="n">
        <x:v>0</x:v>
      </x:c>
      <x:c r="R1806" s="37" t="n">
        <x:v>0</x:v>
      </x:c>
      <x:c r="S1806" s="37" t="n">
        <x:v>0</x:v>
      </x:c>
      <x:c r="T1806" s="37" t="n">
        <x:v>0</x:v>
      </x:c>
      <x:c r="U1806" s="37" t="n">
        <x:v>30720.44529747225</x:v>
      </x:c>
      <x:c r="V1806" s="37" t="n">
        <x:v>0</x:v>
      </x:c>
      <x:c r="W1806" s="37" t="n">
        <x:v>185871.68396373838</x:v>
      </x:c>
      <x:c r="X1806" s="37" t="n">
        <x:v>0</x:v>
      </x:c>
      <x:c r="Y1806" s="37" t="n">
        <x:v>2194.4193904657527</x:v>
      </x:c>
      <x:c r="Z1806" s="37" t="n">
        <x:v>10474200.08821042</x:v>
      </x:c>
      <x:c r="AA1806" s="37" t="n">
        <x:v>0</x:v>
      </x:c>
      <x:c r="AB1806" s="37" t="n">
        <x:v>10474200.08821042</x:v>
      </x:c>
      <x:c r="AC1806" s="37" t="n">
        <x:v>1366916.9354114514</x:v>
      </x:c>
      <x:c r="AD1806" s="37" t="n">
        <x:v>0</x:v>
      </x:c>
      <x:c r="AE1806" s="37" t="n">
        <x:v>0</x:v>
      </x:c>
      <x:c r="AF1806" s="47" t="b">
        <x:v>0</x:v>
      </x:c>
      <x:c r="AG1806" s="47" t="b">
        <x:v>0</x:v>
      </x:c>
      <x:c r="AH1806" s="48" t="n">
        <x:v>0</x:v>
      </x:c>
      <x:c r="AI1806" s="48" t="n">
        <x:v>1.1920928955078125e-7</x:v>
      </x:c>
      <x:c r="AJ1806" s="37" t="str">
        <x:v>passed</x:v>
      </x:c>
    </x:row>
    <x:row r="1807" ht="21" customHeight="1">
      <x:c r="A1807" s="2"/>
      <x:c r="B1807" s="2"/>
      <x:c r="C1807" s="2" t="str">
        <x:v>2023</x:v>
      </x:c>
      <x:c r="D1807" s="5" t="n">
        <x:v>45219</x:v>
      </x:c>
      <x:c r="E1807" s="2" t="str">
        <x:v>unhedged</x:v>
      </x:c>
      <x:c r="F1807" s="37" t="n">
        <x:v>1320306.0866689673</x:v>
      </x:c>
      <x:c r="G1807" s="37" t="n">
        <x:v>10176636.109756174</x:v>
      </x:c>
      <x:c r="H1807" s="37" t="n">
        <x:v>38131.79347826087</x:v>
      </x:c>
      <x:c r="I1807" s="37" t="n">
        <x:v>10138504.316277912</x:v>
      </x:c>
      <x:c r="J1807" s="37" t="n">
        <x:v>10176636.109756174</x:v>
      </x:c>
      <x:c r="K1807" s="37" t="n">
        <x:v>0</x:v>
      </x:c>
      <x:c r="L1807" s="37" t="n">
        <x:v>11496942.19642514</x:v>
      </x:c>
      <x:c r="M1807" s="37" t="n">
        <x:v>0</x:v>
      </x:c>
      <x:c r="N1807" s="37" t="n">
        <x:v>0</x:v>
      </x:c>
      <x:c r="O1807" s="37" t="n">
        <x:v>72.34157507377677</x:v>
      </x:c>
      <x:c r="P1807" s="37" t="n">
        <x:v>0</x:v>
      </x:c>
      <x:c r="Q1807" s="37" t="n">
        <x:v>0</x:v>
      </x:c>
      <x:c r="R1807" s="37" t="n">
        <x:v>0</x:v>
      </x:c>
      <x:c r="S1807" s="37" t="n">
        <x:v>0</x:v>
      </x:c>
      <x:c r="T1807" s="37" t="n">
        <x:v>0</x:v>
      </x:c>
      <x:c r="U1807" s="37" t="n">
        <x:v>101250</x:v>
      </x:c>
      <x:c r="V1807" s="37" t="n">
        <x:v>0</x:v>
      </x:c>
      <x:c r="W1807" s="37" t="n">
        <x:v>20098.956011089496</x:v>
      </x:c>
      <x:c r="X1807" s="37" t="n">
        <x:v>0</x:v>
      </x:c>
      <x:c r="Y1807" s="37" t="n">
        <x:v>1042.869342122179</x:v>
      </x:c>
      <x:c r="Z1807" s="37" t="n">
        <x:v>0</x:v>
      </x:c>
      <x:c r="AA1807" s="37" t="n">
        <x:v>0</x:v>
      </x:c>
      <x:c r="AB1807" s="37" t="n">
        <x:v>0</x:v>
      </x:c>
      <x:c r="AC1807" s="37" t="n">
        <x:v>1320306.0866689673</x:v>
      </x:c>
      <x:c r="AD1807" s="37" t="n">
        <x:v>0</x:v>
      </x:c>
      <x:c r="AE1807" s="37" t="n">
        <x:v>0</x:v>
      </x:c>
      <x:c r="AF1807" s="47" t="b">
        <x:v>0</x:v>
      </x:c>
      <x:c r="AG1807" s="47" t="b">
        <x:v>0</x:v>
      </x:c>
      <x:c r="AH1807" s="48" t="n">
        <x:v>0</x:v>
      </x:c>
      <x:c r="AI1807" s="48" t="n">
        <x:v>1.1920928955078125e-7</x:v>
      </x:c>
      <x:c r="AJ1807" s="37" t="str">
        <x:v>passed</x:v>
      </x:c>
    </x:row>
    <x:row r="1808" ht="21" customHeight="1">
      <x:c r="A1808" s="2"/>
      <x:c r="B1808" s="2"/>
      <x:c r="C1808" s="2" t="str">
        <x:v>2023</x:v>
      </x:c>
      <x:c r="D1808" s="5" t="n">
        <x:v>45219</x:v>
      </x:c>
      <x:c r="E1808" s="2" t="str">
        <x:v>duration</x:v>
      </x:c>
      <x:c r="F1808" s="37" t="n">
        <x:v>7662862.24750261</x:v>
      </x:c>
      <x:c r="G1808" s="37" t="n">
        <x:v>4266393.09122459</x:v>
      </x:c>
      <x:c r="H1808" s="37" t="n">
        <x:v>-7268.6345592736125</x:v>
      </x:c>
      <x:c r="I1808" s="37" t="n">
        <x:v>4273661.725783864</x:v>
      </x:c>
      <x:c r="J1808" s="37" t="n">
        <x:v>10176636.109756174</x:v>
      </x:c>
      <x:c r="K1808" s="37" t="n">
        <x:v>5910243.018531584</x:v>
      </x:c>
      <x:c r="L1808" s="37" t="n">
        <x:v>11929255.3387272</x:v>
      </x:c>
      <x:c r="M1808" s="37" t="n">
        <x:v>0</x:v>
      </x:c>
      <x:c r="N1808" s="37" t="n">
        <x:v>0</x:v>
      </x:c>
      <x:c r="O1808" s="37" t="n">
        <x:v>419.8598568588495</x:v>
      </x:c>
      <x:c r="P1808" s="37" t="n">
        <x:v>0</x:v>
      </x:c>
      <x:c r="Q1808" s="37" t="n">
        <x:v>0</x:v>
      </x:c>
      <x:c r="R1808" s="37" t="n">
        <x:v>0</x:v>
      </x:c>
      <x:c r="S1808" s="37" t="n">
        <x:v>0</x:v>
      </x:c>
      <x:c r="T1808" s="37" t="n">
        <x:v>0</x:v>
      </x:c>
      <x:c r="U1808" s="37" t="n">
        <x:v>47417.381478397</x:v>
      </x:c>
      <x:c r="V1808" s="37" t="n">
        <x:v>0</x:v>
      </x:c>
      <x:c r="W1808" s="37" t="n">
        <x:v>122442.60640396271</x:v>
      </x:c>
      <x:c r="X1808" s="37" t="n">
        <x:v>0</x:v>
      </x:c>
      <x:c r="Y1808" s="37" t="n">
        <x:v>1738.98756445152</x:v>
      </x:c>
      <x:c r="Z1808" s="37" t="n">
        <x:v>6028447.8789022155</x:v>
      </x:c>
      <x:c r="AA1808" s="37" t="n">
        <x:v>0</x:v>
      </x:c>
      <x:c r="AB1808" s="37" t="n">
        <x:v>6028447.8789022155</x:v>
      </x:c>
      <x:c r="AC1808" s="37" t="n">
        <x:v>1634414.3686003946</x:v>
      </x:c>
      <x:c r="AD1808" s="37" t="n">
        <x:v>0</x:v>
      </x:c>
      <x:c r="AE1808" s="37" t="n">
        <x:v>0</x:v>
      </x:c>
      <x:c r="AF1808" s="47" t="b">
        <x:v>0</x:v>
      </x:c>
      <x:c r="AG1808" s="47" t="b">
        <x:v>0</x:v>
      </x:c>
      <x:c r="AH1808" s="48" t="n">
        <x:v>0</x:v>
      </x:c>
      <x:c r="AI1808" s="48" t="n">
        <x:v>5.960464477539063e-8</x:v>
      </x:c>
      <x:c r="AJ1808" s="37" t="str">
        <x:v>passed</x:v>
      </x:c>
    </x:row>
    <x:row r="1809" ht="21" customHeight="1">
      <x:c r="A1809" s="2"/>
      <x:c r="B1809" s="2"/>
      <x:c r="C1809" s="2" t="str">
        <x:v>2023</x:v>
      </x:c>
      <x:c r="D1809" s="5" t="n">
        <x:v>45219</x:v>
      </x:c>
      <x:c r="E1809" s="2" t="str">
        <x:v>unweighted</x:v>
      </x:c>
      <x:c r="F1809" s="37" t="n">
        <x:v>10874439.284618435</x:v>
      </x:c>
      <x:c r="G1809" s="37" t="n">
        <x:v>960118.1172044342</x:v>
      </x:c>
      <x:c r="H1809" s="37" t="n">
        <x:v>-18335.073411486486</x:v>
      </x:c>
      <x:c r="I1809" s="37" t="n">
        <x:v>978453.1906159207</x:v>
      </x:c>
      <x:c r="J1809" s="37" t="n">
        <x:v>10273444.28763573</x:v>
      </x:c>
      <x:c r="K1809" s="37" t="n">
        <x:v>9313326.170431297</x:v>
      </x:c>
      <x:c r="L1809" s="37" t="n">
        <x:v>11834557.401822869</x:v>
      </x:c>
      <x:c r="M1809" s="37" t="n">
        <x:v>0</x:v>
      </x:c>
      <x:c r="N1809" s="37" t="n">
        <x:v>0</x:v>
      </x:c>
      <x:c r="O1809" s="37" t="n">
        <x:v>595.8270387742668</x:v>
      </x:c>
      <x:c r="P1809" s="37" t="n">
        <x:v>0</x:v>
      </x:c>
      <x:c r="Q1809" s="37" t="n">
        <x:v>0</x:v>
      </x:c>
      <x:c r="R1809" s="37" t="n">
        <x:v>0</x:v>
      </x:c>
      <x:c r="S1809" s="37" t="n">
        <x:v>0</x:v>
      </x:c>
      <x:c r="T1809" s="37" t="n">
        <x:v>0</x:v>
      </x:c>
      <x:c r="U1809" s="37" t="n">
        <x:v>31805.80415342993</x:v>
      </x:c>
      <x:c r="V1809" s="37" t="n">
        <x:v>0</x:v>
      </x:c>
      <x:c r="W1809" s="37" t="n">
        <x:v>178308.67135789245</x:v>
      </x:c>
      <x:c r="X1809" s="37" t="n">
        <x:v>0</x:v>
      </x:c>
      <x:c r="Y1809" s="37" t="n">
        <x:v>2213.10618367875</x:v>
      </x:c>
      <x:c r="Z1809" s="37" t="n">
        <x:v>9499592.693839923</x:v>
      </x:c>
      <x:c r="AA1809" s="37" t="n">
        <x:v>0</x:v>
      </x:c>
      <x:c r="AB1809" s="37" t="n">
        <x:v>9499592.693839923</x:v>
      </x:c>
      <x:c r="AC1809" s="37" t="n">
        <x:v>1374846.5907785129</x:v>
      </x:c>
      <x:c r="AD1809" s="37" t="n">
        <x:v>0</x:v>
      </x:c>
      <x:c r="AE1809" s="37" t="n">
        <x:v>0</x:v>
      </x:c>
      <x:c r="AF1809" s="47" t="b">
        <x:v>0</x:v>
      </x:c>
      <x:c r="AG1809" s="47" t="b">
        <x:v>0</x:v>
      </x:c>
      <x:c r="AH1809" s="48" t="n">
        <x:v>0</x:v>
      </x:c>
      <x:c r="AI1809" s="48" t="n">
        <x:v>1.1920928955078125e-7</x:v>
      </x:c>
      <x:c r="AJ1809" s="37" t="str">
        <x:v>passed</x:v>
      </x:c>
    </x:row>
    <x:row r="1810" ht="21" customHeight="1">
      <x:c r="A1810" s="2"/>
      <x:c r="B1810" s="2"/>
      <x:c r="C1810" s="2" t="str">
        <x:v>2023</x:v>
      </x:c>
      <x:c r="D1810" s="5" t="n">
        <x:v>45219</x:v>
      </x:c>
      <x:c r="E1810" s="2" t="str">
        <x:v>constrained</x:v>
      </x:c>
      <x:c r="F1810" s="37" t="n">
        <x:v>11841765.851951936</x:v>
      </x:c>
      <x:c r="G1810" s="37" t="n">
        <x:v>-27209.752364212345</x:v>
      </x:c>
      <x:c r="H1810" s="37" t="n">
        <x:v>-19538.321070965518</x:v>
      </x:c>
      <x:c r="I1810" s="37" t="n">
        <x:v>-7671.431293246827</x:v>
      </x:c>
      <x:c r="J1810" s="37" t="n">
        <x:v>10272468.98652656</x:v>
      </x:c>
      <x:c r="K1810" s="37" t="n">
        <x:v>10299678.73889077</x:v>
      </x:c>
      <x:c r="L1810" s="37" t="n">
        <x:v>11814556.099587724</x:v>
      </x:c>
      <x:c r="M1810" s="37" t="n">
        <x:v>0</x:v>
      </x:c>
      <x:c r="N1810" s="37" t="n">
        <x:v>0</x:v>
      </x:c>
      <x:c r="O1810" s="37" t="n">
        <x:v>648.8283300641924</x:v>
      </x:c>
      <x:c r="P1810" s="37" t="n">
        <x:v>0</x:v>
      </x:c>
      <x:c r="Q1810" s="37" t="n">
        <x:v>0</x:v>
      </x:c>
      <x:c r="R1810" s="37" t="n">
        <x:v>0</x:v>
      </x:c>
      <x:c r="S1810" s="37" t="n">
        <x:v>0</x:v>
      </x:c>
      <x:c r="T1810" s="37" t="n">
        <x:v>0</x:v>
      </x:c>
      <x:c r="U1810" s="37" t="n">
        <x:v>30720.44529747225</x:v>
      </x:c>
      <x:c r="V1810" s="37" t="n">
        <x:v>0</x:v>
      </x:c>
      <x:c r="W1810" s="37" t="n">
        <x:v>186520.51229380257</x:v>
      </x:c>
      <x:c r="X1810" s="37" t="n">
        <x:v>0</x:v>
      </x:c>
      <x:c r="Y1810" s="37" t="n">
        <x:v>2194.4193904657527</x:v>
      </x:c>
      <x:c r="Z1810" s="37" t="n">
        <x:v>10505672.313668586</x:v>
      </x:c>
      <x:c r="AA1810" s="37" t="n">
        <x:v>0</x:v>
      </x:c>
      <x:c r="AB1810" s="37" t="n">
        <x:v>10505672.313668586</x:v>
      </x:c>
      <x:c r="AC1810" s="37" t="n">
        <x:v>1336093.53828335</x:v>
      </x:c>
      <x:c r="AD1810" s="37" t="n">
        <x:v>0</x:v>
      </x:c>
      <x:c r="AE1810" s="37" t="n">
        <x:v>0</x:v>
      </x:c>
      <x:c r="AF1810" s="47" t="b">
        <x:v>0</x:v>
      </x:c>
      <x:c r="AG1810" s="47" t="b">
        <x:v>0</x:v>
      </x:c>
      <x:c r="AH1810" s="48" t="n">
        <x:v>0</x:v>
      </x:c>
      <x:c r="AI1810" s="48" t="n">
        <x:v>1.1920928955078125e-7</x:v>
      </x:c>
      <x:c r="AJ1810" s="37" t="str">
        <x:v>passed</x:v>
      </x:c>
    </x:row>
    <x:row r="1811" ht="21" customHeight="1">
      <x:c r="A1811" s="2"/>
      <x:c r="B1811" s="2"/>
      <x:c r="C1811" s="2" t="str">
        <x:v>2023</x:v>
      </x:c>
      <x:c r="D1811" s="5" t="n">
        <x:v>45222</x:v>
      </x:c>
      <x:c r="E1811" s="2" t="str">
        <x:v>unhedged</x:v>
      </x:c>
      <x:c r="F1811" s="37" t="n">
        <x:v>1320523.1351785888</x:v>
      </x:c>
      <x:c r="G1811" s="37" t="n">
        <x:v>10208750.055798521</x:v>
      </x:c>
      <x:c r="H1811" s="37" t="n">
        <x:v>39171.19565217391</x:v>
      </x:c>
      <x:c r="I1811" s="37" t="n">
        <x:v>10169578.860146347</x:v>
      </x:c>
      <x:c r="J1811" s="37" t="n">
        <x:v>10208750.055798521</x:v>
      </x:c>
      <x:c r="K1811" s="37" t="n">
        <x:v>0</x:v>
      </x:c>
      <x:c r="L1811" s="37" t="n">
        <x:v>11529273.19097711</x:v>
      </x:c>
      <x:c r="M1811" s="37" t="n">
        <x:v>0</x:v>
      </x:c>
      <x:c r="N1811" s="37" t="n">
        <x:v>0</x:v>
      </x:c>
      <x:c r="O1811" s="37" t="n">
        <x:v>217.04850962152705</x:v>
      </x:c>
      <x:c r="P1811" s="37" t="n">
        <x:v>0</x:v>
      </x:c>
      <x:c r="Q1811" s="37" t="n">
        <x:v>0</x:v>
      </x:c>
      <x:c r="R1811" s="37" t="n">
        <x:v>0</x:v>
      </x:c>
      <x:c r="S1811" s="37" t="n">
        <x:v>0</x:v>
      </x:c>
      <x:c r="T1811" s="37" t="n">
        <x:v>0</x:v>
      </x:c>
      <x:c r="U1811" s="37" t="n">
        <x:v>101250</x:v>
      </x:c>
      <x:c r="V1811" s="37" t="n">
        <x:v>0</x:v>
      </x:c>
      <x:c r="W1811" s="37" t="n">
        <x:v>20316.004520711023</x:v>
      </x:c>
      <x:c r="X1811" s="37" t="n">
        <x:v>0</x:v>
      </x:c>
      <x:c r="Y1811" s="37" t="n">
        <x:v>1042.869342122179</x:v>
      </x:c>
      <x:c r="Z1811" s="37" t="n">
        <x:v>0</x:v>
      </x:c>
      <x:c r="AA1811" s="37" t="n">
        <x:v>0</x:v>
      </x:c>
      <x:c r="AB1811" s="37" t="n">
        <x:v>0</x:v>
      </x:c>
      <x:c r="AC1811" s="37" t="n">
        <x:v>1320523.1351785888</x:v>
      </x:c>
      <x:c r="AD1811" s="37" t="n">
        <x:v>0</x:v>
      </x:c>
      <x:c r="AE1811" s="37" t="n">
        <x:v>0</x:v>
      </x:c>
      <x:c r="AF1811" s="47" t="b">
        <x:v>0</x:v>
      </x:c>
      <x:c r="AG1811" s="47" t="b">
        <x:v>0</x:v>
      </x:c>
      <x:c r="AH1811" s="48" t="n">
        <x:v>0</x:v>
      </x:c>
      <x:c r="AI1811" s="48" t="n">
        <x:v>1.1920928955078125e-7</x:v>
      </x:c>
      <x:c r="AJ1811" s="37" t="str">
        <x:v>passed</x:v>
      </x:c>
    </x:row>
    <x:row r="1812" ht="21" customHeight="1">
      <x:c r="A1812" s="2"/>
      <x:c r="B1812" s="2"/>
      <x:c r="C1812" s="2" t="str">
        <x:v>2023</x:v>
      </x:c>
      <x:c r="D1812" s="5" t="n">
        <x:v>45222</x:v>
      </x:c>
      <x:c r="E1812" s="2" t="str">
        <x:v>duration</x:v>
      </x:c>
      <x:c r="F1812" s="37" t="n">
        <x:v>7664121.965114342</x:v>
      </x:c>
      <x:c r="G1812" s="37" t="n">
        <x:v>4264455.258118683</x:v>
      </x:c>
      <x:c r="H1812" s="37" t="n">
        <x:v>-7091.265829111233</x:v>
      </x:c>
      <x:c r="I1812" s="37" t="n">
        <x:v>4271546.523947794</x:v>
      </x:c>
      <x:c r="J1812" s="37" t="n">
        <x:v>10208750.055798521</x:v>
      </x:c>
      <x:c r="K1812" s="37" t="n">
        <x:v>5944294.79767984</x:v>
      </x:c>
      <x:c r="L1812" s="37" t="n">
        <x:v>11928577.223233026</x:v>
      </x:c>
      <x:c r="M1812" s="37" t="n">
        <x:v>0</x:v>
      </x:c>
      <x:c r="N1812" s="37" t="n">
        <x:v>0</x:v>
      </x:c>
      <x:c r="O1812" s="37" t="n">
        <x:v>1259.7176117319614</x:v>
      </x:c>
      <x:c r="P1812" s="37" t="n">
        <x:v>0</x:v>
      </x:c>
      <x:c r="Q1812" s="37" t="n">
        <x:v>0</x:v>
      </x:c>
      <x:c r="R1812" s="37" t="n">
        <x:v>0</x:v>
      </x:c>
      <x:c r="S1812" s="37" t="n">
        <x:v>0</x:v>
      </x:c>
      <x:c r="T1812" s="37" t="n">
        <x:v>0</x:v>
      </x:c>
      <x:c r="U1812" s="37" t="n">
        <x:v>47417.381478397</x:v>
      </x:c>
      <x:c r="V1812" s="37" t="n">
        <x:v>0</x:v>
      </x:c>
      <x:c r="W1812" s="37" t="n">
        <x:v>123702.32401569467</x:v>
      </x:c>
      <x:c r="X1812" s="37" t="n">
        <x:v>0</x:v>
      </x:c>
      <x:c r="Y1812" s="37" t="n">
        <x:v>1738.98756445152</x:v>
      </x:c>
      <x:c r="Z1812" s="37" t="n">
        <x:v>6063180.693633436</x:v>
      </x:c>
      <x:c r="AA1812" s="37" t="n">
        <x:v>0</x:v>
      </x:c>
      <x:c r="AB1812" s="37" t="n">
        <x:v>6063180.693633436</x:v>
      </x:c>
      <x:c r="AC1812" s="37" t="n">
        <x:v>1600941.2714809058</x:v>
      </x:c>
      <x:c r="AD1812" s="37" t="n">
        <x:v>0</x:v>
      </x:c>
      <x:c r="AE1812" s="37" t="n">
        <x:v>0</x:v>
      </x:c>
      <x:c r="AF1812" s="47" t="b">
        <x:v>0</x:v>
      </x:c>
      <x:c r="AG1812" s="47" t="b">
        <x:v>0</x:v>
      </x:c>
      <x:c r="AH1812" s="48" t="n">
        <x:v>0</x:v>
      </x:c>
      <x:c r="AI1812" s="48" t="n">
        <x:v>5.960464477539063e-8</x:v>
      </x:c>
      <x:c r="AJ1812" s="37" t="str">
        <x:v>passed</x:v>
      </x:c>
    </x:row>
    <x:row r="1813" ht="21" customHeight="1">
      <x:c r="A1813" s="2"/>
      <x:c r="B1813" s="2"/>
      <x:c r="C1813" s="2" t="str">
        <x:v>2023</x:v>
      </x:c>
      <x:c r="D1813" s="5" t="n">
        <x:v>45222</x:v>
      </x:c>
      <x:c r="E1813" s="2" t="str">
        <x:v>unweighted</x:v>
      </x:c>
      <x:c r="F1813" s="37" t="n">
        <x:v>10876226.961630248</x:v>
      </x:c>
      <x:c r="G1813" s="37" t="n">
        <x:v>959969.2723547466</x:v>
      </x:c>
      <x:c r="H1813" s="37" t="n">
        <x:v>-18413.75755031377</x:v>
      </x:c>
      <x:c r="I1813" s="37" t="n">
        <x:v>978383.0299050603</x:v>
      </x:c>
      <x:c r="J1813" s="37" t="n">
        <x:v>10306914.48581353</x:v>
      </x:c>
      <x:c r="K1813" s="37" t="n">
        <x:v>9346945.213458784</x:v>
      </x:c>
      <x:c r="L1813" s="37" t="n">
        <x:v>11836196.233984994</x:v>
      </x:c>
      <x:c r="M1813" s="37" t="n">
        <x:v>0</x:v>
      </x:c>
      <x:c r="N1813" s="37" t="n">
        <x:v>0</x:v>
      </x:c>
      <x:c r="O1813" s="37" t="n">
        <x:v>1787.6770118121058</x:v>
      </x:c>
      <x:c r="P1813" s="37" t="n">
        <x:v>0</x:v>
      </x:c>
      <x:c r="Q1813" s="37" t="n">
        <x:v>0</x:v>
      </x:c>
      <x:c r="R1813" s="37" t="n">
        <x:v>0</x:v>
      </x:c>
      <x:c r="S1813" s="37" t="n">
        <x:v>0</x:v>
      </x:c>
      <x:c r="T1813" s="37" t="n">
        <x:v>0</x:v>
      </x:c>
      <x:c r="U1813" s="37" t="n">
        <x:v>31805.80415342993</x:v>
      </x:c>
      <x:c r="V1813" s="37" t="n">
        <x:v>0</x:v>
      </x:c>
      <x:c r="W1813" s="37" t="n">
        <x:v>180096.34836970456</x:v>
      </x:c>
      <x:c r="X1813" s="37" t="n">
        <x:v>0</x:v>
      </x:c>
      <x:c r="Y1813" s="37" t="n">
        <x:v>2213.10618367875</x:v>
      </x:c>
      <x:c r="Z1813" s="37" t="n">
        <x:v>9533884.11772796</x:v>
      </x:c>
      <x:c r="AA1813" s="37" t="n">
        <x:v>0</x:v>
      </x:c>
      <x:c r="AB1813" s="37" t="n">
        <x:v>9533884.11772796</x:v>
      </x:c>
      <x:c r="AC1813" s="37" t="n">
        <x:v>1342342.843902288</x:v>
      </x:c>
      <x:c r="AD1813" s="37" t="n">
        <x:v>0</x:v>
      </x:c>
      <x:c r="AE1813" s="37" t="n">
        <x:v>0</x:v>
      </x:c>
      <x:c r="AF1813" s="47" t="b">
        <x:v>0</x:v>
      </x:c>
      <x:c r="AG1813" s="47" t="b">
        <x:v>0</x:v>
      </x:c>
      <x:c r="AH1813" s="48" t="n">
        <x:v>0</x:v>
      </x:c>
      <x:c r="AI1813" s="48" t="n">
        <x:v>1.1920928955078125e-7</x:v>
      </x:c>
      <x:c r="AJ1813" s="37" t="str">
        <x:v>passed</x:v>
      </x:c>
    </x:row>
    <x:row r="1814" ht="21" customHeight="1">
      <x:c r="A1814" s="2"/>
      <x:c r="B1814" s="2"/>
      <x:c r="C1814" s="2" t="str">
        <x:v>2023</x:v>
      </x:c>
      <x:c r="D1814" s="5" t="n">
        <x:v>45222</x:v>
      </x:c>
      <x:c r="E1814" s="2" t="str">
        <x:v>constrained</x:v>
      </x:c>
      <x:c r="F1814" s="37" t="n">
        <x:v>11843712.550263338</x:v>
      </x:c>
      <x:c r="G1814" s="37" t="n">
        <x:v>-27094.25856990085</x:v>
      </x:c>
      <x:c r="H1814" s="37" t="n">
        <x:v>-19644.451160694207</x:v>
      </x:c>
      <x:c r="I1814" s="37" t="n">
        <x:v>-7449.807409206642</x:v>
      </x:c>
      <x:c r="J1814" s="37" t="n">
        <x:v>10305927.465319756</x:v>
      </x:c>
      <x:c r="K1814" s="37" t="n">
        <x:v>10333021.723889658</x:v>
      </x:c>
      <x:c r="L1814" s="37" t="n">
        <x:v>11816618.291693438</x:v>
      </x:c>
      <x:c r="M1814" s="37" t="n">
        <x:v>0</x:v>
      </x:c>
      <x:c r="N1814" s="37" t="n">
        <x:v>0</x:v>
      </x:c>
      <x:c r="O1814" s="37" t="n">
        <x:v>1946.698311401531</x:v>
      </x:c>
      <x:c r="P1814" s="37" t="n">
        <x:v>0</x:v>
      </x:c>
      <x:c r="Q1814" s="37" t="n">
        <x:v>0</x:v>
      </x:c>
      <x:c r="R1814" s="37" t="n">
        <x:v>0</x:v>
      </x:c>
      <x:c r="S1814" s="37" t="n">
        <x:v>0</x:v>
      </x:c>
      <x:c r="T1814" s="37" t="n">
        <x:v>0</x:v>
      </x:c>
      <x:c r="U1814" s="37" t="n">
        <x:v>30720.44529747225</x:v>
      </x:c>
      <x:c r="V1814" s="37" t="n">
        <x:v>0</x:v>
      </x:c>
      <x:c r="W1814" s="37" t="n">
        <x:v>188467.2106052041</x:v>
      </x:c>
      <x:c r="X1814" s="37" t="n">
        <x:v>0</x:v>
      </x:c>
      <x:c r="Y1814" s="37" t="n">
        <x:v>2194.4193904657527</x:v>
      </x:c>
      <x:c r="Z1814" s="37" t="n">
        <x:v>10539682.158367451</x:v>
      </x:c>
      <x:c r="AA1814" s="37" t="n">
        <x:v>0</x:v>
      </x:c>
      <x:c r="AB1814" s="37" t="n">
        <x:v>10539682.158367451</x:v>
      </x:c>
      <x:c r="AC1814" s="37" t="n">
        <x:v>1304030.3918958865</x:v>
      </x:c>
      <x:c r="AD1814" s="37" t="n">
        <x:v>0</x:v>
      </x:c>
      <x:c r="AE1814" s="37" t="n">
        <x:v>0</x:v>
      </x:c>
      <x:c r="AF1814" s="47" t="b">
        <x:v>0</x:v>
      </x:c>
      <x:c r="AG1814" s="47" t="b">
        <x:v>0</x:v>
      </x:c>
      <x:c r="AH1814" s="48" t="n">
        <x:v>0</x:v>
      </x:c>
      <x:c r="AI1814" s="48" t="n">
        <x:v>1.1920928955078125e-7</x:v>
      </x:c>
      <x:c r="AJ1814" s="37" t="str">
        <x:v>passed</x:v>
      </x:c>
    </x:row>
    <x:row r="1815" ht="21" customHeight="1">
      <x:c r="A1815" s="2"/>
      <x:c r="B1815" s="2"/>
      <x:c r="C1815" s="2" t="str">
        <x:v>2023</x:v>
      </x:c>
      <x:c r="D1815" s="5" t="n">
        <x:v>45223</x:v>
      </x:c>
      <x:c r="E1815" s="2" t="str">
        <x:v>unhedged</x:v>
      </x:c>
      <x:c r="F1815" s="37" t="n">
        <x:v>1320595.4926106536</x:v>
      </x:c>
      <x:c r="G1815" s="37" t="n">
        <x:v>10211690.792555416</x:v>
      </x:c>
      <x:c r="H1815" s="37" t="n">
        <x:v>39517.663043478264</x:v>
      </x:c>
      <x:c r="I1815" s="37" t="n">
        <x:v>10172173.129511937</x:v>
      </x:c>
      <x:c r="J1815" s="37" t="n">
        <x:v>10211690.792555416</x:v>
      </x:c>
      <x:c r="K1815" s="37" t="n">
        <x:v>0</x:v>
      </x:c>
      <x:c r="L1815" s="37" t="n">
        <x:v>11532286.28516607</x:v>
      </x:c>
      <x:c r="M1815" s="37" t="n">
        <x:v>0</x:v>
      </x:c>
      <x:c r="N1815" s="37" t="n">
        <x:v>0</x:v>
      </x:c>
      <x:c r="O1815" s="37" t="n">
        <x:v>72.35743206483312</x:v>
      </x:c>
      <x:c r="P1815" s="37" t="n">
        <x:v>0</x:v>
      </x:c>
      <x:c r="Q1815" s="37" t="n">
        <x:v>0</x:v>
      </x:c>
      <x:c r="R1815" s="37" t="n">
        <x:v>0</x:v>
      </x:c>
      <x:c r="S1815" s="37" t="n">
        <x:v>0</x:v>
      </x:c>
      <x:c r="T1815" s="37" t="n">
        <x:v>0</x:v>
      </x:c>
      <x:c r="U1815" s="37" t="n">
        <x:v>101250</x:v>
      </x:c>
      <x:c r="V1815" s="37" t="n">
        <x:v>0</x:v>
      </x:c>
      <x:c r="W1815" s="37" t="n">
        <x:v>20388.361952775856</x:v>
      </x:c>
      <x:c r="X1815" s="37" t="n">
        <x:v>0</x:v>
      </x:c>
      <x:c r="Y1815" s="37" t="n">
        <x:v>1042.869342122179</x:v>
      </x:c>
      <x:c r="Z1815" s="37" t="n">
        <x:v>0</x:v>
      </x:c>
      <x:c r="AA1815" s="37" t="n">
        <x:v>0</x:v>
      </x:c>
      <x:c r="AB1815" s="37" t="n">
        <x:v>0</x:v>
      </x:c>
      <x:c r="AC1815" s="37" t="n">
        <x:v>1320595.4926106536</x:v>
      </x:c>
      <x:c r="AD1815" s="37" t="n">
        <x:v>0</x:v>
      </x:c>
      <x:c r="AE1815" s="37" t="n">
        <x:v>0</x:v>
      </x:c>
      <x:c r="AF1815" s="47" t="b">
        <x:v>0</x:v>
      </x:c>
      <x:c r="AG1815" s="47" t="b">
        <x:v>0</x:v>
      </x:c>
      <x:c r="AH1815" s="48" t="n">
        <x:v>0</x:v>
      </x:c>
      <x:c r="AI1815" s="48" t="n">
        <x:v>1.1920928955078125e-7</x:v>
      </x:c>
      <x:c r="AJ1815" s="37" t="str">
        <x:v>passed</x:v>
      </x:c>
    </x:row>
    <x:row r="1816" ht="21" customHeight="1">
      <x:c r="A1816" s="2"/>
      <x:c r="B1816" s="2"/>
      <x:c r="C1816" s="2" t="str">
        <x:v>2023</x:v>
      </x:c>
      <x:c r="D1816" s="5" t="n">
        <x:v>45223</x:v>
      </x:c>
      <x:c r="E1816" s="2" t="str">
        <x:v>duration</x:v>
      </x:c>
      <x:c r="F1816" s="37" t="n">
        <x:v>7664541.917002842</x:v>
      </x:c>
      <x:c r="G1816" s="37" t="n">
        <x:v>4260860.068357595</x:v>
      </x:c>
      <x:c r="H1816" s="37" t="n">
        <x:v>-7032.142919057101</x:v>
      </x:c>
      <x:c r="I1816" s="37" t="n">
        <x:v>4267892.211276652</x:v>
      </x:c>
      <x:c r="J1816" s="37" t="n">
        <x:v>10211690.792555416</x:v>
      </x:c>
      <x:c r="K1816" s="37" t="n">
        <x:v>5950830.72419782</x:v>
      </x:c>
      <x:c r="L1816" s="37" t="n">
        <x:v>11925401.985360436</x:v>
      </x:c>
      <x:c r="M1816" s="37" t="n">
        <x:v>0</x:v>
      </x:c>
      <x:c r="N1816" s="37" t="n">
        <x:v>0</x:v>
      </x:c>
      <x:c r="O1816" s="37" t="n">
        <x:v>419.9518884997815</x:v>
      </x:c>
      <x:c r="P1816" s="37" t="n">
        <x:v>0</x:v>
      </x:c>
      <x:c r="Q1816" s="37" t="n">
        <x:v>0</x:v>
      </x:c>
      <x:c r="R1816" s="37" t="n">
        <x:v>0</x:v>
      </x:c>
      <x:c r="S1816" s="37" t="n">
        <x:v>0</x:v>
      </x:c>
      <x:c r="T1816" s="37" t="n">
        <x:v>0</x:v>
      </x:c>
      <x:c r="U1816" s="37" t="n">
        <x:v>47417.381478397</x:v>
      </x:c>
      <x:c r="V1816" s="37" t="n">
        <x:v>0</x:v>
      </x:c>
      <x:c r="W1816" s="37" t="n">
        <x:v>124122.27590419445</x:v>
      </x:c>
      <x:c r="X1816" s="37" t="n">
        <x:v>0</x:v>
      </x:c>
      <x:c r="Y1816" s="37" t="n">
        <x:v>1738.98756445152</x:v>
      </x:c>
      <x:c r="Z1816" s="37" t="n">
        <x:v>6069847.338681776</x:v>
      </x:c>
      <x:c r="AA1816" s="37" t="n">
        <x:v>0</x:v>
      </x:c>
      <x:c r="AB1816" s="37" t="n">
        <x:v>6069847.338681776</x:v>
      </x:c>
      <x:c r="AC1816" s="37" t="n">
        <x:v>1594694.5783210658</x:v>
      </x:c>
      <x:c r="AD1816" s="37" t="n">
        <x:v>0</x:v>
      </x:c>
      <x:c r="AE1816" s="37" t="n">
        <x:v>0</x:v>
      </x:c>
      <x:c r="AF1816" s="47" t="b">
        <x:v>0</x:v>
      </x:c>
      <x:c r="AG1816" s="47" t="b">
        <x:v>0</x:v>
      </x:c>
      <x:c r="AH1816" s="48" t="n">
        <x:v>0</x:v>
      </x:c>
      <x:c r="AI1816" s="48" t="n">
        <x:v>5.960464477539063e-8</x:v>
      </x:c>
      <x:c r="AJ1816" s="37" t="str">
        <x:v>passed</x:v>
      </x:c>
    </x:row>
    <x:row r="1817" ht="21" customHeight="1">
      <x:c r="A1817" s="2"/>
      <x:c r="B1817" s="2"/>
      <x:c r="C1817" s="2" t="str">
        <x:v>2023</x:v>
      </x:c>
      <x:c r="D1817" s="5" t="n">
        <x:v>45223</x:v>
      </x:c>
      <x:c r="E1817" s="2" t="str">
        <x:v>unweighted</x:v>
      </x:c>
      <x:c r="F1817" s="37" t="n">
        <x:v>10876822.919271981</x:v>
      </x:c>
      <x:c r="G1817" s="37" t="n">
        <x:v>960008.6030002253</x:v>
      </x:c>
      <x:c r="H1817" s="37" t="n">
        <x:v>-18439.985596589522</x:v>
      </x:c>
      <x:c r="I1817" s="37" t="n">
        <x:v>978448.5885968148</x:v>
      </x:c>
      <x:c r="J1817" s="37" t="n">
        <x:v>10310394.682164535</x:v>
      </x:c>
      <x:c r="K1817" s="37" t="n">
        <x:v>9350386.07916431</x:v>
      </x:c>
      <x:c r="L1817" s="37" t="n">
        <x:v>11836831.522272207</x:v>
      </x:c>
      <x:c r="M1817" s="37" t="n">
        <x:v>0</x:v>
      </x:c>
      <x:c r="N1817" s="37" t="n">
        <x:v>0</x:v>
      </x:c>
      <x:c r="O1817" s="37" t="n">
        <x:v>595.9576417338103</x:v>
      </x:c>
      <x:c r="P1817" s="37" t="n">
        <x:v>0</x:v>
      </x:c>
      <x:c r="Q1817" s="37" t="n">
        <x:v>0</x:v>
      </x:c>
      <x:c r="R1817" s="37" t="n">
        <x:v>0</x:v>
      </x:c>
      <x:c r="S1817" s="37" t="n">
        <x:v>0</x:v>
      </x:c>
      <x:c r="T1817" s="37" t="n">
        <x:v>0</x:v>
      </x:c>
      <x:c r="U1817" s="37" t="n">
        <x:v>31805.80415342993</x:v>
      </x:c>
      <x:c r="V1817" s="37" t="n">
        <x:v>0</x:v>
      </x:c>
      <x:c r="W1817" s="37" t="n">
        <x:v>180692.30601143837</x:v>
      </x:c>
      <x:c r="X1817" s="37" t="n">
        <x:v>0</x:v>
      </x:c>
      <x:c r="Y1817" s="37" t="n">
        <x:v>2213.10618367875</x:v>
      </x:c>
      <x:c r="Z1817" s="37" t="n">
        <x:v>9537393.800747596</x:v>
      </x:c>
      <x:c r="AA1817" s="37" t="n">
        <x:v>0</x:v>
      </x:c>
      <x:c r="AB1817" s="37" t="n">
        <x:v>9537393.800747596</x:v>
      </x:c>
      <x:c r="AC1817" s="37" t="n">
        <x:v>1339429.1185243856</x:v>
      </x:c>
      <x:c r="AD1817" s="37" t="n">
        <x:v>0</x:v>
      </x:c>
      <x:c r="AE1817" s="37" t="n">
        <x:v>0</x:v>
      </x:c>
      <x:c r="AF1817" s="47" t="b">
        <x:v>0</x:v>
      </x:c>
      <x:c r="AG1817" s="47" t="b">
        <x:v>0</x:v>
      </x:c>
      <x:c r="AH1817" s="48" t="n">
        <x:v>0</x:v>
      </x:c>
      <x:c r="AI1817" s="48" t="n">
        <x:v>1.1920928955078125e-7</x:v>
      </x:c>
      <x:c r="AJ1817" s="37" t="str">
        <x:v>passed</x:v>
      </x:c>
    </x:row>
    <x:row r="1818" ht="21" customHeight="1">
      <x:c r="A1818" s="2"/>
      <x:c r="B1818" s="2"/>
      <x:c r="C1818" s="2" t="str">
        <x:v>2023</x:v>
      </x:c>
      <x:c r="D1818" s="5" t="n">
        <x:v>45223</x:v>
      </x:c>
      <x:c r="E1818" s="2" t="str">
        <x:v>constrained</x:v>
      </x:c>
      <x:c r="F1818" s="37" t="n">
        <x:v>11844361.520814037</x:v>
      </x:c>
      <x:c r="G1818" s="37" t="n">
        <x:v>-26970.944059308764</x:v>
      </x:c>
      <x:c r="H1818" s="37" t="n">
        <x:v>-19679.82785727042</x:v>
      </x:c>
      <x:c r="I1818" s="37" t="n">
        <x:v>-7291.116202038345</x:v>
      </x:c>
      <x:c r="J1818" s="37" t="n">
        <x:v>10309464.71278244</x:v>
      </x:c>
      <x:c r="K1818" s="37" t="n">
        <x:v>10336435.65684175</x:v>
      </x:c>
      <x:c r="L1818" s="37" t="n">
        <x:v>11817390.576754728</x:v>
      </x:c>
      <x:c r="M1818" s="37" t="n">
        <x:v>0</x:v>
      </x:c>
      <x:c r="N1818" s="37" t="n">
        <x:v>0</x:v>
      </x:c>
      <x:c r="O1818" s="37" t="n">
        <x:v>648.9705506991595</x:v>
      </x:c>
      <x:c r="P1818" s="37" t="n">
        <x:v>0</x:v>
      </x:c>
      <x:c r="Q1818" s="37" t="n">
        <x:v>0</x:v>
      </x:c>
      <x:c r="R1818" s="37" t="n">
        <x:v>0</x:v>
      </x:c>
      <x:c r="S1818" s="37" t="n">
        <x:v>0</x:v>
      </x:c>
      <x:c r="T1818" s="37" t="n">
        <x:v>0</x:v>
      </x:c>
      <x:c r="U1818" s="37" t="n">
        <x:v>30720.44529747225</x:v>
      </x:c>
      <x:c r="V1818" s="37" t="n">
        <x:v>0</x:v>
      </x:c>
      <x:c r="W1818" s="37" t="n">
        <x:v>189116.18115590326</x:v>
      </x:c>
      <x:c r="X1818" s="37" t="n">
        <x:v>0</x:v>
      </x:c>
      <x:c r="Y1818" s="37" t="n">
        <x:v>2194.4193904657527</x:v>
      </x:c>
      <x:c r="Z1818" s="37" t="n">
        <x:v>10543164.369978584</x:v>
      </x:c>
      <x:c r="AA1818" s="37" t="n">
        <x:v>0</x:v>
      </x:c>
      <x:c r="AB1818" s="37" t="n">
        <x:v>10543164.369978584</x:v>
      </x:c>
      <x:c r="AC1818" s="37" t="n">
        <x:v>1301197.1508354526</x:v>
      </x:c>
      <x:c r="AD1818" s="37" t="n">
        <x:v>0</x:v>
      </x:c>
      <x:c r="AE1818" s="37" t="n">
        <x:v>0</x:v>
      </x:c>
      <x:c r="AF1818" s="47" t="b">
        <x:v>0</x:v>
      </x:c>
      <x:c r="AG1818" s="47" t="b">
        <x:v>0</x:v>
      </x:c>
      <x:c r="AH1818" s="48" t="n">
        <x:v>0</x:v>
      </x:c>
      <x:c r="AI1818" s="48" t="n">
        <x:v>1.1920928955078125e-7</x:v>
      </x:c>
      <x:c r="AJ1818" s="37" t="str">
        <x:v>passed</x:v>
      </x:c>
    </x:row>
    <x:row r="1819" ht="21" customHeight="1">
      <x:c r="A1819" s="2"/>
      <x:c r="B1819" s="2"/>
      <x:c r="C1819" s="2" t="str">
        <x:v>2023</x:v>
      </x:c>
      <x:c r="D1819" s="5" t="n">
        <x:v>45224</x:v>
      </x:c>
      <x:c r="E1819" s="2" t="str">
        <x:v>unhedged</x:v>
      </x:c>
      <x:c r="F1819" s="37" t="n">
        <x:v>1320667.854007509</x:v>
      </x:c>
      <x:c r="G1819" s="37" t="n">
        <x:v>10167333.633509055</x:v>
      </x:c>
      <x:c r="H1819" s="37" t="n">
        <x:v>39864.13043478261</x:v>
      </x:c>
      <x:c r="I1819" s="37" t="n">
        <x:v>10127469.503074272</x:v>
      </x:c>
      <x:c r="J1819" s="37" t="n">
        <x:v>10167333.633509055</x:v>
      </x:c>
      <x:c r="K1819" s="37" t="n">
        <x:v>0</x:v>
      </x:c>
      <x:c r="L1819" s="37" t="n">
        <x:v>11488001.487516563</x:v>
      </x:c>
      <x:c r="M1819" s="37" t="n">
        <x:v>0</x:v>
      </x:c>
      <x:c r="N1819" s="37" t="n">
        <x:v>0</x:v>
      </x:c>
      <x:c r="O1819" s="37" t="n">
        <x:v>72.36139685544185</x:v>
      </x:c>
      <x:c r="P1819" s="37" t="n">
        <x:v>0</x:v>
      </x:c>
      <x:c r="Q1819" s="37" t="n">
        <x:v>0</x:v>
      </x:c>
      <x:c r="R1819" s="37" t="n">
        <x:v>0</x:v>
      </x:c>
      <x:c r="S1819" s="37" t="n">
        <x:v>0</x:v>
      </x:c>
      <x:c r="T1819" s="37" t="n">
        <x:v>0</x:v>
      </x:c>
      <x:c r="U1819" s="37" t="n">
        <x:v>101250</x:v>
      </x:c>
      <x:c r="V1819" s="37" t="n">
        <x:v>0</x:v>
      </x:c>
      <x:c r="W1819" s="37" t="n">
        <x:v>20460.7233496313</x:v>
      </x:c>
      <x:c r="X1819" s="37" t="n">
        <x:v>0</x:v>
      </x:c>
      <x:c r="Y1819" s="37" t="n">
        <x:v>1042.869342122179</x:v>
      </x:c>
      <x:c r="Z1819" s="37" t="n">
        <x:v>0</x:v>
      </x:c>
      <x:c r="AA1819" s="37" t="n">
        <x:v>0</x:v>
      </x:c>
      <x:c r="AB1819" s="37" t="n">
        <x:v>0</x:v>
      </x:c>
      <x:c r="AC1819" s="37" t="n">
        <x:v>1320667.854007509</x:v>
      </x:c>
      <x:c r="AD1819" s="37" t="n">
        <x:v>0</x:v>
      </x:c>
      <x:c r="AE1819" s="37" t="n">
        <x:v>0</x:v>
      </x:c>
      <x:c r="AF1819" s="47" t="b">
        <x:v>0</x:v>
      </x:c>
      <x:c r="AG1819" s="47" t="b">
        <x:v>0</x:v>
      </x:c>
      <x:c r="AH1819" s="48" t="n">
        <x:v>0</x:v>
      </x:c>
      <x:c r="AI1819" s="48" t="n">
        <x:v>1.1920928955078125e-7</x:v>
      </x:c>
      <x:c r="AJ1819" s="37" t="str">
        <x:v>passed</x:v>
      </x:c>
    </x:row>
    <x:row r="1820" ht="21" customHeight="1">
      <x:c r="A1820" s="2"/>
      <x:c r="B1820" s="2"/>
      <x:c r="C1820" s="2" t="str">
        <x:v>2023</x:v>
      </x:c>
      <x:c r="D1820" s="5" t="n">
        <x:v>45224</x:v>
      </x:c>
      <x:c r="E1820" s="2" t="str">
        <x:v>duration</x:v>
      </x:c>
      <x:c r="F1820" s="37" t="n">
        <x:v>7664961.891902406</x:v>
      </x:c>
      <x:c r="G1820" s="37" t="n">
        <x:v>4266259.314148154</x:v>
      </x:c>
      <x:c r="H1820" s="37" t="n">
        <x:v>-6973.020009002974</x:v>
      </x:c>
      <x:c r="I1820" s="37" t="n">
        <x:v>4273232.334157157</x:v>
      </x:c>
      <x:c r="J1820" s="37" t="n">
        <x:v>10167333.633509055</x:v>
      </x:c>
      <x:c r="K1820" s="37" t="n">
        <x:v>5901074.3193609</x:v>
      </x:c>
      <x:c r="L1820" s="37" t="n">
        <x:v>11931221.20605056</x:v>
      </x:c>
      <x:c r="M1820" s="37" t="n">
        <x:v>0</x:v>
      </x:c>
      <x:c r="N1820" s="37" t="n">
        <x:v>0</x:v>
      </x:c>
      <x:c r="O1820" s="37" t="n">
        <x:v>419.9748995639384</x:v>
      </x:c>
      <x:c r="P1820" s="37" t="n">
        <x:v>0</x:v>
      </x:c>
      <x:c r="Q1820" s="37" t="n">
        <x:v>0</x:v>
      </x:c>
      <x:c r="R1820" s="37" t="n">
        <x:v>0</x:v>
      </x:c>
      <x:c r="S1820" s="37" t="n">
        <x:v>0</x:v>
      </x:c>
      <x:c r="T1820" s="37" t="n">
        <x:v>0</x:v>
      </x:c>
      <x:c r="U1820" s="37" t="n">
        <x:v>47417.381478397</x:v>
      </x:c>
      <x:c r="V1820" s="37" t="n">
        <x:v>0</x:v>
      </x:c>
      <x:c r="W1820" s="37" t="n">
        <x:v>124542.25080375839</x:v>
      </x:c>
      <x:c r="X1820" s="37" t="n">
        <x:v>0</x:v>
      </x:c>
      <x:c r="Y1820" s="37" t="n">
        <x:v>1738.98756445152</x:v>
      </x:c>
      <x:c r="Z1820" s="37" t="n">
        <x:v>6019095.805748118</x:v>
      </x:c>
      <x:c r="AA1820" s="37" t="n">
        <x:v>0</x:v>
      </x:c>
      <x:c r="AB1820" s="37" t="n">
        <x:v>6019095.805748118</x:v>
      </x:c>
      <x:c r="AC1820" s="37" t="n">
        <x:v>1645866.0861542877</x:v>
      </x:c>
      <x:c r="AD1820" s="37" t="n">
        <x:v>0</x:v>
      </x:c>
      <x:c r="AE1820" s="37" t="n">
        <x:v>0</x:v>
      </x:c>
      <x:c r="AF1820" s="47" t="b">
        <x:v>0</x:v>
      </x:c>
      <x:c r="AG1820" s="47" t="b">
        <x:v>0</x:v>
      </x:c>
      <x:c r="AH1820" s="48" t="n">
        <x:v>0</x:v>
      </x:c>
      <x:c r="AI1820" s="48" t="n">
        <x:v>5.960464477539063e-8</x:v>
      </x:c>
      <x:c r="AJ1820" s="37" t="str">
        <x:v>passed</x:v>
      </x:c>
    </x:row>
    <x:row r="1821" ht="21" customHeight="1">
      <x:c r="A1821" s="2"/>
      <x:c r="B1821" s="2"/>
      <x:c r="C1821" s="2" t="str">
        <x:v>2023</x:v>
      </x:c>
      <x:c r="D1821" s="5" t="n">
        <x:v>45224</x:v>
      </x:c>
      <x:c r="E1821" s="2" t="str">
        <x:v>unweighted</x:v>
      </x:c>
      <x:c r="F1821" s="37" t="n">
        <x:v>10877418.90956893</x:v>
      </x:c>
      <x:c r="G1821" s="37" t="n">
        <x:v>961177.7591636132</x:v>
      </x:c>
      <x:c r="H1821" s="37" t="n">
        <x:v>-18466.213642865285</x:v>
      </x:c>
      <x:c r="I1821" s="37" t="n">
        <x:v>979643.9728064785</x:v>
      </x:c>
      <x:c r="J1821" s="37" t="n">
        <x:v>10264267.899004072</x:v>
      </x:c>
      <x:c r="K1821" s="37" t="n">
        <x:v>9303090.13984046</x:v>
      </x:c>
      <x:c r="L1821" s="37" t="n">
        <x:v>11838596.668732543</x:v>
      </x:c>
      <x:c r="M1821" s="37" t="n">
        <x:v>0</x:v>
      </x:c>
      <x:c r="N1821" s="37" t="n">
        <x:v>0</x:v>
      </x:c>
      <x:c r="O1821" s="37" t="n">
        <x:v>595.9902969487011</x:v>
      </x:c>
      <x:c r="P1821" s="37" t="n">
        <x:v>0</x:v>
      </x:c>
      <x:c r="Q1821" s="37" t="n">
        <x:v>0</x:v>
      </x:c>
      <x:c r="R1821" s="37" t="n">
        <x:v>0</x:v>
      </x:c>
      <x:c r="S1821" s="37" t="n">
        <x:v>0</x:v>
      </x:c>
      <x:c r="T1821" s="37" t="n">
        <x:v>0</x:v>
      </x:c>
      <x:c r="U1821" s="37" t="n">
        <x:v>31805.80415342993</x:v>
      </x:c>
      <x:c r="V1821" s="37" t="n">
        <x:v>0</x:v>
      </x:c>
      <x:c r="W1821" s="37" t="n">
        <x:v>181288.29630838707</x:v>
      </x:c>
      <x:c r="X1821" s="37" t="n">
        <x:v>0</x:v>
      </x:c>
      <x:c r="Y1821" s="37" t="n">
        <x:v>2213.10618367875</x:v>
      </x:c>
      <x:c r="Z1821" s="37" t="n">
        <x:v>9489151.942637268</x:v>
      </x:c>
      <x:c r="AA1821" s="37" t="n">
        <x:v>0</x:v>
      </x:c>
      <x:c r="AB1821" s="37" t="n">
        <x:v>9489151.942637268</x:v>
      </x:c>
      <x:c r="AC1821" s="37" t="n">
        <x:v>1388266.9669316616</x:v>
      </x:c>
      <x:c r="AD1821" s="37" t="n">
        <x:v>0</x:v>
      </x:c>
      <x:c r="AE1821" s="37" t="n">
        <x:v>0</x:v>
      </x:c>
      <x:c r="AF1821" s="47" t="b">
        <x:v>0</x:v>
      </x:c>
      <x:c r="AG1821" s="47" t="b">
        <x:v>0</x:v>
      </x:c>
      <x:c r="AH1821" s="48" t="n">
        <x:v>0</x:v>
      </x:c>
      <x:c r="AI1821" s="48" t="n">
        <x:v>1.1920928955078125e-7</x:v>
      </x:c>
      <x:c r="AJ1821" s="37" t="str">
        <x:v>passed</x:v>
      </x:c>
    </x:row>
    <x:row r="1822" ht="21" customHeight="1">
      <x:c r="A1822" s="2"/>
      <x:c r="B1822" s="2"/>
      <x:c r="C1822" s="2" t="str">
        <x:v>2023</x:v>
      </x:c>
      <x:c r="D1822" s="5" t="n">
        <x:v>45224</x:v>
      </x:c>
      <x:c r="E1822" s="2" t="str">
        <x:v>constrained</x:v>
      </x:c>
      <x:c r="F1822" s="37" t="n">
        <x:v>11845010.526924768</x:v>
      </x:c>
      <x:c r="G1822" s="37" t="n">
        <x:v>-27109.42902947539</x:v>
      </x:c>
      <x:c r="H1822" s="37" t="n">
        <x:v>-19715.204553846645</x:v>
      </x:c>
      <x:c r="I1822" s="37" t="n">
        <x:v>-7394.224475628744</x:v>
      </x:c>
      <x:c r="J1822" s="37" t="n">
        <x:v>10263306.839950714</x:v>
      </x:c>
      <x:c r="K1822" s="37" t="n">
        <x:v>10290416.26898019</x:v>
      </x:c>
      <x:c r="L1822" s="37" t="n">
        <x:v>11817901.097895293</x:v>
      </x:c>
      <x:c r="M1822" s="37" t="n">
        <x:v>0</x:v>
      </x:c>
      <x:c r="N1822" s="37" t="n">
        <x:v>0</x:v>
      </x:c>
      <x:c r="O1822" s="37" t="n">
        <x:v>649.0061107315123</x:v>
      </x:c>
      <x:c r="P1822" s="37" t="n">
        <x:v>0</x:v>
      </x:c>
      <x:c r="Q1822" s="37" t="n">
        <x:v>0</x:v>
      </x:c>
      <x:c r="R1822" s="37" t="n">
        <x:v>0</x:v>
      </x:c>
      <x:c r="S1822" s="37" t="n">
        <x:v>0</x:v>
      </x:c>
      <x:c r="T1822" s="37" t="n">
        <x:v>0</x:v>
      </x:c>
      <x:c r="U1822" s="37" t="n">
        <x:v>30720.44529747225</x:v>
      </x:c>
      <x:c r="V1822" s="37" t="n">
        <x:v>0</x:v>
      </x:c>
      <x:c r="W1822" s="37" t="n">
        <x:v>189765.18726663478</x:v>
      </x:c>
      <x:c r="X1822" s="37" t="n">
        <x:v>0</x:v>
      </x:c>
      <x:c r="Y1822" s="37" t="n">
        <x:v>2194.4193904657527</x:v>
      </x:c>
      <x:c r="Z1822" s="37" t="n">
        <x:v>10496224.594359795</x:v>
      </x:c>
      <x:c r="AA1822" s="37" t="n">
        <x:v>0</x:v>
      </x:c>
      <x:c r="AB1822" s="37" t="n">
        <x:v>10496224.594359795</x:v>
      </x:c>
      <x:c r="AC1822" s="37" t="n">
        <x:v>1348785.9325649738</x:v>
      </x:c>
      <x:c r="AD1822" s="37" t="n">
        <x:v>0</x:v>
      </x:c>
      <x:c r="AE1822" s="37" t="n">
        <x:v>0</x:v>
      </x:c>
      <x:c r="AF1822" s="47" t="b">
        <x:v>0</x:v>
      </x:c>
      <x:c r="AG1822" s="47" t="b">
        <x:v>0</x:v>
      </x:c>
      <x:c r="AH1822" s="48" t="n">
        <x:v>0</x:v>
      </x:c>
      <x:c r="AI1822" s="48" t="n">
        <x:v>1.1920928955078125e-7</x:v>
      </x:c>
      <x:c r="AJ1822" s="37" t="str">
        <x:v>passed</x:v>
      </x:c>
    </x:row>
    <x:row r="1823" ht="21" customHeight="1">
      <x:c r="A1823" s="2"/>
      <x:c r="B1823" s="2"/>
      <x:c r="C1823" s="2" t="str">
        <x:v>2023</x:v>
      </x:c>
      <x:c r="D1823" s="5" t="n">
        <x:v>45225</x:v>
      </x:c>
      <x:c r="E1823" s="2" t="str">
        <x:v>unhedged</x:v>
      </x:c>
      <x:c r="F1823" s="37" t="n">
        <x:v>1320740.2193693724</x:v>
      </x:c>
      <x:c r="G1823" s="37" t="n">
        <x:v>10208984.76723324</x:v>
      </x:c>
      <x:c r="H1823" s="37" t="n">
        <x:v>40210.59782608696</x:v>
      </x:c>
      <x:c r="I1823" s="37" t="n">
        <x:v>10168774.169407152</x:v>
      </x:c>
      <x:c r="J1823" s="37" t="n">
        <x:v>10208984.76723324</x:v>
      </x:c>
      <x:c r="K1823" s="37" t="n">
        <x:v>0</x:v>
      </x:c>
      <x:c r="L1823" s="37" t="n">
        <x:v>11529724.986602612</x:v>
      </x:c>
      <x:c r="M1823" s="37" t="n">
        <x:v>0</x:v>
      </x:c>
      <x:c r="N1823" s="37" t="n">
        <x:v>0</x:v>
      </x:c>
      <x:c r="O1823" s="37" t="n">
        <x:v>72.36536186328158</x:v>
      </x:c>
      <x:c r="P1823" s="37" t="n">
        <x:v>0</x:v>
      </x:c>
      <x:c r="Q1823" s="37" t="n">
        <x:v>0</x:v>
      </x:c>
      <x:c r="R1823" s="37" t="n">
        <x:v>0</x:v>
      </x:c>
      <x:c r="S1823" s="37" t="n">
        <x:v>0</x:v>
      </x:c>
      <x:c r="T1823" s="37" t="n">
        <x:v>0</x:v>
      </x:c>
      <x:c r="U1823" s="37" t="n">
        <x:v>101250</x:v>
      </x:c>
      <x:c r="V1823" s="37" t="n">
        <x:v>0</x:v>
      </x:c>
      <x:c r="W1823" s="37" t="n">
        <x:v>20533.08871149458</x:v>
      </x:c>
      <x:c r="X1823" s="37" t="n">
        <x:v>0</x:v>
      </x:c>
      <x:c r="Y1823" s="37" t="n">
        <x:v>1042.869342122179</x:v>
      </x:c>
      <x:c r="Z1823" s="37" t="n">
        <x:v>0</x:v>
      </x:c>
      <x:c r="AA1823" s="37" t="n">
        <x:v>0</x:v>
      </x:c>
      <x:c r="AB1823" s="37" t="n">
        <x:v>0</x:v>
      </x:c>
      <x:c r="AC1823" s="37" t="n">
        <x:v>1320740.2193693724</x:v>
      </x:c>
      <x:c r="AD1823" s="37" t="n">
        <x:v>0</x:v>
      </x:c>
      <x:c r="AE1823" s="37" t="n">
        <x:v>0</x:v>
      </x:c>
      <x:c r="AF1823" s="47" t="b">
        <x:v>0</x:v>
      </x:c>
      <x:c r="AG1823" s="47" t="b">
        <x:v>0</x:v>
      </x:c>
      <x:c r="AH1823" s="48" t="n">
        <x:v>0</x:v>
      </x:c>
      <x:c r="AI1823" s="48" t="n">
        <x:v>1.1920928955078125e-7</x:v>
      </x:c>
      <x:c r="AJ1823" s="37" t="str">
        <x:v>passed</x:v>
      </x:c>
    </x:row>
    <x:row r="1824" ht="21" customHeight="1">
      <x:c r="A1824" s="2"/>
      <x:c r="B1824" s="2"/>
      <x:c r="C1824" s="2" t="str">
        <x:v>2023</x:v>
      </x:c>
      <x:c r="D1824" s="5" t="n">
        <x:v>45225</x:v>
      </x:c>
      <x:c r="E1824" s="2" t="str">
        <x:v>duration</x:v>
      </x:c>
      <x:c r="F1824" s="37" t="n">
        <x:v>7665381.889814291</x:v>
      </x:c>
      <x:c r="G1824" s="37" t="n">
        <x:v>4267056.945977068</x:v>
      </x:c>
      <x:c r="H1824" s="37" t="n">
        <x:v>-6913.897098948838</x:v>
      </x:c>
      <x:c r="I1824" s="37" t="n">
        <x:v>4273970.843076017</x:v>
      </x:c>
      <x:c r="J1824" s="37" t="n">
        <x:v>10208984.76723324</x:v>
      </x:c>
      <x:c r="K1824" s="37" t="n">
        <x:v>5941927.821256171</x:v>
      </x:c>
      <x:c r="L1824" s="37" t="n">
        <x:v>11932438.835791359</x:v>
      </x:c>
      <x:c r="M1824" s="37" t="n">
        <x:v>0</x:v>
      </x:c>
      <x:c r="N1824" s="37" t="n">
        <x:v>0</x:v>
      </x:c>
      <x:c r="O1824" s="37" t="n">
        <x:v>419.99791188538074</x:v>
      </x:c>
      <x:c r="P1824" s="37" t="n">
        <x:v>0</x:v>
      </x:c>
      <x:c r="Q1824" s="37" t="n">
        <x:v>0</x:v>
      </x:c>
      <x:c r="R1824" s="37" t="n">
        <x:v>0</x:v>
      </x:c>
      <x:c r="S1824" s="37" t="n">
        <x:v>0</x:v>
      </x:c>
      <x:c r="T1824" s="37" t="n">
        <x:v>0</x:v>
      </x:c>
      <x:c r="U1824" s="37" t="n">
        <x:v>47417.381478397</x:v>
      </x:c>
      <x:c r="V1824" s="37" t="n">
        <x:v>0</x:v>
      </x:c>
      <x:c r="W1824" s="37" t="n">
        <x:v>124962.24871564377</x:v>
      </x:c>
      <x:c r="X1824" s="37" t="n">
        <x:v>0</x:v>
      </x:c>
      <x:c r="Y1824" s="37" t="n">
        <x:v>1738.98756445152</x:v>
      </x:c>
      <x:c r="Z1824" s="37" t="n">
        <x:v>6060766.377681294</x:v>
      </x:c>
      <x:c r="AA1824" s="37" t="n">
        <x:v>0</x:v>
      </x:c>
      <x:c r="AB1824" s="37" t="n">
        <x:v>6060766.377681294</x:v>
      </x:c>
      <x:c r="AC1824" s="37" t="n">
        <x:v>1604615.5121329967</x:v>
      </x:c>
      <x:c r="AD1824" s="37" t="n">
        <x:v>0</x:v>
      </x:c>
      <x:c r="AE1824" s="37" t="n">
        <x:v>0</x:v>
      </x:c>
      <x:c r="AF1824" s="47" t="b">
        <x:v>0</x:v>
      </x:c>
      <x:c r="AG1824" s="47" t="b">
        <x:v>0</x:v>
      </x:c>
      <x:c r="AH1824" s="48" t="n">
        <x:v>0</x:v>
      </x:c>
      <x:c r="AI1824" s="48" t="n">
        <x:v>5.960464477539063e-8</x:v>
      </x:c>
      <x:c r="AJ1824" s="37" t="str">
        <x:v>passed</x:v>
      </x:c>
    </x:row>
    <x:row r="1825" ht="21" customHeight="1">
      <x:c r="A1825" s="2"/>
      <x:c r="B1825" s="2"/>
      <x:c r="C1825" s="2" t="str">
        <x:v>2023</x:v>
      </x:c>
      <x:c r="D1825" s="5" t="n">
        <x:v>45225</x:v>
      </x:c>
      <x:c r="E1825" s="2" t="str">
        <x:v>unweighted</x:v>
      </x:c>
      <x:c r="F1825" s="37" t="n">
        <x:v>10878014.93252288</x:v>
      </x:c>
      <x:c r="G1825" s="37" t="n">
        <x:v>960655.2282159042</x:v>
      </x:c>
      <x:c r="H1825" s="37" t="n">
        <x:v>-18492.441689141044</x:v>
      </x:c>
      <x:c r="I1825" s="37" t="n">
        <x:v>979147.6699050453</x:v>
      </x:c>
      <x:c r="J1825" s="37" t="n">
        <x:v>10307168.945520738</x:v>
      </x:c>
      <x:c r="K1825" s="37" t="n">
        <x:v>9346513.717304835</x:v>
      </x:c>
      <x:c r="L1825" s="37" t="n">
        <x:v>11838670.160738785</x:v>
      </x:c>
      <x:c r="M1825" s="37" t="n">
        <x:v>0</x:v>
      </x:c>
      <x:c r="N1825" s="37" t="n">
        <x:v>0</x:v>
      </x:c>
      <x:c r="O1825" s="37" t="n">
        <x:v>596.0229539498687</x:v>
      </x:c>
      <x:c r="P1825" s="37" t="n">
        <x:v>0</x:v>
      </x:c>
      <x:c r="Q1825" s="37" t="n">
        <x:v>0</x:v>
      </x:c>
      <x:c r="R1825" s="37" t="n">
        <x:v>0</x:v>
      </x:c>
      <x:c r="S1825" s="37" t="n">
        <x:v>0</x:v>
      </x:c>
      <x:c r="T1825" s="37" t="n">
        <x:v>0</x:v>
      </x:c>
      <x:c r="U1825" s="37" t="n">
        <x:v>31805.80415342993</x:v>
      </x:c>
      <x:c r="V1825" s="37" t="n">
        <x:v>0</x:v>
      </x:c>
      <x:c r="W1825" s="37" t="n">
        <x:v>181884.31926233694</x:v>
      </x:c>
      <x:c r="X1825" s="37" t="n">
        <x:v>0</x:v>
      </x:c>
      <x:c r="Y1825" s="37" t="n">
        <x:v>2213.10618367875</x:v>
      </x:c>
      <x:c r="Z1825" s="37" t="n">
        <x:v>9533443.991650932</x:v>
      </x:c>
      <x:c r="AA1825" s="37" t="n">
        <x:v>0</x:v>
      </x:c>
      <x:c r="AB1825" s="37" t="n">
        <x:v>9533443.991650932</x:v>
      </x:c>
      <x:c r="AC1825" s="37" t="n">
        <x:v>1344570.9408719484</x:v>
      </x:c>
      <x:c r="AD1825" s="37" t="n">
        <x:v>0</x:v>
      </x:c>
      <x:c r="AE1825" s="37" t="n">
        <x:v>0</x:v>
      </x:c>
      <x:c r="AF1825" s="47" t="b">
        <x:v>0</x:v>
      </x:c>
      <x:c r="AG1825" s="47" t="b">
        <x:v>0</x:v>
      </x:c>
      <x:c r="AH1825" s="48" t="n">
        <x:v>0</x:v>
      </x:c>
      <x:c r="AI1825" s="48" t="n">
        <x:v>1.1920928955078125e-7</x:v>
      </x:c>
      <x:c r="AJ1825" s="37" t="str">
        <x:v>passed</x:v>
      </x:c>
    </x:row>
    <x:row r="1826" ht="21" customHeight="1">
      <x:c r="A1826" s="2"/>
      <x:c r="B1826" s="2"/>
      <x:c r="C1826" s="2" t="str">
        <x:v>2023</x:v>
      </x:c>
      <x:c r="D1826" s="5" t="n">
        <x:v>45225</x:v>
      </x:c>
      <x:c r="E1826" s="2" t="str">
        <x:v>constrained</x:v>
      </x:c>
      <x:c r="F1826" s="37" t="n">
        <x:v>11845659.568597477</x:v>
      </x:c>
      <x:c r="G1826" s="37" t="n">
        <x:v>-26913.670088640425</x:v>
      </x:c>
      <x:c r="H1826" s="37" t="n">
        <x:v>-19750.58125042287</x:v>
      </x:c>
      <x:c r="I1826" s="37" t="n">
        <x:v>-7163.088838217554</x:v>
      </x:c>
      <x:c r="J1826" s="37" t="n">
        <x:v>10306203.13847661</x:v>
      </x:c>
      <x:c r="K1826" s="37" t="n">
        <x:v>10333116.808565252</x:v>
      </x:c>
      <x:c r="L1826" s="37" t="n">
        <x:v>11818745.898508836</x:v>
      </x:c>
      <x:c r="M1826" s="37" t="n">
        <x:v>0</x:v>
      </x:c>
      <x:c r="N1826" s="37" t="n">
        <x:v>0</x:v>
      </x:c>
      <x:c r="O1826" s="37" t="n">
        <x:v>649.0416727084666</x:v>
      </x:c>
      <x:c r="P1826" s="37" t="n">
        <x:v>0</x:v>
      </x:c>
      <x:c r="Q1826" s="37" t="n">
        <x:v>0</x:v>
      </x:c>
      <x:c r="R1826" s="37" t="n">
        <x:v>0</x:v>
      </x:c>
      <x:c r="S1826" s="37" t="n">
        <x:v>0</x:v>
      </x:c>
      <x:c r="T1826" s="37" t="n">
        <x:v>0</x:v>
      </x:c>
      <x:c r="U1826" s="37" t="n">
        <x:v>30720.44529747225</x:v>
      </x:c>
      <x:c r="V1826" s="37" t="n">
        <x:v>0</x:v>
      </x:c>
      <x:c r="W1826" s="37" t="n">
        <x:v>190414.22893934324</x:v>
      </x:c>
      <x:c r="X1826" s="37" t="n">
        <x:v>0</x:v>
      </x:c>
      <x:c r="Y1826" s="37" t="n">
        <x:v>2194.4193904657527</x:v>
      </x:c>
      <x:c r="Z1826" s="37" t="n">
        <x:v>10539779.144736556</x:v>
      </x:c>
      <x:c r="AA1826" s="37" t="n">
        <x:v>0</x:v>
      </x:c>
      <x:c r="AB1826" s="37" t="n">
        <x:v>10539779.144736556</x:v>
      </x:c>
      <x:c r="AC1826" s="37" t="n">
        <x:v>1305880.4238609206</x:v>
      </x:c>
      <x:c r="AD1826" s="37" t="n">
        <x:v>0</x:v>
      </x:c>
      <x:c r="AE1826" s="37" t="n">
        <x:v>0</x:v>
      </x:c>
      <x:c r="AF1826" s="47" t="b">
        <x:v>0</x:v>
      </x:c>
      <x:c r="AG1826" s="47" t="b">
        <x:v>0</x:v>
      </x:c>
      <x:c r="AH1826" s="48" t="n">
        <x:v>0</x:v>
      </x:c>
      <x:c r="AI1826" s="48" t="n">
        <x:v>1.1920928955078125e-7</x:v>
      </x:c>
      <x:c r="AJ1826" s="37" t="str">
        <x:v>passed</x:v>
      </x:c>
    </x:row>
    <x:row r="1827" ht="21" customHeight="1">
      <x:c r="A1827" s="2"/>
      <x:c r="B1827" s="2"/>
      <x:c r="C1827" s="2" t="str">
        <x:v>2023</x:v>
      </x:c>
      <x:c r="D1827" s="5" t="n">
        <x:v>45226</x:v>
      </x:c>
      <x:c r="E1827" s="2" t="str">
        <x:v>unhedged</x:v>
      </x:c>
      <x:c r="F1827" s="37" t="n">
        <x:v>1320812.5886964614</x:v>
      </x:c>
      <x:c r="G1827" s="37" t="n">
        <x:v>10223963.960959796</x:v>
      </x:c>
      <x:c r="H1827" s="37" t="n">
        <x:v>40557.065217391304</x:v>
      </x:c>
      <x:c r="I1827" s="37" t="n">
        <x:v>10183406.895742405</x:v>
      </x:c>
      <x:c r="J1827" s="37" t="n">
        <x:v>10223963.960959796</x:v>
      </x:c>
      <x:c r="K1827" s="37" t="n">
        <x:v>0</x:v>
      </x:c>
      <x:c r="L1827" s="37" t="n">
        <x:v>11544776.549656257</x:v>
      </x:c>
      <x:c r="M1827" s="37" t="n">
        <x:v>0</x:v>
      </x:c>
      <x:c r="N1827" s="37" t="n">
        <x:v>0</x:v>
      </x:c>
      <x:c r="O1827" s="37" t="n">
        <x:v>72.36932708905078</x:v>
      </x:c>
      <x:c r="P1827" s="37" t="n">
        <x:v>0</x:v>
      </x:c>
      <x:c r="Q1827" s="37" t="n">
        <x:v>0</x:v>
      </x:c>
      <x:c r="R1827" s="37" t="n">
        <x:v>0</x:v>
      </x:c>
      <x:c r="S1827" s="37" t="n">
        <x:v>0</x:v>
      </x:c>
      <x:c r="T1827" s="37" t="n">
        <x:v>0</x:v>
      </x:c>
      <x:c r="U1827" s="37" t="n">
        <x:v>101250</x:v>
      </x:c>
      <x:c r="V1827" s="37" t="n">
        <x:v>0</x:v>
      </x:c>
      <x:c r="W1827" s="37" t="n">
        <x:v>20605.45803858363</x:v>
      </x:c>
      <x:c r="X1827" s="37" t="n">
        <x:v>0</x:v>
      </x:c>
      <x:c r="Y1827" s="37" t="n">
        <x:v>1042.869342122179</x:v>
      </x:c>
      <x:c r="Z1827" s="37" t="n">
        <x:v>0</x:v>
      </x:c>
      <x:c r="AA1827" s="37" t="n">
        <x:v>0</x:v>
      </x:c>
      <x:c r="AB1827" s="37" t="n">
        <x:v>0</x:v>
      </x:c>
      <x:c r="AC1827" s="37" t="n">
        <x:v>1320812.5886964614</x:v>
      </x:c>
      <x:c r="AD1827" s="37" t="n">
        <x:v>0</x:v>
      </x:c>
      <x:c r="AE1827" s="37" t="n">
        <x:v>0</x:v>
      </x:c>
      <x:c r="AF1827" s="47" t="b">
        <x:v>0</x:v>
      </x:c>
      <x:c r="AG1827" s="47" t="b">
        <x:v>0</x:v>
      </x:c>
      <x:c r="AH1827" s="48" t="n">
        <x:v>0</x:v>
      </x:c>
      <x:c r="AI1827" s="48" t="n">
        <x:v>1.1920928955078125e-7</x:v>
      </x:c>
      <x:c r="AJ1827" s="37" t="str">
        <x:v>passed</x:v>
      </x:c>
    </x:row>
    <x:row r="1828" ht="21" customHeight="1">
      <x:c r="A1828" s="2"/>
      <x:c r="B1828" s="2"/>
      <x:c r="C1828" s="2" t="str">
        <x:v>2023</x:v>
      </x:c>
      <x:c r="D1828" s="5" t="n">
        <x:v>45226</x:v>
      </x:c>
      <x:c r="E1828" s="2" t="str">
        <x:v>duration</x:v>
      </x:c>
      <x:c r="F1828" s="37" t="n">
        <x:v>7665801.910739761</x:v>
      </x:c>
      <x:c r="G1828" s="37" t="n">
        <x:v>4270590.89192931</x:v>
      </x:c>
      <x:c r="H1828" s="37" t="n">
        <x:v>-6854.774188894711</x:v>
      </x:c>
      <x:c r="I1828" s="37" t="n">
        <x:v>4277445.666118205</x:v>
      </x:c>
      <x:c r="J1828" s="37" t="n">
        <x:v>10223963.960959796</x:v>
      </x:c>
      <x:c r="K1828" s="37" t="n">
        <x:v>5953373.069030485</x:v>
      </x:c>
      <x:c r="L1828" s="37" t="n">
        <x:v>11936392.80266907</x:v>
      </x:c>
      <x:c r="M1828" s="37" t="n">
        <x:v>0</x:v>
      </x:c>
      <x:c r="N1828" s="37" t="n">
        <x:v>0</x:v>
      </x:c>
      <x:c r="O1828" s="37" t="n">
        <x:v>420.0209254696965</x:v>
      </x:c>
      <x:c r="P1828" s="37" t="n">
        <x:v>0</x:v>
      </x:c>
      <x:c r="Q1828" s="37" t="n">
        <x:v>0</x:v>
      </x:c>
      <x:c r="R1828" s="37" t="n">
        <x:v>0</x:v>
      </x:c>
      <x:c r="S1828" s="37" t="n">
        <x:v>0</x:v>
      </x:c>
      <x:c r="T1828" s="37" t="n">
        <x:v>0</x:v>
      </x:c>
      <x:c r="U1828" s="37" t="n">
        <x:v>47417.381478397</x:v>
      </x:c>
      <x:c r="V1828" s="37" t="n">
        <x:v>0</x:v>
      </x:c>
      <x:c r="W1828" s="37" t="n">
        <x:v>125382.26964111347</x:v>
      </x:c>
      <x:c r="X1828" s="37" t="n">
        <x:v>0</x:v>
      </x:c>
      <x:c r="Y1828" s="37" t="n">
        <x:v>1738.98756445152</x:v>
      </x:c>
      <x:c r="Z1828" s="37" t="n">
        <x:v>6072440.530411095</x:v>
      </x:c>
      <x:c r="AA1828" s="37" t="n">
        <x:v>0</x:v>
      </x:c>
      <x:c r="AB1828" s="37" t="n">
        <x:v>6072440.530411095</x:v>
      </x:c>
      <x:c r="AC1828" s="37" t="n">
        <x:v>1593361.3803286655</x:v>
      </x:c>
      <x:c r="AD1828" s="37" t="n">
        <x:v>0</x:v>
      </x:c>
      <x:c r="AE1828" s="37" t="n">
        <x:v>0</x:v>
      </x:c>
      <x:c r="AF1828" s="47" t="b">
        <x:v>0</x:v>
      </x:c>
      <x:c r="AG1828" s="47" t="b">
        <x:v>0</x:v>
      </x:c>
      <x:c r="AH1828" s="48" t="n">
        <x:v>0</x:v>
      </x:c>
      <x:c r="AI1828" s="48" t="n">
        <x:v>5.960464477539063e-8</x:v>
      </x:c>
      <x:c r="AJ1828" s="37" t="str">
        <x:v>passed</x:v>
      </x:c>
    </x:row>
    <x:row r="1829" ht="21" customHeight="1">
      <x:c r="A1829" s="2"/>
      <x:c r="B1829" s="2"/>
      <x:c r="C1829" s="2" t="str">
        <x:v>2023</x:v>
      </x:c>
      <x:c r="D1829" s="5" t="n">
        <x:v>45226</x:v>
      </x:c>
      <x:c r="E1829" s="2" t="str">
        <x:v>unweighted</x:v>
      </x:c>
      <x:c r="F1829" s="37" t="n">
        <x:v>10878610.988135621</x:v>
      </x:c>
      <x:c r="G1829" s="37" t="n">
        <x:v>960595.1837024067</x:v>
      </x:c>
      <x:c r="H1829" s="37" t="n">
        <x:v>-18518.669735416803</x:v>
      </x:c>
      <x:c r="I1829" s="37" t="n">
        <x:v>979113.8534378235</x:v>
      </x:c>
      <x:c r="J1829" s="37" t="n">
        <x:v>10322044.30630611</x:v>
      </x:c>
      <x:c r="K1829" s="37" t="n">
        <x:v>9361449.122603703</x:v>
      </x:c>
      <x:c r="L1829" s="37" t="n">
        <x:v>11839206.171838028</x:v>
      </x:c>
      <x:c r="M1829" s="37" t="n">
        <x:v>0</x:v>
      </x:c>
      <x:c r="N1829" s="37" t="n">
        <x:v>0</x:v>
      </x:c>
      <x:c r="O1829" s="37" t="n">
        <x:v>596.0556127410382</x:v>
      </x:c>
      <x:c r="P1829" s="37" t="n">
        <x:v>0</x:v>
      </x:c>
      <x:c r="Q1829" s="37" t="n">
        <x:v>0</x:v>
      </x:c>
      <x:c r="R1829" s="37" t="n">
        <x:v>0</x:v>
      </x:c>
      <x:c r="S1829" s="37" t="n">
        <x:v>0</x:v>
      </x:c>
      <x:c r="T1829" s="37" t="n">
        <x:v>0</x:v>
      </x:c>
      <x:c r="U1829" s="37" t="n">
        <x:v>31805.80415342993</x:v>
      </x:c>
      <x:c r="V1829" s="37" t="n">
        <x:v>0</x:v>
      </x:c>
      <x:c r="W1829" s="37" t="n">
        <x:v>182480.37487507798</x:v>
      </x:c>
      <x:c r="X1829" s="37" t="n">
        <x:v>0</x:v>
      </x:c>
      <x:c r="Y1829" s="37" t="n">
        <x:v>2213.10618367875</x:v>
      </x:c>
      <x:c r="Z1829" s="37" t="n">
        <x:v>9548678.105055777</x:v>
      </x:c>
      <x:c r="AA1829" s="37" t="n">
        <x:v>0</x:v>
      </x:c>
      <x:c r="AB1829" s="37" t="n">
        <x:v>9548678.105055777</x:v>
      </x:c>
      <x:c r="AC1829" s="37" t="n">
        <x:v>1329932.8830798436</x:v>
      </x:c>
      <x:c r="AD1829" s="37" t="n">
        <x:v>0</x:v>
      </x:c>
      <x:c r="AE1829" s="37" t="n">
        <x:v>0</x:v>
      </x:c>
      <x:c r="AF1829" s="47" t="b">
        <x:v>0</x:v>
      </x:c>
      <x:c r="AG1829" s="47" t="b">
        <x:v>0</x:v>
      </x:c>
      <x:c r="AH1829" s="48" t="n">
        <x:v>0</x:v>
      </x:c>
      <x:c r="AI1829" s="48" t="n">
        <x:v>1.1920928955078125e-7</x:v>
      </x:c>
      <x:c r="AJ1829" s="37" t="str">
        <x:v>passed</x:v>
      </x:c>
    </x:row>
    <x:row r="1830" ht="21" customHeight="1">
      <x:c r="A1830" s="2"/>
      <x:c r="B1830" s="2"/>
      <x:c r="C1830" s="2" t="str">
        <x:v>2023</x:v>
      </x:c>
      <x:c r="D1830" s="5" t="n">
        <x:v>45226</x:v>
      </x:c>
      <x:c r="E1830" s="2" t="str">
        <x:v>constrained</x:v>
      </x:c>
      <x:c r="F1830" s="37" t="n">
        <x:v>11846308.645834114</x:v>
      </x:c>
      <x:c r="G1830" s="37" t="n">
        <x:v>-26953.74802212516</x:v>
      </x:c>
      <x:c r="H1830" s="37" t="n">
        <x:v>-19785.9579469991</x:v>
      </x:c>
      <x:c r="I1830" s="37" t="n">
        <x:v>-7167.79007512606</x:v>
      </x:c>
      <x:c r="J1830" s="37" t="n">
        <x:v>10321052.348038066</x:v>
      </x:c>
      <x:c r="K1830" s="37" t="n">
        <x:v>10348006.096060192</x:v>
      </x:c>
      <x:c r="L1830" s="37" t="n">
        <x:v>11819354.897811988</x:v>
      </x:c>
      <x:c r="M1830" s="37" t="n">
        <x:v>0</x:v>
      </x:c>
      <x:c r="N1830" s="37" t="n">
        <x:v>0</x:v>
      </x:c>
      <x:c r="O1830" s="37" t="n">
        <x:v>649.0772366374731</x:v>
      </x:c>
      <x:c r="P1830" s="37" t="n">
        <x:v>0</x:v>
      </x:c>
      <x:c r="Q1830" s="37" t="n">
        <x:v>0</x:v>
      </x:c>
      <x:c r="R1830" s="37" t="n">
        <x:v>0</x:v>
      </x:c>
      <x:c r="S1830" s="37" t="n">
        <x:v>0</x:v>
      </x:c>
      <x:c r="T1830" s="37" t="n">
        <x:v>0</x:v>
      </x:c>
      <x:c r="U1830" s="37" t="n">
        <x:v>30720.44529747225</x:v>
      </x:c>
      <x:c r="V1830" s="37" t="n">
        <x:v>0</x:v>
      </x:c>
      <x:c r="W1830" s="37" t="n">
        <x:v>191063.30617598072</x:v>
      </x:c>
      <x:c r="X1830" s="37" t="n">
        <x:v>0</x:v>
      </x:c>
      <x:c r="Y1830" s="37" t="n">
        <x:v>2194.4193904657527</x:v>
      </x:c>
      <x:c r="Z1830" s="37" t="n">
        <x:v>10554966.217981396</x:v>
      </x:c>
      <x:c r="AA1830" s="37" t="n">
        <x:v>0</x:v>
      </x:c>
      <x:c r="AB1830" s="37" t="n">
        <x:v>10554966.217981396</x:v>
      </x:c>
      <x:c r="AC1830" s="37" t="n">
        <x:v>1291342.4278527182</x:v>
      </x:c>
      <x:c r="AD1830" s="37" t="n">
        <x:v>0</x:v>
      </x:c>
      <x:c r="AE1830" s="37" t="n">
        <x:v>0</x:v>
      </x:c>
      <x:c r="AF1830" s="47" t="b">
        <x:v>0</x:v>
      </x:c>
      <x:c r="AG1830" s="47" t="b">
        <x:v>0</x:v>
      </x:c>
      <x:c r="AH1830" s="48" t="n">
        <x:v>0</x:v>
      </x:c>
      <x:c r="AI1830" s="48" t="n">
        <x:v>1.1920928955078125e-7</x:v>
      </x:c>
      <x:c r="AJ1830" s="37" t="str">
        <x:v>passed</x:v>
      </x:c>
    </x:row>
    <x:row r="1831" ht="21" customHeight="1">
      <x:c r="A1831" s="2"/>
      <x:c r="B1831" s="2"/>
      <x:c r="C1831" s="2" t="str">
        <x:v>2023</x:v>
      </x:c>
      <x:c r="D1831" s="5" t="n">
        <x:v>45229</x:v>
      </x:c>
      <x:c r="E1831" s="2" t="str">
        <x:v>unhedged</x:v>
      </x:c>
      <x:c r="F1831" s="37" t="n">
        <x:v>1321029.7204712525</x:v>
      </x:c>
      <x:c r="G1831" s="37" t="n">
        <x:v>10212965.322922193</x:v>
      </x:c>
      <x:c r="H1831" s="37" t="n">
        <x:v>41596.467391304344</x:v>
      </x:c>
      <x:c r="I1831" s="37" t="n">
        <x:v>10171368.855530888</x:v>
      </x:c>
      <x:c r="J1831" s="37" t="n">
        <x:v>10212965.322922193</x:v>
      </x:c>
      <x:c r="K1831" s="37" t="n">
        <x:v>0</x:v>
      </x:c>
      <x:c r="L1831" s="37" t="n">
        <x:v>11533995.043393444</x:v>
      </x:c>
      <x:c r="M1831" s="37" t="n">
        <x:v>0</x:v>
      </x:c>
      <x:c r="N1831" s="37" t="n">
        <x:v>0</x:v>
      </x:c>
      <x:c r="O1831" s="37" t="n">
        <x:v>217.1317747910507</x:v>
      </x:c>
      <x:c r="P1831" s="37" t="n">
        <x:v>0</x:v>
      </x:c>
      <x:c r="Q1831" s="37" t="n">
        <x:v>0</x:v>
      </x:c>
      <x:c r="R1831" s="37" t="n">
        <x:v>0</x:v>
      </x:c>
      <x:c r="S1831" s="37" t="n">
        <x:v>0</x:v>
      </x:c>
      <x:c r="T1831" s="37" t="n">
        <x:v>0</x:v>
      </x:c>
      <x:c r="U1831" s="37" t="n">
        <x:v>101250</x:v>
      </x:c>
      <x:c r="V1831" s="37" t="n">
        <x:v>0</x:v>
      </x:c>
      <x:c r="W1831" s="37" t="n">
        <x:v>20822.58981337468</x:v>
      </x:c>
      <x:c r="X1831" s="37" t="n">
        <x:v>0</x:v>
      </x:c>
      <x:c r="Y1831" s="37" t="n">
        <x:v>1042.869342122179</x:v>
      </x:c>
      <x:c r="Z1831" s="37" t="n">
        <x:v>0</x:v>
      </x:c>
      <x:c r="AA1831" s="37" t="n">
        <x:v>0</x:v>
      </x:c>
      <x:c r="AB1831" s="37" t="n">
        <x:v>0</x:v>
      </x:c>
      <x:c r="AC1831" s="37" t="n">
        <x:v>1321029.7204712525</x:v>
      </x:c>
      <x:c r="AD1831" s="37" t="n">
        <x:v>0</x:v>
      </x:c>
      <x:c r="AE1831" s="37" t="n">
        <x:v>0</x:v>
      </x:c>
      <x:c r="AF1831" s="47" t="b">
        <x:v>0</x:v>
      </x:c>
      <x:c r="AG1831" s="47" t="b">
        <x:v>0</x:v>
      </x:c>
      <x:c r="AH1831" s="48" t="n">
        <x:v>0</x:v>
      </x:c>
      <x:c r="AI1831" s="48" t="n">
        <x:v>1.1920928955078125e-7</x:v>
      </x:c>
      <x:c r="AJ1831" s="37" t="str">
        <x:v>passed</x:v>
      </x:c>
    </x:row>
    <x:row r="1832" ht="21" customHeight="1">
      <x:c r="A1832" s="2"/>
      <x:c r="B1832" s="2"/>
      <x:c r="C1832" s="2" t="str">
        <x:v>2023</x:v>
      </x:c>
      <x:c r="D1832" s="5" t="n">
        <x:v>45229</x:v>
      </x:c>
      <x:c r="E1832" s="2" t="str">
        <x:v>duration</x:v>
      </x:c>
      <x:c r="F1832" s="37" t="n">
        <x:v>7667062.111610285</x:v>
      </x:c>
      <x:c r="G1832" s="37" t="n">
        <x:v>4272583.209551913</x:v>
      </x:c>
      <x:c r="H1832" s="37" t="n">
        <x:v>-6677.405458732326</x:v>
      </x:c>
      <x:c r="I1832" s="37" t="n">
        <x:v>4279260.615010645</x:v>
      </x:c>
      <x:c r="J1832" s="37" t="n">
        <x:v>10212965.322922193</x:v>
      </x:c>
      <x:c r="K1832" s="37" t="n">
        <x:v>5940382.113370281</x:v>
      </x:c>
      <x:c r="L1832" s="37" t="n">
        <x:v>11939645.321162198</x:v>
      </x:c>
      <x:c r="M1832" s="37" t="n">
        <x:v>0</x:v>
      </x:c>
      <x:c r="N1832" s="37" t="n">
        <x:v>0</x:v>
      </x:c>
      <x:c r="O1832" s="37" t="n">
        <x:v>1260.2008705241606</x:v>
      </x:c>
      <x:c r="P1832" s="37" t="n">
        <x:v>0</x:v>
      </x:c>
      <x:c r="Q1832" s="37" t="n">
        <x:v>0</x:v>
      </x:c>
      <x:c r="R1832" s="37" t="n">
        <x:v>0</x:v>
      </x:c>
      <x:c r="S1832" s="37" t="n">
        <x:v>0</x:v>
      </x:c>
      <x:c r="T1832" s="37" t="n">
        <x:v>0</x:v>
      </x:c>
      <x:c r="U1832" s="37" t="n">
        <x:v>47417.381478397</x:v>
      </x:c>
      <x:c r="V1832" s="37" t="n">
        <x:v>0</x:v>
      </x:c>
      <x:c r="W1832" s="37" t="n">
        <x:v>126642.47051163763</x:v>
      </x:c>
      <x:c r="X1832" s="37" t="n">
        <x:v>0</x:v>
      </x:c>
      <x:c r="Y1832" s="37" t="n">
        <x:v>1738.98756445152</x:v>
      </x:c>
      <x:c r="Z1832" s="37" t="n">
        <x:v>6059189.755637687</x:v>
      </x:c>
      <x:c r="AA1832" s="37" t="n">
        <x:v>0</x:v>
      </x:c>
      <x:c r="AB1832" s="37" t="n">
        <x:v>6059189.755637687</x:v>
      </x:c>
      <x:c r="AC1832" s="37" t="n">
        <x:v>1607872.3559725983</x:v>
      </x:c>
      <x:c r="AD1832" s="37" t="n">
        <x:v>0</x:v>
      </x:c>
      <x:c r="AE1832" s="37" t="n">
        <x:v>0</x:v>
      </x:c>
      <x:c r="AF1832" s="47" t="b">
        <x:v>0</x:v>
      </x:c>
      <x:c r="AG1832" s="47" t="b">
        <x:v>0</x:v>
      </x:c>
      <x:c r="AH1832" s="48" t="n">
        <x:v>0</x:v>
      </x:c>
      <x:c r="AI1832" s="48" t="n">
        <x:v>5.960464477539063e-8</x:v>
      </x:c>
      <x:c r="AJ1832" s="37" t="str">
        <x:v>passed</x:v>
      </x:c>
    </x:row>
    <x:row r="1833" ht="21" customHeight="1">
      <x:c r="A1833" s="2"/>
      <x:c r="B1833" s="2"/>
      <x:c r="C1833" s="2" t="str">
        <x:v>2023</x:v>
      </x:c>
      <x:c r="D1833" s="5" t="n">
        <x:v>45229</x:v>
      </x:c>
      <x:c r="E1833" s="2" t="str">
        <x:v>unweighted</x:v>
      </x:c>
      <x:c r="F1833" s="37" t="n">
        <x:v>10880399.350944493</x:v>
      </x:c>
      <x:c r="G1833" s="37" t="n">
        <x:v>961456.0959590756</x:v>
      </x:c>
      <x:c r="H1833" s="37" t="n">
        <x:v>-18597.35387424407</x:v>
      </x:c>
      <x:c r="I1833" s="37" t="n">
        <x:v>980053.4498333196</x:v>
      </x:c>
      <x:c r="J1833" s="37" t="n">
        <x:v>10310830.683125347</x:v>
      </x:c>
      <x:c r="K1833" s="37" t="n">
        <x:v>9349374.58716627</x:v>
      </x:c>
      <x:c r="L1833" s="37" t="n">
        <x:v>11841855.446903568</x:v>
      </x:c>
      <x:c r="M1833" s="37" t="n">
        <x:v>0</x:v>
      </x:c>
      <x:c r="N1833" s="37" t="n">
        <x:v>0</x:v>
      </x:c>
      <x:c r="O1833" s="37" t="n">
        <x:v>1788.3628088720143</x:v>
      </x:c>
      <x:c r="P1833" s="37" t="n">
        <x:v>0</x:v>
      </x:c>
      <x:c r="Q1833" s="37" t="n">
        <x:v>0</x:v>
      </x:c>
      <x:c r="R1833" s="37" t="n">
        <x:v>0</x:v>
      </x:c>
      <x:c r="S1833" s="37" t="n">
        <x:v>0</x:v>
      </x:c>
      <x:c r="T1833" s="37" t="n">
        <x:v>0</x:v>
      </x:c>
      <x:c r="U1833" s="37" t="n">
        <x:v>31805.80415342993</x:v>
      </x:c>
      <x:c r="V1833" s="37" t="n">
        <x:v>0</x:v>
      </x:c>
      <x:c r="W1833" s="37" t="n">
        <x:v>184268.73768395</x:v>
      </x:c>
      <x:c r="X1833" s="37" t="n">
        <x:v>0</x:v>
      </x:c>
      <x:c r="Y1833" s="37" t="n">
        <x:v>2213.10618367875</x:v>
      </x:c>
      <x:c r="Z1833" s="37" t="n">
        <x:v>9536362.078909596</x:v>
      </x:c>
      <x:c r="AA1833" s="37" t="n">
        <x:v>0</x:v>
      </x:c>
      <x:c r="AB1833" s="37" t="n">
        <x:v>9536362.078909596</x:v>
      </x:c>
      <x:c r="AC1833" s="37" t="n">
        <x:v>1344037.2720348965</x:v>
      </x:c>
      <x:c r="AD1833" s="37" t="n">
        <x:v>0</x:v>
      </x:c>
      <x:c r="AE1833" s="37" t="n">
        <x:v>0</x:v>
      </x:c>
      <x:c r="AF1833" s="47" t="b">
        <x:v>0</x:v>
      </x:c>
      <x:c r="AG1833" s="47" t="b">
        <x:v>0</x:v>
      </x:c>
      <x:c r="AH1833" s="48" t="n">
        <x:v>0</x:v>
      </x:c>
      <x:c r="AI1833" s="48" t="n">
        <x:v>1.1920928955078125e-7</x:v>
      </x:c>
      <x:c r="AJ1833" s="37" t="str">
        <x:v>passed</x:v>
      </x:c>
    </x:row>
    <x:row r="1834" ht="21" customHeight="1">
      <x:c r="A1834" s="2"/>
      <x:c r="B1834" s="2"/>
      <x:c r="C1834" s="2" t="str">
        <x:v>2023</x:v>
      </x:c>
      <x:c r="D1834" s="5" t="n">
        <x:v>45229</x:v>
      </x:c>
      <x:c r="E1834" s="2" t="str">
        <x:v>constrained</x:v>
      </x:c>
      <x:c r="F1834" s="37" t="n">
        <x:v>11848256.090947073</x:v>
      </x:c>
      <x:c r="G1834" s="37" t="n">
        <x:v>-26850.10960819929</x:v>
      </x:c>
      <x:c r="H1834" s="37" t="n">
        <x:v>-19892.08803672778</x:v>
      </x:c>
      <x:c r="I1834" s="37" t="n">
        <x:v>-6958.021571471512</x:v>
      </x:c>
      <x:c r="J1834" s="37" t="n">
        <x:v>10309857.08243783</x:v>
      </x:c>
      <x:c r="K1834" s="37" t="n">
        <x:v>10336707.19204603</x:v>
      </x:c>
      <x:c r="L1834" s="37" t="n">
        <x:v>11821405.981338874</x:v>
      </x:c>
      <x:c r="M1834" s="37" t="n">
        <x:v>0</x:v>
      </x:c>
      <x:c r="N1834" s="37" t="n">
        <x:v>0</x:v>
      </x:c>
      <x:c r="O1834" s="37" t="n">
        <x:v>1947.4451129585505</x:v>
      </x:c>
      <x:c r="P1834" s="37" t="n">
        <x:v>0</x:v>
      </x:c>
      <x:c r="Q1834" s="37" t="n">
        <x:v>0</x:v>
      </x:c>
      <x:c r="R1834" s="37" t="n">
        <x:v>0</x:v>
      </x:c>
      <x:c r="S1834" s="37" t="n">
        <x:v>0</x:v>
      </x:c>
      <x:c r="T1834" s="37" t="n">
        <x:v>0</x:v>
      </x:c>
      <x:c r="U1834" s="37" t="n">
        <x:v>30720.44529747225</x:v>
      </x:c>
      <x:c r="V1834" s="37" t="n">
        <x:v>0</x:v>
      </x:c>
      <x:c r="W1834" s="37" t="n">
        <x:v>193010.75128893927</x:v>
      </x:c>
      <x:c r="X1834" s="37" t="n">
        <x:v>0</x:v>
      </x:c>
      <x:c r="Y1834" s="37" t="n">
        <x:v>2194.4193904657527</x:v>
      </x:c>
      <x:c r="Z1834" s="37" t="n">
        <x:v>10543441.33588695</x:v>
      </x:c>
      <x:c r="AA1834" s="37" t="n">
        <x:v>0</x:v>
      </x:c>
      <x:c r="AB1834" s="37" t="n">
        <x:v>10543441.33588695</x:v>
      </x:c>
      <x:c r="AC1834" s="37" t="n">
        <x:v>1304814.7550601233</x:v>
      </x:c>
      <x:c r="AD1834" s="37" t="n">
        <x:v>0</x:v>
      </x:c>
      <x:c r="AE1834" s="37" t="n">
        <x:v>0</x:v>
      </x:c>
      <x:c r="AF1834" s="47" t="b">
        <x:v>0</x:v>
      </x:c>
      <x:c r="AG1834" s="47" t="b">
        <x:v>0</x:v>
      </x:c>
      <x:c r="AH1834" s="48" t="n">
        <x:v>0</x:v>
      </x:c>
      <x:c r="AI1834" s="48" t="n">
        <x:v>1.1920928955078125e-7</x:v>
      </x:c>
      <x:c r="AJ1834" s="37" t="str">
        <x:v>passed</x:v>
      </x:c>
    </x:row>
    <x:row r="1835" ht="21" customHeight="1">
      <x:c r="A1835" s="2"/>
      <x:c r="B1835" s="2"/>
      <x:c r="C1835" s="2" t="str">
        <x:v>2023</x:v>
      </x:c>
      <x:c r="D1835" s="5" t="n">
        <x:v>45230</x:v>
      </x:c>
      <x:c r="E1835" s="2" t="str">
        <x:v>unhedged</x:v>
      </x:c>
      <x:c r="F1835" s="37" t="n">
        <x:v>3347352.1056614155</x:v>
      </x:c>
      <x:c r="G1835" s="37" t="n">
        <x:v>8185016.589472121</x:v>
      </x:c>
      <x:c r="H1835" s="37" t="n">
        <x:v>15692.934782608696</x:v>
      </x:c>
      <x:c r="I1835" s="37" t="n">
        <x:v>8169323.654689512</x:v>
      </x:c>
      <x:c r="J1835" s="37" t="n">
        <x:v>8185016.589472121</x:v>
      </x:c>
      <x:c r="K1835" s="37" t="n">
        <x:v>0</x:v>
      </x:c>
      <x:c r="L1835" s="37" t="n">
        <x:v>11532368.695133537</x:v>
      </x:c>
      <x:c r="M1835" s="37" t="n">
        <x:v>26250</x:v>
      </x:c>
      <x:c r="N1835" s="37" t="n">
        <x:v>2000000</x:v>
      </x:c>
      <x:c r="O1835" s="37" t="n">
        <x:v>72.38519016304053</x:v>
      </x:c>
      <x:c r="P1835" s="37" t="n">
        <x:v>0</x:v>
      </x:c>
      <x:c r="Q1835" s="37" t="n">
        <x:v>0</x:v>
      </x:c>
      <x:c r="R1835" s="37" t="n">
        <x:v>0</x:v>
      </x:c>
      <x:c r="S1835" s="37" t="n">
        <x:v>0</x:v>
      </x:c>
      <x:c r="T1835" s="37" t="n">
        <x:v>0</x:v>
      </x:c>
      <x:c r="U1835" s="37" t="n">
        <x:v>127500</x:v>
      </x:c>
      <x:c r="V1835" s="37" t="n">
        <x:v>2000000</x:v>
      </x:c>
      <x:c r="W1835" s="37" t="n">
        <x:v>20894.975003537722</x:v>
      </x:c>
      <x:c r="X1835" s="37" t="n">
        <x:v>0</x:v>
      </x:c>
      <x:c r="Y1835" s="37" t="n">
        <x:v>1042.869342122179</x:v>
      </x:c>
      <x:c r="Z1835" s="37" t="n">
        <x:v>0</x:v>
      </x:c>
      <x:c r="AA1835" s="37" t="n">
        <x:v>0</x:v>
      </x:c>
      <x:c r="AB1835" s="37" t="n">
        <x:v>0</x:v>
      </x:c>
      <x:c r="AC1835" s="37" t="n">
        <x:v>3347352.1056614155</x:v>
      </x:c>
      <x:c r="AD1835" s="37" t="n">
        <x:v>0</x:v>
      </x:c>
      <x:c r="AE1835" s="37" t="n">
        <x:v>0</x:v>
      </x:c>
      <x:c r="AF1835" s="47" t="b">
        <x:v>0</x:v>
      </x:c>
      <x:c r="AG1835" s="47" t="b">
        <x:v>0</x:v>
      </x:c>
      <x:c r="AH1835" s="48" t="n">
        <x:v>0</x:v>
      </x:c>
      <x:c r="AI1835" s="48" t="n">
        <x:v>5.960464477539063e-8</x:v>
      </x:c>
      <x:c r="AJ1835" s="37" t="str">
        <x:v>passed</x:v>
      </x:c>
    </x:row>
    <x:row r="1836" ht="21" customHeight="1">
      <x:c r="A1836" s="2"/>
      <x:c r="B1836" s="2"/>
      <x:c r="C1836" s="2" t="str">
        <x:v>2023</x:v>
      </x:c>
      <x:c r="D1836" s="5" t="n">
        <x:v>45230</x:v>
      </x:c>
      <x:c r="E1836" s="2" t="str">
        <x:v>duration</x:v>
      </x:c>
      <x:c r="F1836" s="37" t="n">
        <x:v>9693732.224602703</x:v>
      </x:c>
      <x:c r="G1836" s="37" t="n">
        <x:v>2244307.016541959</x:v>
      </x:c>
      <x:c r="H1836" s="37" t="n">
        <x:v>-32868.28254867819</x:v>
      </x:c>
      <x:c r="I1836" s="37" t="n">
        <x:v>2277175.299090637</x:v>
      </x:c>
      <x:c r="J1836" s="37" t="n">
        <x:v>8185016.589472121</x:v>
      </x:c>
      <x:c r="K1836" s="37" t="n">
        <x:v>5940709.572930162</x:v>
      </x:c>
      <x:c r="L1836" s="37" t="n">
        <x:v>11938039.24114466</x:v>
      </x:c>
      <x:c r="M1836" s="37" t="n">
        <x:v>26250</x:v>
      </x:c>
      <x:c r="N1836" s="37" t="n">
        <x:v>2000000</x:v>
      </x:c>
      <x:c r="O1836" s="37" t="n">
        <x:v>420.1129924179986</x:v>
      </x:c>
      <x:c r="P1836" s="37" t="n">
        <x:v>0</x:v>
      </x:c>
      <x:c r="Q1836" s="37" t="n">
        <x:v>0</x:v>
      </x:c>
      <x:c r="R1836" s="37" t="n">
        <x:v>0</x:v>
      </x:c>
      <x:c r="S1836" s="37" t="n">
        <x:v>0</x:v>
      </x:c>
      <x:c r="T1836" s="37" t="n">
        <x:v>0</x:v>
      </x:c>
      <x:c r="U1836" s="37" t="n">
        <x:v>73667.381478397</x:v>
      </x:c>
      <x:c r="V1836" s="37" t="n">
        <x:v>2000000</x:v>
      </x:c>
      <x:c r="W1836" s="37" t="n">
        <x:v>127062.58350405563</x:v>
      </x:c>
      <x:c r="X1836" s="37" t="n">
        <x:v>0</x:v>
      </x:c>
      <x:c r="Y1836" s="37" t="n">
        <x:v>1738.98756445152</x:v>
      </x:c>
      <x:c r="Z1836" s="37" t="n">
        <x:v>6059523.764388765</x:v>
      </x:c>
      <x:c r="AA1836" s="37" t="n">
        <x:v>0</x:v>
      </x:c>
      <x:c r="AB1836" s="37" t="n">
        <x:v>6059523.764388765</x:v>
      </x:c>
      <x:c r="AC1836" s="37" t="n">
        <x:v>3634208.460213938</x:v>
      </x:c>
      <x:c r="AD1836" s="37" t="n">
        <x:v>0</x:v>
      </x:c>
      <x:c r="AE1836" s="37" t="n">
        <x:v>0</x:v>
      </x:c>
      <x:c r="AF1836" s="47" t="b">
        <x:v>0</x:v>
      </x:c>
      <x:c r="AG1836" s="47" t="b">
        <x:v>0</x:v>
      </x:c>
      <x:c r="AH1836" s="48" t="n">
        <x:v>0</x:v>
      </x:c>
      <x:c r="AI1836" s="48" t="n">
        <x:v>1.1920928955078125e-7</x:v>
      </x:c>
      <x:c r="AJ1836" s="37" t="str">
        <x:v>passed</x:v>
      </x:c>
    </x:row>
    <x:row r="1837" ht="21" customHeight="1">
      <x:c r="A1837" s="2"/>
      <x:c r="B1837" s="2"/>
      <x:c r="C1837" s="2" t="str">
        <x:v>2023</x:v>
      </x:c>
      <x:c r="D1837" s="5" t="n">
        <x:v>45230</x:v>
      </x:c>
      <x:c r="E1837" s="2" t="str">
        <x:v>unweighted</x:v>
      </x:c>
      <x:c r="F1837" s="37" t="n">
        <x:v>12907245.537210299</x:v>
      </x:c>
      <x:c r="G1837" s="37" t="n">
        <x:v>-1064701.3781639794</x:v>
      </x:c>
      <x:c r="H1837" s="37" t="n">
        <x:v>-44873.58192051983</x:v>
      </x:c>
      <x:c r="I1837" s="37" t="n">
        <x:v>-1019827.7962434596</x:v>
      </x:c>
      <x:c r="J1837" s="37" t="n">
        <x:v>8282961.472690496</x:v>
      </x:c>
      <x:c r="K1837" s="37" t="n">
        <x:v>9347662.850854475</x:v>
      </x:c>
      <x:c r="L1837" s="37" t="n">
        <x:v>11842544.159046318</x:v>
      </x:c>
      <x:c r="M1837" s="37" t="n">
        <x:v>26250</x:v>
      </x:c>
      <x:c r="N1837" s="37" t="n">
        <x:v>2000000</x:v>
      </x:c>
      <x:c r="O1837" s="37" t="n">
        <x:v>596.1862658057362</x:v>
      </x:c>
      <x:c r="P1837" s="37" t="n">
        <x:v>0</x:v>
      </x:c>
      <x:c r="Q1837" s="37" t="n">
        <x:v>0</x:v>
      </x:c>
      <x:c r="R1837" s="37" t="n">
        <x:v>0</x:v>
      </x:c>
      <x:c r="S1837" s="37" t="n">
        <x:v>0</x:v>
      </x:c>
      <x:c r="T1837" s="37" t="n">
        <x:v>0</x:v>
      </x:c>
      <x:c r="U1837" s="37" t="n">
        <x:v>58055.80415342993</x:v>
      </x:c>
      <x:c r="V1837" s="37" t="n">
        <x:v>2000000</x:v>
      </x:c>
      <x:c r="W1837" s="37" t="n">
        <x:v>184864.92394975573</x:v>
      </x:c>
      <x:c r="X1837" s="37" t="n">
        <x:v>0</x:v>
      </x:c>
      <x:c r="Y1837" s="37" t="n">
        <x:v>2213.10618367875</x:v>
      </x:c>
      <x:c r="Z1837" s="37" t="n">
        <x:v>9534616.107871564</x:v>
      </x:c>
      <x:c r="AA1837" s="37" t="n">
        <x:v>0</x:v>
      </x:c>
      <x:c r="AB1837" s="37" t="n">
        <x:v>9534616.107871564</x:v>
      </x:c>
      <x:c r="AC1837" s="37" t="n">
        <x:v>3372629.4293387346</x:v>
      </x:c>
      <x:c r="AD1837" s="37" t="n">
        <x:v>0</x:v>
      </x:c>
      <x:c r="AE1837" s="37" t="n">
        <x:v>0</x:v>
      </x:c>
      <x:c r="AF1837" s="47" t="b">
        <x:v>0</x:v>
      </x:c>
      <x:c r="AG1837" s="47" t="b">
        <x:v>0</x:v>
      </x:c>
      <x:c r="AH1837" s="48" t="n">
        <x:v>0</x:v>
      </x:c>
      <x:c r="AI1837" s="48" t="n">
        <x:v>1.1920928955078125e-7</x:v>
      </x:c>
      <x:c r="AJ1837" s="37" t="str">
        <x:v>passed</x:v>
      </x:c>
    </x:row>
    <x:row r="1838" ht="21" customHeight="1">
      <x:c r="A1838" s="2"/>
      <x:c r="B1838" s="2"/>
      <x:c r="C1838" s="2" t="str">
        <x:v>2023</x:v>
      </x:c>
      <x:c r="D1838" s="5" t="n">
        <x:v>45230</x:v>
      </x:c>
      <x:c r="E1838" s="2" t="str">
        <x:v>constrained</x:v>
      </x:c>
      <x:c r="F1838" s="37" t="n">
        <x:v>13875155.310458906</x:v>
      </x:c>
      <x:c r="G1838" s="37" t="n">
        <x:v>-2053148.7425663625</x:v>
      </x:c>
      <x:c r="H1838" s="37" t="n">
        <x:v>-46177.464733304</x:v>
      </x:c>
      <x:c r="I1838" s="37" t="n">
        <x:v>-2006971.2778330585</x:v>
      </x:c>
      <x:c r="J1838" s="37" t="n">
        <x:v>8281997.485734161</x:v>
      </x:c>
      <x:c r="K1838" s="37" t="n">
        <x:v>10335146.228300523</x:v>
      </x:c>
      <x:c r="L1838" s="37" t="n">
        <x:v>11822006.567892544</x:v>
      </x:c>
      <x:c r="M1838" s="37" t="n">
        <x:v>26250</x:v>
      </x:c>
      <x:c r="N1838" s="37" t="n">
        <x:v>2000000</x:v>
      </x:c>
      <x:c r="O1838" s="37" t="n">
        <x:v>649.2195118330419</x:v>
      </x:c>
      <x:c r="P1838" s="37" t="n">
        <x:v>0</x:v>
      </x:c>
      <x:c r="Q1838" s="37" t="n">
        <x:v>0</x:v>
      </x:c>
      <x:c r="R1838" s="37" t="n">
        <x:v>0</x:v>
      </x:c>
      <x:c r="S1838" s="37" t="n">
        <x:v>0</x:v>
      </x:c>
      <x:c r="T1838" s="37" t="n">
        <x:v>0</x:v>
      </x:c>
      <x:c r="U1838" s="37" t="n">
        <x:v>56970.44529747225</x:v>
      </x:c>
      <x:c r="V1838" s="37" t="n">
        <x:v>2000000</x:v>
      </x:c>
      <x:c r="W1838" s="37" t="n">
        <x:v>193659.9708007723</x:v>
      </x:c>
      <x:c r="X1838" s="37" t="n">
        <x:v>0</x:v>
      </x:c>
      <x:c r="Y1838" s="37" t="n">
        <x:v>2194.4193904657527</x:v>
      </x:c>
      <x:c r="Z1838" s="37" t="n">
        <x:v>10541849.152866533</x:v>
      </x:c>
      <x:c r="AA1838" s="37" t="n">
        <x:v>0</x:v>
      </x:c>
      <x:c r="AB1838" s="37" t="n">
        <x:v>10541849.152866533</x:v>
      </x:c>
      <x:c r="AC1838" s="37" t="n">
        <x:v>3333306.157592373</x:v>
      </x:c>
      <x:c r="AD1838" s="37" t="n">
        <x:v>0</x:v>
      </x:c>
      <x:c r="AE1838" s="37" t="n">
        <x:v>0</x:v>
      </x:c>
      <x:c r="AF1838" s="47" t="b">
        <x:v>0</x:v>
      </x:c>
      <x:c r="AG1838" s="47" t="b">
        <x:v>0</x:v>
      </x:c>
      <x:c r="AH1838" s="48" t="n">
        <x:v>0</x:v>
      </x:c>
      <x:c r="AI1838" s="48" t="n">
        <x:v>1.1920928955078125e-7</x:v>
      </x:c>
      <x:c r="AJ1838" s="37" t="str">
        <x:v>passed</x:v>
      </x:c>
    </x:row>
    <x:row r="1839" ht="21" customHeight="1">
      <x:c r="A1839" s="2"/>
      <x:c r="B1839" s="2"/>
      <x:c r="C1839" s="2" t="str">
        <x:v>2023</x:v>
      </x:c>
      <x:c r="D1839" s="5" t="n">
        <x:v>45231</x:v>
      </x:c>
      <x:c r="E1839" s="2" t="str">
        <x:v>unhedged</x:v>
      </x:c>
      <x:c r="F1839" s="37" t="n">
        <x:v>3347535.5222151508</x:v>
      </x:c>
      <x:c r="G1839" s="37" t="n">
        <x:v>8243555.740216134</x:v>
      </x:c>
      <x:c r="H1839" s="37" t="n">
        <x:v>16020.365504061156</x:v>
      </x:c>
      <x:c r="I1839" s="37" t="n">
        <x:v>8227535.374712073</x:v>
      </x:c>
      <x:c r="J1839" s="37" t="n">
        <x:v>8243555.740216134</x:v>
      </x:c>
      <x:c r="K1839" s="37" t="n">
        <x:v>0</x:v>
      </x:c>
      <x:c r="L1839" s="37" t="n">
        <x:v>11591091.262431284</x:v>
      </x:c>
      <x:c r="M1839" s="37" t="n">
        <x:v>0</x:v>
      </x:c>
      <x:c r="N1839" s="37" t="n">
        <x:v>0</x:v>
      </x:c>
      <x:c r="O1839" s="37" t="n">
        <x:v>183.41655373526737</x:v>
      </x:c>
      <x:c r="P1839" s="37" t="n">
        <x:v>0</x:v>
      </x:c>
      <x:c r="Q1839" s="37" t="n">
        <x:v>0</x:v>
      </x:c>
      <x:c r="R1839" s="37" t="n">
        <x:v>0</x:v>
      </x:c>
      <x:c r="S1839" s="37" t="n">
        <x:v>0</x:v>
      </x:c>
      <x:c r="T1839" s="37" t="n">
        <x:v>0</x:v>
      </x:c>
      <x:c r="U1839" s="37" t="n">
        <x:v>127500</x:v>
      </x:c>
      <x:c r="V1839" s="37" t="n">
        <x:v>2000000</x:v>
      </x:c>
      <x:c r="W1839" s="37" t="n">
        <x:v>21078.39155727299</x:v>
      </x:c>
      <x:c r="X1839" s="37" t="n">
        <x:v>0</x:v>
      </x:c>
      <x:c r="Y1839" s="37" t="n">
        <x:v>1042.869342122179</x:v>
      </x:c>
      <x:c r="Z1839" s="37" t="n">
        <x:v>0</x:v>
      </x:c>
      <x:c r="AA1839" s="37" t="n">
        <x:v>0</x:v>
      </x:c>
      <x:c r="AB1839" s="37" t="n">
        <x:v>0</x:v>
      </x:c>
      <x:c r="AC1839" s="37" t="n">
        <x:v>3347535.5222151508</x:v>
      </x:c>
      <x:c r="AD1839" s="37" t="n">
        <x:v>0</x:v>
      </x:c>
      <x:c r="AE1839" s="37" t="n">
        <x:v>0</x:v>
      </x:c>
      <x:c r="AF1839" s="47" t="b">
        <x:v>0</x:v>
      </x:c>
      <x:c r="AG1839" s="47" t="b">
        <x:v>0</x:v>
      </x:c>
      <x:c r="AH1839" s="48" t="n">
        <x:v>0</x:v>
      </x:c>
      <x:c r="AI1839" s="48" t="n">
        <x:v>5.960464477539063e-8</x:v>
      </x:c>
      <x:c r="AJ1839" s="37" t="str">
        <x:v>passed</x:v>
      </x:c>
    </x:row>
    <x:row r="1840" ht="21" customHeight="1">
      <x:c r="A1840" s="2"/>
      <x:c r="B1840" s="2"/>
      <x:c r="C1840" s="2" t="str">
        <x:v>2023</x:v>
      </x:c>
      <x:c r="D1840" s="5" t="n">
        <x:v>45231</x:v>
      </x:c>
      <x:c r="E1840" s="2" t="str">
        <x:v>duration</x:v>
      </x:c>
      <x:c r="F1840" s="37" t="n">
        <x:v>9677362.288003352</x:v>
      </x:c>
      <x:c r="G1840" s="37" t="n">
        <x:v>2263179.479247316</x:v>
      </x:c>
      <x:c r="H1840" s="37" t="n">
        <x:v>-32690.54849593925</x:v>
      </x:c>
      <x:c r="I1840" s="37" t="n">
        <x:v>2295870.0277432553</x:v>
      </x:c>
      <x:c r="J1840" s="37" t="n">
        <x:v>8243555.740216134</x:v>
      </x:c>
      <x:c r="K1840" s="37" t="n">
        <x:v>5980376.260968818</x:v>
      </x:c>
      <x:c r="L1840" s="37" t="n">
        <x:v>11940541.767250668</x:v>
      </x:c>
      <x:c r="M1840" s="37" t="n">
        <x:v>0</x:v>
      </x:c>
      <x:c r="N1840" s="37" t="n">
        <x:v>0</x:v>
      </x:c>
      <x:c r="O1840" s="37" t="n">
        <x:v>531.1634095683694</x:v>
      </x:c>
      <x:c r="P1840" s="37" t="n">
        <x:v>0</x:v>
      </x:c>
      <x:c r="Q1840" s="37" t="n">
        <x:v>1.6899410067911629</x:v>
      </x:c>
      <x:c r="R1840" s="37" t="n">
        <x:v>-16899.410067911627</x:v>
      </x:c>
      <x:c r="S1840" s="37" t="n">
        <x:v>16899.410067911627</x:v>
      </x:c>
      <x:c r="T1840" s="37" t="n">
        <x:v>0</x:v>
      </x:c>
      <x:c r="U1840" s="37" t="n">
        <x:v>73667.381478397</x:v>
      </x:c>
      <x:c r="V1840" s="37" t="n">
        <x:v>2000000</x:v>
      </x:c>
      <x:c r="W1840" s="37" t="n">
        <x:v>127593.746913624</x:v>
      </x:c>
      <x:c r="X1840" s="37" t="n">
        <x:v>0</x:v>
      </x:c>
      <x:c r="Y1840" s="37" t="n">
        <x:v>1740.677505458311</x:v>
      </x:c>
      <x:c r="Z1840" s="37" t="n">
        <x:v>6099983.7861881945</x:v>
      </x:c>
      <x:c r="AA1840" s="37" t="n">
        <x:v>0</x:v>
      </x:c>
      <x:c r="AB1840" s="37" t="n">
        <x:v>6099983.7861881945</x:v>
      </x:c>
      <x:c r="AC1840" s="37" t="n">
        <x:v>3577378.501815157</x:v>
      </x:c>
      <x:c r="AD1840" s="37" t="n">
        <x:v>0</x:v>
      </x:c>
      <x:c r="AE1840" s="37" t="n">
        <x:v>0</x:v>
      </x:c>
      <x:c r="AF1840" s="47" t="b">
        <x:v>0</x:v>
      </x:c>
      <x:c r="AG1840" s="47" t="b">
        <x:v>0</x:v>
      </x:c>
      <x:c r="AH1840" s="48" t="n">
        <x:v>-1.416661898900884e-9</x:v>
      </x:c>
      <x:c r="AI1840" s="48" t="n">
        <x:v>1.1920928955078125e-7</x:v>
      </x:c>
      <x:c r="AJ1840" s="37" t="str">
        <x:v>passed</x:v>
      </x:c>
    </x:row>
    <x:row r="1841" ht="21" customHeight="1">
      <x:c r="A1841" s="2"/>
      <x:c r="B1841" s="2"/>
      <x:c r="C1841" s="2" t="str">
        <x:v>2023</x:v>
      </x:c>
      <x:c r="D1841" s="5" t="n">
        <x:v>45231</x:v>
      </x:c>
      <x:c r="E1841" s="2" t="str">
        <x:v>unweighted</x:v>
      </x:c>
      <x:c r="F1841" s="37" t="n">
        <x:v>11956495.176868206</x:v>
      </x:c>
      <x:c r="G1841" s="37" t="n">
        <x:v>-114614.84899173542</x:v>
      </x:c>
      <x:c r="H1841" s="37" t="n">
        <x:v>-43030.91352568861</x:v>
      </x:c>
      <x:c r="I1841" s="37" t="n">
        <x:v>-71583.93546604681</x:v>
      </x:c>
      <x:c r="J1841" s="37" t="n">
        <x:v>8375325.387415457</x:v>
      </x:c>
      <x:c r="K1841" s="37" t="n">
        <x:v>8489940.236407192</x:v>
      </x:c>
      <x:c r="L1841" s="37" t="n">
        <x:v>11841880.327876471</x:v>
      </x:c>
      <x:c r="M1841" s="37" t="n">
        <x:v>0</x:v>
      </x:c>
      <x:c r="N1841" s="37" t="n">
        <x:v>0</x:v>
      </x:c>
      <x:c r="O1841" s="37" t="n">
        <x:v>707.2463308069855</x:v>
      </x:c>
      <x:c r="P1841" s="37" t="n">
        <x:v>0</x:v>
      </x:c>
      <x:c r="Q1841" s="37" t="n">
        <x:v>102.99084445013986</x:v>
      </x:c>
      <x:c r="R1841" s="37" t="n">
        <x:v>-951354.6158284491</x:v>
      </x:c>
      <x:c r="S1841" s="37" t="n">
        <x:v>1029908.4445013986</x:v>
      </x:c>
      <x:c r="T1841" s="37" t="n">
        <x:v>0</x:v>
      </x:c>
      <x:c r="U1841" s="37" t="n">
        <x:v>58055.80415342993</x:v>
      </x:c>
      <x:c r="V1841" s="37" t="n">
        <x:v>2000000</x:v>
      </x:c>
      <x:c r="W1841" s="37" t="n">
        <x:v>185572.1702805627</x:v>
      </x:c>
      <x:c r="X1841" s="37" t="n">
        <x:v>0</x:v>
      </x:c>
      <x:c r="Y1841" s="37" t="n">
        <x:v>2316.0970281288896</x:v>
      </x:c>
      <x:c r="Z1841" s="37" t="n">
        <x:v>8659739.041135337</x:v>
      </x:c>
      <x:c r="AA1841" s="37" t="n">
        <x:v>0</x:v>
      </x:c>
      <x:c r="AB1841" s="37" t="n">
        <x:v>8659739.041135337</x:v>
      </x:c>
      <x:c r="AC1841" s="37" t="n">
        <x:v>3296756.1357328687</x:v>
      </x:c>
      <x:c r="AD1841" s="37" t="n">
        <x:v>0</x:v>
      </x:c>
      <x:c r="AE1841" s="37" t="n">
        <x:v>0</x:v>
      </x:c>
      <x:c r="AF1841" s="47" t="b">
        <x:v>0</x:v>
      </x:c>
      <x:c r="AG1841" s="47" t="b">
        <x:v>0</x:v>
      </x:c>
      <x:c r="AH1841" s="48" t="n">
        <x:v>-5.183267148822779e-10</x:v>
      </x:c>
      <x:c r="AI1841" s="48" t="n">
        <x:v>1.1920928955078125e-7</x:v>
      </x:c>
      <x:c r="AJ1841" s="37" t="str">
        <x:v>passed</x:v>
      </x:c>
    </x:row>
    <x:row r="1842" ht="21" customHeight="1">
      <x:c r="A1842" s="2"/>
      <x:c r="B1842" s="2"/>
      <x:c r="C1842" s="2" t="str">
        <x:v>2023</x:v>
      </x:c>
      <x:c r="D1842" s="5" t="n">
        <x:v>45231</x:v>
      </x:c>
      <x:c r="E1842" s="2" t="str">
        <x:v>constrained</x:v>
      </x:c>
      <x:c r="F1842" s="37" t="n">
        <x:v>14067187.832200157</x:v>
      </x:c>
      <x:c r="G1842" s="37" t="n">
        <x:v>-2244748.144569571</x:v>
      </x:c>
      <x:c r="H1842" s="37" t="n">
        <x:v>-46580.69532191443</x:v>
      </x:c>
      <x:c r="I1842" s="37" t="n">
        <x:v>-2198167.449247657</x:v>
      </x:c>
      <x:c r="J1842" s="37" t="n">
        <x:v>8349843.271813635</x:v>
      </x:c>
      <x:c r="K1842" s="37" t="n">
        <x:v>10594591.416383207</x:v>
      </x:c>
      <x:c r="L1842" s="37" t="n">
        <x:v>11822439.687630586</x:v>
      </x:c>
      <x:c r="M1842" s="37" t="n">
        <x:v>0</x:v>
      </x:c>
      <x:c r="N1842" s="37" t="n">
        <x:v>0</x:v>
      </x:c>
      <x:c r="O1842" s="37" t="n">
        <x:v>760.282482765615</x:v>
      </x:c>
      <x:c r="P1842" s="37" t="n">
        <x:v>0</x:v>
      </x:c>
      <x:c r="Q1842" s="37" t="n">
        <x:v>25.075529904198646</x:v>
      </x:c>
      <x:c r="R1842" s="37" t="n">
        <x:v>191297.31478839004</x:v>
      </x:c>
      <x:c r="S1842" s="37" t="n">
        <x:v>250755.29904198644</x:v>
      </x:c>
      <x:c r="T1842" s="37" t="n">
        <x:v>0</x:v>
      </x:c>
      <x:c r="U1842" s="37" t="n">
        <x:v>56970.44529747225</x:v>
      </x:c>
      <x:c r="V1842" s="37" t="n">
        <x:v>2000000</x:v>
      </x:c>
      <x:c r="W1842" s="37" t="n">
        <x:v>194420.25328353792</x:v>
      </x:c>
      <x:c r="X1842" s="37" t="n">
        <x:v>0</x:v>
      </x:c>
      <x:c r="Y1842" s="37" t="n">
        <x:v>2219.494920369951</x:v>
      </x:c>
      <x:c r="Z1842" s="37" t="n">
        <x:v>10806483.244710872</x:v>
      </x:c>
      <x:c r="AA1842" s="37" t="n">
        <x:v>0</x:v>
      </x:c>
      <x:c r="AB1842" s="37" t="n">
        <x:v>10806483.244710872</x:v>
      </x:c>
      <x:c r="AC1842" s="37" t="n">
        <x:v>3260704.5874892846</x:v>
      </x:c>
      <x:c r="AD1842" s="37" t="n">
        <x:v>0</x:v>
      </x:c>
      <x:c r="AE1842" s="37" t="n">
        <x:v>0</x:v>
      </x:c>
      <x:c r="AF1842" s="47" t="b">
        <x:v>0</x:v>
      </x:c>
      <x:c r="AG1842" s="47" t="b">
        <x:v>0</x:v>
      </x:c>
      <x:c r="AH1842" s="48" t="n">
        <x:v>-9.247571597370552e-10</x:v>
      </x:c>
      <x:c r="AI1842" s="48" t="n">
        <x:v>1.1920928955078125e-7</x:v>
      </x:c>
      <x:c r="AJ1842" s="37" t="str">
        <x:v>passed</x:v>
      </x:c>
    </x:row>
    <x:row r="1843" ht="21" customHeight="1">
      <x:c r="A1843" s="2"/>
      <x:c r="B1843" s="2"/>
      <x:c r="C1843" s="2" t="str">
        <x:v>2023</x:v>
      </x:c>
      <x:c r="D1843" s="5" t="n">
        <x:v>45232</x:v>
      </x:c>
      <x:c r="E1843" s="2" t="str">
        <x:v>unhedged</x:v>
      </x:c>
      <x:c r="F1843" s="37" t="n">
        <x:v>3347718.9488191074</x:v>
      </x:c>
      <x:c r="G1843" s="37" t="n">
        <x:v>8272559.421305262</x:v>
      </x:c>
      <x:c r="H1843" s="37" t="n">
        <x:v>16347.796225513617</x:v>
      </x:c>
      <x:c r="I1843" s="37" t="n">
        <x:v>8256211.625079748</x:v>
      </x:c>
      <x:c r="J1843" s="37" t="n">
        <x:v>8272559.421305262</x:v>
      </x:c>
      <x:c r="K1843" s="37" t="n">
        <x:v>0</x:v>
      </x:c>
      <x:c r="L1843" s="37" t="n">
        <x:v>11620278.37012437</x:v>
      </x:c>
      <x:c r="M1843" s="37" t="n">
        <x:v>0</x:v>
      </x:c>
      <x:c r="N1843" s="37" t="n">
        <x:v>0</x:v>
      </x:c>
      <x:c r="O1843" s="37" t="n">
        <x:v>183.4266039566137</x:v>
      </x:c>
      <x:c r="P1843" s="37" t="n">
        <x:v>0</x:v>
      </x:c>
      <x:c r="Q1843" s="37" t="n">
        <x:v>0</x:v>
      </x:c>
      <x:c r="R1843" s="37" t="n">
        <x:v>0</x:v>
      </x:c>
      <x:c r="S1843" s="37" t="n">
        <x:v>0</x:v>
      </x:c>
      <x:c r="T1843" s="37" t="n">
        <x:v>0</x:v>
      </x:c>
      <x:c r="U1843" s="37" t="n">
        <x:v>127500</x:v>
      </x:c>
      <x:c r="V1843" s="37" t="n">
        <x:v>2000000</x:v>
      </x:c>
      <x:c r="W1843" s="37" t="n">
        <x:v>21261.818161229603</x:v>
      </x:c>
      <x:c r="X1843" s="37" t="n">
        <x:v>0</x:v>
      </x:c>
      <x:c r="Y1843" s="37" t="n">
        <x:v>1042.869342122179</x:v>
      </x:c>
      <x:c r="Z1843" s="37" t="n">
        <x:v>0</x:v>
      </x:c>
      <x:c r="AA1843" s="37" t="n">
        <x:v>0</x:v>
      </x:c>
      <x:c r="AB1843" s="37" t="n">
        <x:v>0</x:v>
      </x:c>
      <x:c r="AC1843" s="37" t="n">
        <x:v>3347718.9488191074</x:v>
      </x:c>
      <x:c r="AD1843" s="37" t="n">
        <x:v>0</x:v>
      </x:c>
      <x:c r="AE1843" s="37" t="n">
        <x:v>0</x:v>
      </x:c>
      <x:c r="AF1843" s="47" t="b">
        <x:v>0</x:v>
      </x:c>
      <x:c r="AG1843" s="47" t="b">
        <x:v>0</x:v>
      </x:c>
      <x:c r="AH1843" s="48" t="n">
        <x:v>0</x:v>
      </x:c>
      <x:c r="AI1843" s="48" t="n">
        <x:v>5.960464477539063e-8</x:v>
      </x:c>
      <x:c r="AJ1843" s="37" t="str">
        <x:v>passed</x:v>
      </x:c>
    </x:row>
    <x:row r="1844" ht="21" customHeight="1">
      <x:c r="A1844" s="2"/>
      <x:c r="B1844" s="2"/>
      <x:c r="C1844" s="2" t="str">
        <x:v>2023</x:v>
      </x:c>
      <x:c r="D1844" s="5" t="n">
        <x:v>45232</x:v>
      </x:c>
      <x:c r="E1844" s="2" t="str">
        <x:v>duration</x:v>
      </x:c>
      <x:c r="F1844" s="37" t="n">
        <x:v>9677892.554430092</x:v>
      </x:c>
      <x:c r="G1844" s="37" t="n">
        <x:v>2250141.9117780374</x:v>
      </x:c>
      <x:c r="H1844" s="37" t="n">
        <x:v>-32649.65256272208</x:v>
      </x:c>
      <x:c r="I1844" s="37" t="n">
        <x:v>2282791.5643407595</x:v>
      </x:c>
      <x:c r="J1844" s="37" t="n">
        <x:v>8272559.421305262</x:v>
      </x:c>
      <x:c r="K1844" s="37" t="n">
        <x:v>6022417.509527224</x:v>
      </x:c>
      <x:c r="L1844" s="37" t="n">
        <x:v>11928034.46620813</x:v>
      </x:c>
      <x:c r="M1844" s="37" t="n">
        <x:v>0</x:v>
      </x:c>
      <x:c r="N1844" s="37" t="n">
        <x:v>0</x:v>
      </x:c>
      <x:c r="O1844" s="37" t="n">
        <x:v>530.2664267402142</x:v>
      </x:c>
      <x:c r="P1844" s="37" t="n">
        <x:v>0</x:v>
      </x:c>
      <x:c r="Q1844" s="37" t="n">
        <x:v>0</x:v>
      </x:c>
      <x:c r="R1844" s="37" t="n">
        <x:v>0</x:v>
      </x:c>
      <x:c r="S1844" s="37" t="n">
        <x:v>0</x:v>
      </x:c>
      <x:c r="T1844" s="37" t="n">
        <x:v>0</x:v>
      </x:c>
      <x:c r="U1844" s="37" t="n">
        <x:v>73667.381478397</x:v>
      </x:c>
      <x:c r="V1844" s="37" t="n">
        <x:v>2000000</x:v>
      </x:c>
      <x:c r="W1844" s="37" t="n">
        <x:v>128124.01334036421</x:v>
      </x:c>
      <x:c r="X1844" s="37" t="n">
        <x:v>0</x:v>
      </x:c>
      <x:c r="Y1844" s="37" t="n">
        <x:v>1740.677505458311</x:v>
      </x:c>
      <x:c r="Z1844" s="37" t="n">
        <x:v>6142865.859717769</x:v>
      </x:c>
      <x:c r="AA1844" s="37" t="n">
        <x:v>0</x:v>
      </x:c>
      <x:c r="AB1844" s="37" t="n">
        <x:v>6142865.859717769</x:v>
      </x:c>
      <x:c r="AC1844" s="37" t="n">
        <x:v>3535026.694712323</x:v>
      </x:c>
      <x:c r="AD1844" s="37" t="n">
        <x:v>0</x:v>
      </x:c>
      <x:c r="AE1844" s="37" t="n">
        <x:v>0</x:v>
      </x:c>
      <x:c r="AF1844" s="47" t="b">
        <x:v>0</x:v>
      </x:c>
      <x:c r="AG1844" s="47" t="b">
        <x:v>0</x:v>
      </x:c>
      <x:c r="AH1844" s="48" t="n">
        <x:v>0</x:v>
      </x:c>
      <x:c r="AI1844" s="48" t="n">
        <x:v>1.1920928955078125e-7</x:v>
      </x:c>
      <x:c r="AJ1844" s="37" t="str">
        <x:v>passed</x:v>
      </x:c>
    </x:row>
    <x:row r="1845" ht="21" customHeight="1">
      <x:c r="A1845" s="2"/>
      <x:c r="B1845" s="2"/>
      <x:c r="C1845" s="2" t="str">
        <x:v>2023</x:v>
      </x:c>
      <x:c r="D1845" s="5" t="n">
        <x:v>45232</x:v>
      </x:c>
      <x:c r="E1845" s="2" t="str">
        <x:v>unweighted</x:v>
      </x:c>
      <x:c r="F1845" s="37" t="n">
        <x:v>11957150.327288857</x:v>
      </x:c>
      <x:c r="G1845" s="37" t="n">
        <x:v>-115845.28225480282</x:v>
      </x:c>
      <x:c r="H1845" s="37" t="n">
        <x:v>-43063.8142217373</x:v>
      </x:c>
      <x:c r="I1845" s="37" t="n">
        <x:v>-72781.46803306552</x:v>
      </x:c>
      <x:c r="J1845" s="37" t="n">
        <x:v>8406448.751377875</x:v>
      </x:c>
      <x:c r="K1845" s="37" t="n">
        <x:v>8522294.033632677</x:v>
      </x:c>
      <x:c r="L1845" s="37" t="n">
        <x:v>11841305.045034055</x:v>
      </x:c>
      <x:c r="M1845" s="37" t="n">
        <x:v>0</x:v>
      </x:c>
      <x:c r="N1845" s="37" t="n">
        <x:v>0</x:v>
      </x:c>
      <x:c r="O1845" s="37" t="n">
        <x:v>655.1504206508398</x:v>
      </x:c>
      <x:c r="P1845" s="37" t="n">
        <x:v>0</x:v>
      </x:c>
      <x:c r="Q1845" s="37" t="n">
        <x:v>0</x:v>
      </x:c>
      <x:c r="R1845" s="37" t="n">
        <x:v>0</x:v>
      </x:c>
      <x:c r="S1845" s="37" t="n">
        <x:v>0</x:v>
      </x:c>
      <x:c r="T1845" s="37" t="n">
        <x:v>0</x:v>
      </x:c>
      <x:c r="U1845" s="37" t="n">
        <x:v>58055.80415342993</x:v>
      </x:c>
      <x:c r="V1845" s="37" t="n">
        <x:v>2000000</x:v>
      </x:c>
      <x:c r="W1845" s="37" t="n">
        <x:v>186227.32070121355</x:v>
      </x:c>
      <x:c r="X1845" s="37" t="n">
        <x:v>0</x:v>
      </x:c>
      <x:c r="Y1845" s="37" t="n">
        <x:v>2316.0970281288896</x:v>
      </x:c>
      <x:c r="Z1845" s="37" t="n">
        <x:v>8692739.914305331</x:v>
      </x:c>
      <x:c r="AA1845" s="37" t="n">
        <x:v>0</x:v>
      </x:c>
      <x:c r="AB1845" s="37" t="n">
        <x:v>8692739.914305331</x:v>
      </x:c>
      <x:c r="AC1845" s="37" t="n">
        <x:v>3264410.4129835255</x:v>
      </x:c>
      <x:c r="AD1845" s="37" t="n">
        <x:v>0</x:v>
      </x:c>
      <x:c r="AE1845" s="37" t="n">
        <x:v>0</x:v>
      </x:c>
      <x:c r="AF1845" s="47" t="b">
        <x:v>0</x:v>
      </x:c>
      <x:c r="AG1845" s="47" t="b">
        <x:v>0</x:v>
      </x:c>
      <x:c r="AH1845" s="48" t="n">
        <x:v>0</x:v>
      </x:c>
      <x:c r="AI1845" s="48" t="n">
        <x:v>1.1920928955078125e-7</x:v>
      </x:c>
      <x:c r="AJ1845" s="37" t="str">
        <x:v>passed</x:v>
      </x:c>
    </x:row>
    <x:row r="1846" ht="21" customHeight="1">
      <x:c r="A1846" s="2"/>
      <x:c r="B1846" s="2"/>
      <x:c r="C1846" s="2" t="str">
        <x:v>2023</x:v>
      </x:c>
      <x:c r="D1846" s="5" t="n">
        <x:v>45232</x:v>
      </x:c>
      <x:c r="E1846" s="2" t="str">
        <x:v>constrained</x:v>
      </x:c>
      <x:c r="F1846" s="37" t="n">
        <x:v>14067958.63701288</x:v>
      </x:c>
      <x:c r="G1846" s="37" t="n">
        <x:v>-2245341.633487658</x:v>
      </x:c>
      <x:c r="H1846" s="37" t="n">
        <x:v>-46637.33992984635</x:v>
      </x:c>
      <x:c r="I1846" s="37" t="n">
        <x:v>-2198704.2935578115</x:v>
      </x:c>
      <x:c r="J1846" s="37" t="n">
        <x:v>8381009.830979456</x:v>
      </x:c>
      <x:c r="K1846" s="37" t="n">
        <x:v>10626351.464467116</x:v>
      </x:c>
      <x:c r="L1846" s="37" t="n">
        <x:v>11822617.003525222</x:v>
      </x:c>
      <x:c r="M1846" s="37" t="n">
        <x:v>0</x:v>
      </x:c>
      <x:c r="N1846" s="37" t="n">
        <x:v>0</x:v>
      </x:c>
      <x:c r="O1846" s="37" t="n">
        <x:v>770.8048127237707</x:v>
      </x:c>
      <x:c r="P1846" s="37" t="n">
        <x:v>0</x:v>
      </x:c>
      <x:c r="Q1846" s="37" t="n">
        <x:v>0</x:v>
      </x:c>
      <x:c r="R1846" s="37" t="n">
        <x:v>0</x:v>
      </x:c>
      <x:c r="S1846" s="37" t="n">
        <x:v>0</x:v>
      </x:c>
      <x:c r="T1846" s="37" t="n">
        <x:v>0</x:v>
      </x:c>
      <x:c r="U1846" s="37" t="n">
        <x:v>56970.44529747225</x:v>
      </x:c>
      <x:c r="V1846" s="37" t="n">
        <x:v>2000000</x:v>
      </x:c>
      <x:c r="W1846" s="37" t="n">
        <x:v>195191.0580962617</x:v>
      </x:c>
      <x:c r="X1846" s="37" t="n">
        <x:v>0</x:v>
      </x:c>
      <x:c r="Y1846" s="37" t="n">
        <x:v>2219.494920369951</x:v>
      </x:c>
      <x:c r="Z1846" s="37" t="n">
        <x:v>10838878.493756458</x:v>
      </x:c>
      <x:c r="AA1846" s="37" t="n">
        <x:v>0</x:v>
      </x:c>
      <x:c r="AB1846" s="37" t="n">
        <x:v>10838878.493756458</x:v>
      </x:c>
      <x:c r="AC1846" s="37" t="n">
        <x:v>3229080.143256422</x:v>
      </x:c>
      <x:c r="AD1846" s="37" t="n">
        <x:v>0</x:v>
      </x:c>
      <x:c r="AE1846" s="37" t="n">
        <x:v>0</x:v>
      </x:c>
      <x:c r="AF1846" s="47" t="b">
        <x:v>0</x:v>
      </x:c>
      <x:c r="AG1846" s="47" t="b">
        <x:v>0</x:v>
      </x:c>
      <x:c r="AH1846" s="48" t="n">
        <x:v>0</x:v>
      </x:c>
      <x:c r="AI1846" s="48" t="n">
        <x:v>1.1920928955078125e-7</x:v>
      </x:c>
      <x:c r="AJ1846" s="37" t="str">
        <x:v>passed</x:v>
      </x:c>
    </x:row>
    <x:row r="1847" ht="21" customHeight="1">
      <x:c r="A1847" s="2"/>
      <x:c r="B1847" s="2"/>
      <x:c r="C1847" s="2" t="str">
        <x:v>2023</x:v>
      </x:c>
      <x:c r="D1847" s="5" t="n">
        <x:v>45233</x:v>
      </x:c>
      <x:c r="E1847" s="2" t="str">
        <x:v>unhedged</x:v>
      </x:c>
      <x:c r="F1847" s="37" t="n">
        <x:v>3347902.385473838</x:v>
      </x:c>
      <x:c r="G1847" s="37" t="n">
        <x:v>8331976.792586727</x:v>
      </x:c>
      <x:c r="H1847" s="37" t="n">
        <x:v>16675.22694696608</x:v>
      </x:c>
      <x:c r="I1847" s="37" t="n">
        <x:v>8315301.565639761</x:v>
      </x:c>
      <x:c r="J1847" s="37" t="n">
        <x:v>8331976.792586727</x:v>
      </x:c>
      <x:c r="K1847" s="37" t="n">
        <x:v>0</x:v>
      </x:c>
      <x:c r="L1847" s="37" t="n">
        <x:v>11679879.178060565</x:v>
      </x:c>
      <x:c r="M1847" s="37" t="n">
        <x:v>0</x:v>
      </x:c>
      <x:c r="N1847" s="37" t="n">
        <x:v>0</x:v>
      </x:c>
      <x:c r="O1847" s="37" t="n">
        <x:v>183.43665473069996</x:v>
      </x:c>
      <x:c r="P1847" s="37" t="n">
        <x:v>0</x:v>
      </x:c>
      <x:c r="Q1847" s="37" t="n">
        <x:v>0</x:v>
      </x:c>
      <x:c r="R1847" s="37" t="n">
        <x:v>0</x:v>
      </x:c>
      <x:c r="S1847" s="37" t="n">
        <x:v>0</x:v>
      </x:c>
      <x:c r="T1847" s="37" t="n">
        <x:v>0</x:v>
      </x:c>
      <x:c r="U1847" s="37" t="n">
        <x:v>127500</x:v>
      </x:c>
      <x:c r="V1847" s="37" t="n">
        <x:v>2000000</x:v>
      </x:c>
      <x:c r="W1847" s="37" t="n">
        <x:v>21445.254815960303</x:v>
      </x:c>
      <x:c r="X1847" s="37" t="n">
        <x:v>0</x:v>
      </x:c>
      <x:c r="Y1847" s="37" t="n">
        <x:v>1042.869342122179</x:v>
      </x:c>
      <x:c r="Z1847" s="37" t="n">
        <x:v>0</x:v>
      </x:c>
      <x:c r="AA1847" s="37" t="n">
        <x:v>0</x:v>
      </x:c>
      <x:c r="AB1847" s="37" t="n">
        <x:v>0</x:v>
      </x:c>
      <x:c r="AC1847" s="37" t="n">
        <x:v>3347902.385473838</x:v>
      </x:c>
      <x:c r="AD1847" s="37" t="n">
        <x:v>0</x:v>
      </x:c>
      <x:c r="AE1847" s="37" t="n">
        <x:v>0</x:v>
      </x:c>
      <x:c r="AF1847" s="47" t="b">
        <x:v>0</x:v>
      </x:c>
      <x:c r="AG1847" s="47" t="b">
        <x:v>0</x:v>
      </x:c>
      <x:c r="AH1847" s="48" t="n">
        <x:v>0</x:v>
      </x:c>
      <x:c r="AI1847" s="48" t="n">
        <x:v>5.960464477539063e-8</x:v>
      </x:c>
      <x:c r="AJ1847" s="37" t="str">
        <x:v>passed</x:v>
      </x:c>
    </x:row>
    <x:row r="1848" ht="21" customHeight="1">
      <x:c r="A1848" s="2"/>
      <x:c r="B1848" s="2"/>
      <x:c r="C1848" s="2" t="str">
        <x:v>2023</x:v>
      </x:c>
      <x:c r="D1848" s="5" t="n">
        <x:v>45233</x:v>
      </x:c>
      <x:c r="E1848" s="2" t="str">
        <x:v>duration</x:v>
      </x:c>
      <x:c r="F1848" s="37" t="n">
        <x:v>9678422.849912526</x:v>
      </x:c>
      <x:c r="G1848" s="37" t="n">
        <x:v>2256221.2272642865</x:v>
      </x:c>
      <x:c r="H1848" s="37" t="n">
        <x:v>-32608.756629504915</x:v>
      </x:c>
      <x:c r="I1848" s="37" t="n">
        <x:v>2288829.983893791</x:v>
      </x:c>
      <x:c r="J1848" s="37" t="n">
        <x:v>8331976.792586727</x:v>
      </x:c>
      <x:c r="K1848" s="37" t="n">
        <x:v>6075755.565322441</x:v>
      </x:c>
      <x:c r="L1848" s="37" t="n">
        <x:v>11934644.077176813</x:v>
      </x:c>
      <x:c r="M1848" s="37" t="n">
        <x:v>0</x:v>
      </x:c>
      <x:c r="N1848" s="37" t="n">
        <x:v>0</x:v>
      </x:c>
      <x:c r="O1848" s="37" t="n">
        <x:v>530.2954824343324</x:v>
      </x:c>
      <x:c r="P1848" s="37" t="n">
        <x:v>0</x:v>
      </x:c>
      <x:c r="Q1848" s="37" t="n">
        <x:v>0</x:v>
      </x:c>
      <x:c r="R1848" s="37" t="n">
        <x:v>0</x:v>
      </x:c>
      <x:c r="S1848" s="37" t="n">
        <x:v>0</x:v>
      </x:c>
      <x:c r="T1848" s="37" t="n">
        <x:v>0</x:v>
      </x:c>
      <x:c r="U1848" s="37" t="n">
        <x:v>73667.381478397</x:v>
      </x:c>
      <x:c r="V1848" s="37" t="n">
        <x:v>2000000</x:v>
      </x:c>
      <x:c r="W1848" s="37" t="n">
        <x:v>128654.30882279854</x:v>
      </x:c>
      <x:c r="X1848" s="37" t="n">
        <x:v>0</x:v>
      </x:c>
      <x:c r="Y1848" s="37" t="n">
        <x:v>1740.677505458311</x:v>
      </x:c>
      <x:c r="Z1848" s="37" t="n">
        <x:v>6197270.6766288895</x:v>
      </x:c>
      <x:c r="AA1848" s="37" t="n">
        <x:v>0</x:v>
      </x:c>
      <x:c r="AB1848" s="37" t="n">
        <x:v>6197270.6766288895</x:v>
      </x:c>
      <x:c r="AC1848" s="37" t="n">
        <x:v>3481152.1732836366</x:v>
      </x:c>
      <x:c r="AD1848" s="37" t="n">
        <x:v>0</x:v>
      </x:c>
      <x:c r="AE1848" s="37" t="n">
        <x:v>0</x:v>
      </x:c>
      <x:c r="AF1848" s="47" t="b">
        <x:v>0</x:v>
      </x:c>
      <x:c r="AG1848" s="47" t="b">
        <x:v>0</x:v>
      </x:c>
      <x:c r="AH1848" s="48" t="n">
        <x:v>0</x:v>
      </x:c>
      <x:c r="AI1848" s="48" t="n">
        <x:v>1.1920928955078125e-7</x:v>
      </x:c>
      <x:c r="AJ1848" s="37" t="str">
        <x:v>passed</x:v>
      </x:c>
    </x:row>
    <x:row r="1849" ht="21" customHeight="1">
      <x:c r="A1849" s="2"/>
      <x:c r="B1849" s="2"/>
      <x:c r="C1849" s="2" t="str">
        <x:v>2023</x:v>
      </x:c>
      <x:c r="D1849" s="5" t="n">
        <x:v>45233</x:v>
      </x:c>
      <x:c r="E1849" s="2" t="str">
        <x:v>unweighted</x:v>
      </x:c>
      <x:c r="F1849" s="37" t="n">
        <x:v>11957805.513608161</x:v>
      </x:c>
      <x:c r="G1849" s="37" t="n">
        <x:v>-117037.93918603651</x:v>
      </x:c>
      <x:c r="H1849" s="37" t="n">
        <x:v>-43096.71491778599</x:v>
      </x:c>
      <x:c r="I1849" s="37" t="n">
        <x:v>-73941.22426825052</x:v>
      </x:c>
      <x:c r="J1849" s="37" t="n">
        <x:v>8466955.336022804</x:v>
      </x:c>
      <x:c r="K1849" s="37" t="n">
        <x:v>8583993.275208838</x:v>
      </x:c>
      <x:c r="L1849" s="37" t="n">
        <x:v>11840767.574422125</x:v>
      </x:c>
      <x:c r="M1849" s="37" t="n">
        <x:v>0</x:v>
      </x:c>
      <x:c r="N1849" s="37" t="n">
        <x:v>0</x:v>
      </x:c>
      <x:c r="O1849" s="37" t="n">
        <x:v>655.1863193046302</x:v>
      </x:c>
      <x:c r="P1849" s="37" t="n">
        <x:v>0</x:v>
      </x:c>
      <x:c r="Q1849" s="37" t="n">
        <x:v>0</x:v>
      </x:c>
      <x:c r="R1849" s="37" t="n">
        <x:v>0</x:v>
      </x:c>
      <x:c r="S1849" s="37" t="n">
        <x:v>0</x:v>
      </x:c>
      <x:c r="T1849" s="37" t="n">
        <x:v>0</x:v>
      </x:c>
      <x:c r="U1849" s="37" t="n">
        <x:v>58055.80415342993</x:v>
      </x:c>
      <x:c r="V1849" s="37" t="n">
        <x:v>2000000</x:v>
      </x:c>
      <x:c r="W1849" s="37" t="n">
        <x:v>186882.50702051818</x:v>
      </x:c>
      <x:c r="X1849" s="37" t="n">
        <x:v>0</x:v>
      </x:c>
      <x:c r="Y1849" s="37" t="n">
        <x:v>2316.0970281288896</x:v>
      </x:c>
      <x:c r="Z1849" s="37" t="n">
        <x:v>8755673.140713016</x:v>
      </x:c>
      <x:c r="AA1849" s="37" t="n">
        <x:v>0</x:v>
      </x:c>
      <x:c r="AB1849" s="37" t="n">
        <x:v>8755673.140713016</x:v>
      </x:c>
      <x:c r="AC1849" s="37" t="n">
        <x:v>3202132.372895146</x:v>
      </x:c>
      <x:c r="AD1849" s="37" t="n">
        <x:v>0</x:v>
      </x:c>
      <x:c r="AE1849" s="37" t="n">
        <x:v>0</x:v>
      </x:c>
      <x:c r="AF1849" s="47" t="b">
        <x:v>0</x:v>
      </x:c>
      <x:c r="AG1849" s="47" t="b">
        <x:v>0</x:v>
      </x:c>
      <x:c r="AH1849" s="48" t="n">
        <x:v>0</x:v>
      </x:c>
      <x:c r="AI1849" s="48" t="n">
        <x:v>1.1920928955078125e-7</x:v>
      </x:c>
      <x:c r="AJ1849" s="37" t="str">
        <x:v>passed</x:v>
      </x:c>
    </x:row>
    <x:row r="1850" ht="21" customHeight="1">
      <x:c r="A1850" s="2"/>
      <x:c r="B1850" s="2"/>
      <x:c r="C1850" s="2" t="str">
        <x:v>2023</x:v>
      </x:c>
      <x:c r="D1850" s="5" t="n">
        <x:v>45233</x:v>
      </x:c>
      <x:c r="E1850" s="2" t="str">
        <x:v>constrained</x:v>
      </x:c>
      <x:c r="F1850" s="37" t="n">
        <x:v>14068729.484061485</x:v>
      </x:c>
      <x:c r="G1850" s="37" t="n">
        <x:v>-2245607.036703979</x:v>
      </x:c>
      <x:c r="H1850" s="37" t="n">
        <x:v>-46693.98453777828</x:v>
      </x:c>
      <x:c r="I1850" s="37" t="n">
        <x:v>-2198913.0521662007</x:v>
      </x:c>
      <x:c r="J1850" s="37" t="n">
        <x:v>8441459.319122562</x:v>
      </x:c>
      <x:c r="K1850" s="37" t="n">
        <x:v>10687066.355826542</x:v>
      </x:c>
      <x:c r="L1850" s="37" t="n">
        <x:v>11823122.447357506</x:v>
      </x:c>
      <x:c r="M1850" s="37" t="n">
        <x:v>0</x:v>
      </x:c>
      <x:c r="N1850" s="37" t="n">
        <x:v>0</x:v>
      </x:c>
      <x:c r="O1850" s="37" t="n">
        <x:v>770.8470486048609</x:v>
      </x:c>
      <x:c r="P1850" s="37" t="n">
        <x:v>0</x:v>
      </x:c>
      <x:c r="Q1850" s="37" t="n">
        <x:v>0</x:v>
      </x:c>
      <x:c r="R1850" s="37" t="n">
        <x:v>0</x:v>
      </x:c>
      <x:c r="S1850" s="37" t="n">
        <x:v>0</x:v>
      </x:c>
      <x:c r="T1850" s="37" t="n">
        <x:v>0</x:v>
      </x:c>
      <x:c r="U1850" s="37" t="n">
        <x:v>56970.44529747225</x:v>
      </x:c>
      <x:c r="V1850" s="37" t="n">
        <x:v>2000000</x:v>
      </x:c>
      <x:c r="W1850" s="37" t="n">
        <x:v>195961.90514486656</x:v>
      </x:c>
      <x:c r="X1850" s="37" t="n">
        <x:v>0</x:v>
      </x:c>
      <x:c r="Y1850" s="37" t="n">
        <x:v>2219.494920369951</x:v>
      </x:c>
      <x:c r="Z1850" s="37" t="n">
        <x:v>10900807.682943072</x:v>
      </x:c>
      <x:c r="AA1850" s="37" t="n">
        <x:v>0</x:v>
      </x:c>
      <x:c r="AB1850" s="37" t="n">
        <x:v>10900807.682943072</x:v>
      </x:c>
      <x:c r="AC1850" s="37" t="n">
        <x:v>3167921.801118413</x:v>
      </x:c>
      <x:c r="AD1850" s="37" t="n">
        <x:v>0</x:v>
      </x:c>
      <x:c r="AE1850" s="37" t="n">
        <x:v>0</x:v>
      </x:c>
      <x:c r="AF1850" s="47" t="b">
        <x:v>0</x:v>
      </x:c>
      <x:c r="AG1850" s="47" t="b">
        <x:v>0</x:v>
      </x:c>
      <x:c r="AH1850" s="48" t="n">
        <x:v>0</x:v>
      </x:c>
      <x:c r="AI1850" s="48" t="n">
        <x:v>1.1920928955078125e-7</x:v>
      </x:c>
      <x:c r="AJ1850" s="37" t="str">
        <x:v>passed</x:v>
      </x:c>
    </x:row>
    <x:row r="1851" ht="21" customHeight="1">
      <x:c r="A1851" s="2"/>
      <x:c r="B1851" s="2"/>
      <x:c r="C1851" s="2" t="str">
        <x:v>2023</x:v>
      </x:c>
      <x:c r="D1851" s="5" t="n">
        <x:v>45236</x:v>
      </x:c>
      <x:c r="E1851" s="2" t="str">
        <x:v>unhedged</x:v>
      </x:c>
      <x:c r="F1851" s="37" t="n">
        <x:v>3348452.7557481723</x:v>
      </x:c>
      <x:c r="G1851" s="37" t="n">
        <x:v>8290381.039485859</x:v>
      </x:c>
      <x:c r="H1851" s="37" t="n">
        <x:v>17657.51911132346</x:v>
      </x:c>
      <x:c r="I1851" s="37" t="n">
        <x:v>8272723.520374536</x:v>
      </x:c>
      <x:c r="J1851" s="37" t="n">
        <x:v>8290381.039485859</x:v>
      </x:c>
      <x:c r="K1851" s="37" t="n">
        <x:v>0</x:v>
      </x:c>
      <x:c r="L1851" s="37" t="n">
        <x:v>11638833.795234032</x:v>
      </x:c>
      <x:c r="M1851" s="37" t="n">
        <x:v>0</x:v>
      </x:c>
      <x:c r="N1851" s="37" t="n">
        <x:v>0</x:v>
      </x:c>
      <x:c r="O1851" s="37" t="n">
        <x:v>550.3702743342146</x:v>
      </x:c>
      <x:c r="P1851" s="37" t="n">
        <x:v>0</x:v>
      </x:c>
      <x:c r="Q1851" s="37" t="n">
        <x:v>0</x:v>
      </x:c>
      <x:c r="R1851" s="37" t="n">
        <x:v>0</x:v>
      </x:c>
      <x:c r="S1851" s="37" t="n">
        <x:v>0</x:v>
      </x:c>
      <x:c r="T1851" s="37" t="n">
        <x:v>0</x:v>
      </x:c>
      <x:c r="U1851" s="37" t="n">
        <x:v>127500</x:v>
      </x:c>
      <x:c r="V1851" s="37" t="n">
        <x:v>2000000</x:v>
      </x:c>
      <x:c r="W1851" s="37" t="n">
        <x:v>21995.625090294518</x:v>
      </x:c>
      <x:c r="X1851" s="37" t="n">
        <x:v>0</x:v>
      </x:c>
      <x:c r="Y1851" s="37" t="n">
        <x:v>1042.869342122179</x:v>
      </x:c>
      <x:c r="Z1851" s="37" t="n">
        <x:v>0</x:v>
      </x:c>
      <x:c r="AA1851" s="37" t="n">
        <x:v>0</x:v>
      </x:c>
      <x:c r="AB1851" s="37" t="n">
        <x:v>0</x:v>
      </x:c>
      <x:c r="AC1851" s="37" t="n">
        <x:v>3348452.7557481723</x:v>
      </x:c>
      <x:c r="AD1851" s="37" t="n">
        <x:v>0</x:v>
      </x:c>
      <x:c r="AE1851" s="37" t="n">
        <x:v>0</x:v>
      </x:c>
      <x:c r="AF1851" s="47" t="b">
        <x:v>0</x:v>
      </x:c>
      <x:c r="AG1851" s="47" t="b">
        <x:v>0</x:v>
      </x:c>
      <x:c r="AH1851" s="48" t="n">
        <x:v>0</x:v>
      </x:c>
      <x:c r="AI1851" s="48" t="n">
        <x:v>5.960464477539063e-8</x:v>
      </x:c>
      <x:c r="AJ1851" s="37" t="str">
        <x:v>passed</x:v>
      </x:c>
    </x:row>
    <x:row r="1852" ht="21" customHeight="1">
      <x:c r="A1852" s="2"/>
      <x:c r="B1852" s="2"/>
      <x:c r="C1852" s="2" t="str">
        <x:v>2023</x:v>
      </x:c>
      <x:c r="D1852" s="5" t="n">
        <x:v>45236</x:v>
      </x:c>
      <x:c r="E1852" s="2" t="str">
        <x:v>duration</x:v>
      </x:c>
      <x:c r="F1852" s="37" t="n">
        <x:v>9680013.910709923</x:v>
      </x:c>
      <x:c r="G1852" s="37" t="n">
        <x:v>2254503.7311231312</x:v>
      </x:c>
      <x:c r="H1852" s="37" t="n">
        <x:v>-32486.06882985343</x:v>
      </x:c>
      <x:c r="I1852" s="37" t="n">
        <x:v>2286989.799952985</x:v>
      </x:c>
      <x:c r="J1852" s="37" t="n">
        <x:v>8290381.039485859</x:v>
      </x:c>
      <x:c r="K1852" s="37" t="n">
        <x:v>6035877.308362727</x:v>
      </x:c>
      <x:c r="L1852" s="37" t="n">
        <x:v>11934517.641833054</x:v>
      </x:c>
      <x:c r="M1852" s="37" t="n">
        <x:v>0</x:v>
      </x:c>
      <x:c r="N1852" s="37" t="n">
        <x:v>0</x:v>
      </x:c>
      <x:c r="O1852" s="37" t="n">
        <x:v>1591.0607973970473</x:v>
      </x:c>
      <x:c r="P1852" s="37" t="n">
        <x:v>0</x:v>
      </x:c>
      <x:c r="Q1852" s="37" t="n">
        <x:v>0</x:v>
      </x:c>
      <x:c r="R1852" s="37" t="n">
        <x:v>0</x:v>
      </x:c>
      <x:c r="S1852" s="37" t="n">
        <x:v>0</x:v>
      </x:c>
      <x:c r="T1852" s="37" t="n">
        <x:v>0</x:v>
      </x:c>
      <x:c r="U1852" s="37" t="n">
        <x:v>73667.381478397</x:v>
      </x:c>
      <x:c r="V1852" s="37" t="n">
        <x:v>2000000</x:v>
      </x:c>
      <x:c r="W1852" s="37" t="n">
        <x:v>130245.36962019559</x:v>
      </x:c>
      <x:c r="X1852" s="37" t="n">
        <x:v>0</x:v>
      </x:c>
      <x:c r="Y1852" s="37" t="n">
        <x:v>1740.677505458311</x:v>
      </x:c>
      <x:c r="Z1852" s="37" t="n">
        <x:v>6156594.8545299815</x:v>
      </x:c>
      <x:c r="AA1852" s="37" t="n">
        <x:v>0</x:v>
      </x:c>
      <x:c r="AB1852" s="37" t="n">
        <x:v>6156594.8545299815</x:v>
      </x:c>
      <x:c r="AC1852" s="37" t="n">
        <x:v>3523419.0561799416</x:v>
      </x:c>
      <x:c r="AD1852" s="37" t="n">
        <x:v>0</x:v>
      </x:c>
      <x:c r="AE1852" s="37" t="n">
        <x:v>0</x:v>
      </x:c>
      <x:c r="AF1852" s="47" t="b">
        <x:v>0</x:v>
      </x:c>
      <x:c r="AG1852" s="47" t="b">
        <x:v>0</x:v>
      </x:c>
      <x:c r="AH1852" s="48" t="n">
        <x:v>0</x:v>
      </x:c>
      <x:c r="AI1852" s="48" t="n">
        <x:v>1.1920928955078125e-7</x:v>
      </x:c>
      <x:c r="AJ1852" s="37" t="str">
        <x:v>passed</x:v>
      </x:c>
    </x:row>
    <x:row r="1853" ht="21" customHeight="1">
      <x:c r="A1853" s="2"/>
      <x:c r="B1853" s="2"/>
      <x:c r="C1853" s="2" t="str">
        <x:v>2023</x:v>
      </x:c>
      <x:c r="D1853" s="5" t="n">
        <x:v>45236</x:v>
      </x:c>
      <x:c r="E1853" s="2" t="str">
        <x:v>unweighted</x:v>
      </x:c>
      <x:c r="F1853" s="37" t="n">
        <x:v>11959771.287977666</x:v>
      </x:c>
      <x:c r="G1853" s="37" t="n">
        <x:v>-116231.05627584862</x:v>
      </x:c>
      <x:c r="H1853" s="37" t="n">
        <x:v>-43195.41700593207</x:v>
      </x:c>
      <x:c r="I1853" s="37" t="n">
        <x:v>-73035.63926991654</x:v>
      </x:c>
      <x:c r="J1853" s="37" t="n">
        <x:v>8424125.247776886</x:v>
      </x:c>
      <x:c r="K1853" s="37" t="n">
        <x:v>8540356.304052735</x:v>
      </x:c>
      <x:c r="L1853" s="37" t="n">
        <x:v>11843540.231701817</x:v>
      </x:c>
      <x:c r="M1853" s="37" t="n">
        <x:v>0</x:v>
      </x:c>
      <x:c r="N1853" s="37" t="n">
        <x:v>0</x:v>
      </x:c>
      <x:c r="O1853" s="37" t="n">
        <x:v>1965.7743695043027</x:v>
      </x:c>
      <x:c r="P1853" s="37" t="n">
        <x:v>0</x:v>
      </x:c>
      <x:c r="Q1853" s="37" t="n">
        <x:v>0</x:v>
      </x:c>
      <x:c r="R1853" s="37" t="n">
        <x:v>0</x:v>
      </x:c>
      <x:c r="S1853" s="37" t="n">
        <x:v>0</x:v>
      </x:c>
      <x:c r="T1853" s="37" t="n">
        <x:v>0</x:v>
      </x:c>
      <x:c r="U1853" s="37" t="n">
        <x:v>58055.80415342993</x:v>
      </x:c>
      <x:c r="V1853" s="37" t="n">
        <x:v>2000000</x:v>
      </x:c>
      <x:c r="W1853" s="37" t="n">
        <x:v>188848.2813900225</x:v>
      </x:c>
      <x:c r="X1853" s="37" t="n">
        <x:v>0</x:v>
      </x:c>
      <x:c r="Y1853" s="37" t="n">
        <x:v>2316.0970281288896</x:v>
      </x:c>
      <x:c r="Z1853" s="37" t="n">
        <x:v>8711163.43013379</x:v>
      </x:c>
      <x:c r="AA1853" s="37" t="n">
        <x:v>0</x:v>
      </x:c>
      <x:c r="AB1853" s="37" t="n">
        <x:v>8711163.43013379</x:v>
      </x:c>
      <x:c r="AC1853" s="37" t="n">
        <x:v>3248607.857843876</x:v>
      </x:c>
      <x:c r="AD1853" s="37" t="n">
        <x:v>0</x:v>
      </x:c>
      <x:c r="AE1853" s="37" t="n">
        <x:v>0</x:v>
      </x:c>
      <x:c r="AF1853" s="47" t="b">
        <x:v>0</x:v>
      </x:c>
      <x:c r="AG1853" s="47" t="b">
        <x:v>0</x:v>
      </x:c>
      <x:c r="AH1853" s="48" t="n">
        <x:v>0</x:v>
      </x:c>
      <x:c r="AI1853" s="48" t="n">
        <x:v>1.1920928955078125e-7</x:v>
      </x:c>
      <x:c r="AJ1853" s="37" t="str">
        <x:v>passed</x:v>
      </x:c>
    </x:row>
    <x:row r="1854" ht="21" customHeight="1">
      <x:c r="A1854" s="2"/>
      <x:c r="B1854" s="2"/>
      <x:c r="C1854" s="2" t="str">
        <x:v>2023</x:v>
      </x:c>
      <x:c r="D1854" s="5" t="n">
        <x:v>45236</x:v>
      </x:c>
      <x:c r="E1854" s="2" t="str">
        <x:v>constrained</x:v>
      </x:c>
      <x:c r="F1854" s="37" t="n">
        <x:v>14071042.278645724</x:v>
      </x:c>
      <x:c r="G1854" s="37" t="n">
        <x:v>-2246943.569993022</x:v>
      </x:c>
      <x:c r="H1854" s="37" t="n">
        <x:v>-46863.91836157405</x:v>
      </x:c>
      <x:c r="I1854" s="37" t="n">
        <x:v>-2200079.651631448</x:v>
      </x:c>
      <x:c r="J1854" s="37" t="n">
        <x:v>8398652.26517335</x:v>
      </x:c>
      <x:c r="K1854" s="37" t="n">
        <x:v>10645595.83516637</x:v>
      </x:c>
      <x:c r="L1854" s="37" t="n">
        <x:v>11824098.708652701</x:v>
      </x:c>
      <x:c r="M1854" s="37" t="n">
        <x:v>0</x:v>
      </x:c>
      <x:c r="N1854" s="37" t="n">
        <x:v>0</x:v>
      </x:c>
      <x:c r="O1854" s="37" t="n">
        <x:v>2312.7945842389017</x:v>
      </x:c>
      <x:c r="P1854" s="37" t="n">
        <x:v>0</x:v>
      </x:c>
      <x:c r="Q1854" s="37" t="n">
        <x:v>0</x:v>
      </x:c>
      <x:c r="R1854" s="37" t="n">
        <x:v>0</x:v>
      </x:c>
      <x:c r="S1854" s="37" t="n">
        <x:v>0</x:v>
      </x:c>
      <x:c r="T1854" s="37" t="n">
        <x:v>0</x:v>
      </x:c>
      <x:c r="U1854" s="37" t="n">
        <x:v>56970.44529747225</x:v>
      </x:c>
      <x:c r="V1854" s="37" t="n">
        <x:v>2000000</x:v>
      </x:c>
      <x:c r="W1854" s="37" t="n">
        <x:v>198274.69972910546</x:v>
      </x:c>
      <x:c r="X1854" s="37" t="n">
        <x:v>0</x:v>
      </x:c>
      <x:c r="Y1854" s="37" t="n">
        <x:v>2219.494920369951</x:v>
      </x:c>
      <x:c r="Z1854" s="37" t="n">
        <x:v>10858507.751869699</x:v>
      </x:c>
      <x:c r="AA1854" s="37" t="n">
        <x:v>0</x:v>
      </x:c>
      <x:c r="AB1854" s="37" t="n">
        <x:v>10858507.751869699</x:v>
      </x:c>
      <x:c r="AC1854" s="37" t="n">
        <x:v>3212534.526776025</x:v>
      </x:c>
      <x:c r="AD1854" s="37" t="n">
        <x:v>0</x:v>
      </x:c>
      <x:c r="AE1854" s="37" t="n">
        <x:v>0</x:v>
      </x:c>
      <x:c r="AF1854" s="47" t="b">
        <x:v>0</x:v>
      </x:c>
      <x:c r="AG1854" s="47" t="b">
        <x:v>0</x:v>
      </x:c>
      <x:c r="AH1854" s="48" t="n">
        <x:v>0</x:v>
      </x:c>
      <x:c r="AI1854" s="48" t="n">
        <x:v>1.1920928955078125e-7</x:v>
      </x:c>
      <x:c r="AJ1854" s="37" t="str">
        <x:v>passed</x:v>
      </x:c>
    </x:row>
    <x:row r="1855" ht="21" customHeight="1">
      <x:c r="A1855" s="2"/>
      <x:c r="B1855" s="2"/>
      <x:c r="C1855" s="2" t="str">
        <x:v>2023</x:v>
      </x:c>
      <x:c r="D1855" s="5" t="n">
        <x:v>45237</x:v>
      </x:c>
      <x:c r="E1855" s="2" t="str">
        <x:v>unhedged</x:v>
      </x:c>
      <x:c r="F1855" s="37" t="n">
        <x:v>3348636.2326115016</x:v>
      </x:c>
      <x:c r="G1855" s="37" t="n">
        <x:v>8324537.834209761</x:v>
      </x:c>
      <x:c r="H1855" s="37" t="n">
        <x:v>17984.94983277592</x:v>
      </x:c>
      <x:c r="I1855" s="37" t="n">
        <x:v>8306552.884376985</x:v>
      </x:c>
      <x:c r="J1855" s="37" t="n">
        <x:v>8324537.834209761</x:v>
      </x:c>
      <x:c r="K1855" s="37" t="n">
        <x:v>0</x:v>
      </x:c>
      <x:c r="L1855" s="37" t="n">
        <x:v>11673174.066821262</x:v>
      </x:c>
      <x:c r="M1855" s="37" t="n">
        <x:v>0</x:v>
      </x:c>
      <x:c r="N1855" s="37" t="n">
        <x:v>0</x:v>
      </x:c>
      <x:c r="O1855" s="37" t="n">
        <x:v>183.4768633292988</x:v>
      </x:c>
      <x:c r="P1855" s="37" t="n">
        <x:v>0</x:v>
      </x:c>
      <x:c r="Q1855" s="37" t="n">
        <x:v>0</x:v>
      </x:c>
      <x:c r="R1855" s="37" t="n">
        <x:v>0</x:v>
      </x:c>
      <x:c r="S1855" s="37" t="n">
        <x:v>0</x:v>
      </x:c>
      <x:c r="T1855" s="37" t="n">
        <x:v>0</x:v>
      </x:c>
      <x:c r="U1855" s="37" t="n">
        <x:v>127500</x:v>
      </x:c>
      <x:c r="V1855" s="37" t="n">
        <x:v>2000000</x:v>
      </x:c>
      <x:c r="W1855" s="37" t="n">
        <x:v>22179.101953623816</x:v>
      </x:c>
      <x:c r="X1855" s="37" t="n">
        <x:v>0</x:v>
      </x:c>
      <x:c r="Y1855" s="37" t="n">
        <x:v>1042.869342122179</x:v>
      </x:c>
      <x:c r="Z1855" s="37" t="n">
        <x:v>0</x:v>
      </x:c>
      <x:c r="AA1855" s="37" t="n">
        <x:v>0</x:v>
      </x:c>
      <x:c r="AB1855" s="37" t="n">
        <x:v>0</x:v>
      </x:c>
      <x:c r="AC1855" s="37" t="n">
        <x:v>3348636.2326115016</x:v>
      </x:c>
      <x:c r="AD1855" s="37" t="n">
        <x:v>0</x:v>
      </x:c>
      <x:c r="AE1855" s="37" t="n">
        <x:v>0</x:v>
      </x:c>
      <x:c r="AF1855" s="47" t="b">
        <x:v>0</x:v>
      </x:c>
      <x:c r="AG1855" s="47" t="b">
        <x:v>0</x:v>
      </x:c>
      <x:c r="AH1855" s="48" t="n">
        <x:v>0</x:v>
      </x:c>
      <x:c r="AI1855" s="48" t="n">
        <x:v>5.960464477539063e-8</x:v>
      </x:c>
      <x:c r="AJ1855" s="37" t="str">
        <x:v>passed</x:v>
      </x:c>
    </x:row>
    <x:row r="1856" ht="21" customHeight="1">
      <x:c r="A1856" s="2"/>
      <x:c r="B1856" s="2"/>
      <x:c r="C1856" s="2" t="str">
        <x:v>2023</x:v>
      </x:c>
      <x:c r="D1856" s="5" t="n">
        <x:v>45237</x:v>
      </x:c>
      <x:c r="E1856" s="2" t="str">
        <x:v>duration</x:v>
      </x:c>
      <x:c r="F1856" s="37" t="n">
        <x:v>9680544.322431058</x:v>
      </x:c>
      <x:c r="G1856" s="37" t="n">
        <x:v>2249910.188738657</x:v>
      </x:c>
      <x:c r="H1856" s="37" t="n">
        <x:v>-32445.172896636264</x:v>
      </x:c>
      <x:c r="I1856" s="37" t="n">
        <x:v>2282355.3616352933</x:v>
      </x:c>
      <x:c r="J1856" s="37" t="n">
        <x:v>8324537.834209761</x:v>
      </x:c>
      <x:c r="K1856" s="37" t="n">
        <x:v>6074627.6454711035</x:v>
      </x:c>
      <x:c r="L1856" s="37" t="n">
        <x:v>11930454.511169715</x:v>
      </x:c>
      <x:c r="M1856" s="37" t="n">
        <x:v>0</x:v>
      </x:c>
      <x:c r="N1856" s="37" t="n">
        <x:v>0</x:v>
      </x:c>
      <x:c r="O1856" s="37" t="n">
        <x:v>530.4117211345583</x:v>
      </x:c>
      <x:c r="P1856" s="37" t="n">
        <x:v>0</x:v>
      </x:c>
      <x:c r="Q1856" s="37" t="n">
        <x:v>0</x:v>
      </x:c>
      <x:c r="R1856" s="37" t="n">
        <x:v>0</x:v>
      </x:c>
      <x:c r="S1856" s="37" t="n">
        <x:v>0</x:v>
      </x:c>
      <x:c r="T1856" s="37" t="n">
        <x:v>0</x:v>
      </x:c>
      <x:c r="U1856" s="37" t="n">
        <x:v>73667.381478397</x:v>
      </x:c>
      <x:c r="V1856" s="37" t="n">
        <x:v>2000000</x:v>
      </x:c>
      <x:c r="W1856" s="37" t="n">
        <x:v>130775.78134133015</x:v>
      </x:c>
      <x:c r="X1856" s="37" t="n">
        <x:v>0</x:v>
      </x:c>
      <x:c r="Y1856" s="37" t="n">
        <x:v>1740.677505458311</x:v>
      </x:c>
      <x:c r="Z1856" s="37" t="n">
        <x:v>6196120.198380525</x:v>
      </x:c>
      <x:c r="AA1856" s="37" t="n">
        <x:v>0</x:v>
      </x:c>
      <x:c r="AB1856" s="37" t="n">
        <x:v>6196120.198380525</x:v>
      </x:c>
      <x:c r="AC1856" s="37" t="n">
        <x:v>3484424.1240505325</x:v>
      </x:c>
      <x:c r="AD1856" s="37" t="n">
        <x:v>0</x:v>
      </x:c>
      <x:c r="AE1856" s="37" t="n">
        <x:v>0</x:v>
      </x:c>
      <x:c r="AF1856" s="47" t="b">
        <x:v>0</x:v>
      </x:c>
      <x:c r="AG1856" s="47" t="b">
        <x:v>0</x:v>
      </x:c>
      <x:c r="AH1856" s="48" t="n">
        <x:v>0</x:v>
      </x:c>
      <x:c r="AI1856" s="48" t="n">
        <x:v>1.1920928955078125e-7</x:v>
      </x:c>
      <x:c r="AJ1856" s="37" t="str">
        <x:v>passed</x:v>
      </x:c>
    </x:row>
    <x:row r="1857" ht="21" customHeight="1">
      <x:c r="A1857" s="2"/>
      <x:c r="B1857" s="2"/>
      <x:c r="C1857" s="2" t="str">
        <x:v>2023</x:v>
      </x:c>
      <x:c r="D1857" s="5" t="n">
        <x:v>45237</x:v>
      </x:c>
      <x:c r="E1857" s="2" t="str">
        <x:v>unweighted</x:v>
      </x:c>
      <x:c r="F1857" s="37" t="n">
        <x:v>11960426.617911253</x:v>
      </x:c>
      <x:c r="G1857" s="37" t="n">
        <x:v>-117170.37805335119</x:v>
      </x:c>
      <x:c r="H1857" s="37" t="n">
        <x:v>-43228.31770198076</x:v>
      </x:c>
      <x:c r="I1857" s="37" t="n">
        <x:v>-73942.06035137043</x:v>
      </x:c>
      <x:c r="J1857" s="37" t="n">
        <x:v>8459936.174872078</x:v>
      </x:c>
      <x:c r="K1857" s="37" t="n">
        <x:v>8577106.552925428</x:v>
      </x:c>
      <x:c r="L1857" s="37" t="n">
        <x:v>11843256.239857903</x:v>
      </x:c>
      <x:c r="M1857" s="37" t="n">
        <x:v>0</x:v>
      </x:c>
      <x:c r="N1857" s="37" t="n">
        <x:v>0</x:v>
      </x:c>
      <x:c r="O1857" s="37" t="n">
        <x:v>655.3299335874617</x:v>
      </x:c>
      <x:c r="P1857" s="37" t="n">
        <x:v>0</x:v>
      </x:c>
      <x:c r="Q1857" s="37" t="n">
        <x:v>0</x:v>
      </x:c>
      <x:c r="R1857" s="37" t="n">
        <x:v>0</x:v>
      </x:c>
      <x:c r="S1857" s="37" t="n">
        <x:v>0</x:v>
      </x:c>
      <x:c r="T1857" s="37" t="n">
        <x:v>0</x:v>
      </x:c>
      <x:c r="U1857" s="37" t="n">
        <x:v>58055.80415342993</x:v>
      </x:c>
      <x:c r="V1857" s="37" t="n">
        <x:v>2000000</x:v>
      </x:c>
      <x:c r="W1857" s="37" t="n">
        <x:v>189503.61132360995</x:v>
      </x:c>
      <x:c r="X1857" s="37" t="n">
        <x:v>0</x:v>
      </x:c>
      <x:c r="Y1857" s="37" t="n">
        <x:v>2316.0970281288896</x:v>
      </x:c>
      <x:c r="Z1857" s="37" t="n">
        <x:v>8748648.683983937</x:v>
      </x:c>
      <x:c r="AA1857" s="37" t="n">
        <x:v>0</x:v>
      </x:c>
      <x:c r="AB1857" s="37" t="n">
        <x:v>8748648.683983937</x:v>
      </x:c>
      <x:c r="AC1857" s="37" t="n">
        <x:v>3211777.933927316</x:v>
      </x:c>
      <x:c r="AD1857" s="37" t="n">
        <x:v>0</x:v>
      </x:c>
      <x:c r="AE1857" s="37" t="n">
        <x:v>0</x:v>
      </x:c>
      <x:c r="AF1857" s="47" t="b">
        <x:v>0</x:v>
      </x:c>
      <x:c r="AG1857" s="47" t="b">
        <x:v>0</x:v>
      </x:c>
      <x:c r="AH1857" s="48" t="n">
        <x:v>0</x:v>
      </x:c>
      <x:c r="AI1857" s="48" t="n">
        <x:v>1.1920928955078125e-7</x:v>
      </x:c>
      <x:c r="AJ1857" s="37" t="str">
        <x:v>passed</x:v>
      </x:c>
    </x:row>
    <x:row r="1858" ht="21" customHeight="1">
      <x:c r="A1858" s="2"/>
      <x:c r="B1858" s="2"/>
      <x:c r="C1858" s="2" t="str">
        <x:v>2023</x:v>
      </x:c>
      <x:c r="D1858" s="5" t="n">
        <x:v>45237</x:v>
      </x:c>
      <x:c r="E1858" s="2" t="str">
        <x:v>constrained</x:v>
      </x:c>
      <x:c r="F1858" s="37" t="n">
        <x:v>14071813.294660993</x:v>
      </x:c>
      <x:c r="G1858" s="37" t="n">
        <x:v>-2247236.27300243</x:v>
      </x:c>
      <x:c r="H1858" s="37" t="n">
        <x:v>-46920.56296950598</x:v>
      </x:c>
      <x:c r="I1858" s="37" t="n">
        <x:v>-2200315.710032924</x:v>
      </x:c>
      <x:c r="J1858" s="37" t="n">
        <x:v>8434428.9603314</x:v>
      </x:c>
      <x:c r="K1858" s="37" t="n">
        <x:v>10681665.23333383</x:v>
      </x:c>
      <x:c r="L1858" s="37" t="n">
        <x:v>11824577.021658562</x:v>
      </x:c>
      <x:c r="M1858" s="37" t="n">
        <x:v>0</x:v>
      </x:c>
      <x:c r="N1858" s="37" t="n">
        <x:v>0</x:v>
      </x:c>
      <x:c r="O1858" s="37" t="n">
        <x:v>771.0160152688622</x:v>
      </x:c>
      <x:c r="P1858" s="37" t="n">
        <x:v>0</x:v>
      </x:c>
      <x:c r="Q1858" s="37" t="n">
        <x:v>0</x:v>
      </x:c>
      <x:c r="R1858" s="37" t="n">
        <x:v>0</x:v>
      </x:c>
      <x:c r="S1858" s="37" t="n">
        <x:v>0</x:v>
      </x:c>
      <x:c r="T1858" s="37" t="n">
        <x:v>0</x:v>
      </x:c>
      <x:c r="U1858" s="37" t="n">
        <x:v>56970.44529747225</x:v>
      </x:c>
      <x:c r="V1858" s="37" t="n">
        <x:v>2000000</x:v>
      </x:c>
      <x:c r="W1858" s="37" t="n">
        <x:v>199045.71574437432</x:v>
      </x:c>
      <x:c r="X1858" s="37" t="n">
        <x:v>0</x:v>
      </x:c>
      <x:c r="Y1858" s="37" t="n">
        <x:v>2219.494920369951</x:v>
      </x:c>
      <x:c r="Z1858" s="37" t="n">
        <x:v>10895298.538000507</x:v>
      </x:c>
      <x:c r="AA1858" s="37" t="n">
        <x:v>0</x:v>
      </x:c>
      <x:c r="AB1858" s="37" t="n">
        <x:v>10895298.538000507</x:v>
      </x:c>
      <x:c r="AC1858" s="37" t="n">
        <x:v>3176514.7566604856</x:v>
      </x:c>
      <x:c r="AD1858" s="37" t="n">
        <x:v>0</x:v>
      </x:c>
      <x:c r="AE1858" s="37" t="n">
        <x:v>0</x:v>
      </x:c>
      <x:c r="AF1858" s="47" t="b">
        <x:v>0</x:v>
      </x:c>
      <x:c r="AG1858" s="47" t="b">
        <x:v>0</x:v>
      </x:c>
      <x:c r="AH1858" s="48" t="n">
        <x:v>0</x:v>
      </x:c>
      <x:c r="AI1858" s="48" t="n">
        <x:v>1.1920928955078125e-7</x:v>
      </x:c>
      <x:c r="AJ1858" s="37" t="str">
        <x:v>passed</x:v>
      </x:c>
    </x:row>
    <x:row r="1859" ht="21" customHeight="1">
      <x:c r="A1859" s="2"/>
      <x:c r="B1859" s="2"/>
      <x:c r="C1859" s="2" t="str">
        <x:v>2023</x:v>
      </x:c>
      <x:c r="D1859" s="5" t="n">
        <x:v>45238</x:v>
      </x:c>
      <x:c r="E1859" s="2" t="str">
        <x:v>unhedged</x:v>
      </x:c>
      <x:c r="F1859" s="37" t="n">
        <x:v>3348819.719528357</x:v>
      </x:c>
      <x:c r="G1859" s="37" t="n">
        <x:v>8337995.850639613</x:v>
      </x:c>
      <x:c r="H1859" s="37" t="n">
        <x:v>18312.38055422838</x:v>
      </x:c>
      <x:c r="I1859" s="37" t="n">
        <x:v>8319683.470085385</x:v>
      </x:c>
      <x:c r="J1859" s="37" t="n">
        <x:v>8337995.850639613</x:v>
      </x:c>
      <x:c r="K1859" s="37" t="n">
        <x:v>0</x:v>
      </x:c>
      <x:c r="L1859" s="37" t="n">
        <x:v>11686815.57016797</x:v>
      </x:c>
      <x:c r="M1859" s="37" t="n">
        <x:v>0</x:v>
      </x:c>
      <x:c r="N1859" s="37" t="n">
        <x:v>0</x:v>
      </x:c>
      <x:c r="O1859" s="37" t="n">
        <x:v>183.48691685544327</x:v>
      </x:c>
      <x:c r="P1859" s="37" t="n">
        <x:v>0</x:v>
      </x:c>
      <x:c r="Q1859" s="37" t="n">
        <x:v>0</x:v>
      </x:c>
      <x:c r="R1859" s="37" t="n">
        <x:v>0</x:v>
      </x:c>
      <x:c r="S1859" s="37" t="n">
        <x:v>0</x:v>
      </x:c>
      <x:c r="T1859" s="37" t="n">
        <x:v>0</x:v>
      </x:c>
      <x:c r="U1859" s="37" t="n">
        <x:v>127500</x:v>
      </x:c>
      <x:c r="V1859" s="37" t="n">
        <x:v>2000000</x:v>
      </x:c>
      <x:c r="W1859" s="37" t="n">
        <x:v>22362.58887047926</x:v>
      </x:c>
      <x:c r="X1859" s="37" t="n">
        <x:v>0</x:v>
      </x:c>
      <x:c r="Y1859" s="37" t="n">
        <x:v>1042.869342122179</x:v>
      </x:c>
      <x:c r="Z1859" s="37" t="n">
        <x:v>0</x:v>
      </x:c>
      <x:c r="AA1859" s="37" t="n">
        <x:v>0</x:v>
      </x:c>
      <x:c r="AB1859" s="37" t="n">
        <x:v>0</x:v>
      </x:c>
      <x:c r="AC1859" s="37" t="n">
        <x:v>3348819.719528357</x:v>
      </x:c>
      <x:c r="AD1859" s="37" t="n">
        <x:v>0</x:v>
      </x:c>
      <x:c r="AE1859" s="37" t="n">
        <x:v>0</x:v>
      </x:c>
      <x:c r="AF1859" s="47" t="b">
        <x:v>0</x:v>
      </x:c>
      <x:c r="AG1859" s="47" t="b">
        <x:v>0</x:v>
      </x:c>
      <x:c r="AH1859" s="48" t="n">
        <x:v>0</x:v>
      </x:c>
      <x:c r="AI1859" s="48" t="n">
        <x:v>5.960464477539063e-8</x:v>
      </x:c>
      <x:c r="AJ1859" s="37" t="str">
        <x:v>passed</x:v>
      </x:c>
    </x:row>
    <x:row r="1860" ht="21" customHeight="1">
      <x:c r="A1860" s="2"/>
      <x:c r="B1860" s="2"/>
      <x:c r="C1860" s="2" t="str">
        <x:v>2023</x:v>
      </x:c>
      <x:c r="D1860" s="5" t="n">
        <x:v>45238</x:v>
      </x:c>
      <x:c r="E1860" s="2" t="str">
        <x:v>duration</x:v>
      </x:c>
      <x:c r="F1860" s="37" t="n">
        <x:v>9681074.76321585</x:v>
      </x:c>
      <x:c r="G1860" s="37" t="n">
        <x:v>2247720.296922347</x:v>
      </x:c>
      <x:c r="H1860" s="37" t="n">
        <x:v>-32404.2769634191</x:v>
      </x:c>
      <x:c r="I1860" s="37" t="n">
        <x:v>2280124.5738857663</x:v>
      </x:c>
      <x:c r="J1860" s="37" t="n">
        <x:v>8337995.850639613</x:v>
      </x:c>
      <x:c r="K1860" s="37" t="n">
        <x:v>6090275.553717266</x:v>
      </x:c>
      <x:c r="L1860" s="37" t="n">
        <x:v>11928795.060138196</x:v>
      </x:c>
      <x:c r="M1860" s="37" t="n">
        <x:v>0</x:v>
      </x:c>
      <x:c r="N1860" s="37" t="n">
        <x:v>0</x:v>
      </x:c>
      <x:c r="O1860" s="37" t="n">
        <x:v>530.4407847914845</x:v>
      </x:c>
      <x:c r="P1860" s="37" t="n">
        <x:v>0</x:v>
      </x:c>
      <x:c r="Q1860" s="37" t="n">
        <x:v>0</x:v>
      </x:c>
      <x:c r="R1860" s="37" t="n">
        <x:v>0</x:v>
      </x:c>
      <x:c r="S1860" s="37" t="n">
        <x:v>0</x:v>
      </x:c>
      <x:c r="T1860" s="37" t="n">
        <x:v>0</x:v>
      </x:c>
      <x:c r="U1860" s="37" t="n">
        <x:v>73667.381478397</x:v>
      </x:c>
      <x:c r="V1860" s="37" t="n">
        <x:v>2000000</x:v>
      </x:c>
      <x:c r="W1860" s="37" t="n">
        <x:v>131306.22212612163</x:v>
      </x:c>
      <x:c r="X1860" s="37" t="n">
        <x:v>0</x:v>
      </x:c>
      <x:c r="Y1860" s="37" t="n">
        <x:v>1740.677505458311</x:v>
      </x:c>
      <x:c r="Z1860" s="37" t="n">
        <x:v>6212081.064791611</x:v>
      </x:c>
      <x:c r="AA1860" s="37" t="n">
        <x:v>0</x:v>
      </x:c>
      <x:c r="AB1860" s="37" t="n">
        <x:v>6212081.064791611</x:v>
      </x:c>
      <x:c r="AC1860" s="37" t="n">
        <x:v>3468993.698424238</x:v>
      </x:c>
      <x:c r="AD1860" s="37" t="n">
        <x:v>0</x:v>
      </x:c>
      <x:c r="AE1860" s="37" t="n">
        <x:v>0</x:v>
      </x:c>
      <x:c r="AF1860" s="47" t="b">
        <x:v>0</x:v>
      </x:c>
      <x:c r="AG1860" s="47" t="b">
        <x:v>0</x:v>
      </x:c>
      <x:c r="AH1860" s="48" t="n">
        <x:v>0</x:v>
      </x:c>
      <x:c r="AI1860" s="48" t="n">
        <x:v>1.1920928955078125e-7</x:v>
      </x:c>
      <x:c r="AJ1860" s="37" t="str">
        <x:v>passed</x:v>
      </x:c>
    </x:row>
    <x:row r="1861" ht="21" customHeight="1">
      <x:c r="A1861" s="2"/>
      <x:c r="B1861" s="2"/>
      <x:c r="C1861" s="2" t="str">
        <x:v>2023</x:v>
      </x:c>
      <x:c r="D1861" s="5" t="n">
        <x:v>45238</x:v>
      </x:c>
      <x:c r="E1861" s="2" t="str">
        <x:v>unweighted</x:v>
      </x:c>
      <x:c r="F1861" s="37" t="n">
        <x:v>11961081.983753333</x:v>
      </x:c>
      <x:c r="G1861" s="37" t="n">
        <x:v>-117185.1757751969</x:v>
      </x:c>
      <x:c r="H1861" s="37" t="n">
        <x:v>-43261.21839802945</x:v>
      </x:c>
      <x:c r="I1861" s="37" t="n">
        <x:v>-73923.95737716745</x:v>
      </x:c>
      <x:c r="J1861" s="37" t="n">
        <x:v>8475236.872495519</x:v>
      </x:c>
      <x:c r="K1861" s="37" t="n">
        <x:v>8592422.048270717</x:v>
      </x:c>
      <x:c r="L1861" s="37" t="n">
        <x:v>11843896.807978136</x:v>
      </x:c>
      <x:c r="M1861" s="37" t="n">
        <x:v>0</x:v>
      </x:c>
      <x:c r="N1861" s="37" t="n">
        <x:v>0</x:v>
      </x:c>
      <x:c r="O1861" s="37" t="n">
        <x:v>655.3658420797437</x:v>
      </x:c>
      <x:c r="P1861" s="37" t="n">
        <x:v>0</x:v>
      </x:c>
      <x:c r="Q1861" s="37" t="n">
        <x:v>0</x:v>
      </x:c>
      <x:c r="R1861" s="37" t="n">
        <x:v>0</x:v>
      </x:c>
      <x:c r="S1861" s="37" t="n">
        <x:v>0</x:v>
      </x:c>
      <x:c r="T1861" s="37" t="n">
        <x:v>0</x:v>
      </x:c>
      <x:c r="U1861" s="37" t="n">
        <x:v>58055.80415342993</x:v>
      </x:c>
      <x:c r="V1861" s="37" t="n">
        <x:v>2000000</x:v>
      </x:c>
      <x:c r="W1861" s="37" t="n">
        <x:v>190158.9771656897</x:v>
      </x:c>
      <x:c r="X1861" s="37" t="n">
        <x:v>0</x:v>
      </x:c>
      <x:c r="Y1861" s="37" t="n">
        <x:v>2316.0970281288896</x:v>
      </x:c>
      <x:c r="Z1861" s="37" t="n">
        <x:v>8764270.489236131</x:v>
      </x:c>
      <x:c r="AA1861" s="37" t="n">
        <x:v>0</x:v>
      </x:c>
      <x:c r="AB1861" s="37" t="n">
        <x:v>8764270.489236131</x:v>
      </x:c>
      <x:c r="AC1861" s="37" t="n">
        <x:v>3196811.4945172016</x:v>
      </x:c>
      <x:c r="AD1861" s="37" t="n">
        <x:v>0</x:v>
      </x:c>
      <x:c r="AE1861" s="37" t="n">
        <x:v>0</x:v>
      </x:c>
      <x:c r="AF1861" s="47" t="b">
        <x:v>0</x:v>
      </x:c>
      <x:c r="AG1861" s="47" t="b">
        <x:v>0</x:v>
      </x:c>
      <x:c r="AH1861" s="48" t="n">
        <x:v>0</x:v>
      </x:c>
      <x:c r="AI1861" s="48" t="n">
        <x:v>1.1920928955078125e-7</x:v>
      </x:c>
      <x:c r="AJ1861" s="37" t="str">
        <x:v>passed</x:v>
      </x:c>
    </x:row>
    <x:row r="1862" ht="21" customHeight="1">
      <x:c r="A1862" s="2"/>
      <x:c r="B1862" s="2"/>
      <x:c r="C1862" s="2" t="str">
        <x:v>2023</x:v>
      </x:c>
      <x:c r="D1862" s="5" t="n">
        <x:v>45238</x:v>
      </x:c>
      <x:c r="E1862" s="2" t="str">
        <x:v>constrained</x:v>
      </x:c>
      <x:c r="F1862" s="37" t="n">
        <x:v>14072584.352923715</x:v>
      </x:c>
      <x:c r="G1862" s="37" t="n">
        <x:v>-2247975.434539673</x:v>
      </x:c>
      <x:c r="H1862" s="37" t="n">
        <x:v>-46977.2075774379</x:v>
      </x:c>
      <x:c r="I1862" s="37" t="n">
        <x:v>-2200998.226962235</x:v>
      </x:c>
      <x:c r="J1862" s="37" t="n">
        <x:v>8449613.603808977</x:v>
      </x:c>
      <x:c r="K1862" s="37" t="n">
        <x:v>10697589.03834865</x:v>
      </x:c>
      <x:c r="L1862" s="37" t="n">
        <x:v>11824608.918384042</x:v>
      </x:c>
      <x:c r="M1862" s="37" t="n">
        <x:v>0</x:v>
      </x:c>
      <x:c r="N1862" s="37" t="n">
        <x:v>0</x:v>
      </x:c>
      <x:c r="O1862" s="37" t="n">
        <x:v>771.0582627225667</x:v>
      </x:c>
      <x:c r="P1862" s="37" t="n">
        <x:v>0</x:v>
      </x:c>
      <x:c r="Q1862" s="37" t="n">
        <x:v>0</x:v>
      </x:c>
      <x:c r="R1862" s="37" t="n">
        <x:v>0</x:v>
      </x:c>
      <x:c r="S1862" s="37" t="n">
        <x:v>0</x:v>
      </x:c>
      <x:c r="T1862" s="37" t="n">
        <x:v>0</x:v>
      </x:c>
      <x:c r="U1862" s="37" t="n">
        <x:v>56970.44529747225</x:v>
      </x:c>
      <x:c r="V1862" s="37" t="n">
        <x:v>2000000</x:v>
      </x:c>
      <x:c r="W1862" s="37" t="n">
        <x:v>199816.7740070969</x:v>
      </x:c>
      <x:c r="X1862" s="37" t="n">
        <x:v>0</x:v>
      </x:c>
      <x:c r="Y1862" s="37" t="n">
        <x:v>2219.494920369951</x:v>
      </x:c>
      <x:c r="Z1862" s="37" t="n">
        <x:v>10911540.819115624</x:v>
      </x:c>
      <x:c r="AA1862" s="37" t="n">
        <x:v>0</x:v>
      </x:c>
      <x:c r="AB1862" s="37" t="n">
        <x:v>10911540.819115624</x:v>
      </x:c>
      <x:c r="AC1862" s="37" t="n">
        <x:v>3161043.5338080917</x:v>
      </x:c>
      <x:c r="AD1862" s="37" t="n">
        <x:v>0</x:v>
      </x:c>
      <x:c r="AE1862" s="37" t="n">
        <x:v>0</x:v>
      </x:c>
      <x:c r="AF1862" s="47" t="b">
        <x:v>0</x:v>
      </x:c>
      <x:c r="AG1862" s="47" t="b">
        <x:v>0</x:v>
      </x:c>
      <x:c r="AH1862" s="48" t="n">
        <x:v>0</x:v>
      </x:c>
      <x:c r="AI1862" s="48" t="n">
        <x:v>1.1920928955078125e-7</x:v>
      </x:c>
      <x:c r="AJ1862" s="37" t="str">
        <x:v>passed</x:v>
      </x:c>
    </x:row>
    <x:row r="1863" ht="21" customHeight="1">
      <x:c r="A1863" s="2"/>
      <x:c r="B1863" s="2"/>
      <x:c r="C1863" s="2" t="str">
        <x:v>2023</x:v>
      </x:c>
      <x:c r="D1863" s="5" t="n">
        <x:v>45239</x:v>
      </x:c>
      <x:c r="E1863" s="2" t="str">
        <x:v>unhedged</x:v>
      </x:c>
      <x:c r="F1863" s="37" t="n">
        <x:v>3349003.21649929</x:v>
      </x:c>
      <x:c r="G1863" s="37" t="n">
        <x:v>8277633.467559036</x:v>
      </x:c>
      <x:c r="H1863" s="37" t="n">
        <x:v>18639.81127568084</x:v>
      </x:c>
      <x:c r="I1863" s="37" t="n">
        <x:v>8258993.656283355</x:v>
      </x:c>
      <x:c r="J1863" s="37" t="n">
        <x:v>8277633.467559036</x:v>
      </x:c>
      <x:c r="K1863" s="37" t="n">
        <x:v>0</x:v>
      </x:c>
      <x:c r="L1863" s="37" t="n">
        <x:v>11626636.684058325</x:v>
      </x:c>
      <x:c r="M1863" s="37" t="n">
        <x:v>0</x:v>
      </x:c>
      <x:c r="N1863" s="37" t="n">
        <x:v>0</x:v>
      </x:c>
      <x:c r="O1863" s="37" t="n">
        <x:v>183.4969709329307</x:v>
      </x:c>
      <x:c r="P1863" s="37" t="n">
        <x:v>0</x:v>
      </x:c>
      <x:c r="Q1863" s="37" t="n">
        <x:v>0</x:v>
      </x:c>
      <x:c r="R1863" s="37" t="n">
        <x:v>0</x:v>
      </x:c>
      <x:c r="S1863" s="37" t="n">
        <x:v>0</x:v>
      </x:c>
      <x:c r="T1863" s="37" t="n">
        <x:v>0</x:v>
      </x:c>
      <x:c r="U1863" s="37" t="n">
        <x:v>127500</x:v>
      </x:c>
      <x:c r="V1863" s="37" t="n">
        <x:v>2000000</x:v>
      </x:c>
      <x:c r="W1863" s="37" t="n">
        <x:v>22546.08584141219</x:v>
      </x:c>
      <x:c r="X1863" s="37" t="n">
        <x:v>0</x:v>
      </x:c>
      <x:c r="Y1863" s="37" t="n">
        <x:v>1042.869342122179</x:v>
      </x:c>
      <x:c r="Z1863" s="37" t="n">
        <x:v>0</x:v>
      </x:c>
      <x:c r="AA1863" s="37" t="n">
        <x:v>0</x:v>
      </x:c>
      <x:c r="AB1863" s="37" t="n">
        <x:v>0</x:v>
      </x:c>
      <x:c r="AC1863" s="37" t="n">
        <x:v>3349003.21649929</x:v>
      </x:c>
      <x:c r="AD1863" s="37" t="n">
        <x:v>0</x:v>
      </x:c>
      <x:c r="AE1863" s="37" t="n">
        <x:v>0</x:v>
      </x:c>
      <x:c r="AF1863" s="47" t="b">
        <x:v>0</x:v>
      </x:c>
      <x:c r="AG1863" s="47" t="b">
        <x:v>0</x:v>
      </x:c>
      <x:c r="AH1863" s="48" t="n">
        <x:v>0</x:v>
      </x:c>
      <x:c r="AI1863" s="48" t="n">
        <x:v>5.960464477539063e-8</x:v>
      </x:c>
      <x:c r="AJ1863" s="37" t="str">
        <x:v>passed</x:v>
      </x:c>
    </x:row>
    <x:row r="1864" ht="21" customHeight="1">
      <x:c r="A1864" s="2"/>
      <x:c r="B1864" s="2"/>
      <x:c r="C1864" s="2" t="str">
        <x:v>2023</x:v>
      </x:c>
      <x:c r="D1864" s="5" t="n">
        <x:v>45239</x:v>
      </x:c>
      <x:c r="E1864" s="2" t="str">
        <x:v>duration</x:v>
      </x:c>
      <x:c r="F1864" s="37" t="n">
        <x:v>9681605.23306589</x:v>
      </x:c>
      <x:c r="G1864" s="37" t="n">
        <x:v>2251847.5458859657</x:v>
      </x:c>
      <x:c r="H1864" s="37" t="n">
        <x:v>-32363.38103020194</x:v>
      </x:c>
      <x:c r="I1864" s="37" t="n">
        <x:v>2284210.9269161676</x:v>
      </x:c>
      <x:c r="J1864" s="37" t="n">
        <x:v>8277633.467559036</x:v>
      </x:c>
      <x:c r="K1864" s="37" t="n">
        <x:v>6025785.921673071</x:v>
      </x:c>
      <x:c r="L1864" s="37" t="n">
        <x:v>11933452.778951855</x:v>
      </x:c>
      <x:c r="M1864" s="37" t="n">
        <x:v>0</x:v>
      </x:c>
      <x:c r="N1864" s="37" t="n">
        <x:v>0</x:v>
      </x:c>
      <x:c r="O1864" s="37" t="n">
        <x:v>530.4698500409722</x:v>
      </x:c>
      <x:c r="P1864" s="37" t="n">
        <x:v>0</x:v>
      </x:c>
      <x:c r="Q1864" s="37" t="n">
        <x:v>0</x:v>
      </x:c>
      <x:c r="R1864" s="37" t="n">
        <x:v>0</x:v>
      </x:c>
      <x:c r="S1864" s="37" t="n">
        <x:v>0</x:v>
      </x:c>
      <x:c r="T1864" s="37" t="n">
        <x:v>0</x:v>
      </x:c>
      <x:c r="U1864" s="37" t="n">
        <x:v>73667.381478397</x:v>
      </x:c>
      <x:c r="V1864" s="37" t="n">
        <x:v>2000000</x:v>
      </x:c>
      <x:c r="W1864" s="37" t="n">
        <x:v>131836.6919761626</x:v>
      </x:c>
      <x:c r="X1864" s="37" t="n">
        <x:v>0</x:v>
      </x:c>
      <x:c r="Y1864" s="37" t="n">
        <x:v>1740.677505458311</x:v>
      </x:c>
      <x:c r="Z1864" s="37" t="n">
        <x:v>6146301.640106532</x:v>
      </x:c>
      <x:c r="AA1864" s="37" t="n">
        <x:v>0</x:v>
      </x:c>
      <x:c r="AB1864" s="37" t="n">
        <x:v>6146301.640106532</x:v>
      </x:c>
      <x:c r="AC1864" s="37" t="n">
        <x:v>3535303.5929593584</x:v>
      </x:c>
      <x:c r="AD1864" s="37" t="n">
        <x:v>0</x:v>
      </x:c>
      <x:c r="AE1864" s="37" t="n">
        <x:v>0</x:v>
      </x:c>
      <x:c r="AF1864" s="47" t="b">
        <x:v>0</x:v>
      </x:c>
      <x:c r="AG1864" s="47" t="b">
        <x:v>0</x:v>
      </x:c>
      <x:c r="AH1864" s="48" t="n">
        <x:v>0</x:v>
      </x:c>
      <x:c r="AI1864" s="48" t="n">
        <x:v>1.1920928955078125e-7</x:v>
      </x:c>
      <x:c r="AJ1864" s="37" t="str">
        <x:v>passed</x:v>
      </x:c>
    </x:row>
    <x:row r="1865" ht="21" customHeight="1">
      <x:c r="A1865" s="2"/>
      <x:c r="B1865" s="2"/>
      <x:c r="C1865" s="2" t="str">
        <x:v>2023</x:v>
      </x:c>
      <x:c r="D1865" s="5" t="n">
        <x:v>45239</x:v>
      </x:c>
      <x:c r="E1865" s="2" t="str">
        <x:v>unweighted</x:v>
      </x:c>
      <x:c r="F1865" s="37" t="n">
        <x:v>11961737.385505868</x:v>
      </x:c>
      <x:c r="G1865" s="37" t="n">
        <x:v>-115651.44413318223</x:v>
      </x:c>
      <x:c r="H1865" s="37" t="n">
        <x:v>-43294.119094078145</x:v>
      </x:c>
      <x:c r="I1865" s="37" t="n">
        <x:v>-72357.3250391041</x:v>
      </x:c>
      <x:c r="J1865" s="37" t="n">
        <x:v>8412513.078457944</x:v>
      </x:c>
      <x:c r="K1865" s="37" t="n">
        <x:v>8528164.522591127</x:v>
      </x:c>
      <x:c r="L1865" s="37" t="n">
        <x:v>11846085.941372685</x:v>
      </x:c>
      <x:c r="M1865" s="37" t="n">
        <x:v>0</x:v>
      </x:c>
      <x:c r="N1865" s="37" t="n">
        <x:v>0</x:v>
      </x:c>
      <x:c r="O1865" s="37" t="n">
        <x:v>655.4017525352538</x:v>
      </x:c>
      <x:c r="P1865" s="37" t="n">
        <x:v>0</x:v>
      </x:c>
      <x:c r="Q1865" s="37" t="n">
        <x:v>0</x:v>
      </x:c>
      <x:c r="R1865" s="37" t="n">
        <x:v>0</x:v>
      </x:c>
      <x:c r="S1865" s="37" t="n">
        <x:v>0</x:v>
      </x:c>
      <x:c r="T1865" s="37" t="n">
        <x:v>0</x:v>
      </x:c>
      <x:c r="U1865" s="37" t="n">
        <x:v>58055.80415342993</x:v>
      </x:c>
      <x:c r="V1865" s="37" t="n">
        <x:v>2000000</x:v>
      </x:c>
      <x:c r="W1865" s="37" t="n">
        <x:v>190814.37891822495</x:v>
      </x:c>
      <x:c r="X1865" s="37" t="n">
        <x:v>0</x:v>
      </x:c>
      <x:c r="Y1865" s="37" t="n">
        <x:v>2316.0970281288896</x:v>
      </x:c>
      <x:c r="Z1865" s="37" t="n">
        <x:v>8698727.81304295</x:v>
      </x:c>
      <x:c r="AA1865" s="37" t="n">
        <x:v>0</x:v>
      </x:c>
      <x:c r="AB1865" s="37" t="n">
        <x:v>8698727.81304295</x:v>
      </x:c>
      <x:c r="AC1865" s="37" t="n">
        <x:v>3263009.5724629182</x:v>
      </x:c>
      <x:c r="AD1865" s="37" t="n">
        <x:v>0</x:v>
      </x:c>
      <x:c r="AE1865" s="37" t="n">
        <x:v>0</x:v>
      </x:c>
      <x:c r="AF1865" s="47" t="b">
        <x:v>0</x:v>
      </x:c>
      <x:c r="AG1865" s="47" t="b">
        <x:v>0</x:v>
      </x:c>
      <x:c r="AH1865" s="48" t="n">
        <x:v>0</x:v>
      </x:c>
      <x:c r="AI1865" s="48" t="n">
        <x:v>1.1920928955078125e-7</x:v>
      </x:c>
      <x:c r="AJ1865" s="37" t="str">
        <x:v>passed</x:v>
      </x:c>
    </x:row>
    <x:row r="1866" ht="21" customHeight="1">
      <x:c r="A1866" s="2"/>
      <x:c r="B1866" s="2"/>
      <x:c r="C1866" s="2" t="str">
        <x:v>2023</x:v>
      </x:c>
      <x:c r="D1866" s="5" t="n">
        <x:v>45239</x:v>
      </x:c>
      <x:c r="E1866" s="2" t="str">
        <x:v>constrained</x:v>
      </x:c>
      <x:c r="F1866" s="37" t="n">
        <x:v>14073355.453436205</x:v>
      </x:c>
      <x:c r="G1866" s="37" t="n">
        <x:v>-2248588.0346022206</x:v>
      </x:c>
      <x:c r="H1866" s="37" t="n">
        <x:v>-47033.85218536983</x:v>
      </x:c>
      <x:c r="I1866" s="37" t="n">
        <x:v>-2201554.1824168507</x:v>
      </x:c>
      <x:c r="J1866" s="37" t="n">
        <x:v>8386903.872035252</x:v>
      </x:c>
      <x:c r="K1866" s="37" t="n">
        <x:v>10635491.906637473</x:v>
      </x:c>
      <x:c r="L1866" s="37" t="n">
        <x:v>11824767.418833984</x:v>
      </x:c>
      <x:c r="M1866" s="37" t="n">
        <x:v>0</x:v>
      </x:c>
      <x:c r="N1866" s="37" t="n">
        <x:v>0</x:v>
      </x:c>
      <x:c r="O1866" s="37" t="n">
        <x:v>771.1005124896765</x:v>
      </x:c>
      <x:c r="P1866" s="37" t="n">
        <x:v>0</x:v>
      </x:c>
      <x:c r="Q1866" s="37" t="n">
        <x:v>0</x:v>
      </x:c>
      <x:c r="R1866" s="37" t="n">
        <x:v>0</x:v>
      </x:c>
      <x:c r="S1866" s="37" t="n">
        <x:v>0</x:v>
      </x:c>
      <x:c r="T1866" s="37" t="n">
        <x:v>0</x:v>
      </x:c>
      <x:c r="U1866" s="37" t="n">
        <x:v>56970.44529747225</x:v>
      </x:c>
      <x:c r="V1866" s="37" t="n">
        <x:v>2000000</x:v>
      </x:c>
      <x:c r="W1866" s="37" t="n">
        <x:v>200587.87451958656</x:v>
      </x:c>
      <x:c r="X1866" s="37" t="n">
        <x:v>0</x:v>
      </x:c>
      <x:c r="Y1866" s="37" t="n">
        <x:v>2219.494920369951</x:v>
      </x:c>
      <x:c r="Z1866" s="37" t="n">
        <x:v>10848201.744770223</x:v>
      </x:c>
      <x:c r="AA1866" s="37" t="n">
        <x:v>0</x:v>
      </x:c>
      <x:c r="AB1866" s="37" t="n">
        <x:v>10848201.744770223</x:v>
      </x:c>
      <x:c r="AC1866" s="37" t="n">
        <x:v>3225153.708665982</x:v>
      </x:c>
      <x:c r="AD1866" s="37" t="n">
        <x:v>0</x:v>
      </x:c>
      <x:c r="AE1866" s="37" t="n">
        <x:v>0</x:v>
      </x:c>
      <x:c r="AF1866" s="47" t="b">
        <x:v>0</x:v>
      </x:c>
      <x:c r="AG1866" s="47" t="b">
        <x:v>0</x:v>
      </x:c>
      <x:c r="AH1866" s="48" t="n">
        <x:v>0</x:v>
      </x:c>
      <x:c r="AI1866" s="48" t="n">
        <x:v>1.1920928955078125e-7</x:v>
      </x:c>
      <x:c r="AJ1866" s="37" t="str">
        <x:v>passed</x:v>
      </x:c>
    </x:row>
    <x:row r="1867" ht="21" customHeight="1">
      <x:c r="A1867" s="2"/>
      <x:c r="B1867" s="2"/>
      <x:c r="C1867" s="2" t="str">
        <x:v>2023</x:v>
      </x:c>
      <x:c r="D1867" s="5" t="n">
        <x:v>45240</x:v>
      </x:c>
      <x:c r="E1867" s="2" t="str">
        <x:v>unhedged</x:v>
      </x:c>
      <x:c r="F1867" s="37" t="n">
        <x:v>3349186.723524852</x:v>
      </x:c>
      <x:c r="G1867" s="37" t="n">
        <x:v>8279548.512401955</x:v>
      </x:c>
      <x:c r="H1867" s="37" t="n">
        <x:v>18967.241997133304</x:v>
      </x:c>
      <x:c r="I1867" s="37" t="n">
        <x:v>8260581.270404822</x:v>
      </x:c>
      <x:c r="J1867" s="37" t="n">
        <x:v>8279548.512401955</x:v>
      </x:c>
      <x:c r="K1867" s="37" t="n">
        <x:v>0</x:v>
      </x:c>
      <x:c r="L1867" s="37" t="n">
        <x:v>11628735.235926807</x:v>
      </x:c>
      <x:c r="M1867" s="37" t="n">
        <x:v>0</x:v>
      </x:c>
      <x:c r="N1867" s="37" t="n">
        <x:v>0</x:v>
      </x:c>
      <x:c r="O1867" s="37" t="n">
        <x:v>183.50702556222677</x:v>
      </x:c>
      <x:c r="P1867" s="37" t="n">
        <x:v>0</x:v>
      </x:c>
      <x:c r="Q1867" s="37" t="n">
        <x:v>0</x:v>
      </x:c>
      <x:c r="R1867" s="37" t="n">
        <x:v>0</x:v>
      </x:c>
      <x:c r="S1867" s="37" t="n">
        <x:v>0</x:v>
      </x:c>
      <x:c r="T1867" s="37" t="n">
        <x:v>0</x:v>
      </x:c>
      <x:c r="U1867" s="37" t="n">
        <x:v>127500</x:v>
      </x:c>
      <x:c r="V1867" s="37" t="n">
        <x:v>2000000</x:v>
      </x:c>
      <x:c r="W1867" s="37" t="n">
        <x:v>22729.592866974417</x:v>
      </x:c>
      <x:c r="X1867" s="37" t="n">
        <x:v>0</x:v>
      </x:c>
      <x:c r="Y1867" s="37" t="n">
        <x:v>1042.869342122179</x:v>
      </x:c>
      <x:c r="Z1867" s="37" t="n">
        <x:v>0</x:v>
      </x:c>
      <x:c r="AA1867" s="37" t="n">
        <x:v>0</x:v>
      </x:c>
      <x:c r="AB1867" s="37" t="n">
        <x:v>0</x:v>
      </x:c>
      <x:c r="AC1867" s="37" t="n">
        <x:v>3349186.723524852</x:v>
      </x:c>
      <x:c r="AD1867" s="37" t="n">
        <x:v>0</x:v>
      </x:c>
      <x:c r="AE1867" s="37" t="n">
        <x:v>0</x:v>
      </x:c>
      <x:c r="AF1867" s="47" t="b">
        <x:v>0</x:v>
      </x:c>
      <x:c r="AG1867" s="47" t="b">
        <x:v>0</x:v>
      </x:c>
      <x:c r="AH1867" s="48" t="n">
        <x:v>0</x:v>
      </x:c>
      <x:c r="AI1867" s="48" t="n">
        <x:v>5.960464477539063e-8</x:v>
      </x:c>
      <x:c r="AJ1867" s="37" t="str">
        <x:v>passed</x:v>
      </x:c>
    </x:row>
    <x:row r="1868" ht="21" customHeight="1">
      <x:c r="A1868" s="2"/>
      <x:c r="B1868" s="2"/>
      <x:c r="C1868" s="2" t="str">
        <x:v>2023</x:v>
      </x:c>
      <x:c r="D1868" s="5" t="n">
        <x:v>45240</x:v>
      </x:c>
      <x:c r="E1868" s="2" t="str">
        <x:v>duration</x:v>
      </x:c>
      <x:c r="F1868" s="37" t="n">
        <x:v>9682135.73198277</x:v>
      </x:c>
      <x:c r="G1868" s="37" t="n">
        <x:v>2248116.850346132</x:v>
      </x:c>
      <x:c r="H1868" s="37" t="n">
        <x:v>-32322.485096984765</x:v>
      </x:c>
      <x:c r="I1868" s="37" t="n">
        <x:v>2280439.3354431167</x:v>
      </x:c>
      <x:c r="J1868" s="37" t="n">
        <x:v>8279548.512401955</x:v>
      </x:c>
      <x:c r="K1868" s="37" t="n">
        <x:v>6031431.662055823</x:v>
      </x:c>
      <x:c r="L1868" s="37" t="n">
        <x:v>11930252.5823289</x:v>
      </x:c>
      <x:c r="M1868" s="37" t="n">
        <x:v>0</x:v>
      </x:c>
      <x:c r="N1868" s="37" t="n">
        <x:v>0</x:v>
      </x:c>
      <x:c r="O1868" s="37" t="n">
        <x:v>530.4989168792963</x:v>
      </x:c>
      <x:c r="P1868" s="37" t="n">
        <x:v>0</x:v>
      </x:c>
      <x:c r="Q1868" s="37" t="n">
        <x:v>0</x:v>
      </x:c>
      <x:c r="R1868" s="37" t="n">
        <x:v>0</x:v>
      </x:c>
      <x:c r="S1868" s="37" t="n">
        <x:v>0</x:v>
      </x:c>
      <x:c r="T1868" s="37" t="n">
        <x:v>0</x:v>
      </x:c>
      <x:c r="U1868" s="37" t="n">
        <x:v>73667.381478397</x:v>
      </x:c>
      <x:c r="V1868" s="37" t="n">
        <x:v>2000000</x:v>
      </x:c>
      <x:c r="W1868" s="37" t="n">
        <x:v>132367.1908930419</x:v>
      </x:c>
      <x:c r="X1868" s="37" t="n">
        <x:v>0</x:v>
      </x:c>
      <x:c r="Y1868" s="37" t="n">
        <x:v>1740.677505458311</x:v>
      </x:c>
      <x:c r="Z1868" s="37" t="n">
        <x:v>6152060.29529694</x:v>
      </x:c>
      <x:c r="AA1868" s="37" t="n">
        <x:v>0</x:v>
      </x:c>
      <x:c r="AB1868" s="37" t="n">
        <x:v>6152060.29529694</x:v>
      </x:c>
      <x:c r="AC1868" s="37" t="n">
        <x:v>3530075.4366858294</x:v>
      </x:c>
      <x:c r="AD1868" s="37" t="n">
        <x:v>0</x:v>
      </x:c>
      <x:c r="AE1868" s="37" t="n">
        <x:v>0</x:v>
      </x:c>
      <x:c r="AF1868" s="47" t="b">
        <x:v>0</x:v>
      </x:c>
      <x:c r="AG1868" s="47" t="b">
        <x:v>0</x:v>
      </x:c>
      <x:c r="AH1868" s="48" t="n">
        <x:v>0</x:v>
      </x:c>
      <x:c r="AI1868" s="48" t="n">
        <x:v>1.1920928955078125e-7</x:v>
      </x:c>
      <x:c r="AJ1868" s="37" t="str">
        <x:v>passed</x:v>
      </x:c>
    </x:row>
    <x:row r="1869" ht="21" customHeight="1">
      <x:c r="A1869" s="2"/>
      <x:c r="B1869" s="2"/>
      <x:c r="C1869" s="2" t="str">
        <x:v>2023</x:v>
      </x:c>
      <x:c r="D1869" s="5" t="n">
        <x:v>45240</x:v>
      </x:c>
      <x:c r="E1869" s="2" t="str">
        <x:v>unweighted</x:v>
      </x:c>
      <x:c r="F1869" s="37" t="n">
        <x:v>11962392.823170826</x:v>
      </x:c>
      <x:c r="G1869" s="37" t="n">
        <x:v>-115769.62204982343</x:v>
      </x:c>
      <x:c r="H1869" s="37" t="n">
        <x:v>-43327.01979012683</x:v>
      </x:c>
      <x:c r="I1869" s="37" t="n">
        <x:v>-72442.6022596966</x:v>
      </x:c>
      <x:c r="J1869" s="37" t="n">
        <x:v>8414955.565543279</x:v>
      </x:c>
      <x:c r="K1869" s="37" t="n">
        <x:v>8530725.187593102</x:v>
      </x:c>
      <x:c r="L1869" s="37" t="n">
        <x:v>11846623.201121002</x:v>
      </x:c>
      <x:c r="M1869" s="37" t="n">
        <x:v>0</x:v>
      </x:c>
      <x:c r="N1869" s="37" t="n">
        <x:v>0</x:v>
      </x:c>
      <x:c r="O1869" s="37" t="n">
        <x:v>655.4376649577171</x:v>
      </x:c>
      <x:c r="P1869" s="37" t="n">
        <x:v>0</x:v>
      </x:c>
      <x:c r="Q1869" s="37" t="n">
        <x:v>0</x:v>
      </x:c>
      <x:c r="R1869" s="37" t="n">
        <x:v>0</x:v>
      </x:c>
      <x:c r="S1869" s="37" t="n">
        <x:v>0</x:v>
      </x:c>
      <x:c r="T1869" s="37" t="n">
        <x:v>0</x:v>
      </x:c>
      <x:c r="U1869" s="37" t="n">
        <x:v>58055.80415342993</x:v>
      </x:c>
      <x:c r="V1869" s="37" t="n">
        <x:v>2000000</x:v>
      </x:c>
      <x:c r="W1869" s="37" t="n">
        <x:v>191469.81658318266</x:v>
      </x:c>
      <x:c r="X1869" s="37" t="n">
        <x:v>0</x:v>
      </x:c>
      <x:c r="Y1869" s="37" t="n">
        <x:v>2316.0970281288896</x:v>
      </x:c>
      <x:c r="Z1869" s="37" t="n">
        <x:v>8701339.691344965</x:v>
      </x:c>
      <x:c r="AA1869" s="37" t="n">
        <x:v>0</x:v>
      </x:c>
      <x:c r="AB1869" s="37" t="n">
        <x:v>8701339.691344965</x:v>
      </x:c>
      <x:c r="AC1869" s="37" t="n">
        <x:v>3261053.1318258606</x:v>
      </x:c>
      <x:c r="AD1869" s="37" t="n">
        <x:v>0</x:v>
      </x:c>
      <x:c r="AE1869" s="37" t="n">
        <x:v>0</x:v>
      </x:c>
      <x:c r="AF1869" s="47" t="b">
        <x:v>0</x:v>
      </x:c>
      <x:c r="AG1869" s="47" t="b">
        <x:v>0</x:v>
      </x:c>
      <x:c r="AH1869" s="48" t="n">
        <x:v>0</x:v>
      </x:c>
      <x:c r="AI1869" s="48" t="n">
        <x:v>1.1920928955078125e-7</x:v>
      </x:c>
      <x:c r="AJ1869" s="37" t="str">
        <x:v>passed</x:v>
      </x:c>
    </x:row>
    <x:row r="1870" ht="21" customHeight="1">
      <x:c r="A1870" s="2"/>
      <x:c r="B1870" s="2"/>
      <x:c r="C1870" s="2" t="str">
        <x:v>2023</x:v>
      </x:c>
      <x:c r="D1870" s="5" t="n">
        <x:v>45240</x:v>
      </x:c>
      <x:c r="E1870" s="2" t="str">
        <x:v>constrained</x:v>
      </x:c>
      <x:c r="F1870" s="37" t="n">
        <x:v>14074126.596200777</x:v>
      </x:c>
      <x:c r="G1870" s="37" t="n">
        <x:v>-2248762.0488693286</x:v>
      </x:c>
      <x:c r="H1870" s="37" t="n">
        <x:v>-47090.49679330175</x:v>
      </x:c>
      <x:c r="I1870" s="37" t="n">
        <x:v>-2201671.552076027</x:v>
      </x:c>
      <x:c r="J1870" s="37" t="n">
        <x:v>8389353.89251081</x:v>
      </x:c>
      <x:c r="K1870" s="37" t="n">
        <x:v>10638115.94138014</x:v>
      </x:c>
      <x:c r="L1870" s="37" t="n">
        <x:v>11825364.547331449</x:v>
      </x:c>
      <x:c r="M1870" s="37" t="n">
        <x:v>0</x:v>
      </x:c>
      <x:c r="N1870" s="37" t="n">
        <x:v>0</x:v>
      </x:c>
      <x:c r="O1870" s="37" t="n">
        <x:v>771.1427645720541</x:v>
      </x:c>
      <x:c r="P1870" s="37" t="n">
        <x:v>0</x:v>
      </x:c>
      <x:c r="Q1870" s="37" t="n">
        <x:v>0</x:v>
      </x:c>
      <x:c r="R1870" s="37" t="n">
        <x:v>0</x:v>
      </x:c>
      <x:c r="S1870" s="37" t="n">
        <x:v>0</x:v>
      </x:c>
      <x:c r="T1870" s="37" t="n">
        <x:v>0</x:v>
      </x:c>
      <x:c r="U1870" s="37" t="n">
        <x:v>56970.44529747225</x:v>
      </x:c>
      <x:c r="V1870" s="37" t="n">
        <x:v>2000000</x:v>
      </x:c>
      <x:c r="W1870" s="37" t="n">
        <x:v>201359.01728415862</x:v>
      </x:c>
      <x:c r="X1870" s="37" t="n">
        <x:v>0</x:v>
      </x:c>
      <x:c r="Y1870" s="37" t="n">
        <x:v>2219.494920369951</x:v>
      </x:c>
      <x:c r="Z1870" s="37" t="n">
        <x:v>10850878.260207742</x:v>
      </x:c>
      <x:c r="AA1870" s="37" t="n">
        <x:v>0</x:v>
      </x:c>
      <x:c r="AB1870" s="37" t="n">
        <x:v>10850878.260207742</x:v>
      </x:c>
      <x:c r="AC1870" s="37" t="n">
        <x:v>3223248.3359930348</x:v>
      </x:c>
      <x:c r="AD1870" s="37" t="n">
        <x:v>0</x:v>
      </x:c>
      <x:c r="AE1870" s="37" t="n">
        <x:v>0</x:v>
      </x:c>
      <x:c r="AF1870" s="47" t="b">
        <x:v>0</x:v>
      </x:c>
      <x:c r="AG1870" s="47" t="b">
        <x:v>0</x:v>
      </x:c>
      <x:c r="AH1870" s="48" t="n">
        <x:v>0</x:v>
      </x:c>
      <x:c r="AI1870" s="48" t="n">
        <x:v>1.1920928955078125e-7</x:v>
      </x:c>
      <x:c r="AJ1870" s="37" t="str">
        <x:v>passed</x:v>
      </x:c>
    </x:row>
    <x:row r="1871" ht="21" customHeight="1">
      <x:c r="A1871" s="2"/>
      <x:c r="B1871" s="2"/>
      <x:c r="C1871" s="2" t="str">
        <x:v>2023</x:v>
      </x:c>
      <x:c r="D1871" s="5" t="n">
        <x:v>45243</x:v>
      </x:c>
      <x:c r="E1871" s="2" t="str">
        <x:v>unhedged</x:v>
      </x:c>
      <x:c r="F1871" s="37" t="n">
        <x:v>3349737.3049348183</x:v>
      </x:c>
      <x:c r="G1871" s="37" t="n">
        <x:v>8278772.480220443</x:v>
      </x:c>
      <x:c r="H1871" s="37" t="n">
        <x:v>19949.534161490683</x:v>
      </x:c>
      <x:c r="I1871" s="37" t="n">
        <x:v>8258822.946058952</x:v>
      </x:c>
      <x:c r="J1871" s="37" t="n">
        <x:v>8278772.480220443</x:v>
      </x:c>
      <x:c r="K1871" s="37" t="n">
        <x:v>0</x:v>
      </x:c>
      <x:c r="L1871" s="37" t="n">
        <x:v>11628509.785155261</x:v>
      </x:c>
      <x:c r="M1871" s="37" t="n">
        <x:v>0</x:v>
      </x:c>
      <x:c r="N1871" s="37" t="n">
        <x:v>0</x:v>
      </x:c>
      <x:c r="O1871" s="37" t="n">
        <x:v>550.5814099661075</x:v>
      </x:c>
      <x:c r="P1871" s="37" t="n">
        <x:v>0</x:v>
      </x:c>
      <x:c r="Q1871" s="37" t="n">
        <x:v>0</x:v>
      </x:c>
      <x:c r="R1871" s="37" t="n">
        <x:v>0</x:v>
      </x:c>
      <x:c r="S1871" s="37" t="n">
        <x:v>0</x:v>
      </x:c>
      <x:c r="T1871" s="37" t="n">
        <x:v>0</x:v>
      </x:c>
      <x:c r="U1871" s="37" t="n">
        <x:v>127500</x:v>
      </x:c>
      <x:c r="V1871" s="37" t="n">
        <x:v>2000000</x:v>
      </x:c>
      <x:c r="W1871" s="37" t="n">
        <x:v>23280.174276940525</x:v>
      </x:c>
      <x:c r="X1871" s="37" t="n">
        <x:v>0</x:v>
      </x:c>
      <x:c r="Y1871" s="37" t="n">
        <x:v>1042.869342122179</x:v>
      </x:c>
      <x:c r="Z1871" s="37" t="n">
        <x:v>0</x:v>
      </x:c>
      <x:c r="AA1871" s="37" t="n">
        <x:v>0</x:v>
      </x:c>
      <x:c r="AB1871" s="37" t="n">
        <x:v>0</x:v>
      </x:c>
      <x:c r="AC1871" s="37" t="n">
        <x:v>3349737.3049348183</x:v>
      </x:c>
      <x:c r="AD1871" s="37" t="n">
        <x:v>0</x:v>
      </x:c>
      <x:c r="AE1871" s="37" t="n">
        <x:v>0</x:v>
      </x:c>
      <x:c r="AF1871" s="47" t="b">
        <x:v>0</x:v>
      </x:c>
      <x:c r="AG1871" s="47" t="b">
        <x:v>0</x:v>
      </x:c>
      <x:c r="AH1871" s="48" t="n">
        <x:v>0</x:v>
      </x:c>
      <x:c r="AI1871" s="48" t="n">
        <x:v>5.960464477539063e-8</x:v>
      </x:c>
      <x:c r="AJ1871" s="37" t="str">
        <x:v>passed</x:v>
      </x:c>
    </x:row>
    <x:row r="1872" ht="21" customHeight="1">
      <x:c r="A1872" s="2"/>
      <x:c r="B1872" s="2"/>
      <x:c r="C1872" s="2" t="str">
        <x:v>2023</x:v>
      </x:c>
      <x:c r="D1872" s="5" t="n">
        <x:v>45243</x:v>
      </x:c>
      <x:c r="E1872" s="2" t="str">
        <x:v>duration</x:v>
      </x:c>
      <x:c r="F1872" s="37" t="n">
        <x:v>9683727.403150387</x:v>
      </x:c>
      <x:c r="G1872" s="37" t="n">
        <x:v>2251752.417271976</x:v>
      </x:c>
      <x:c r="H1872" s="37" t="n">
        <x:v>-32199.797297333276</x:v>
      </x:c>
      <x:c r="I1872" s="37" t="n">
        <x:v>2283952.2145693093</x:v>
      </x:c>
      <x:c r="J1872" s="37" t="n">
        <x:v>8278772.480220443</x:v>
      </x:c>
      <x:c r="K1872" s="37" t="n">
        <x:v>6027020.062948466</x:v>
      </x:c>
      <x:c r="L1872" s="37" t="n">
        <x:v>11935479.820422363</x:v>
      </x:c>
      <x:c r="M1872" s="37" t="n">
        <x:v>0</x:v>
      </x:c>
      <x:c r="N1872" s="37" t="n">
        <x:v>0</x:v>
      </x:c>
      <x:c r="O1872" s="37" t="n">
        <x:v>1591.6711676176637</x:v>
      </x:c>
      <x:c r="P1872" s="37" t="n">
        <x:v>0</x:v>
      </x:c>
      <x:c r="Q1872" s="37" t="n">
        <x:v>0</x:v>
      </x:c>
      <x:c r="R1872" s="37" t="n">
        <x:v>0</x:v>
      </x:c>
      <x:c r="S1872" s="37" t="n">
        <x:v>0</x:v>
      </x:c>
      <x:c r="T1872" s="37" t="n">
        <x:v>0</x:v>
      </x:c>
      <x:c r="U1872" s="37" t="n">
        <x:v>73667.381478397</x:v>
      </x:c>
      <x:c r="V1872" s="37" t="n">
        <x:v>2000000</x:v>
      </x:c>
      <x:c r="W1872" s="37" t="n">
        <x:v>133958.86206065957</x:v>
      </x:c>
      <x:c r="X1872" s="37" t="n">
        <x:v>0</x:v>
      </x:c>
      <x:c r="Y1872" s="37" t="n">
        <x:v>1740.677505458311</x:v>
      </x:c>
      <x:c r="Z1872" s="37" t="n">
        <x:v>6147560.464207436</x:v>
      </x:c>
      <x:c r="AA1872" s="37" t="n">
        <x:v>0</x:v>
      </x:c>
      <x:c r="AB1872" s="37" t="n">
        <x:v>6147560.464207436</x:v>
      </x:c>
      <x:c r="AC1872" s="37" t="n">
        <x:v>3536166.938942951</x:v>
      </x:c>
      <x:c r="AD1872" s="37" t="n">
        <x:v>0</x:v>
      </x:c>
      <x:c r="AE1872" s="37" t="n">
        <x:v>0</x:v>
      </x:c>
      <x:c r="AF1872" s="47" t="b">
        <x:v>0</x:v>
      </x:c>
      <x:c r="AG1872" s="47" t="b">
        <x:v>0</x:v>
      </x:c>
      <x:c r="AH1872" s="48" t="n">
        <x:v>0</x:v>
      </x:c>
      <x:c r="AI1872" s="48" t="n">
        <x:v>1.1920928955078125e-7</x:v>
      </x:c>
      <x:c r="AJ1872" s="37" t="str">
        <x:v>passed</x:v>
      </x:c>
    </x:row>
    <x:row r="1873" ht="21" customHeight="1">
      <x:c r="A1873" s="2"/>
      <x:c r="B1873" s="2"/>
      <x:c r="C1873" s="2" t="str">
        <x:v>2023</x:v>
      </x:c>
      <x:c r="D1873" s="5" t="n">
        <x:v>45243</x:v>
      </x:c>
      <x:c r="E1873" s="2" t="str">
        <x:v>unweighted</x:v>
      </x:c>
      <x:c r="F1873" s="37" t="n">
        <x:v>11964359.351659933</x:v>
      </x:c>
      <x:c r="G1873" s="37" t="n">
        <x:v>-115627.73422700417</x:v>
      </x:c>
      <x:c r="H1873" s="37" t="n">
        <x:v>-43425.72187827291</x:v>
      </x:c>
      <x:c r="I1873" s="37" t="n">
        <x:v>-72202.01234873125</x:v>
      </x:c>
      <x:c r="J1873" s="37" t="n">
        <x:v>8413992.063847108</x:v>
      </x:c>
      <x:c r="K1873" s="37" t="n">
        <x:v>8529619.798074111</x:v>
      </x:c>
      <x:c r="L1873" s="37" t="n">
        <x:v>11848731.61743293</x:v>
      </x:c>
      <x:c r="M1873" s="37" t="n">
        <x:v>0</x:v>
      </x:c>
      <x:c r="N1873" s="37" t="n">
        <x:v>0</x:v>
      </x:c>
      <x:c r="O1873" s="37" t="n">
        <x:v>1966.528489107266</x:v>
      </x:c>
      <x:c r="P1873" s="37" t="n">
        <x:v>0</x:v>
      </x:c>
      <x:c r="Q1873" s="37" t="n">
        <x:v>0</x:v>
      </x:c>
      <x:c r="R1873" s="37" t="n">
        <x:v>0</x:v>
      </x:c>
      <x:c r="S1873" s="37" t="n">
        <x:v>0</x:v>
      </x:c>
      <x:c r="T1873" s="37" t="n">
        <x:v>0</x:v>
      </x:c>
      <x:c r="U1873" s="37" t="n">
        <x:v>58055.80415342993</x:v>
      </x:c>
      <x:c r="V1873" s="37" t="n">
        <x:v>2000000</x:v>
      </x:c>
      <x:c r="W1873" s="37" t="n">
        <x:v>193436.34507228993</x:v>
      </x:c>
      <x:c r="X1873" s="37" t="n">
        <x:v>0</x:v>
      </x:c>
      <x:c r="Y1873" s="37" t="n">
        <x:v>2316.0970281288896</x:v>
      </x:c>
      <x:c r="Z1873" s="37" t="n">
        <x:v>8700212.194035593</x:v>
      </x:c>
      <x:c r="AA1873" s="37" t="n">
        <x:v>0</x:v>
      </x:c>
      <x:c r="AB1873" s="37" t="n">
        <x:v>8700212.194035593</x:v>
      </x:c>
      <x:c r="AC1873" s="37" t="n">
        <x:v>3264147.1576243397</x:v>
      </x:c>
      <x:c r="AD1873" s="37" t="n">
        <x:v>0</x:v>
      </x:c>
      <x:c r="AE1873" s="37" t="n">
        <x:v>0</x:v>
      </x:c>
      <x:c r="AF1873" s="47" t="b">
        <x:v>0</x:v>
      </x:c>
      <x:c r="AG1873" s="47" t="b">
        <x:v>0</x:v>
      </x:c>
      <x:c r="AH1873" s="48" t="n">
        <x:v>0</x:v>
      </x:c>
      <x:c r="AI1873" s="48" t="n">
        <x:v>1.1920928955078125e-7</x:v>
      </x:c>
      <x:c r="AJ1873" s="37" t="str">
        <x:v>passed</x:v>
      </x:c>
    </x:row>
    <x:row r="1874" ht="21" customHeight="1">
      <x:c r="A1874" s="2"/>
      <x:c r="B1874" s="2"/>
      <x:c r="C1874" s="2" t="str">
        <x:v>2023</x:v>
      </x:c>
      <x:c r="D1874" s="5" t="n">
        <x:v>45243</x:v>
      </x:c>
      <x:c r="E1874" s="2" t="str">
        <x:v>constrained</x:v>
      </x:c>
      <x:c r="F1874" s="37" t="n">
        <x:v>14076440.278030144</x:v>
      </x:c>
      <x:c r="G1874" s="37" t="n">
        <x:v>-2249804.1740704384</x:v>
      </x:c>
      <x:c r="H1874" s="37" t="n">
        <x:v>-47260.43061709752</x:v>
      </x:c>
      <x:c r="I1874" s="37" t="n">
        <x:v>-2202543.743453341</x:v>
      </x:c>
      <x:c r="J1874" s="37" t="n">
        <x:v>8388358.50455721</x:v>
      </x:c>
      <x:c r="K1874" s="37" t="n">
        <x:v>10638162.678627647</x:v>
      </x:c>
      <x:c r="L1874" s="37" t="n">
        <x:v>11826636.103959706</x:v>
      </x:c>
      <x:c r="M1874" s="37" t="n">
        <x:v>0</x:v>
      </x:c>
      <x:c r="N1874" s="37" t="n">
        <x:v>0</x:v>
      </x:c>
      <x:c r="O1874" s="37" t="n">
        <x:v>2313.681829366833</x:v>
      </x:c>
      <x:c r="P1874" s="37" t="n">
        <x:v>0</x:v>
      </x:c>
      <x:c r="Q1874" s="37" t="n">
        <x:v>0</x:v>
      </x:c>
      <x:c r="R1874" s="37" t="n">
        <x:v>0</x:v>
      </x:c>
      <x:c r="S1874" s="37" t="n">
        <x:v>0</x:v>
      </x:c>
      <x:c r="T1874" s="37" t="n">
        <x:v>0</x:v>
      </x:c>
      <x:c r="U1874" s="37" t="n">
        <x:v>56970.44529747225</x:v>
      </x:c>
      <x:c r="V1874" s="37" t="n">
        <x:v>2000000</x:v>
      </x:c>
      <x:c r="W1874" s="37" t="n">
        <x:v>203672.69911352545</x:v>
      </x:c>
      <x:c r="X1874" s="37" t="n">
        <x:v>0</x:v>
      </x:c>
      <x:c r="Y1874" s="37" t="n">
        <x:v>2219.494920369951</x:v>
      </x:c>
      <x:c r="Z1874" s="37" t="n">
        <x:v>10850925.9322002</x:v>
      </x:c>
      <x:c r="AA1874" s="37" t="n">
        <x:v>0</x:v>
      </x:c>
      <x:c r="AB1874" s="37" t="n">
        <x:v>10850925.9322002</x:v>
      </x:c>
      <x:c r="AC1874" s="37" t="n">
        <x:v>3225514.345829943</x:v>
      </x:c>
      <x:c r="AD1874" s="37" t="n">
        <x:v>0</x:v>
      </x:c>
      <x:c r="AE1874" s="37" t="n">
        <x:v>0</x:v>
      </x:c>
      <x:c r="AF1874" s="47" t="b">
        <x:v>0</x:v>
      </x:c>
      <x:c r="AG1874" s="47" t="b">
        <x:v>0</x:v>
      </x:c>
      <x:c r="AH1874" s="48" t="n">
        <x:v>0</x:v>
      </x:c>
      <x:c r="AI1874" s="48" t="n">
        <x:v>1.1920928955078125e-7</x:v>
      </x:c>
      <x:c r="AJ1874" s="37" t="str">
        <x:v>passed</x:v>
      </x:c>
    </x:row>
    <x:row r="1875" ht="21" customHeight="1">
      <x:c r="A1875" s="2"/>
      <x:c r="B1875" s="2"/>
      <x:c r="C1875" s="2" t="str">
        <x:v>2023</x:v>
      </x:c>
      <x:c r="D1875" s="5" t="n">
        <x:v>45244</x:v>
      </x:c>
      <x:c r="E1875" s="2" t="str">
        <x:v>unhedged</x:v>
      </x:c>
      <x:c r="F1875" s="37" t="n">
        <x:v>3349920.8521844046</x:v>
      </x:c>
      <x:c r="G1875" s="37" t="n">
        <x:v>8384951.159199087</x:v>
      </x:c>
      <x:c r="H1875" s="37" t="n">
        <x:v>20276.964882943146</x:v>
      </x:c>
      <x:c r="I1875" s="37" t="n">
        <x:v>8364674.194316144</x:v>
      </x:c>
      <x:c r="J1875" s="37" t="n">
        <x:v>8384951.159199087</x:v>
      </x:c>
      <x:c r="K1875" s="37" t="n">
        <x:v>0</x:v>
      </x:c>
      <x:c r="L1875" s="37" t="n">
        <x:v>11734872.011383492</x:v>
      </x:c>
      <x:c r="M1875" s="37" t="n">
        <x:v>0</x:v>
      </x:c>
      <x:c r="N1875" s="37" t="n">
        <x:v>0</x:v>
      </x:c>
      <x:c r="O1875" s="37" t="n">
        <x:v>183.5472495863214</x:v>
      </x:c>
      <x:c r="P1875" s="37" t="n">
        <x:v>0</x:v>
      </x:c>
      <x:c r="Q1875" s="37" t="n">
        <x:v>0</x:v>
      </x:c>
      <x:c r="R1875" s="37" t="n">
        <x:v>0</x:v>
      </x:c>
      <x:c r="S1875" s="37" t="n">
        <x:v>0</x:v>
      </x:c>
      <x:c r="T1875" s="37" t="n">
        <x:v>0</x:v>
      </x:c>
      <x:c r="U1875" s="37" t="n">
        <x:v>127500</x:v>
      </x:c>
      <x:c r="V1875" s="37" t="n">
        <x:v>2000000</x:v>
      </x:c>
      <x:c r="W1875" s="37" t="n">
        <x:v>23463.721526526846</x:v>
      </x:c>
      <x:c r="X1875" s="37" t="n">
        <x:v>0</x:v>
      </x:c>
      <x:c r="Y1875" s="37" t="n">
        <x:v>1042.869342122179</x:v>
      </x:c>
      <x:c r="Z1875" s="37" t="n">
        <x:v>0</x:v>
      </x:c>
      <x:c r="AA1875" s="37" t="n">
        <x:v>0</x:v>
      </x:c>
      <x:c r="AB1875" s="37" t="n">
        <x:v>0</x:v>
      </x:c>
      <x:c r="AC1875" s="37" t="n">
        <x:v>3349920.8521844046</x:v>
      </x:c>
      <x:c r="AD1875" s="37" t="n">
        <x:v>0</x:v>
      </x:c>
      <x:c r="AE1875" s="37" t="n">
        <x:v>0</x:v>
      </x:c>
      <x:c r="AF1875" s="47" t="b">
        <x:v>0</x:v>
      </x:c>
      <x:c r="AG1875" s="47" t="b">
        <x:v>0</x:v>
      </x:c>
      <x:c r="AH1875" s="48" t="n">
        <x:v>0</x:v>
      </x:c>
      <x:c r="AI1875" s="48" t="n">
        <x:v>5.960464477539063e-8</x:v>
      </x:c>
      <x:c r="AJ1875" s="37" t="str">
        <x:v>passed</x:v>
      </x:c>
    </x:row>
    <x:row r="1876" ht="21" customHeight="1">
      <x:c r="A1876" s="2"/>
      <x:c r="B1876" s="2"/>
      <x:c r="C1876" s="2" t="str">
        <x:v>2023</x:v>
      </x:c>
      <x:c r="D1876" s="5" t="n">
        <x:v>45244</x:v>
      </x:c>
      <x:c r="E1876" s="2" t="str">
        <x:v>duration</x:v>
      </x:c>
      <x:c r="F1876" s="37" t="n">
        <x:v>9684258.01835056</x:v>
      </x:c>
      <x:c r="G1876" s="37" t="n">
        <x:v>2250665.049989168</x:v>
      </x:c>
      <x:c r="H1876" s="37" t="n">
        <x:v>-32158.901364116115</x:v>
      </x:c>
      <x:c r="I1876" s="37" t="n">
        <x:v>2282823.951353284</x:v>
      </x:c>
      <x:c r="J1876" s="37" t="n">
        <x:v>8384951.159199087</x:v>
      </x:c>
      <x:c r="K1876" s="37" t="n">
        <x:v>6134286.109209918</x:v>
      </x:c>
      <x:c r="L1876" s="37" t="n">
        <x:v>11934923.068339728</x:v>
      </x:c>
      <x:c r="M1876" s="37" t="n">
        <x:v>0</x:v>
      </x:c>
      <x:c r="N1876" s="37" t="n">
        <x:v>0</x:v>
      </x:c>
      <x:c r="O1876" s="37" t="n">
        <x:v>530.6152001731098</x:v>
      </x:c>
      <x:c r="P1876" s="37" t="n">
        <x:v>0</x:v>
      </x:c>
      <x:c r="Q1876" s="37" t="n">
        <x:v>0</x:v>
      </x:c>
      <x:c r="R1876" s="37" t="n">
        <x:v>0</x:v>
      </x:c>
      <x:c r="S1876" s="37" t="n">
        <x:v>0</x:v>
      </x:c>
      <x:c r="T1876" s="37" t="n">
        <x:v>0</x:v>
      </x:c>
      <x:c r="U1876" s="37" t="n">
        <x:v>73667.381478397</x:v>
      </x:c>
      <x:c r="V1876" s="37" t="n">
        <x:v>2000000</x:v>
      </x:c>
      <x:c r="W1876" s="37" t="n">
        <x:v>134489.47726083267</x:v>
      </x:c>
      <x:c r="X1876" s="37" t="n">
        <x:v>0</x:v>
      </x:c>
      <x:c r="Y1876" s="37" t="n">
        <x:v>1740.677505458311</x:v>
      </x:c>
      <x:c r="Z1876" s="37" t="n">
        <x:v>6256971.831394117</x:v>
      </x:c>
      <x:c r="AA1876" s="37" t="n">
        <x:v>0</x:v>
      </x:c>
      <x:c r="AB1876" s="37" t="n">
        <x:v>6256971.831394117</x:v>
      </x:c>
      <x:c r="AC1876" s="37" t="n">
        <x:v>3427286.186956443</x:v>
      </x:c>
      <x:c r="AD1876" s="37" t="n">
        <x:v>0</x:v>
      </x:c>
      <x:c r="AE1876" s="37" t="n">
        <x:v>0</x:v>
      </x:c>
      <x:c r="AF1876" s="47" t="b">
        <x:v>0</x:v>
      </x:c>
      <x:c r="AG1876" s="47" t="b">
        <x:v>0</x:v>
      </x:c>
      <x:c r="AH1876" s="48" t="n">
        <x:v>0</x:v>
      </x:c>
      <x:c r="AI1876" s="48" t="n">
        <x:v>1.1920928955078125e-7</x:v>
      </x:c>
      <x:c r="AJ1876" s="37" t="str">
        <x:v>passed</x:v>
      </x:c>
    </x:row>
    <x:row r="1877" ht="21" customHeight="1">
      <x:c r="A1877" s="2"/>
      <x:c r="B1877" s="2"/>
      <x:c r="C1877" s="2" t="str">
        <x:v>2023</x:v>
      </x:c>
      <x:c r="D1877" s="5" t="n">
        <x:v>45244</x:v>
      </x:c>
      <x:c r="E1877" s="2" t="str">
        <x:v>unweighted</x:v>
      </x:c>
      <x:c r="F1877" s="37" t="n">
        <x:v>11965014.932994273</x:v>
      </x:c>
      <x:c r="G1877" s="37" t="n">
        <x:v>-118505.0798709016</x:v>
      </x:c>
      <x:c r="H1877" s="37" t="n">
        <x:v>-43458.622574321605</x:v>
      </x:c>
      <x:c r="I1877" s="37" t="n">
        <x:v>-75046.45729657999</x:v>
      </x:c>
      <x:c r="J1877" s="37" t="n">
        <x:v>8522328.620676061</x:v>
      </x:c>
      <x:c r="K1877" s="37" t="n">
        <x:v>8640833.700546963</x:v>
      </x:c>
      <x:c r="L1877" s="37" t="n">
        <x:v>11846509.85312337</x:v>
      </x:c>
      <x:c r="M1877" s="37" t="n">
        <x:v>0</x:v>
      </x:c>
      <x:c r="N1877" s="37" t="n">
        <x:v>0</x:v>
      </x:c>
      <x:c r="O1877" s="37" t="n">
        <x:v>655.5813343394548</x:v>
      </x:c>
      <x:c r="P1877" s="37" t="n">
        <x:v>0</x:v>
      </x:c>
      <x:c r="Q1877" s="37" t="n">
        <x:v>0</x:v>
      </x:c>
      <x:c r="R1877" s="37" t="n">
        <x:v>0</x:v>
      </x:c>
      <x:c r="S1877" s="37" t="n">
        <x:v>0</x:v>
      </x:c>
      <x:c r="T1877" s="37" t="n">
        <x:v>0</x:v>
      </x:c>
      <x:c r="U1877" s="37" t="n">
        <x:v>58055.80415342993</x:v>
      </x:c>
      <x:c r="V1877" s="37" t="n">
        <x:v>2000000</x:v>
      </x:c>
      <x:c r="W1877" s="37" t="n">
        <x:v>194091.92640662938</x:v>
      </x:c>
      <x:c r="X1877" s="37" t="n">
        <x:v>0</x:v>
      </x:c>
      <x:c r="Y1877" s="37" t="n">
        <x:v>2316.0970281288896</x:v>
      </x:c>
      <x:c r="Z1877" s="37" t="n">
        <x:v>8813650.374557903</x:v>
      </x:c>
      <x:c r="AA1877" s="37" t="n">
        <x:v>0</x:v>
      </x:c>
      <x:c r="AB1877" s="37" t="n">
        <x:v>8813650.374557903</x:v>
      </x:c>
      <x:c r="AC1877" s="37" t="n">
        <x:v>3151364.5584363695</x:v>
      </x:c>
      <x:c r="AD1877" s="37" t="n">
        <x:v>0</x:v>
      </x:c>
      <x:c r="AE1877" s="37" t="n">
        <x:v>0</x:v>
      </x:c>
      <x:c r="AF1877" s="47" t="b">
        <x:v>0</x:v>
      </x:c>
      <x:c r="AG1877" s="47" t="b">
        <x:v>0</x:v>
      </x:c>
      <x:c r="AH1877" s="48" t="n">
        <x:v>0</x:v>
      </x:c>
      <x:c r="AI1877" s="48" t="n">
        <x:v>1.1920928955078125e-7</x:v>
      </x:c>
      <x:c r="AJ1877" s="37" t="str">
        <x:v>passed</x:v>
      </x:c>
    </x:row>
    <x:row r="1878" ht="21" customHeight="1">
      <x:c r="A1878" s="2"/>
      <x:c r="B1878" s="2"/>
      <x:c r="C1878" s="2" t="str">
        <x:v>2023</x:v>
      </x:c>
      <x:c r="D1878" s="5" t="n">
        <x:v>45244</x:v>
      </x:c>
      <x:c r="E1878" s="2" t="str">
        <x:v>constrained</x:v>
      </x:c>
      <x:c r="F1878" s="37" t="n">
        <x:v>14077211.589826204</x:v>
      </x:c>
      <x:c r="G1878" s="37" t="n">
        <x:v>-2249562.6636287854</x:v>
      </x:c>
      <x:c r="H1878" s="37" t="n">
        <x:v>-47317.07522502944</x:v>
      </x:c>
      <x:c r="I1878" s="37" t="n">
        <x:v>-2202245.588403756</x:v>
      </x:c>
      <x:c r="J1878" s="37" t="n">
        <x:v>8496782.304736093</x:v>
      </x:c>
      <x:c r="K1878" s="37" t="n">
        <x:v>10746344.968364878</x:v>
      </x:c>
      <x:c r="L1878" s="37" t="n">
        <x:v>11827648.926197419</x:v>
      </x:c>
      <x:c r="M1878" s="37" t="n">
        <x:v>0</x:v>
      </x:c>
      <x:c r="N1878" s="37" t="n">
        <x:v>0</x:v>
      </x:c>
      <x:c r="O1878" s="37" t="n">
        <x:v>771.311796059832</x:v>
      </x:c>
      <x:c r="P1878" s="37" t="n">
        <x:v>0</x:v>
      </x:c>
      <x:c r="Q1878" s="37" t="n">
        <x:v>0</x:v>
      </x:c>
      <x:c r="R1878" s="37" t="n">
        <x:v>0</x:v>
      </x:c>
      <x:c r="S1878" s="37" t="n">
        <x:v>0</x:v>
      </x:c>
      <x:c r="T1878" s="37" t="n">
        <x:v>0</x:v>
      </x:c>
      <x:c r="U1878" s="37" t="n">
        <x:v>56970.44529747225</x:v>
      </x:c>
      <x:c r="V1878" s="37" t="n">
        <x:v>2000000</x:v>
      </x:c>
      <x:c r="W1878" s="37" t="n">
        <x:v>204444.01090958528</x:v>
      </x:c>
      <x:c r="X1878" s="37" t="n">
        <x:v>0</x:v>
      </x:c>
      <x:c r="Y1878" s="37" t="n">
        <x:v>2219.494920369951</x:v>
      </x:c>
      <x:c r="Z1878" s="37" t="n">
        <x:v>10961271.867732175</x:v>
      </x:c>
      <x:c r="AA1878" s="37" t="n">
        <x:v>0</x:v>
      </x:c>
      <x:c r="AB1878" s="37" t="n">
        <x:v>10961271.867732175</x:v>
      </x:c>
      <x:c r="AC1878" s="37" t="n">
        <x:v>3115939.722094029</x:v>
      </x:c>
      <x:c r="AD1878" s="37" t="n">
        <x:v>0</x:v>
      </x:c>
      <x:c r="AE1878" s="37" t="n">
        <x:v>0</x:v>
      </x:c>
      <x:c r="AF1878" s="47" t="b">
        <x:v>0</x:v>
      </x:c>
      <x:c r="AG1878" s="47" t="b">
        <x:v>0</x:v>
      </x:c>
      <x:c r="AH1878" s="48" t="n">
        <x:v>0</x:v>
      </x:c>
      <x:c r="AI1878" s="48" t="n">
        <x:v>1.1920928955078125e-7</x:v>
      </x:c>
      <x:c r="AJ1878" s="37" t="str">
        <x:v>passed</x:v>
      </x:c>
    </x:row>
    <x:row r="1879" ht="21" customHeight="1">
      <x:c r="A1879" s="2"/>
      <x:c r="B1879" s="2"/>
      <x:c r="C1879" s="2" t="str">
        <x:v>2023</x:v>
      </x:c>
      <x:c r="D1879" s="5" t="n">
        <x:v>45245</x:v>
      </x:c>
      <x:c r="E1879" s="2" t="str">
        <x:v>unhedged</x:v>
      </x:c>
      <x:c r="F1879" s="37" t="n">
        <x:v>3350104.4094913737</x:v>
      </x:c>
      <x:c r="G1879" s="37" t="n">
        <x:v>8345772.465452205</x:v>
      </x:c>
      <x:c r="H1879" s="37" t="n">
        <x:v>20604.395604395606</x:v>
      </x:c>
      <x:c r="I1879" s="37" t="n">
        <x:v>8325168.06984781</x:v>
      </x:c>
      <x:c r="J1879" s="37" t="n">
        <x:v>8345772.465452205</x:v>
      </x:c>
      <x:c r="K1879" s="37" t="n">
        <x:v>0</x:v>
      </x:c>
      <x:c r="L1879" s="37" t="n">
        <x:v>11695876.874943579</x:v>
      </x:c>
      <x:c r="M1879" s="37" t="n">
        <x:v>0</x:v>
      </x:c>
      <x:c r="N1879" s="37" t="n">
        <x:v>0</x:v>
      </x:c>
      <x:c r="O1879" s="37" t="n">
        <x:v>183.55730696907267</x:v>
      </x:c>
      <x:c r="P1879" s="37" t="n">
        <x:v>0</x:v>
      </x:c>
      <x:c r="Q1879" s="37" t="n">
        <x:v>0</x:v>
      </x:c>
      <x:c r="R1879" s="37" t="n">
        <x:v>0</x:v>
      </x:c>
      <x:c r="S1879" s="37" t="n">
        <x:v>0</x:v>
      </x:c>
      <x:c r="T1879" s="37" t="n">
        <x:v>0</x:v>
      </x:c>
      <x:c r="U1879" s="37" t="n">
        <x:v>127500</x:v>
      </x:c>
      <x:c r="V1879" s="37" t="n">
        <x:v>2000000</x:v>
      </x:c>
      <x:c r="W1879" s="37" t="n">
        <x:v>23647.27883349592</x:v>
      </x:c>
      <x:c r="X1879" s="37" t="n">
        <x:v>0</x:v>
      </x:c>
      <x:c r="Y1879" s="37" t="n">
        <x:v>1042.869342122179</x:v>
      </x:c>
      <x:c r="Z1879" s="37" t="n">
        <x:v>0</x:v>
      </x:c>
      <x:c r="AA1879" s="37" t="n">
        <x:v>0</x:v>
      </x:c>
      <x:c r="AB1879" s="37" t="n">
        <x:v>0</x:v>
      </x:c>
      <x:c r="AC1879" s="37" t="n">
        <x:v>3350104.4094913737</x:v>
      </x:c>
      <x:c r="AD1879" s="37" t="n">
        <x:v>0</x:v>
      </x:c>
      <x:c r="AE1879" s="37" t="n">
        <x:v>0</x:v>
      </x:c>
      <x:c r="AF1879" s="47" t="b">
        <x:v>0</x:v>
      </x:c>
      <x:c r="AG1879" s="47" t="b">
        <x:v>0</x:v>
      </x:c>
      <x:c r="AH1879" s="48" t="n">
        <x:v>0</x:v>
      </x:c>
      <x:c r="AI1879" s="48" t="n">
        <x:v>5.960464477539063e-8</x:v>
      </x:c>
      <x:c r="AJ1879" s="37" t="str">
        <x:v>passed</x:v>
      </x:c>
    </x:row>
    <x:row r="1880" ht="21" customHeight="1">
      <x:c r="A1880" s="2"/>
      <x:c r="B1880" s="2"/>
      <x:c r="C1880" s="2" t="str">
        <x:v>2023</x:v>
      </x:c>
      <x:c r="D1880" s="5" t="n">
        <x:v>45245</x:v>
      </x:c>
      <x:c r="E1880" s="2" t="str">
        <x:v>duration</x:v>
      </x:c>
      <x:c r="F1880" s="37" t="n">
        <x:v>9632066.261590246</x:v>
      </x:c>
      <x:c r="G1880" s="37" t="n">
        <x:v>2300560.2523062252</x:v>
      </x:c>
      <x:c r="H1880" s="37" t="n">
        <x:v>20604.395604395606</x:v>
      </x:c>
      <x:c r="I1880" s="37" t="n">
        <x:v>2279955.8567018295</x:v>
      </x:c>
      <x:c r="J1880" s="37" t="n">
        <x:v>8345772.465452205</x:v>
      </x:c>
      <x:c r="K1880" s="37" t="n">
        <x:v>6045212.213145981</x:v>
      </x:c>
      <x:c r="L1880" s="37" t="n">
        <x:v>11932626.51389647</x:v>
      </x:c>
      <x:c r="M1880" s="37" t="n">
        <x:v>-52722.401035294555</x:v>
      </x:c>
      <x:c r="N1880" s="37" t="n">
        <x:v>0</x:v>
      </x:c>
      <x:c r="O1880" s="37" t="n">
        <x:v>530.6442749798298</x:v>
      </x:c>
      <x:c r="P1880" s="37" t="n">
        <x:v>0</x:v>
      </x:c>
      <x:c r="Q1880" s="37" t="n">
        <x:v>0</x:v>
      </x:c>
      <x:c r="R1880" s="37" t="n">
        <x:v>0</x:v>
      </x:c>
      <x:c r="S1880" s="37" t="n">
        <x:v>0</x:v>
      </x:c>
      <x:c r="T1880" s="37" t="n">
        <x:v>0</x:v>
      </x:c>
      <x:c r="U1880" s="37" t="n">
        <x:v>20944.980443102446</x:v>
      </x:c>
      <x:c r="V1880" s="37" t="n">
        <x:v>2000000</x:v>
      </x:c>
      <x:c r="W1880" s="37" t="n">
        <x:v>135020.1215358125</x:v>
      </x:c>
      <x:c r="X1880" s="37" t="n">
        <x:v>0</x:v>
      </x:c>
      <x:c r="Y1880" s="37" t="n">
        <x:v>1740.677505458311</x:v>
      </x:c>
      <x:c r="Z1880" s="37" t="n">
        <x:v>6166116.4574089</x:v>
      </x:c>
      <x:c r="AA1880" s="37" t="n">
        <x:v>0</x:v>
      </x:c>
      <x:c r="AB1880" s="37" t="n">
        <x:v>6166116.4574089</x:v>
      </x:c>
      <x:c r="AC1880" s="37" t="n">
        <x:v>3465949.8041813457</x:v>
      </x:c>
      <x:c r="AD1880" s="37" t="n">
        <x:v>0</x:v>
      </x:c>
      <x:c r="AE1880" s="37" t="n">
        <x:v>0</x:v>
      </x:c>
      <x:c r="AF1880" s="47" t="b">
        <x:v>0</x:v>
      </x:c>
      <x:c r="AG1880" s="47" t="b">
        <x:v>0</x:v>
      </x:c>
      <x:c r="AH1880" s="48" t="n">
        <x:v>6.184563972055912e-10</x:v>
      </x:c>
      <x:c r="AI1880" s="48" t="n">
        <x:v>1.1920928955078125e-7</x:v>
      </x:c>
      <x:c r="AJ1880" s="37" t="str">
        <x:v>passed</x:v>
      </x:c>
    </x:row>
    <x:row r="1881" ht="21" customHeight="1">
      <x:c r="A1881" s="2"/>
      <x:c r="B1881" s="2"/>
      <x:c r="C1881" s="2" t="str">
        <x:v>2023</x:v>
      </x:c>
      <x:c r="D1881" s="5" t="n">
        <x:v>45245</x:v>
      </x:c>
      <x:c r="E1881" s="2" t="str">
        <x:v>unweighted</x:v>
      </x:c>
      <x:c r="F1881" s="37" t="n">
        <x:v>11924727.781803295</x:v>
      </x:c>
      <x:c r="G1881" s="37" t="n">
        <x:v>-76962.86839372005</x:v>
      </x:c>
      <x:c r="H1881" s="37" t="n">
        <x:v>-2548.7548227888597</x:v>
      </x:c>
      <x:c r="I1881" s="37" t="n">
        <x:v>-74414.1135709312</x:v>
      </x:c>
      <x:c r="J1881" s="37" t="n">
        <x:v>8480146.361529179</x:v>
      </x:c>
      <x:c r="K1881" s="37" t="n">
        <x:v>8557109.2299229</x:v>
      </x:c>
      <x:c r="L1881" s="37" t="n">
        <x:v>11847764.913409576</x:v>
      </x:c>
      <x:c r="M1881" s="37" t="n">
        <x:v>-40942.76844758143</x:v>
      </x:c>
      <x:c r="N1881" s="37" t="n">
        <x:v>0</x:v>
      </x:c>
      <x:c r="O1881" s="37" t="n">
        <x:v>655.617256604135</x:v>
      </x:c>
      <x:c r="P1881" s="37" t="n">
        <x:v>0</x:v>
      </x:c>
      <x:c r="Q1881" s="37" t="n">
        <x:v>0</x:v>
      </x:c>
      <x:c r="R1881" s="37" t="n">
        <x:v>0</x:v>
      </x:c>
      <x:c r="S1881" s="37" t="n">
        <x:v>0</x:v>
      </x:c>
      <x:c r="T1881" s="37" t="n">
        <x:v>0</x:v>
      </x:c>
      <x:c r="U1881" s="37" t="n">
        <x:v>17113.035705848495</x:v>
      </x:c>
      <x:c r="V1881" s="37" t="n">
        <x:v>2000000</x:v>
      </x:c>
      <x:c r="W1881" s="37" t="n">
        <x:v>194747.54366323352</x:v>
      </x:c>
      <x:c r="X1881" s="37" t="n">
        <x:v>0</x:v>
      </x:c>
      <x:c r="Y1881" s="37" t="n">
        <x:v>2316.0970281288896</x:v>
      </x:c>
      <x:c r="Z1881" s="37" t="n">
        <x:v>8728251.414521359</x:v>
      </x:c>
      <x:c r="AA1881" s="37" t="n">
        <x:v>0</x:v>
      </x:c>
      <x:c r="AB1881" s="37" t="n">
        <x:v>8728251.414521359</x:v>
      </x:c>
      <x:c r="AC1881" s="37" t="n">
        <x:v>3196476.367281936</x:v>
      </x:c>
      <x:c r="AD1881" s="37" t="n">
        <x:v>0</x:v>
      </x:c>
      <x:c r="AE1881" s="37" t="n">
        <x:v>0</x:v>
      </x:c>
      <x:c r="AF1881" s="47" t="b">
        <x:v>0</x:v>
      </x:c>
      <x:c r="AG1881" s="47" t="b">
        <x:v>0</x:v>
      </x:c>
      <x:c r="AH1881" s="48" t="n">
        <x:v>-2.473825588822365e-10</x:v>
      </x:c>
      <x:c r="AI1881" s="48" t="n">
        <x:v>1.1920928955078125e-7</x:v>
      </x:c>
      <x:c r="AJ1881" s="37" t="str">
        <x:v>passed</x:v>
      </x:c>
    </x:row>
    <x:row r="1882" ht="21" customHeight="1">
      <x:c r="A1882" s="2"/>
      <x:c r="B1882" s="2"/>
      <x:c r="C1882" s="2" t="str">
        <x:v>2023</x:v>
      </x:c>
      <x:c r="D1882" s="5" t="n">
        <x:v>45245</x:v>
      </x:c>
      <x:c r="E1882" s="2" t="str">
        <x:v>constrained</x:v>
      </x:c>
      <x:c r="F1882" s="37" t="n">
        <x:v>14038268.152726948</x:v>
      </x:c>
      <x:c r="G1882" s="37" t="n">
        <x:v>-2210484.391769388</x:v>
      </x:c>
      <x:c r="H1882" s="37" t="n">
        <x:v>-7658.928673987615</x:v>
      </x:c>
      <x:c r="I1882" s="37" t="n">
        <x:v>-2202825.4630954005</x:v>
      </x:c>
      <x:c r="J1882" s="37" t="n">
        <x:v>8454727.351603227</x:v>
      </x:c>
      <x:c r="K1882" s="37" t="n">
        <x:v>10665211.743372615</x:v>
      </x:c>
      <x:c r="L1882" s="37" t="n">
        <x:v>11827783.76095756</x:v>
      </x:c>
      <x:c r="M1882" s="37" t="n">
        <x:v>-39714.79115897375</x:v>
      </x:c>
      <x:c r="N1882" s="37" t="n">
        <x:v>0</x:v>
      </x:c>
      <x:c r="O1882" s="37" t="n">
        <x:v>771.3540597185493</x:v>
      </x:c>
      <x:c r="P1882" s="37" t="n">
        <x:v>0</x:v>
      </x:c>
      <x:c r="Q1882" s="37" t="n">
        <x:v>0</x:v>
      </x:c>
      <x:c r="R1882" s="37" t="n">
        <x:v>0</x:v>
      </x:c>
      <x:c r="S1882" s="37" t="n">
        <x:v>0</x:v>
      </x:c>
      <x:c r="T1882" s="37" t="n">
        <x:v>0</x:v>
      </x:c>
      <x:c r="U1882" s="37" t="n">
        <x:v>17255.654138498503</x:v>
      </x:c>
      <x:c r="V1882" s="37" t="n">
        <x:v>2000000</x:v>
      </x:c>
      <x:c r="W1882" s="37" t="n">
        <x:v>205215.36496930383</x:v>
      </x:c>
      <x:c r="X1882" s="37" t="n">
        <x:v>0</x:v>
      </x:c>
      <x:c r="Y1882" s="37" t="n">
        <x:v>2219.494920369951</x:v>
      </x:c>
      <x:c r="Z1882" s="37" t="n">
        <x:v>10878515.978240067</x:v>
      </x:c>
      <x:c r="AA1882" s="37" t="n">
        <x:v>0</x:v>
      </x:c>
      <x:c r="AB1882" s="37" t="n">
        <x:v>10878515.978240067</x:v>
      </x:c>
      <x:c r="AC1882" s="37" t="n">
        <x:v>3159752.174486881</x:v>
      </x:c>
      <x:c r="AD1882" s="37" t="n">
        <x:v>0</x:v>
      </x:c>
      <x:c r="AE1882" s="37" t="n">
        <x:v>0</x:v>
      </x:c>
      <x:c r="AF1882" s="47" t="b">
        <x:v>0</x:v>
      </x:c>
      <x:c r="AG1882" s="47" t="b">
        <x:v>0</x:v>
      </x:c>
      <x:c r="AH1882" s="48" t="n">
        <x:v>-4.220055416226387e-10</x:v>
      </x:c>
      <x:c r="AI1882" s="48" t="n">
        <x:v>1.1920928955078125e-7</x:v>
      </x:c>
      <x:c r="AJ1882" s="37" t="str">
        <x:v>passed</x:v>
      </x:c>
    </x:row>
    <x:row r="1883" ht="21" customHeight="1">
      <x:c r="A1883" s="2"/>
      <x:c r="B1883" s="2"/>
      <x:c r="C1883" s="2" t="str">
        <x:v>2023</x:v>
      </x:c>
      <x:c r="D1883" s="5" t="n">
        <x:v>45246</x:v>
      </x:c>
      <x:c r="E1883" s="2" t="str">
        <x:v>unhedged</x:v>
      </x:c>
      <x:c r="F1883" s="37" t="n">
        <x:v>3350287.9768562773</x:v>
      </x:c>
      <x:c r="G1883" s="37" t="n">
        <x:v>8383043.451440554</x:v>
      </x:c>
      <x:c r="H1883" s="37" t="n">
        <x:v>20931.826325848062</x:v>
      </x:c>
      <x:c r="I1883" s="37" t="n">
        <x:v>8362111.625114706</x:v>
      </x:c>
      <x:c r="J1883" s="37" t="n">
        <x:v>8383043.451440554</x:v>
      </x:c>
      <x:c r="K1883" s="37" t="n">
        <x:v>0</x:v>
      </x:c>
      <x:c r="L1883" s="37" t="n">
        <x:v>11733331.42829683</x:v>
      </x:c>
      <x:c r="M1883" s="37" t="n">
        <x:v>0</x:v>
      </x:c>
      <x:c r="N1883" s="37" t="n">
        <x:v>0</x:v>
      </x:c>
      <x:c r="O1883" s="37" t="n">
        <x:v>183.56736490363255</x:v>
      </x:c>
      <x:c r="P1883" s="37" t="n">
        <x:v>0</x:v>
      </x:c>
      <x:c r="Q1883" s="37" t="n">
        <x:v>0</x:v>
      </x:c>
      <x:c r="R1883" s="37" t="n">
        <x:v>0</x:v>
      </x:c>
      <x:c r="S1883" s="37" t="n">
        <x:v>0</x:v>
      </x:c>
      <x:c r="T1883" s="37" t="n">
        <x:v>0</x:v>
      </x:c>
      <x:c r="U1883" s="37" t="n">
        <x:v>127500</x:v>
      </x:c>
      <x:c r="V1883" s="37" t="n">
        <x:v>2000000</x:v>
      </x:c>
      <x:c r="W1883" s="37" t="n">
        <x:v>23830.84619839955</x:v>
      </x:c>
      <x:c r="X1883" s="37" t="n">
        <x:v>0</x:v>
      </x:c>
      <x:c r="Y1883" s="37" t="n">
        <x:v>1042.869342122179</x:v>
      </x:c>
      <x:c r="Z1883" s="37" t="n">
        <x:v>0</x:v>
      </x:c>
      <x:c r="AA1883" s="37" t="n">
        <x:v>0</x:v>
      </x:c>
      <x:c r="AB1883" s="37" t="n">
        <x:v>0</x:v>
      </x:c>
      <x:c r="AC1883" s="37" t="n">
        <x:v>3350287.9768562773</x:v>
      </x:c>
      <x:c r="AD1883" s="37" t="n">
        <x:v>0</x:v>
      </x:c>
      <x:c r="AE1883" s="37" t="n">
        <x:v>0</x:v>
      </x:c>
      <x:c r="AF1883" s="47" t="b">
        <x:v>0</x:v>
      </x:c>
      <x:c r="AG1883" s="47" t="b">
        <x:v>0</x:v>
      </x:c>
      <x:c r="AH1883" s="48" t="n">
        <x:v>0</x:v>
      </x:c>
      <x:c r="AI1883" s="48" t="n">
        <x:v>5.960464477539063e-8</x:v>
      </x:c>
      <x:c r="AJ1883" s="37" t="str">
        <x:v>passed</x:v>
      </x:c>
    </x:row>
    <x:row r="1884" ht="21" customHeight="1">
      <x:c r="A1884" s="2"/>
      <x:c r="B1884" s="2"/>
      <x:c r="C1884" s="2" t="str">
        <x:v>2023</x:v>
      </x:c>
      <x:c r="D1884" s="5" t="n">
        <x:v>45246</x:v>
      </x:c>
      <x:c r="E1884" s="2" t="str">
        <x:v>duration</x:v>
      </x:c>
      <x:c r="F1884" s="37" t="n">
        <x:v>9632594.046042936</x:v>
      </x:c>
      <x:c r="G1884" s="37" t="n">
        <x:v>2302065.709144224</x:v>
      </x:c>
      <x:c r="H1884" s="37" t="n">
        <x:v>20642.142803676114</x:v>
      </x:c>
      <x:c r="I1884" s="37" t="n">
        <x:v>2281423.566340548</x:v>
      </x:c>
      <x:c r="J1884" s="37" t="n">
        <x:v>8383043.451440554</x:v>
      </x:c>
      <x:c r="K1884" s="37" t="n">
        <x:v>6080977.74229633</x:v>
      </x:c>
      <x:c r="L1884" s="37" t="n">
        <x:v>11934659.75518716</x:v>
      </x:c>
      <x:c r="M1884" s="37" t="n">
        <x:v>0</x:v>
      </x:c>
      <x:c r="N1884" s="37" t="n">
        <x:v>0</x:v>
      </x:c>
      <x:c r="O1884" s="37" t="n">
        <x:v>527.7844526898116</x:v>
      </x:c>
      <x:c r="P1884" s="37" t="n">
        <x:v>0</x:v>
      </x:c>
      <x:c r="Q1884" s="37" t="n">
        <x:v>0</x:v>
      </x:c>
      <x:c r="R1884" s="37" t="n">
        <x:v>0</x:v>
      </x:c>
      <x:c r="S1884" s="37" t="n">
        <x:v>0</x:v>
      </x:c>
      <x:c r="T1884" s="37" t="n">
        <x:v>0</x:v>
      </x:c>
      <x:c r="U1884" s="37" t="n">
        <x:v>20944.980443102446</x:v>
      </x:c>
      <x:c r="V1884" s="37" t="n">
        <x:v>2000000</x:v>
      </x:c>
      <x:c r="W1884" s="37" t="n">
        <x:v>135547.90598850232</x:v>
      </x:c>
      <x:c r="X1884" s="37" t="n">
        <x:v>0</x:v>
      </x:c>
      <x:c r="Y1884" s="37" t="n">
        <x:v>1740.677505458311</x:v>
      </x:c>
      <x:c r="Z1884" s="37" t="n">
        <x:v>6202597.297142256</x:v>
      </x:c>
      <x:c r="AA1884" s="37" t="n">
        <x:v>0</x:v>
      </x:c>
      <x:c r="AB1884" s="37" t="n">
        <x:v>6202597.297142256</x:v>
      </x:c>
      <x:c r="AC1884" s="37" t="n">
        <x:v>3429996.74890068</x:v>
      </x:c>
      <x:c r="AD1884" s="37" t="n">
        <x:v>0</x:v>
      </x:c>
      <x:c r="AE1884" s="37" t="n">
        <x:v>0</x:v>
      </x:c>
      <x:c r="AF1884" s="47" t="b">
        <x:v>0</x:v>
      </x:c>
      <x:c r="AG1884" s="47" t="b">
        <x:v>0</x:v>
      </x:c>
      <x:c r="AH1884" s="48" t="n">
        <x:v>0</x:v>
      </x:c>
      <x:c r="AI1884" s="48" t="n">
        <x:v>1.1920928955078125e-7</x:v>
      </x:c>
      <x:c r="AJ1884" s="37" t="str">
        <x:v>passed</x:v>
      </x:c>
    </x:row>
    <x:row r="1885" ht="21" customHeight="1">
      <x:c r="A1885" s="2"/>
      <x:c r="B1885" s="2"/>
      <x:c r="C1885" s="2" t="str">
        <x:v>2023</x:v>
      </x:c>
      <x:c r="D1885" s="5" t="n">
        <x:v>45246</x:v>
      </x:c>
      <x:c r="E1885" s="2" t="str">
        <x:v>unweighted</x:v>
      </x:c>
      <x:c r="F1885" s="37" t="n">
        <x:v>11925381.191544764</x:v>
      </x:c>
      <x:c r="G1885" s="37" t="n">
        <x:v>-77761.39906965106</x:v>
      </x:c>
      <x:c r="H1885" s="37" t="n">
        <x:v>-2584.1007391222865</x:v>
      </x:c>
      <x:c r="I1885" s="37" t="n">
        <x:v>-75177.29833052878</x:v>
      </x:c>
      <x:c r="J1885" s="37" t="n">
        <x:v>8518335.756230254</x:v>
      </x:c>
      <x:c r="K1885" s="37" t="n">
        <x:v>8596097.155299904</x:v>
      </x:c>
      <x:c r="L1885" s="37" t="n">
        <x:v>11847619.792475112</x:v>
      </x:c>
      <x:c r="M1885" s="37" t="n">
        <x:v>0</x:v>
      </x:c>
      <x:c r="N1885" s="37" t="n">
        <x:v>0</x:v>
      </x:c>
      <x:c r="O1885" s="37" t="n">
        <x:v>653.4097414687276</x:v>
      </x:c>
      <x:c r="P1885" s="37" t="n">
        <x:v>0</x:v>
      </x:c>
      <x:c r="Q1885" s="37" t="n">
        <x:v>0</x:v>
      </x:c>
      <x:c r="R1885" s="37" t="n">
        <x:v>0</x:v>
      </x:c>
      <x:c r="S1885" s="37" t="n">
        <x:v>0</x:v>
      </x:c>
      <x:c r="T1885" s="37" t="n">
        <x:v>0</x:v>
      </x:c>
      <x:c r="U1885" s="37" t="n">
        <x:v>17113.035705848495</x:v>
      </x:c>
      <x:c r="V1885" s="37" t="n">
        <x:v>2000000</x:v>
      </x:c>
      <x:c r="W1885" s="37" t="n">
        <x:v>195400.95340470225</x:v>
      </x:c>
      <x:c r="X1885" s="37" t="n">
        <x:v>0</x:v>
      </x:c>
      <x:c r="Y1885" s="37" t="n">
        <x:v>2316.0970281288896</x:v>
      </x:c>
      <x:c r="Z1885" s="37" t="n">
        <x:v>8768019.098405901</x:v>
      </x:c>
      <x:c r="AA1885" s="37" t="n">
        <x:v>0</x:v>
      </x:c>
      <x:c r="AB1885" s="37" t="n">
        <x:v>8768019.098405901</x:v>
      </x:c>
      <x:c r="AC1885" s="37" t="n">
        <x:v>3157362.0931388624</x:v>
      </x:c>
      <x:c r="AD1885" s="37" t="n">
        <x:v>0</x:v>
      </x:c>
      <x:c r="AE1885" s="37" t="n">
        <x:v>0</x:v>
      </x:c>
      <x:c r="AF1885" s="47" t="b">
        <x:v>0</x:v>
      </x:c>
      <x:c r="AG1885" s="47" t="b">
        <x:v>0</x:v>
      </x:c>
      <x:c r="AH1885" s="48" t="n">
        <x:v>0</x:v>
      </x:c>
      <x:c r="AI1885" s="48" t="n">
        <x:v>1.1920928955078125e-7</x:v>
      </x:c>
      <x:c r="AJ1885" s="37" t="str">
        <x:v>passed</x:v>
      </x:c>
    </x:row>
    <x:row r="1886" ht="21" customHeight="1">
      <x:c r="A1886" s="2"/>
      <x:c r="B1886" s="2"/>
      <x:c r="C1886" s="2" t="str">
        <x:v>2023</x:v>
      </x:c>
      <x:c r="D1886" s="5" t="n">
        <x:v>45246</x:v>
      </x:c>
      <x:c r="E1886" s="2" t="str">
        <x:v>constrained</x:v>
      </x:c>
      <x:c r="F1886" s="37" t="n">
        <x:v>14039037.372899702</x:v>
      </x:c>
      <x:c r="G1886" s="37" t="n">
        <x:v>-2210770.8811872797</x:v>
      </x:c>
      <x:c r="H1886" s="37" t="n">
        <x:v>-7717.94516385689</x:v>
      </x:c>
      <x:c r="I1886" s="37" t="n">
        <x:v>-2203052.936023423</x:v>
      </x:c>
      <x:c r="J1886" s="37" t="n">
        <x:v>8492880.02001174</x:v>
      </x:c>
      <x:c r="K1886" s="37" t="n">
        <x:v>10703650.90119902</x:v>
      </x:c>
      <x:c r="L1886" s="37" t="n">
        <x:v>11828266.491712421</x:v>
      </x:c>
      <x:c r="M1886" s="37" t="n">
        <x:v>0</x:v>
      </x:c>
      <x:c r="N1886" s="37" t="n">
        <x:v>0</x:v>
      </x:c>
      <x:c r="O1886" s="37" t="n">
        <x:v>769.2201727535576</x:v>
      </x:c>
      <x:c r="P1886" s="37" t="n">
        <x:v>0</x:v>
      </x:c>
      <x:c r="Q1886" s="37" t="n">
        <x:v>0</x:v>
      </x:c>
      <x:c r="R1886" s="37" t="n">
        <x:v>0</x:v>
      </x:c>
      <x:c r="S1886" s="37" t="n">
        <x:v>0</x:v>
      </x:c>
      <x:c r="T1886" s="37" t="n">
        <x:v>0</x:v>
      </x:c>
      <x:c r="U1886" s="37" t="n">
        <x:v>17255.654138498503</x:v>
      </x:c>
      <x:c r="V1886" s="37" t="n">
        <x:v>2000000</x:v>
      </x:c>
      <x:c r="W1886" s="37" t="n">
        <x:v>205984.5851420574</x:v>
      </x:c>
      <x:c r="X1886" s="37" t="n">
        <x:v>0</x:v>
      </x:c>
      <x:c r="Y1886" s="37" t="n">
        <x:v>2219.494920369951</x:v>
      </x:c>
      <x:c r="Z1886" s="37" t="n">
        <x:v>10917723.919223001</x:v>
      </x:c>
      <x:c r="AA1886" s="37" t="n">
        <x:v>0</x:v>
      </x:c>
      <x:c r="AB1886" s="37" t="n">
        <x:v>10917723.919223001</x:v>
      </x:c>
      <x:c r="AC1886" s="37" t="n">
        <x:v>3121313.4536767006</x:v>
      </x:c>
      <x:c r="AD1886" s="37" t="n">
        <x:v>0</x:v>
      </x:c>
      <x:c r="AE1886" s="37" t="n">
        <x:v>0</x:v>
      </x:c>
      <x:c r="AF1886" s="47" t="b">
        <x:v>0</x:v>
      </x:c>
      <x:c r="AG1886" s="47" t="b">
        <x:v>0</x:v>
      </x:c>
      <x:c r="AH1886" s="48" t="n">
        <x:v>0</x:v>
      </x:c>
      <x:c r="AI1886" s="48" t="n">
        <x:v>1.1920928955078125e-7</x:v>
      </x:c>
      <x:c r="AJ1886" s="37" t="str">
        <x:v>passed</x:v>
      </x:c>
    </x:row>
    <x:row r="1887" ht="21" customHeight="1">
      <x:c r="A1887" s="2"/>
      <x:c r="B1887" s="2"/>
      <x:c r="C1887" s="2" t="str">
        <x:v>2023</x:v>
      </x:c>
      <x:c r="D1887" s="5" t="n">
        <x:v>45247</x:v>
      </x:c>
      <x:c r="E1887" s="2" t="str">
        <x:v>unhedged</x:v>
      </x:c>
      <x:c r="F1887" s="37" t="n">
        <x:v>3350471.554279667</x:v>
      </x:c>
      <x:c r="G1887" s="37" t="n">
        <x:v>8384845.862450829</x:v>
      </x:c>
      <x:c r="H1887" s="37" t="n">
        <x:v>21259.25704730053</x:v>
      </x:c>
      <x:c r="I1887" s="37" t="n">
        <x:v>8363586.605403529</x:v>
      </x:c>
      <x:c r="J1887" s="37" t="n">
        <x:v>8384845.862450829</x:v>
      </x:c>
      <x:c r="K1887" s="37" t="n">
        <x:v>0</x:v>
      </x:c>
      <x:c r="L1887" s="37" t="n">
        <x:v>11735317.416730495</x:v>
      </x:c>
      <x:c r="M1887" s="37" t="n">
        <x:v>0</x:v>
      </x:c>
      <x:c r="N1887" s="37" t="n">
        <x:v>0</x:v>
      </x:c>
      <x:c r="O1887" s="37" t="n">
        <x:v>183.5774233895354</x:v>
      </x:c>
      <x:c r="P1887" s="37" t="n">
        <x:v>0</x:v>
      </x:c>
      <x:c r="Q1887" s="37" t="n">
        <x:v>0</x:v>
      </x:c>
      <x:c r="R1887" s="37" t="n">
        <x:v>0</x:v>
      </x:c>
      <x:c r="S1887" s="37" t="n">
        <x:v>0</x:v>
      </x:c>
      <x:c r="T1887" s="37" t="n">
        <x:v>0</x:v>
      </x:c>
      <x:c r="U1887" s="37" t="n">
        <x:v>127500</x:v>
      </x:c>
      <x:c r="V1887" s="37" t="n">
        <x:v>2000000</x:v>
      </x:c>
      <x:c r="W1887" s="37" t="n">
        <x:v>24014.423621789087</x:v>
      </x:c>
      <x:c r="X1887" s="37" t="n">
        <x:v>0</x:v>
      </x:c>
      <x:c r="Y1887" s="37" t="n">
        <x:v>1042.869342122179</x:v>
      </x:c>
      <x:c r="Z1887" s="37" t="n">
        <x:v>0</x:v>
      </x:c>
      <x:c r="AA1887" s="37" t="n">
        <x:v>0</x:v>
      </x:c>
      <x:c r="AB1887" s="37" t="n">
        <x:v>0</x:v>
      </x:c>
      <x:c r="AC1887" s="37" t="n">
        <x:v>3350471.554279667</x:v>
      </x:c>
      <x:c r="AD1887" s="37" t="n">
        <x:v>0</x:v>
      </x:c>
      <x:c r="AE1887" s="37" t="n">
        <x:v>0</x:v>
      </x:c>
      <x:c r="AF1887" s="47" t="b">
        <x:v>0</x:v>
      </x:c>
      <x:c r="AG1887" s="47" t="b">
        <x:v>0</x:v>
      </x:c>
      <x:c r="AH1887" s="48" t="n">
        <x:v>0</x:v>
      </x:c>
      <x:c r="AI1887" s="48" t="n">
        <x:v>5.960464477539063e-8</x:v>
      </x:c>
      <x:c r="AJ1887" s="37" t="str">
        <x:v>passed</x:v>
      </x:c>
    </x:row>
    <x:row r="1888" ht="21" customHeight="1">
      <x:c r="A1888" s="2"/>
      <x:c r="B1888" s="2"/>
      <x:c r="C1888" s="2" t="str">
        <x:v>2023</x:v>
      </x:c>
      <x:c r="D1888" s="5" t="n">
        <x:v>45247</x:v>
      </x:c>
      <x:c r="E1888" s="2" t="str">
        <x:v>duration</x:v>
      </x:c>
      <x:c r="F1888" s="37" t="n">
        <x:v>9633121.859415323</x:v>
      </x:c>
      <x:c r="G1888" s="37" t="n">
        <x:v>2294842.2868257416</x:v>
      </x:c>
      <x:c r="H1888" s="37" t="n">
        <x:v>20679.890002956632</x:v>
      </x:c>
      <x:c r="I1888" s="37" t="n">
        <x:v>2274162.396822785</x:v>
      </x:c>
      <x:c r="J1888" s="37" t="n">
        <x:v>8384845.862450829</x:v>
      </x:c>
      <x:c r="K1888" s="37" t="n">
        <x:v>6090003.575625087</x:v>
      </x:c>
      <x:c r="L1888" s="37" t="n">
        <x:v>11927964.146241065</x:v>
      </x:c>
      <x:c r="M1888" s="37" t="n">
        <x:v>0</x:v>
      </x:c>
      <x:c r="N1888" s="37" t="n">
        <x:v>0</x:v>
      </x:c>
      <x:c r="O1888" s="37" t="n">
        <x:v>527.8133723866194</x:v>
      </x:c>
      <x:c r="P1888" s="37" t="n">
        <x:v>0</x:v>
      </x:c>
      <x:c r="Q1888" s="37" t="n">
        <x:v>0</x:v>
      </x:c>
      <x:c r="R1888" s="37" t="n">
        <x:v>0</x:v>
      </x:c>
      <x:c r="S1888" s="37" t="n">
        <x:v>0</x:v>
      </x:c>
      <x:c r="T1888" s="37" t="n">
        <x:v>0</x:v>
      </x:c>
      <x:c r="U1888" s="37" t="n">
        <x:v>20944.980443102446</x:v>
      </x:c>
      <x:c r="V1888" s="37" t="n">
        <x:v>2000000</x:v>
      </x:c>
      <x:c r="W1888" s="37" t="n">
        <x:v>136075.71936088894</x:v>
      </x:c>
      <x:c r="X1888" s="37" t="n">
        <x:v>0</x:v>
      </x:c>
      <x:c r="Y1888" s="37" t="n">
        <x:v>1740.677505458311</x:v>
      </x:c>
      <x:c r="Z1888" s="37" t="n">
        <x:v>6211803.647137589</x:v>
      </x:c>
      <x:c r="AA1888" s="37" t="n">
        <x:v>0</x:v>
      </x:c>
      <x:c r="AB1888" s="37" t="n">
        <x:v>6211803.647137589</x:v>
      </x:c>
      <x:c r="AC1888" s="37" t="n">
        <x:v>3421318.2122777337</x:v>
      </x:c>
      <x:c r="AD1888" s="37" t="n">
        <x:v>0</x:v>
      </x:c>
      <x:c r="AE1888" s="37" t="n">
        <x:v>0</x:v>
      </x:c>
      <x:c r="AF1888" s="47" t="b">
        <x:v>0</x:v>
      </x:c>
      <x:c r="AG1888" s="47" t="b">
        <x:v>0</x:v>
      </x:c>
      <x:c r="AH1888" s="48" t="n">
        <x:v>0</x:v>
      </x:c>
      <x:c r="AI1888" s="48" t="n">
        <x:v>1.1920928955078125e-7</x:v>
      </x:c>
      <x:c r="AJ1888" s="37" t="str">
        <x:v>passed</x:v>
      </x:c>
    </x:row>
    <x:row r="1889" ht="21" customHeight="1">
      <x:c r="A1889" s="2"/>
      <x:c r="B1889" s="2"/>
      <x:c r="C1889" s="2" t="str">
        <x:v>2023</x:v>
      </x:c>
      <x:c r="D1889" s="5" t="n">
        <x:v>45247</x:v>
      </x:c>
      <x:c r="E1889" s="2" t="str">
        <x:v>unweighted</x:v>
      </x:c>
      <x:c r="F1889" s="37" t="n">
        <x:v>11926034.637089508</x:v>
      </x:c>
      <x:c r="G1889" s="37" t="n">
        <x:v>-78388.4890150421</x:v>
      </x:c>
      <x:c r="H1889" s="37" t="n">
        <x:v>-2619.4466554557093</x:v>
      </x:c>
      <x:c r="I1889" s="37" t="n">
        <x:v>-75769.04235958638</x:v>
      </x:c>
      <x:c r="J1889" s="37" t="n">
        <x:v>8520527.977717917</x:v>
      </x:c>
      <x:c r="K1889" s="37" t="n">
        <x:v>8598916.466732958</x:v>
      </x:c>
      <x:c r="L1889" s="37" t="n">
        <x:v>11847646.148074465</x:v>
      </x:c>
      <x:c r="M1889" s="37" t="n">
        <x:v>0</x:v>
      </x:c>
      <x:c r="N1889" s="37" t="n">
        <x:v>0</x:v>
      </x:c>
      <x:c r="O1889" s="37" t="n">
        <x:v>653.4455447439104</x:v>
      </x:c>
      <x:c r="P1889" s="37" t="n">
        <x:v>0</x:v>
      </x:c>
      <x:c r="Q1889" s="37" t="n">
        <x:v>0</x:v>
      </x:c>
      <x:c r="R1889" s="37" t="n">
        <x:v>0</x:v>
      </x:c>
      <x:c r="S1889" s="37" t="n">
        <x:v>0</x:v>
      </x:c>
      <x:c r="T1889" s="37" t="n">
        <x:v>0</x:v>
      </x:c>
      <x:c r="U1889" s="37" t="n">
        <x:v>17113.035705848495</x:v>
      </x:c>
      <x:c r="V1889" s="37" t="n">
        <x:v>2000000</x:v>
      </x:c>
      <x:c r="W1889" s="37" t="n">
        <x:v>196054.39894944616</x:v>
      </x:c>
      <x:c r="X1889" s="37" t="n">
        <x:v>0</x:v>
      </x:c>
      <x:c r="Y1889" s="37" t="n">
        <x:v>2316.0970281288896</x:v>
      </x:c>
      <x:c r="Z1889" s="37" t="n">
        <x:v>8770894.796067618</x:v>
      </x:c>
      <x:c r="AA1889" s="37" t="n">
        <x:v>0</x:v>
      </x:c>
      <x:c r="AB1889" s="37" t="n">
        <x:v>8770894.796067618</x:v>
      </x:c>
      <x:c r="AC1889" s="37" t="n">
        <x:v>3155139.84102189</x:v>
      </x:c>
      <x:c r="AD1889" s="37" t="n">
        <x:v>0</x:v>
      </x:c>
      <x:c r="AE1889" s="37" t="n">
        <x:v>0</x:v>
      </x:c>
      <x:c r="AF1889" s="47" t="b">
        <x:v>0</x:v>
      </x:c>
      <x:c r="AG1889" s="47" t="b">
        <x:v>0</x:v>
      </x:c>
      <x:c r="AH1889" s="48" t="n">
        <x:v>0</x:v>
      </x:c>
      <x:c r="AI1889" s="48" t="n">
        <x:v>1.1920928955078125e-7</x:v>
      </x:c>
      <x:c r="AJ1889" s="37" t="str">
        <x:v>passed</x:v>
      </x:c>
    </x:row>
    <x:row r="1890" ht="21" customHeight="1">
      <x:c r="A1890" s="2"/>
      <x:c r="B1890" s="2"/>
      <x:c r="C1890" s="2" t="str">
        <x:v>2023</x:v>
      </x:c>
      <x:c r="D1890" s="5" t="n">
        <x:v>45247</x:v>
      </x:c>
      <x:c r="E1890" s="2" t="str">
        <x:v>constrained</x:v>
      </x:c>
      <x:c r="F1890" s="37" t="n">
        <x:v>14039806.635221504</x:v>
      </x:c>
      <x:c r="G1890" s="37" t="n">
        <x:v>-2211489.3975328063</x:v>
      </x:c>
      <x:c r="H1890" s="37" t="n">
        <x:v>-7776.961653726161</x:v>
      </x:c>
      <x:c r="I1890" s="37" t="n">
        <x:v>-2203712.43587908</x:v>
      </x:c>
      <x:c r="J1890" s="37" t="n">
        <x:v>8495131.310441688</x:v>
      </x:c>
      <x:c r="K1890" s="37" t="n">
        <x:v>10706620.707974494</x:v>
      </x:c>
      <x:c r="L1890" s="37" t="n">
        <x:v>11828317.237688698</x:v>
      </x:c>
      <x:c r="M1890" s="37" t="n">
        <x:v>0</x:v>
      </x:c>
      <x:c r="N1890" s="37" t="n">
        <x:v>0</x:v>
      </x:c>
      <x:c r="O1890" s="37" t="n">
        <x:v>769.2623218018562</x:v>
      </x:c>
      <x:c r="P1890" s="37" t="n">
        <x:v>0</x:v>
      </x:c>
      <x:c r="Q1890" s="37" t="n">
        <x:v>0</x:v>
      </x:c>
      <x:c r="R1890" s="37" t="n">
        <x:v>0</x:v>
      </x:c>
      <x:c r="S1890" s="37" t="n">
        <x:v>0</x:v>
      </x:c>
      <x:c r="T1890" s="37" t="n">
        <x:v>0</x:v>
      </x:c>
      <x:c r="U1890" s="37" t="n">
        <x:v>17255.654138498503</x:v>
      </x:c>
      <x:c r="V1890" s="37" t="n">
        <x:v>2000000</x:v>
      </x:c>
      <x:c r="W1890" s="37" t="n">
        <x:v>206753.84746385925</x:v>
      </x:c>
      <x:c r="X1890" s="37" t="n">
        <x:v>0</x:v>
      </x:c>
      <x:c r="Y1890" s="37" t="n">
        <x:v>2219.494920369951</x:v>
      </x:c>
      <x:c r="Z1890" s="37" t="n">
        <x:v>10920753.122133983</x:v>
      </x:c>
      <x:c r="AA1890" s="37" t="n">
        <x:v>0</x:v>
      </x:c>
      <x:c r="AB1890" s="37" t="n">
        <x:v>10920753.122133983</x:v>
      </x:c>
      <x:c r="AC1890" s="37" t="n">
        <x:v>3119053.5130875204</x:v>
      </x:c>
      <x:c r="AD1890" s="37" t="n">
        <x:v>0</x:v>
      </x:c>
      <x:c r="AE1890" s="37" t="n">
        <x:v>0</x:v>
      </x:c>
      <x:c r="AF1890" s="47" t="b">
        <x:v>0</x:v>
      </x:c>
      <x:c r="AG1890" s="47" t="b">
        <x:v>0</x:v>
      </x:c>
      <x:c r="AH1890" s="48" t="n">
        <x:v>0</x:v>
      </x:c>
      <x:c r="AI1890" s="48" t="n">
        <x:v>1.1920928955078125e-7</x:v>
      </x:c>
      <x:c r="AJ1890" s="37" t="str">
        <x:v>passed</x:v>
      </x:c>
    </x:row>
    <x:row r="1891" ht="21" customHeight="1">
      <x:c r="A1891" s="2"/>
      <x:c r="B1891" s="2"/>
      <x:c r="C1891" s="2" t="str">
        <x:v>2023</x:v>
      </x:c>
      <x:c r="D1891" s="5" t="n">
        <x:v>45250</x:v>
      </x:c>
      <x:c r="E1891" s="2" t="str">
        <x:v>unhedged</x:v>
      </x:c>
      <x:c r="F1891" s="37" t="n">
        <x:v>3351022.3469062615</x:v>
      </x:c>
      <x:c r="G1891" s="37" t="n">
        <x:v>8395003.530789386</x:v>
      </x:c>
      <x:c r="H1891" s="37" t="n">
        <x:v>22241.549211657904</x:v>
      </x:c>
      <x:c r="I1891" s="37" t="n">
        <x:v>8372761.981577729</x:v>
      </x:c>
      <x:c r="J1891" s="37" t="n">
        <x:v>8395003.530789386</x:v>
      </x:c>
      <x:c r="K1891" s="37" t="n">
        <x:v>0</x:v>
      </x:c>
      <x:c r="L1891" s="37" t="n">
        <x:v>11746025.877695648</x:v>
      </x:c>
      <x:c r="M1891" s="37" t="n">
        <x:v>0</x:v>
      </x:c>
      <x:c r="N1891" s="37" t="n">
        <x:v>0</x:v>
      </x:c>
      <x:c r="O1891" s="37" t="n">
        <x:v>550.7926265946589</x:v>
      </x:c>
      <x:c r="P1891" s="37" t="n">
        <x:v>0</x:v>
      </x:c>
      <x:c r="Q1891" s="37" t="n">
        <x:v>0</x:v>
      </x:c>
      <x:c r="R1891" s="37" t="n">
        <x:v>0</x:v>
      </x:c>
      <x:c r="S1891" s="37" t="n">
        <x:v>0</x:v>
      </x:c>
      <x:c r="T1891" s="37" t="n">
        <x:v>0</x:v>
      </x:c>
      <x:c r="U1891" s="37" t="n">
        <x:v>127500</x:v>
      </x:c>
      <x:c r="V1891" s="37" t="n">
        <x:v>2000000</x:v>
      </x:c>
      <x:c r="W1891" s="37" t="n">
        <x:v>24565.216248383746</x:v>
      </x:c>
      <x:c r="X1891" s="37" t="n">
        <x:v>0</x:v>
      </x:c>
      <x:c r="Y1891" s="37" t="n">
        <x:v>1042.869342122179</x:v>
      </x:c>
      <x:c r="Z1891" s="37" t="n">
        <x:v>0</x:v>
      </x:c>
      <x:c r="AA1891" s="37" t="n">
        <x:v>0</x:v>
      </x:c>
      <x:c r="AB1891" s="37" t="n">
        <x:v>0</x:v>
      </x:c>
      <x:c r="AC1891" s="37" t="n">
        <x:v>3351022.3469062615</x:v>
      </x:c>
      <x:c r="AD1891" s="37" t="n">
        <x:v>0</x:v>
      </x:c>
      <x:c r="AE1891" s="37" t="n">
        <x:v>0</x:v>
      </x:c>
      <x:c r="AF1891" s="47" t="b">
        <x:v>0</x:v>
      </x:c>
      <x:c r="AG1891" s="47" t="b">
        <x:v>0</x:v>
      </x:c>
      <x:c r="AH1891" s="48" t="n">
        <x:v>0</x:v>
      </x:c>
      <x:c r="AI1891" s="48" t="n">
        <x:v>1.1920928955078125e-7</x:v>
      </x:c>
      <x:c r="AJ1891" s="37" t="str">
        <x:v>passed</x:v>
      </x:c>
    </x:row>
    <x:row r="1892" ht="21" customHeight="1">
      <x:c r="A1892" s="2"/>
      <x:c r="B1892" s="2"/>
      <x:c r="C1892" s="2" t="str">
        <x:v>2023</x:v>
      </x:c>
      <x:c r="D1892" s="5" t="n">
        <x:v>45250</x:v>
      </x:c>
      <x:c r="E1892" s="2" t="str">
        <x:v>duration</x:v>
      </x:c>
      <x:c r="F1892" s="37" t="n">
        <x:v>9634705.473066507</x:v>
      </x:c>
      <x:c r="G1892" s="37" t="n">
        <x:v>2293612.25225084</x:v>
      </x:c>
      <x:c r="H1892" s="37" t="n">
        <x:v>20793.131600798166</x:v>
      </x:c>
      <x:c r="I1892" s="37" t="n">
        <x:v>2272819.120650042</x:v>
      </x:c>
      <x:c r="J1892" s="37" t="n">
        <x:v>8395003.530789386</x:v>
      </x:c>
      <x:c r="K1892" s="37" t="n">
        <x:v>6101391.278538546</x:v>
      </x:c>
      <x:c r="L1892" s="37" t="n">
        <x:v>11928317.725317348</x:v>
      </x:c>
      <x:c r="M1892" s="37" t="n">
        <x:v>0</x:v>
      </x:c>
      <x:c r="N1892" s="37" t="n">
        <x:v>0</x:v>
      </x:c>
      <x:c r="O1892" s="37" t="n">
        <x:v>1583.6136511843652</x:v>
      </x:c>
      <x:c r="P1892" s="37" t="n">
        <x:v>0</x:v>
      </x:c>
      <x:c r="Q1892" s="37" t="n">
        <x:v>0</x:v>
      </x:c>
      <x:c r="R1892" s="37" t="n">
        <x:v>0</x:v>
      </x:c>
      <x:c r="S1892" s="37" t="n">
        <x:v>0</x:v>
      </x:c>
      <x:c r="T1892" s="37" t="n">
        <x:v>0</x:v>
      </x:c>
      <x:c r="U1892" s="37" t="n">
        <x:v>20944.980443102446</x:v>
      </x:c>
      <x:c r="V1892" s="37" t="n">
        <x:v>2000000</x:v>
      </x:c>
      <x:c r="W1892" s="37" t="n">
        <x:v>137659.3330120733</x:v>
      </x:c>
      <x:c r="X1892" s="37" t="n">
        <x:v>0</x:v>
      </x:c>
      <x:c r="Y1892" s="37" t="n">
        <x:v>1740.677505458311</x:v>
      </x:c>
      <x:c r="Z1892" s="37" t="n">
        <x:v>6223419.104109317</x:v>
      </x:c>
      <x:c r="AA1892" s="37" t="n">
        <x:v>0</x:v>
      </x:c>
      <x:c r="AB1892" s="37" t="n">
        <x:v>6223419.104109317</x:v>
      </x:c>
      <x:c r="AC1892" s="37" t="n">
        <x:v>3411286.36895719</x:v>
      </x:c>
      <x:c r="AD1892" s="37" t="n">
        <x:v>0</x:v>
      </x:c>
      <x:c r="AE1892" s="37" t="n">
        <x:v>0</x:v>
      </x:c>
      <x:c r="AF1892" s="47" t="b">
        <x:v>0</x:v>
      </x:c>
      <x:c r="AG1892" s="47" t="b">
        <x:v>0</x:v>
      </x:c>
      <x:c r="AH1892" s="48" t="n">
        <x:v>0</x:v>
      </x:c>
      <x:c r="AI1892" s="48" t="n">
        <x:v>1.1920928955078125e-7</x:v>
      </x:c>
      <x:c r="AJ1892" s="37" t="str">
        <x:v>passed</x:v>
      </x:c>
    </x:row>
    <x:row r="1893" ht="21" customHeight="1">
      <x:c r="A1893" s="2"/>
      <x:c r="B1893" s="2"/>
      <x:c r="C1893" s="2" t="str">
        <x:v>2023</x:v>
      </x:c>
      <x:c r="D1893" s="5" t="n">
        <x:v>45250</x:v>
      </x:c>
      <x:c r="E1893" s="2" t="str">
        <x:v>unweighted</x:v>
      </x:c>
      <x:c r="F1893" s="37" t="n">
        <x:v>11927995.188562997</x:v>
      </x:c>
      <x:c r="G1893" s="37" t="n">
        <x:v>-78636.48309850572</x:v>
      </x:c>
      <x:c r="H1893" s="37" t="n">
        <x:v>-2725.484404455989</x:v>
      </x:c>
      <x:c r="I1893" s="37" t="n">
        <x:v>-75910.99869404973</x:v>
      </x:c>
      <x:c r="J1893" s="37" t="n">
        <x:v>8531216.909894738</x:v>
      </x:c>
      <x:c r="K1893" s="37" t="n">
        <x:v>8609853.392993243</x:v>
      </x:c>
      <x:c r="L1893" s="37" t="n">
        <x:v>11849358.705464492</x:v>
      </x:c>
      <x:c r="M1893" s="37" t="n">
        <x:v>0</x:v>
      </x:c>
      <x:c r="N1893" s="37" t="n">
        <x:v>0</x:v>
      </x:c>
      <x:c r="O1893" s="37" t="n">
        <x:v>1960.5514734890312</x:v>
      </x:c>
      <x:c r="P1893" s="37" t="n">
        <x:v>0</x:v>
      </x:c>
      <x:c r="Q1893" s="37" t="n">
        <x:v>0</x:v>
      </x:c>
      <x:c r="R1893" s="37" t="n">
        <x:v>0</x:v>
      </x:c>
      <x:c r="S1893" s="37" t="n">
        <x:v>0</x:v>
      </x:c>
      <x:c r="T1893" s="37" t="n">
        <x:v>0</x:v>
      </x:c>
      <x:c r="U1893" s="37" t="n">
        <x:v>17113.035705848495</x:v>
      </x:c>
      <x:c r="V1893" s="37" t="n">
        <x:v>2000000</x:v>
      </x:c>
      <x:c r="W1893" s="37" t="n">
        <x:v>198014.9504229352</x:v>
      </x:c>
      <x:c r="X1893" s="37" t="n">
        <x:v>0</x:v>
      </x:c>
      <x:c r="Y1893" s="37" t="n">
        <x:v>2316.0970281288896</x:v>
      </x:c>
      <x:c r="Z1893" s="37" t="n">
        <x:v>8782050.46085311</x:v>
      </x:c>
      <x:c r="AA1893" s="37" t="n">
        <x:v>0</x:v>
      </x:c>
      <x:c r="AB1893" s="37" t="n">
        <x:v>8782050.46085311</x:v>
      </x:c>
      <x:c r="AC1893" s="37" t="n">
        <x:v>3145944.7277098875</x:v>
      </x:c>
      <x:c r="AD1893" s="37" t="n">
        <x:v>0</x:v>
      </x:c>
      <x:c r="AE1893" s="37" t="n">
        <x:v>0</x:v>
      </x:c>
      <x:c r="AF1893" s="47" t="b">
        <x:v>0</x:v>
      </x:c>
      <x:c r="AG1893" s="47" t="b">
        <x:v>0</x:v>
      </x:c>
      <x:c r="AH1893" s="48" t="n">
        <x:v>0</x:v>
      </x:c>
      <x:c r="AI1893" s="48" t="n">
        <x:v>1.1920928955078125e-7</x:v>
      </x:c>
      <x:c r="AJ1893" s="37" t="str">
        <x:v>passed</x:v>
      </x:c>
    </x:row>
    <x:row r="1894" ht="21" customHeight="1">
      <x:c r="A1894" s="2"/>
      <x:c r="B1894" s="2"/>
      <x:c r="C1894" s="2" t="str">
        <x:v>2023</x:v>
      </x:c>
      <x:c r="D1894" s="5" t="n">
        <x:v>45250</x:v>
      </x:c>
      <x:c r="E1894" s="2" t="str">
        <x:v>constrained</x:v>
      </x:c>
      <x:c r="F1894" s="37" t="n">
        <x:v>14042114.675104316</x:v>
      </x:c>
      <x:c r="G1894" s="37" t="n">
        <x:v>-2212483.84136405</x:v>
      </x:c>
      <x:c r="H1894" s="37" t="n">
        <x:v>-7954.011123333985</x:v>
      </x:c>
      <x:c r="I1894" s="37" t="n">
        <x:v>-2204529.8302407158</x:v>
      </x:c>
      <x:c r="J1894" s="37" t="n">
        <x:v>8505813.379469866</x:v>
      </x:c>
      <x:c r="K1894" s="37" t="n">
        <x:v>10718297.220833916</x:v>
      </x:c>
      <x:c r="L1894" s="37" t="n">
        <x:v>11829630.833740266</x:v>
      </x:c>
      <x:c r="M1894" s="37" t="n">
        <x:v>0</x:v>
      </x:c>
      <x:c r="N1894" s="37" t="n">
        <x:v>0</x:v>
      </x:c>
      <x:c r="O1894" s="37" t="n">
        <x:v>2308.039882812649</x:v>
      </x:c>
      <x:c r="P1894" s="37" t="n">
        <x:v>0</x:v>
      </x:c>
      <x:c r="Q1894" s="37" t="n">
        <x:v>0</x:v>
      </x:c>
      <x:c r="R1894" s="37" t="n">
        <x:v>0</x:v>
      </x:c>
      <x:c r="S1894" s="37" t="n">
        <x:v>0</x:v>
      </x:c>
      <x:c r="T1894" s="37" t="n">
        <x:v>0</x:v>
      </x:c>
      <x:c r="U1894" s="37" t="n">
        <x:v>17255.654138498503</x:v>
      </x:c>
      <x:c r="V1894" s="37" t="n">
        <x:v>2000000</x:v>
      </x:c>
      <x:c r="W1894" s="37" t="n">
        <x:v>209061.8873466719</x:v>
      </x:c>
      <x:c r="X1894" s="37" t="n">
        <x:v>0</x:v>
      </x:c>
      <x:c r="Y1894" s="37" t="n">
        <x:v>2219.494920369951</x:v>
      </x:c>
      <x:c r="Z1894" s="37" t="n">
        <x:v>10932663.165250596</x:v>
      </x:c>
      <x:c r="AA1894" s="37" t="n">
        <x:v>0</x:v>
      </x:c>
      <x:c r="AB1894" s="37" t="n">
        <x:v>10932663.165250596</x:v>
      </x:c>
      <x:c r="AC1894" s="37" t="n">
        <x:v>3109451.5098537207</x:v>
      </x:c>
      <x:c r="AD1894" s="37" t="n">
        <x:v>0</x:v>
      </x:c>
      <x:c r="AE1894" s="37" t="n">
        <x:v>0</x:v>
      </x:c>
      <x:c r="AF1894" s="47" t="b">
        <x:v>0</x:v>
      </x:c>
      <x:c r="AG1894" s="47" t="b">
        <x:v>0</x:v>
      </x:c>
      <x:c r="AH1894" s="48" t="n">
        <x:v>0</x:v>
      </x:c>
      <x:c r="AI1894" s="48" t="n">
        <x:v>1.1920928955078125e-7</x:v>
      </x:c>
      <x:c r="AJ1894" s="37" t="str">
        <x:v>passed</x:v>
      </x:c>
    </x:row>
    <x:row r="1895" ht="21" customHeight="1">
      <x:c r="A1895" s="2"/>
      <x:c r="B1895" s="2"/>
      <x:c r="C1895" s="2" t="str">
        <x:v>2023</x:v>
      </x:c>
      <x:c r="D1895" s="5" t="n">
        <x:v>45251</x:v>
      </x:c>
      <x:c r="E1895" s="2" t="str">
        <x:v>unhedged</x:v>
      </x:c>
      <x:c r="F1895" s="37" t="n">
        <x:v>3351205.964569106</x:v>
      </x:c>
      <x:c r="G1895" s="37" t="n">
        <x:v>8402964.645642603</x:v>
      </x:c>
      <x:c r="H1895" s="37" t="n">
        <x:v>22568.97993311037</x:v>
      </x:c>
      <x:c r="I1895" s="37" t="n">
        <x:v>8380395.665709493</x:v>
      </x:c>
      <x:c r="J1895" s="37" t="n">
        <x:v>8402964.645642603</x:v>
      </x:c>
      <x:c r="K1895" s="37" t="n">
        <x:v>0</x:v>
      </x:c>
      <x:c r="L1895" s="37" t="n">
        <x:v>11754170.61021171</x:v>
      </x:c>
      <x:c r="M1895" s="37" t="n">
        <x:v>0</x:v>
      </x:c>
      <x:c r="N1895" s="37" t="n">
        <x:v>0</x:v>
      </x:c>
      <x:c r="O1895" s="37" t="n">
        <x:v>183.61766284471378</x:v>
      </x:c>
      <x:c r="P1895" s="37" t="n">
        <x:v>0</x:v>
      </x:c>
      <x:c r="Q1895" s="37" t="n">
        <x:v>0</x:v>
      </x:c>
      <x:c r="R1895" s="37" t="n">
        <x:v>0</x:v>
      </x:c>
      <x:c r="S1895" s="37" t="n">
        <x:v>0</x:v>
      </x:c>
      <x:c r="T1895" s="37" t="n">
        <x:v>0</x:v>
      </x:c>
      <x:c r="U1895" s="37" t="n">
        <x:v>127500</x:v>
      </x:c>
      <x:c r="V1895" s="37" t="n">
        <x:v>2000000</x:v>
      </x:c>
      <x:c r="W1895" s="37" t="n">
        <x:v>24748.83391122846</x:v>
      </x:c>
      <x:c r="X1895" s="37" t="n">
        <x:v>0</x:v>
      </x:c>
      <x:c r="Y1895" s="37" t="n">
        <x:v>1042.869342122179</x:v>
      </x:c>
      <x:c r="Z1895" s="37" t="n">
        <x:v>0</x:v>
      </x:c>
      <x:c r="AA1895" s="37" t="n">
        <x:v>0</x:v>
      </x:c>
      <x:c r="AB1895" s="37" t="n">
        <x:v>0</x:v>
      </x:c>
      <x:c r="AC1895" s="37" t="n">
        <x:v>3351205.964569106</x:v>
      </x:c>
      <x:c r="AD1895" s="37" t="n">
        <x:v>0</x:v>
      </x:c>
      <x:c r="AE1895" s="37" t="n">
        <x:v>0</x:v>
      </x:c>
      <x:c r="AF1895" s="47" t="b">
        <x:v>0</x:v>
      </x:c>
      <x:c r="AG1895" s="47" t="b">
        <x:v>0</x:v>
      </x:c>
      <x:c r="AH1895" s="48" t="n">
        <x:v>0</x:v>
      </x:c>
      <x:c r="AI1895" s="48" t="n">
        <x:v>1.1920928955078125e-7</x:v>
      </x:c>
      <x:c r="AJ1895" s="37" t="str">
        <x:v>passed</x:v>
      </x:c>
    </x:row>
    <x:row r="1896" ht="21" customHeight="1">
      <x:c r="A1896" s="2"/>
      <x:c r="B1896" s="2"/>
      <x:c r="C1896" s="2" t="str">
        <x:v>2023</x:v>
      </x:c>
      <x:c r="D1896" s="5" t="n">
        <x:v>45251</x:v>
      </x:c>
      <x:c r="E1896" s="2" t="str">
        <x:v>duration</x:v>
      </x:c>
      <x:c r="F1896" s="37" t="n">
        <x:v>9635233.402133524</x:v>
      </x:c>
      <x:c r="G1896" s="37" t="n">
        <x:v>2296195.8590634293</x:v>
      </x:c>
      <x:c r="H1896" s="37" t="n">
        <x:v>20830.87880007868</x:v>
      </x:c>
      <x:c r="I1896" s="37" t="n">
        <x:v>2275364.9802633505</x:v>
      </x:c>
      <x:c r="J1896" s="37" t="n">
        <x:v>8402964.645642603</x:v>
      </x:c>
      <x:c r="K1896" s="37" t="n">
        <x:v>6106768.786579174</x:v>
      </x:c>
      <x:c r="L1896" s="37" t="n">
        <x:v>11931429.261196954</x:v>
      </x:c>
      <x:c r="M1896" s="37" t="n">
        <x:v>0</x:v>
      </x:c>
      <x:c r="N1896" s="37" t="n">
        <x:v>0</x:v>
      </x:c>
      <x:c r="O1896" s="37" t="n">
        <x:v>527.9290670175105</x:v>
      </x:c>
      <x:c r="P1896" s="37" t="n">
        <x:v>0</x:v>
      </x:c>
      <x:c r="Q1896" s="37" t="n">
        <x:v>0</x:v>
      </x:c>
      <x:c r="R1896" s="37" t="n">
        <x:v>0</x:v>
      </x:c>
      <x:c r="S1896" s="37" t="n">
        <x:v>0</x:v>
      </x:c>
      <x:c r="T1896" s="37" t="n">
        <x:v>0</x:v>
      </x:c>
      <x:c r="U1896" s="37" t="n">
        <x:v>20944.980443102446</x:v>
      </x:c>
      <x:c r="V1896" s="37" t="n">
        <x:v>2000000</x:v>
      </x:c>
      <x:c r="W1896" s="37" t="n">
        <x:v>138187.2620790908</x:v>
      </x:c>
      <x:c r="X1896" s="37" t="n">
        <x:v>0</x:v>
      </x:c>
      <x:c r="Y1896" s="37" t="n">
        <x:v>1740.677505458311</x:v>
      </x:c>
      <x:c r="Z1896" s="37" t="n">
        <x:v>6228904.162310758</x:v>
      </x:c>
      <x:c r="AA1896" s="37" t="n">
        <x:v>0</x:v>
      </x:c>
      <x:c r="AB1896" s="37" t="n">
        <x:v>6228904.162310758</x:v>
      </x:c>
      <x:c r="AC1896" s="37" t="n">
        <x:v>3406329.2398227667</x:v>
      </x:c>
      <x:c r="AD1896" s="37" t="n">
        <x:v>0</x:v>
      </x:c>
      <x:c r="AE1896" s="37" t="n">
        <x:v>0</x:v>
      </x:c>
      <x:c r="AF1896" s="47" t="b">
        <x:v>0</x:v>
      </x:c>
      <x:c r="AG1896" s="47" t="b">
        <x:v>0</x:v>
      </x:c>
      <x:c r="AH1896" s="48" t="n">
        <x:v>0</x:v>
      </x:c>
      <x:c r="AI1896" s="48" t="n">
        <x:v>1.1920928955078125e-7</x:v>
      </x:c>
      <x:c r="AJ1896" s="37" t="str">
        <x:v>passed</x:v>
      </x:c>
    </x:row>
    <x:row r="1897" ht="21" customHeight="1">
      <x:c r="A1897" s="2"/>
      <x:c r="B1897" s="2"/>
      <x:c r="C1897" s="2" t="str">
        <x:v>2023</x:v>
      </x:c>
      <x:c r="D1897" s="5" t="n">
        <x:v>45251</x:v>
      </x:c>
      <x:c r="E1897" s="2" t="str">
        <x:v>unweighted</x:v>
      </x:c>
      <x:c r="F1897" s="37" t="n">
        <x:v>11928648.777340453</x:v>
      </x:c>
      <x:c r="G1897" s="37" t="n">
        <x:v>-78717.01085059068</x:v>
      </x:c>
      <x:c r="H1897" s="37" t="n">
        <x:v>-2760.830320789412</x:v>
      </x:c>
      <x:c r="I1897" s="37" t="n">
        <x:v>-75956.18052980128</x:v>
      </x:c>
      <x:c r="J1897" s="37" t="n">
        <x:v>8539062.842809116</x:v>
      </x:c>
      <x:c r="K1897" s="37" t="n">
        <x:v>8617779.853659708</x:v>
      </x:c>
      <x:c r="L1897" s="37" t="n">
        <x:v>11849931.766489862</x:v>
      </x:c>
      <x:c r="M1897" s="37" t="n">
        <x:v>0</x:v>
      </x:c>
      <x:c r="N1897" s="37" t="n">
        <x:v>0</x:v>
      </x:c>
      <x:c r="O1897" s="37" t="n">
        <x:v>653.5887774564326</x:v>
      </x:c>
      <x:c r="P1897" s="37" t="n">
        <x:v>0</x:v>
      </x:c>
      <x:c r="Q1897" s="37" t="n">
        <x:v>0</x:v>
      </x:c>
      <x:c r="R1897" s="37" t="n">
        <x:v>0</x:v>
      </x:c>
      <x:c r="S1897" s="37" t="n">
        <x:v>0</x:v>
      </x:c>
      <x:c r="T1897" s="37" t="n">
        <x:v>0</x:v>
      </x:c>
      <x:c r="U1897" s="37" t="n">
        <x:v>17113.035705848495</x:v>
      </x:c>
      <x:c r="V1897" s="37" t="n">
        <x:v>2000000</x:v>
      </x:c>
      <x:c r="W1897" s="37" t="n">
        <x:v>198668.53920039162</x:v>
      </x:c>
      <x:c r="X1897" s="37" t="n">
        <x:v>0</x:v>
      </x:c>
      <x:c r="Y1897" s="37" t="n">
        <x:v>2316.0970281288896</x:v>
      </x:c>
      <x:c r="Z1897" s="37" t="n">
        <x:v>8790135.450732902</x:v>
      </x:c>
      <x:c r="AA1897" s="37" t="n">
        <x:v>0</x:v>
      </x:c>
      <x:c r="AB1897" s="37" t="n">
        <x:v>8790135.450732902</x:v>
      </x:c>
      <x:c r="AC1897" s="37" t="n">
        <x:v>3138513.3266075514</x:v>
      </x:c>
      <x:c r="AD1897" s="37" t="n">
        <x:v>0</x:v>
      </x:c>
      <x:c r="AE1897" s="37" t="n">
        <x:v>0</x:v>
      </x:c>
      <x:c r="AF1897" s="47" t="b">
        <x:v>0</x:v>
      </x:c>
      <x:c r="AG1897" s="47" t="b">
        <x:v>0</x:v>
      </x:c>
      <x:c r="AH1897" s="48" t="n">
        <x:v>0</x:v>
      </x:c>
      <x:c r="AI1897" s="48" t="n">
        <x:v>1.1920928955078125e-7</x:v>
      </x:c>
      <x:c r="AJ1897" s="37" t="str">
        <x:v>passed</x:v>
      </x:c>
    </x:row>
    <x:row r="1898" ht="21" customHeight="1">
      <x:c r="A1898" s="2"/>
      <x:c r="B1898" s="2"/>
      <x:c r="C1898" s="2" t="str">
        <x:v>2023</x:v>
      </x:c>
      <x:c r="D1898" s="5" t="n">
        <x:v>45251</x:v>
      </x:c>
      <x:c r="E1898" s="2" t="str">
        <x:v>constrained</x:v>
      </x:c>
      <x:c r="F1898" s="37" t="n">
        <x:v>14042884.10604542</x:v>
      </x:c>
      <x:c r="G1898" s="37" t="n">
        <x:v>-2212780.8335729665</x:v>
      </x:c>
      <x:c r="H1898" s="37" t="n">
        <x:v>-8013.027613203255</x:v>
      </x:c>
      <x:c r="I1898" s="37" t="n">
        <x:v>-2204767.8059597635</x:v>
      </x:c>
      <x:c r="J1898" s="37" t="n">
        <x:v>8513664.81853091</x:v>
      </x:c>
      <x:c r="K1898" s="37" t="n">
        <x:v>10726445.652103875</x:v>
      </x:c>
      <x:c r="L1898" s="37" t="n">
        <x:v>11830103.272472452</x:v>
      </x:c>
      <x:c r="M1898" s="37" t="n">
        <x:v>0</x:v>
      </x:c>
      <x:c r="N1898" s="37" t="n">
        <x:v>0</x:v>
      </x:c>
      <x:c r="O1898" s="37" t="n">
        <x:v>769.4309411030263</x:v>
      </x:c>
      <x:c r="P1898" s="37" t="n">
        <x:v>0</x:v>
      </x:c>
      <x:c r="Q1898" s="37" t="n">
        <x:v>0</x:v>
      </x:c>
      <x:c r="R1898" s="37" t="n">
        <x:v>0</x:v>
      </x:c>
      <x:c r="S1898" s="37" t="n">
        <x:v>0</x:v>
      </x:c>
      <x:c r="T1898" s="37" t="n">
        <x:v>0</x:v>
      </x:c>
      <x:c r="U1898" s="37" t="n">
        <x:v>17255.654138498503</x:v>
      </x:c>
      <x:c r="V1898" s="37" t="n">
        <x:v>2000000</x:v>
      </x:c>
      <x:c r="W1898" s="37" t="n">
        <x:v>209831.31828777492</x:v>
      </x:c>
      <x:c r="X1898" s="37" t="n">
        <x:v>0</x:v>
      </x:c>
      <x:c r="Y1898" s="37" t="n">
        <x:v>2219.494920369951</x:v>
      </x:c>
      <x:c r="Z1898" s="37" t="n">
        <x:v>10940974.565145953</x:v>
      </x:c>
      <x:c r="AA1898" s="37" t="n">
        <x:v>0</x:v>
      </x:c>
      <x:c r="AB1898" s="37" t="n">
        <x:v>10940974.565145953</x:v>
      </x:c>
      <x:c r="AC1898" s="37" t="n">
        <x:v>3101909.5408994667</x:v>
      </x:c>
      <x:c r="AD1898" s="37" t="n">
        <x:v>0</x:v>
      </x:c>
      <x:c r="AE1898" s="37" t="n">
        <x:v>0</x:v>
      </x:c>
      <x:c r="AF1898" s="47" t="b">
        <x:v>0</x:v>
      </x:c>
      <x:c r="AG1898" s="47" t="b">
        <x:v>0</x:v>
      </x:c>
      <x:c r="AH1898" s="48" t="n">
        <x:v>0</x:v>
      </x:c>
      <x:c r="AI1898" s="48" t="n">
        <x:v>1.1920928955078125e-7</x:v>
      </x:c>
      <x:c r="AJ1898" s="37" t="str">
        <x:v>passed</x:v>
      </x:c>
    </x:row>
    <x:row r="1899" ht="21" customHeight="1">
      <x:c r="A1899" s="2"/>
      <x:c r="B1899" s="2"/>
      <x:c r="C1899" s="2" t="str">
        <x:v>2023</x:v>
      </x:c>
      <x:c r="D1899" s="5" t="n">
        <x:v>45252</x:v>
      </x:c>
      <x:c r="E1899" s="2" t="str">
        <x:v>unhedged</x:v>
      </x:c>
      <x:c r="F1899" s="37" t="n">
        <x:v>3351389.5922931926</x:v>
      </x:c>
      <x:c r="G1899" s="37" t="n">
        <x:v>8395453.688776953</x:v>
      </x:c>
      <x:c r="H1899" s="37" t="n">
        <x:v>22896.410654562827</x:v>
      </x:c>
      <x:c r="I1899" s="37" t="n">
        <x:v>8372557.278122391</x:v>
      </x:c>
      <x:c r="J1899" s="37" t="n">
        <x:v>8395453.688776953</x:v>
      </x:c>
      <x:c r="K1899" s="37" t="n">
        <x:v>0</x:v>
      </x:c>
      <x:c r="L1899" s="37" t="n">
        <x:v>11746843.281070147</x:v>
      </x:c>
      <x:c r="M1899" s="37" t="n">
        <x:v>0</x:v>
      </x:c>
      <x:c r="N1899" s="37" t="n">
        <x:v>0</x:v>
      </x:c>
      <x:c r="O1899" s="37" t="n">
        <x:v>183.62772408640012</x:v>
      </x:c>
      <x:c r="P1899" s="37" t="n">
        <x:v>0</x:v>
      </x:c>
      <x:c r="Q1899" s="37" t="n">
        <x:v>0</x:v>
      </x:c>
      <x:c r="R1899" s="37" t="n">
        <x:v>0</x:v>
      </x:c>
      <x:c r="S1899" s="37" t="n">
        <x:v>0</x:v>
      </x:c>
      <x:c r="T1899" s="37" t="n">
        <x:v>0</x:v>
      </x:c>
      <x:c r="U1899" s="37" t="n">
        <x:v>127500</x:v>
      </x:c>
      <x:c r="V1899" s="37" t="n">
        <x:v>2000000</x:v>
      </x:c>
      <x:c r="W1899" s="37" t="n">
        <x:v>24932.46163531486</x:v>
      </x:c>
      <x:c r="X1899" s="37" t="n">
        <x:v>0</x:v>
      </x:c>
      <x:c r="Y1899" s="37" t="n">
        <x:v>1042.869342122179</x:v>
      </x:c>
      <x:c r="Z1899" s="37" t="n">
        <x:v>0</x:v>
      </x:c>
      <x:c r="AA1899" s="37" t="n">
        <x:v>0</x:v>
      </x:c>
      <x:c r="AB1899" s="37" t="n">
        <x:v>0</x:v>
      </x:c>
      <x:c r="AC1899" s="37" t="n">
        <x:v>3351389.5922931926</x:v>
      </x:c>
      <x:c r="AD1899" s="37" t="n">
        <x:v>0</x:v>
      </x:c>
      <x:c r="AE1899" s="37" t="n">
        <x:v>0</x:v>
      </x:c>
      <x:c r="AF1899" s="47" t="b">
        <x:v>0</x:v>
      </x:c>
      <x:c r="AG1899" s="47" t="b">
        <x:v>0</x:v>
      </x:c>
      <x:c r="AH1899" s="48" t="n">
        <x:v>0</x:v>
      </x:c>
      <x:c r="AI1899" s="48" t="n">
        <x:v>1.1920928955078125e-7</x:v>
      </x:c>
      <x:c r="AJ1899" s="37" t="str">
        <x:v>passed</x:v>
      </x:c>
    </x:row>
    <x:row r="1900" ht="21" customHeight="1">
      <x:c r="A1900" s="2"/>
      <x:c r="B1900" s="2"/>
      <x:c r="C1900" s="2" t="str">
        <x:v>2023</x:v>
      </x:c>
      <x:c r="D1900" s="5" t="n">
        <x:v>45252</x:v>
      </x:c>
      <x:c r="E1900" s="2" t="str">
        <x:v>duration</x:v>
      </x:c>
      <x:c r="F1900" s="37" t="n">
        <x:v>9635761.360128162</x:v>
      </x:c>
      <x:c r="G1900" s="37" t="n">
        <x:v>2295634.1867241864</x:v>
      </x:c>
      <x:c r="H1900" s="37" t="n">
        <x:v>20868.625999359192</x:v>
      </x:c>
      <x:c r="I1900" s="37" t="n">
        <x:v>2274765.560724827</x:v>
      </x:c>
      <x:c r="J1900" s="37" t="n">
        <x:v>8395453.688776953</x:v>
      </x:c>
      <x:c r="K1900" s="37" t="n">
        <x:v>6099819.502052767</x:v>
      </x:c>
      <x:c r="L1900" s="37" t="n">
        <x:v>11931395.546852348</x:v>
      </x:c>
      <x:c r="M1900" s="37" t="n">
        <x:v>0</x:v>
      </x:c>
      <x:c r="N1900" s="37" t="n">
        <x:v>0</x:v>
      </x:c>
      <x:c r="O1900" s="37" t="n">
        <x:v>527.9579946380109</x:v>
      </x:c>
      <x:c r="P1900" s="37" t="n">
        <x:v>0</x:v>
      </x:c>
      <x:c r="Q1900" s="37" t="n">
        <x:v>0</x:v>
      </x:c>
      <x:c r="R1900" s="37" t="n">
        <x:v>0</x:v>
      </x:c>
      <x:c r="S1900" s="37" t="n">
        <x:v>0</x:v>
      </x:c>
      <x:c r="T1900" s="37" t="n">
        <x:v>0</x:v>
      </x:c>
      <x:c r="U1900" s="37" t="n">
        <x:v>20944.980443102446</x:v>
      </x:c>
      <x:c r="V1900" s="37" t="n">
        <x:v>2000000</x:v>
      </x:c>
      <x:c r="W1900" s="37" t="n">
        <x:v>138715.22007372882</x:v>
      </x:c>
      <x:c r="X1900" s="37" t="n">
        <x:v>0</x:v>
      </x:c>
      <x:c r="Y1900" s="37" t="n">
        <x:v>1740.677505458311</x:v>
      </x:c>
      <x:c r="Z1900" s="37" t="n">
        <x:v>6221815.892093822</x:v>
      </x:c>
      <x:c r="AA1900" s="37" t="n">
        <x:v>0</x:v>
      </x:c>
      <x:c r="AB1900" s="37" t="n">
        <x:v>6221815.892093822</x:v>
      </x:c>
      <x:c r="AC1900" s="37" t="n">
        <x:v>3413945.46803434</x:v>
      </x:c>
      <x:c r="AD1900" s="37" t="n">
        <x:v>0</x:v>
      </x:c>
      <x:c r="AE1900" s="37" t="n">
        <x:v>0</x:v>
      </x:c>
      <x:c r="AF1900" s="47" t="b">
        <x:v>0</x:v>
      </x:c>
      <x:c r="AG1900" s="47" t="b">
        <x:v>0</x:v>
      </x:c>
      <x:c r="AH1900" s="48" t="n">
        <x:v>0</x:v>
      </x:c>
      <x:c r="AI1900" s="48" t="n">
        <x:v>1.1920928955078125e-7</x:v>
      </x:c>
      <x:c r="AJ1900" s="37" t="str">
        <x:v>passed</x:v>
      </x:c>
    </x:row>
    <x:row r="1901" ht="21" customHeight="1">
      <x:c r="A1901" s="2"/>
      <x:c r="B1901" s="2"/>
      <x:c r="C1901" s="2" t="str">
        <x:v>2023</x:v>
      </x:c>
      <x:c r="D1901" s="5" t="n">
        <x:v>45252</x:v>
      </x:c>
      <x:c r="E1901" s="2" t="str">
        <x:v>unweighted</x:v>
      </x:c>
      <x:c r="F1901" s="37" t="n">
        <x:v>11929302.401930993</x:v>
      </x:c>
      <x:c r="G1901" s="37" t="n">
        <x:v>-78324.57649138462</x:v>
      </x:c>
      <x:c r="H1901" s="37" t="n">
        <x:v>-2796.1762371228388</x:v>
      </x:c>
      <x:c r="I1901" s="37" t="n">
        <x:v>-75528.40025426178</x:v>
      </x:c>
      <x:c r="J1901" s="37" t="n">
        <x:v>8531829.035378013</x:v>
      </x:c>
      <x:c r="K1901" s="37" t="n">
        <x:v>8610153.611869397</x:v>
      </x:c>
      <x:c r="L1901" s="37" t="n">
        <x:v>11850977.82543961</x:v>
      </x:c>
      <x:c r="M1901" s="37" t="n">
        <x:v>0</x:v>
      </x:c>
      <x:c r="N1901" s="37" t="n">
        <x:v>0</x:v>
      </x:c>
      <x:c r="O1901" s="37" t="n">
        <x:v>653.6245905403048</x:v>
      </x:c>
      <x:c r="P1901" s="37" t="n">
        <x:v>0</x:v>
      </x:c>
      <x:c r="Q1901" s="37" t="n">
        <x:v>0</x:v>
      </x:c>
      <x:c r="R1901" s="37" t="n">
        <x:v>0</x:v>
      </x:c>
      <x:c r="S1901" s="37" t="n">
        <x:v>0</x:v>
      </x:c>
      <x:c r="T1901" s="37" t="n">
        <x:v>0</x:v>
      </x:c>
      <x:c r="U1901" s="37" t="n">
        <x:v>17113.035705848495</x:v>
      </x:c>
      <x:c r="V1901" s="37" t="n">
        <x:v>2000000</x:v>
      </x:c>
      <x:c r="W1901" s="37" t="n">
        <x:v>199322.16379093193</x:v>
      </x:c>
      <x:c r="X1901" s="37" t="n">
        <x:v>0</x:v>
      </x:c>
      <x:c r="Y1901" s="37" t="n">
        <x:v>2316.0970281288896</x:v>
      </x:c>
      <x:c r="Z1901" s="37" t="n">
        <x:v>8782356.684106784</x:v>
      </x:c>
      <x:c r="AA1901" s="37" t="n">
        <x:v>0</x:v>
      </x:c>
      <x:c r="AB1901" s="37" t="n">
        <x:v>8782356.684106784</x:v>
      </x:c>
      <x:c r="AC1901" s="37" t="n">
        <x:v>3146945.7178242095</x:v>
      </x:c>
      <x:c r="AD1901" s="37" t="n">
        <x:v>0</x:v>
      </x:c>
      <x:c r="AE1901" s="37" t="n">
        <x:v>0</x:v>
      </x:c>
      <x:c r="AF1901" s="47" t="b">
        <x:v>0</x:v>
      </x:c>
      <x:c r="AG1901" s="47" t="b">
        <x:v>0</x:v>
      </x:c>
      <x:c r="AH1901" s="48" t="n">
        <x:v>0</x:v>
      </x:c>
      <x:c r="AI1901" s="48" t="n">
        <x:v>1.1920928955078125e-7</x:v>
      </x:c>
      <x:c r="AJ1901" s="37" t="str">
        <x:v>passed</x:v>
      </x:c>
    </x:row>
    <x:row r="1902" ht="21" customHeight="1">
      <x:c r="A1902" s="2"/>
      <x:c r="B1902" s="2"/>
      <x:c r="C1902" s="2" t="str">
        <x:v>2023</x:v>
      </x:c>
      <x:c r="D1902" s="5" t="n">
        <x:v>45252</x:v>
      </x:c>
      <x:c r="E1902" s="2" t="str">
        <x:v>constrained</x:v>
      </x:c>
      <x:c r="F1902" s="37" t="n">
        <x:v>14043653.579147121</x:v>
      </x:c>
      <x:c r="G1902" s="37" t="n">
        <x:v>-2212829.031897414</x:v>
      </x:c>
      <x:c r="H1902" s="37" t="n">
        <x:v>-8072.044103072526</x:v>
      </x:c>
      <x:c r="I1902" s="37" t="n">
        <x:v>-2204756.9877943415</x:v>
      </x:c>
      <x:c r="J1902" s="37" t="n">
        <x:v>8506443.369926786</x:v>
      </x:c>
      <x:c r="K1902" s="37" t="n">
        <x:v>10719272.4018242</x:v>
      </x:c>
      <x:c r="L1902" s="37" t="n">
        <x:v>11830824.547249706</x:v>
      </x:c>
      <x:c r="M1902" s="37" t="n">
        <x:v>0</x:v>
      </x:c>
      <x:c r="N1902" s="37" t="n">
        <x:v>0</x:v>
      </x:c>
      <x:c r="O1902" s="37" t="n">
        <x:v>769.4731017015874</x:v>
      </x:c>
      <x:c r="P1902" s="37" t="n">
        <x:v>0</x:v>
      </x:c>
      <x:c r="Q1902" s="37" t="n">
        <x:v>0</x:v>
      </x:c>
      <x:c r="R1902" s="37" t="n">
        <x:v>0</x:v>
      </x:c>
      <x:c r="S1902" s="37" t="n">
        <x:v>0</x:v>
      </x:c>
      <x:c r="T1902" s="37" t="n">
        <x:v>0</x:v>
      </x:c>
      <x:c r="U1902" s="37" t="n">
        <x:v>17255.654138498503</x:v>
      </x:c>
      <x:c r="V1902" s="37" t="n">
        <x:v>2000000</x:v>
      </x:c>
      <x:c r="W1902" s="37" t="n">
        <x:v>210600.7913894765</x:v>
      </x:c>
      <x:c r="X1902" s="37" t="n">
        <x:v>0</x:v>
      </x:c>
      <x:c r="Y1902" s="37" t="n">
        <x:v>2219.494920369951</x:v>
      </x:c>
      <x:c r="Z1902" s="37" t="n">
        <x:v>10933657.849860685</x:v>
      </x:c>
      <x:c r="AA1902" s="37" t="n">
        <x:v>0</x:v>
      </x:c>
      <x:c r="AB1902" s="37" t="n">
        <x:v>10933657.849860685</x:v>
      </x:c>
      <x:c r="AC1902" s="37" t="n">
        <x:v>3109995.729286436</x:v>
      </x:c>
      <x:c r="AD1902" s="37" t="n">
        <x:v>0</x:v>
      </x:c>
      <x:c r="AE1902" s="37" t="n">
        <x:v>0</x:v>
      </x:c>
      <x:c r="AF1902" s="47" t="b">
        <x:v>0</x:v>
      </x:c>
      <x:c r="AG1902" s="47" t="b">
        <x:v>0</x:v>
      </x:c>
      <x:c r="AH1902" s="48" t="n">
        <x:v>0</x:v>
      </x:c>
      <x:c r="AI1902" s="48" t="n">
        <x:v>1.1920928955078125e-7</x:v>
      </x:c>
      <x:c r="AJ1902" s="37" t="str">
        <x:v>passed</x:v>
      </x:c>
    </x:row>
    <x:row r="1903" ht="21" customHeight="1">
      <x:c r="A1903" s="2"/>
      <x:c r="B1903" s="2"/>
      <x:c r="C1903" s="2" t="str">
        <x:v>2023</x:v>
      </x:c>
      <x:c r="D1903" s="5" t="n">
        <x:v>45254</x:v>
      </x:c>
      <x:c r="E1903" s="2" t="str">
        <x:v>unhedged</x:v>
      </x:c>
      <x:c r="F1903" s="37" t="n">
        <x:v>3351756.877927296</x:v>
      </x:c>
      <x:c r="G1903" s="37" t="n">
        <x:v>8363365.803741019</x:v>
      </x:c>
      <x:c r="H1903" s="37" t="n">
        <x:v>23551.272097467747</x:v>
      </x:c>
      <x:c r="I1903" s="37" t="n">
        <x:v>8339814.531643552</x:v>
      </x:c>
      <x:c r="J1903" s="37" t="n">
        <x:v>8363365.803741019</x:v>
      </x:c>
      <x:c r="K1903" s="37" t="n">
        <x:v>0</x:v>
      </x:c>
      <x:c r="L1903" s="37" t="n">
        <x:v>11715122.681668315</x:v>
      </x:c>
      <x:c r="M1903" s="37" t="n">
        <x:v>0</x:v>
      </x:c>
      <x:c r="N1903" s="37" t="n">
        <x:v>0</x:v>
      </x:c>
      <x:c r="O1903" s="37" t="n">
        <x:v>367.28563410323113</x:v>
      </x:c>
      <x:c r="P1903" s="37" t="n">
        <x:v>0</x:v>
      </x:c>
      <x:c r="Q1903" s="37" t="n">
        <x:v>0</x:v>
      </x:c>
      <x:c r="R1903" s="37" t="n">
        <x:v>0</x:v>
      </x:c>
      <x:c r="S1903" s="37" t="n">
        <x:v>0</x:v>
      </x:c>
      <x:c r="T1903" s="37" t="n">
        <x:v>0</x:v>
      </x:c>
      <x:c r="U1903" s="37" t="n">
        <x:v>127500</x:v>
      </x:c>
      <x:c r="V1903" s="37" t="n">
        <x:v>2000000</x:v>
      </x:c>
      <x:c r="W1903" s="37" t="n">
        <x:v>25299.74726941809</x:v>
      </x:c>
      <x:c r="X1903" s="37" t="n">
        <x:v>0</x:v>
      </x:c>
      <x:c r="Y1903" s="37" t="n">
        <x:v>1042.869342122179</x:v>
      </x:c>
      <x:c r="Z1903" s="37" t="n">
        <x:v>0</x:v>
      </x:c>
      <x:c r="AA1903" s="37" t="n">
        <x:v>0</x:v>
      </x:c>
      <x:c r="AB1903" s="37" t="n">
        <x:v>0</x:v>
      </x:c>
      <x:c r="AC1903" s="37" t="n">
        <x:v>3351756.877927296</x:v>
      </x:c>
      <x:c r="AD1903" s="37" t="n">
        <x:v>0</x:v>
      </x:c>
      <x:c r="AE1903" s="37" t="n">
        <x:v>0</x:v>
      </x:c>
      <x:c r="AF1903" s="47" t="b">
        <x:v>0</x:v>
      </x:c>
      <x:c r="AG1903" s="47" t="b">
        <x:v>0</x:v>
      </x:c>
      <x:c r="AH1903" s="48" t="n">
        <x:v>0</x:v>
      </x:c>
      <x:c r="AI1903" s="48" t="n">
        <x:v>5.960464477539063e-8</x:v>
      </x:c>
      <x:c r="AJ1903" s="37" t="str">
        <x:v>passed</x:v>
      </x:c>
    </x:row>
    <x:row r="1904" ht="21" customHeight="1">
      <x:c r="A1904" s="2"/>
      <x:c r="B1904" s="2"/>
      <x:c r="C1904" s="2" t="str">
        <x:v>2023</x:v>
      </x:c>
      <x:c r="D1904" s="5" t="n">
        <x:v>45254</x:v>
      </x:c>
      <x:c r="E1904" s="2" t="str">
        <x:v>duration</x:v>
      </x:c>
      <x:c r="F1904" s="37" t="n">
        <x:v>9636817.362906639</x:v>
      </x:c>
      <x:c r="G1904" s="37" t="n">
        <x:v>2302150.0483507565</x:v>
      </x:c>
      <x:c r="H1904" s="37" t="n">
        <x:v>20944.120397920215</x:v>
      </x:c>
      <x:c r="I1904" s="37" t="n">
        <x:v>2281205.9279528363</x:v>
      </x:c>
      <x:c r="J1904" s="37" t="n">
        <x:v>8363365.803741019</x:v>
      </x:c>
      <x:c r="K1904" s="37" t="n">
        <x:v>6061215.755390263</x:v>
      </x:c>
      <x:c r="L1904" s="37" t="n">
        <x:v>11938967.411257396</x:v>
      </x:c>
      <x:c r="M1904" s="37" t="n">
        <x:v>0</x:v>
      </x:c>
      <x:c r="N1904" s="37" t="n">
        <x:v>0</x:v>
      </x:c>
      <x:c r="O1904" s="37" t="n">
        <x:v>1056.0027784761041</x:v>
      </x:c>
      <x:c r="P1904" s="37" t="n">
        <x:v>0</x:v>
      </x:c>
      <x:c r="Q1904" s="37" t="n">
        <x:v>0</x:v>
      </x:c>
      <x:c r="R1904" s="37" t="n">
        <x:v>0</x:v>
      </x:c>
      <x:c r="S1904" s="37" t="n">
        <x:v>0</x:v>
      </x:c>
      <x:c r="T1904" s="37" t="n">
        <x:v>0</x:v>
      </x:c>
      <x:c r="U1904" s="37" t="n">
        <x:v>20944.980443102446</x:v>
      </x:c>
      <x:c r="V1904" s="37" t="n">
        <x:v>2000000</x:v>
      </x:c>
      <x:c r="W1904" s="37" t="n">
        <x:v>139771.22285220493</x:v>
      </x:c>
      <x:c r="X1904" s="37" t="n">
        <x:v>0</x:v>
      </x:c>
      <x:c r="Y1904" s="37" t="n">
        <x:v>1740.677505458311</x:v>
      </x:c>
      <x:c r="Z1904" s="37" t="n">
        <x:v>6182440.070498069</x:v>
      </x:c>
      <x:c r="AA1904" s="37" t="n">
        <x:v>0</x:v>
      </x:c>
      <x:c r="AB1904" s="37" t="n">
        <x:v>6182440.070498069</x:v>
      </x:c>
      <x:c r="AC1904" s="37" t="n">
        <x:v>3454377.2924085697</x:v>
      </x:c>
      <x:c r="AD1904" s="37" t="n">
        <x:v>0</x:v>
      </x:c>
      <x:c r="AE1904" s="37" t="n">
        <x:v>0</x:v>
      </x:c>
      <x:c r="AF1904" s="47" t="b">
        <x:v>0</x:v>
      </x:c>
      <x:c r="AG1904" s="47" t="b">
        <x:v>0</x:v>
      </x:c>
      <x:c r="AH1904" s="48" t="n">
        <x:v>0</x:v>
      </x:c>
      <x:c r="AI1904" s="48" t="n">
        <x:v>1.1920928955078125e-7</x:v>
      </x:c>
      <x:c r="AJ1904" s="37" t="str">
        <x:v>passed</x:v>
      </x:c>
    </x:row>
    <x:row r="1905" ht="21" customHeight="1">
      <x:c r="A1905" s="2"/>
      <x:c r="B1905" s="2"/>
      <x:c r="C1905" s="2" t="str">
        <x:v>2023</x:v>
      </x:c>
      <x:c r="D1905" s="5" t="n">
        <x:v>45254</x:v>
      </x:c>
      <x:c r="E1905" s="2" t="str">
        <x:v>unweighted</x:v>
      </x:c>
      <x:c r="F1905" s="37" t="n">
        <x:v>11930609.758559173</x:v>
      </x:c>
      <x:c r="G1905" s="37" t="n">
        <x:v>-76714.1487445659</x:v>
      </x:c>
      <x:c r="H1905" s="37" t="n">
        <x:v>-2866.8680697896916</x:v>
      </x:c>
      <x:c r="I1905" s="37" t="n">
        <x:v>-73847.28067477621</x:v>
      </x:c>
      <x:c r="J1905" s="37" t="n">
        <x:v>8499108.692881733</x:v>
      </x:c>
      <x:c r="K1905" s="37" t="n">
        <x:v>8575822.8416263</x:v>
      </x:c>
      <x:c r="L1905" s="37" t="n">
        <x:v>11853895.609814607</x:v>
      </x:c>
      <x:c r="M1905" s="37" t="n">
        <x:v>0</x:v>
      </x:c>
      <x:c r="N1905" s="37" t="n">
        <x:v>0</x:v>
      </x:c>
      <x:c r="O1905" s="37" t="n">
        <x:v>1307.3566281795502</x:v>
      </x:c>
      <x:c r="P1905" s="37" t="n">
        <x:v>0</x:v>
      </x:c>
      <x:c r="Q1905" s="37" t="n">
        <x:v>0</x:v>
      </x:c>
      <x:c r="R1905" s="37" t="n">
        <x:v>0</x:v>
      </x:c>
      <x:c r="S1905" s="37" t="n">
        <x:v>0</x:v>
      </x:c>
      <x:c r="T1905" s="37" t="n">
        <x:v>0</x:v>
      </x:c>
      <x:c r="U1905" s="37" t="n">
        <x:v>17113.035705848495</x:v>
      </x:c>
      <x:c r="V1905" s="37" t="n">
        <x:v>2000000</x:v>
      </x:c>
      <x:c r="W1905" s="37" t="n">
        <x:v>200629.52041911148</x:v>
      </x:c>
      <x:c r="X1905" s="37" t="n">
        <x:v>0</x:v>
      </x:c>
      <x:c r="Y1905" s="37" t="n">
        <x:v>2316.0970281288896</x:v>
      </x:c>
      <x:c r="Z1905" s="37" t="n">
        <x:v>8747339.298458826</x:v>
      </x:c>
      <x:c r="AA1905" s="37" t="n">
        <x:v>0</x:v>
      </x:c>
      <x:c r="AB1905" s="37" t="n">
        <x:v>8747339.298458826</x:v>
      </x:c>
      <x:c r="AC1905" s="37" t="n">
        <x:v>3183270.460100347</x:v>
      </x:c>
      <x:c r="AD1905" s="37" t="n">
        <x:v>0</x:v>
      </x:c>
      <x:c r="AE1905" s="37" t="n">
        <x:v>0</x:v>
      </x:c>
      <x:c r="AF1905" s="47" t="b">
        <x:v>0</x:v>
      </x:c>
      <x:c r="AG1905" s="47" t="b">
        <x:v>0</x:v>
      </x:c>
      <x:c r="AH1905" s="48" t="n">
        <x:v>0</x:v>
      </x:c>
      <x:c r="AI1905" s="48" t="n">
        <x:v>1.1920928955078125e-7</x:v>
      </x:c>
      <x:c r="AJ1905" s="37" t="str">
        <x:v>passed</x:v>
      </x:c>
    </x:row>
    <x:row r="1906" ht="21" customHeight="1">
      <x:c r="A1906" s="2"/>
      <x:c r="B1906" s="2"/>
      <x:c r="C1906" s="2" t="str">
        <x:v>2023</x:v>
      </x:c>
      <x:c r="D1906" s="5" t="n">
        <x:v>45254</x:v>
      </x:c>
      <x:c r="E1906" s="2" t="str">
        <x:v>constrained</x:v>
      </x:c>
      <x:c r="F1906" s="37" t="n">
        <x:v>14045192.651841562</x:v>
      </x:c>
      <x:c r="G1906" s="37" t="n">
        <x:v>-2213227.975747865</x:v>
      </x:c>
      <x:c r="H1906" s="37" t="n">
        <x:v>-8190.077082811079</x:v>
      </x:c>
      <x:c r="I1906" s="37" t="n">
        <x:v>-2205037.8986650542</x:v>
      </x:c>
      <x:c r="J1906" s="37" t="n">
        <x:v>8473573.061051369</x:v>
      </x:c>
      <x:c r="K1906" s="37" t="n">
        <x:v>10686801.036799235</x:v>
      </x:c>
      <x:c r="L1906" s="37" t="n">
        <x:v>11831964.676093698</x:v>
      </x:c>
      <x:c r="M1906" s="37" t="n">
        <x:v>0</x:v>
      </x:c>
      <x:c r="N1906" s="37" t="n">
        <x:v>0</x:v>
      </x:c>
      <x:c r="O1906" s="37" t="n">
        <x:v>1539.0726944413036</x:v>
      </x:c>
      <x:c r="P1906" s="37" t="n">
        <x:v>0</x:v>
      </x:c>
      <x:c r="Q1906" s="37" t="n">
        <x:v>0</x:v>
      </x:c>
      <x:c r="R1906" s="37" t="n">
        <x:v>0</x:v>
      </x:c>
      <x:c r="S1906" s="37" t="n">
        <x:v>0</x:v>
      </x:c>
      <x:c r="T1906" s="37" t="n">
        <x:v>0</x:v>
      </x:c>
      <x:c r="U1906" s="37" t="n">
        <x:v>17255.654138498503</x:v>
      </x:c>
      <x:c r="V1906" s="37" t="n">
        <x:v>2000000</x:v>
      </x:c>
      <x:c r="W1906" s="37" t="n">
        <x:v>212139.8640839178</x:v>
      </x:c>
      <x:c r="X1906" s="37" t="n">
        <x:v>0</x:v>
      </x:c>
      <x:c r="Y1906" s="37" t="n">
        <x:v>2219.494920369951</x:v>
      </x:c>
      <x:c r="Z1906" s="37" t="n">
        <x:v>10900537.05753522</x:v>
      </x:c>
      <x:c r="AA1906" s="37" t="n">
        <x:v>0</x:v>
      </x:c>
      <x:c r="AB1906" s="37" t="n">
        <x:v>10900537.05753522</x:v>
      </x:c>
      <x:c r="AC1906" s="37" t="n">
        <x:v>3144655.5943063423</x:v>
      </x:c>
      <x:c r="AD1906" s="37" t="n">
        <x:v>0</x:v>
      </x:c>
      <x:c r="AE1906" s="37" t="n">
        <x:v>0</x:v>
      </x:c>
      <x:c r="AF1906" s="47" t="b">
        <x:v>0</x:v>
      </x:c>
      <x:c r="AG1906" s="47" t="b">
        <x:v>0</x:v>
      </x:c>
      <x:c r="AH1906" s="48" t="n">
        <x:v>0</x:v>
      </x:c>
      <x:c r="AI1906" s="48" t="n">
        <x:v>1.1920928955078125e-7</x:v>
      </x:c>
      <x:c r="AJ1906" s="37" t="str">
        <x:v>passed</x:v>
      </x:c>
    </x:row>
    <x:row r="1907" ht="21" customHeight="1">
      <x:c r="A1907" s="2"/>
      <x:c r="B1907" s="2"/>
      <x:c r="C1907" s="2" t="str">
        <x:v>2023</x:v>
      </x:c>
      <x:c r="D1907" s="5" t="n">
        <x:v>45257</x:v>
      </x:c>
      <x:c r="E1907" s="2" t="str">
        <x:v>unhedged</x:v>
      </x:c>
      <x:c r="F1907" s="37" t="n">
        <x:v>3352307.8818515474</x:v>
      </x:c>
      <x:c r="G1907" s="37" t="n">
        <x:v>8412695.344207812</x:v>
      </x:c>
      <x:c r="H1907" s="37" t="n">
        <x:v>24533.564261825133</x:v>
      </x:c>
      <x:c r="I1907" s="37" t="n">
        <x:v>8388161.779945987</x:v>
      </x:c>
      <x:c r="J1907" s="37" t="n">
        <x:v>8412695.344207812</x:v>
      </x:c>
      <x:c r="K1907" s="37" t="n">
        <x:v>0</x:v>
      </x:c>
      <x:c r="L1907" s="37" t="n">
        <x:v>11765003.226059359</x:v>
      </x:c>
      <x:c r="M1907" s="37" t="n">
        <x:v>0</x:v>
      </x:c>
      <x:c r="N1907" s="37" t="n">
        <x:v>0</x:v>
      </x:c>
      <x:c r="O1907" s="37" t="n">
        <x:v>551.003924251534</x:v>
      </x:c>
      <x:c r="P1907" s="37" t="n">
        <x:v>0</x:v>
      </x:c>
      <x:c r="Q1907" s="37" t="n">
        <x:v>0</x:v>
      </x:c>
      <x:c r="R1907" s="37" t="n">
        <x:v>0</x:v>
      </x:c>
      <x:c r="S1907" s="37" t="n">
        <x:v>0</x:v>
      </x:c>
      <x:c r="T1907" s="37" t="n">
        <x:v>0</x:v>
      </x:c>
      <x:c r="U1907" s="37" t="n">
        <x:v>127500</x:v>
      </x:c>
      <x:c r="V1907" s="37" t="n">
        <x:v>2000000</x:v>
      </x:c>
      <x:c r="W1907" s="37" t="n">
        <x:v>25850.751193669625</x:v>
      </x:c>
      <x:c r="X1907" s="37" t="n">
        <x:v>0</x:v>
      </x:c>
      <x:c r="Y1907" s="37" t="n">
        <x:v>1042.869342122179</x:v>
      </x:c>
      <x:c r="Z1907" s="37" t="n">
        <x:v>0</x:v>
      </x:c>
      <x:c r="AA1907" s="37" t="n">
        <x:v>0</x:v>
      </x:c>
      <x:c r="AB1907" s="37" t="n">
        <x:v>0</x:v>
      </x:c>
      <x:c r="AC1907" s="37" t="n">
        <x:v>3352307.8818515474</x:v>
      </x:c>
      <x:c r="AD1907" s="37" t="n">
        <x:v>0</x:v>
      </x:c>
      <x:c r="AE1907" s="37" t="n">
        <x:v>0</x:v>
      </x:c>
      <x:c r="AF1907" s="47" t="b">
        <x:v>0</x:v>
      </x:c>
      <x:c r="AG1907" s="47" t="b">
        <x:v>0</x:v>
      </x:c>
      <x:c r="AH1907" s="48" t="n">
        <x:v>0</x:v>
      </x:c>
      <x:c r="AI1907" s="48" t="n">
        <x:v>1.1920928955078125e-7</x:v>
      </x:c>
      <x:c r="AJ1907" s="37" t="str">
        <x:v>passed</x:v>
      </x:c>
    </x:row>
    <x:row r="1908" ht="21" customHeight="1">
      <x:c r="A1908" s="2"/>
      <x:c r="B1908" s="2"/>
      <x:c r="C1908" s="2" t="str">
        <x:v>2023</x:v>
      </x:c>
      <x:c r="D1908" s="5" t="n">
        <x:v>45257</x:v>
      </x:c>
      <x:c r="E1908" s="2" t="str">
        <x:v>duration</x:v>
      </x:c>
      <x:c r="F1908" s="37" t="n">
        <x:v>9638401.584071135</x:v>
      </x:c>
      <x:c r="G1908" s="37" t="n">
        <x:v>2296621.4500920014</x:v>
      </x:c>
      <x:c r="H1908" s="37" t="n">
        <x:v>21057.361995761756</x:v>
      </x:c>
      <x:c r="I1908" s="37" t="n">
        <x:v>2275564.0880962396</x:v>
      </x:c>
      <x:c r="J1908" s="37" t="n">
        <x:v>8412695.344207812</x:v>
      </x:c>
      <x:c r="K1908" s="37" t="n">
        <x:v>6116073.894115811</x:v>
      </x:c>
      <x:c r="L1908" s="37" t="n">
        <x:v>11935023.034163136</x:v>
      </x:c>
      <x:c r="M1908" s="37" t="n">
        <x:v>0</x:v>
      </x:c>
      <x:c r="N1908" s="37" t="n">
        <x:v>0</x:v>
      </x:c>
      <x:c r="O1908" s="37" t="n">
        <x:v>1584.2211644966155</x:v>
      </x:c>
      <x:c r="P1908" s="37" t="n">
        <x:v>0</x:v>
      </x:c>
      <x:c r="Q1908" s="37" t="n">
        <x:v>0</x:v>
      </x:c>
      <x:c r="R1908" s="37" t="n">
        <x:v>0</x:v>
      </x:c>
      <x:c r="S1908" s="37" t="n">
        <x:v>0</x:v>
      </x:c>
      <x:c r="T1908" s="37" t="n">
        <x:v>0</x:v>
      </x:c>
      <x:c r="U1908" s="37" t="n">
        <x:v>20944.980443102446</x:v>
      </x:c>
      <x:c r="V1908" s="37" t="n">
        <x:v>2000000</x:v>
      </x:c>
      <x:c r="W1908" s="37" t="n">
        <x:v>141355.44401670154</x:v>
      </x:c>
      <x:c r="X1908" s="37" t="n">
        <x:v>0</x:v>
      </x:c>
      <x:c r="Y1908" s="37" t="n">
        <x:v>1740.677505458311</x:v>
      </x:c>
      <x:c r="Z1908" s="37" t="n">
        <x:v>6238395.371998128</x:v>
      </x:c>
      <x:c r="AA1908" s="37" t="n">
        <x:v>0</x:v>
      </x:c>
      <x:c r="AB1908" s="37" t="n">
        <x:v>6238395.371998128</x:v>
      </x:c>
      <x:c r="AC1908" s="37" t="n">
        <x:v>3400006.2120730076</x:v>
      </x:c>
      <x:c r="AD1908" s="37" t="n">
        <x:v>0</x:v>
      </x:c>
      <x:c r="AE1908" s="37" t="n">
        <x:v>0</x:v>
      </x:c>
      <x:c r="AF1908" s="47" t="b">
        <x:v>0</x:v>
      </x:c>
      <x:c r="AG1908" s="47" t="b">
        <x:v>0</x:v>
      </x:c>
      <x:c r="AH1908" s="48" t="n">
        <x:v>0</x:v>
      </x:c>
      <x:c r="AI1908" s="48" t="n">
        <x:v>1.1920928955078125e-7</x:v>
      </x:c>
      <x:c r="AJ1908" s="37" t="str">
        <x:v>passed</x:v>
      </x:c>
    </x:row>
    <x:row r="1909" ht="21" customHeight="1">
      <x:c r="A1909" s="2"/>
      <x:c r="B1909" s="2"/>
      <x:c r="C1909" s="2" t="str">
        <x:v>2023</x:v>
      </x:c>
      <x:c r="D1909" s="5" t="n">
        <x:v>45257</x:v>
      </x:c>
      <x:c r="E1909" s="2" t="str">
        <x:v>unweighted</x:v>
      </x:c>
      <x:c r="F1909" s="37" t="n">
        <x:v>11932571.062148634</x:v>
      </x:c>
      <x:c r="G1909" s="37" t="n">
        <x:v>-78723.4261421518</x:v>
      </x:c>
      <x:c r="H1909" s="37" t="n">
        <x:v>-2972.9058187899677</x:v>
      </x:c>
      <x:c r="I1909" s="37" t="n">
        <x:v>-75750.52032336184</x:v>
      </x:c>
      <x:c r="J1909" s="37" t="n">
        <x:v>8549428.173643943</x:v>
      </x:c>
      <x:c r="K1909" s="37" t="n">
        <x:v>8628151.599786095</x:v>
      </x:c>
      <x:c r="L1909" s="37" t="n">
        <x:v>11853847.636006482</x:v>
      </x:c>
      <x:c r="M1909" s="37" t="n">
        <x:v>0</x:v>
      </x:c>
      <x:c r="N1909" s="37" t="n">
        <x:v>0</x:v>
      </x:c>
      <x:c r="O1909" s="37" t="n">
        <x:v>1961.3035894613713</x:v>
      </x:c>
      <x:c r="P1909" s="37" t="n">
        <x:v>0</x:v>
      </x:c>
      <x:c r="Q1909" s="37" t="n">
        <x:v>0</x:v>
      </x:c>
      <x:c r="R1909" s="37" t="n">
        <x:v>0</x:v>
      </x:c>
      <x:c r="S1909" s="37" t="n">
        <x:v>0</x:v>
      </x:c>
      <x:c r="T1909" s="37" t="n">
        <x:v>0</x:v>
      </x:c>
      <x:c r="U1909" s="37" t="n">
        <x:v>17113.035705848495</x:v>
      </x:c>
      <x:c r="V1909" s="37" t="n">
        <x:v>2000000</x:v>
      </x:c>
      <x:c r="W1909" s="37" t="n">
        <x:v>202590.82400857285</x:v>
      </x:c>
      <x:c r="X1909" s="37" t="n">
        <x:v>0</x:v>
      </x:c>
      <x:c r="Y1909" s="37" t="n">
        <x:v>2316.0970281288896</x:v>
      </x:c>
      <x:c r="Z1909" s="37" t="n">
        <x:v>8800714.631781816</x:v>
      </x:c>
      <x:c r="AA1909" s="37" t="n">
        <x:v>0</x:v>
      </x:c>
      <x:c r="AB1909" s="37" t="n">
        <x:v>8800714.631781816</x:v>
      </x:c>
      <x:c r="AC1909" s="37" t="n">
        <x:v>3131856.430366818</x:v>
      </x:c>
      <x:c r="AD1909" s="37" t="n">
        <x:v>0</x:v>
      </x:c>
      <x:c r="AE1909" s="37" t="n">
        <x:v>0</x:v>
      </x:c>
      <x:c r="AF1909" s="47" t="b">
        <x:v>0</x:v>
      </x:c>
      <x:c r="AG1909" s="47" t="b">
        <x:v>0</x:v>
      </x:c>
      <x:c r="AH1909" s="48" t="n">
        <x:v>0</x:v>
      </x:c>
      <x:c r="AI1909" s="48" t="n">
        <x:v>1.1920928955078125e-7</x:v>
      </x:c>
      <x:c r="AJ1909" s="37" t="str">
        <x:v>passed</x:v>
      </x:c>
    </x:row>
    <x:row r="1910" ht="21" customHeight="1">
      <x:c r="A1910" s="2"/>
      <x:c r="B1910" s="2"/>
      <x:c r="C1910" s="2" t="str">
        <x:v>2023</x:v>
      </x:c>
      <x:c r="D1910" s="5" t="n">
        <x:v>45257</x:v>
      </x:c>
      <x:c r="E1910" s="2" t="str">
        <x:v>constrained</x:v>
      </x:c>
      <x:c r="F1910" s="37" t="n">
        <x:v>14047501.577145483</x:v>
      </x:c>
      <x:c r="G1910" s="37" t="n">
        <x:v>-2214585.0548874927</x:v>
      </x:c>
      <x:c r="H1910" s="37" t="n">
        <x:v>-8367.126552418897</x:v>
      </x:c>
      <x:c r="I1910" s="37" t="n">
        <x:v>-2206217.928335074</x:v>
      </x:c>
      <x:c r="J1910" s="37" t="n">
        <x:v>8524050.33162469</x:v>
      </x:c>
      <x:c r="K1910" s="37" t="n">
        <x:v>10738635.386512183</x:v>
      </x:c>
      <x:c r="L1910" s="37" t="n">
        <x:v>11832916.522257991</x:v>
      </x:c>
      <x:c r="M1910" s="37" t="n">
        <x:v>0</x:v>
      </x:c>
      <x:c r="N1910" s="37" t="n">
        <x:v>0</x:v>
      </x:c>
      <x:c r="O1910" s="37" t="n">
        <x:v>2308.9253039211035</x:v>
      </x:c>
      <x:c r="P1910" s="37" t="n">
        <x:v>0</x:v>
      </x:c>
      <x:c r="Q1910" s="37" t="n">
        <x:v>0</x:v>
      </x:c>
      <x:c r="R1910" s="37" t="n">
        <x:v>0</x:v>
      </x:c>
      <x:c r="S1910" s="37" t="n">
        <x:v>0</x:v>
      </x:c>
      <x:c r="T1910" s="37" t="n">
        <x:v>0</x:v>
      </x:c>
      <x:c r="U1910" s="37" t="n">
        <x:v>17255.654138498503</x:v>
      </x:c>
      <x:c r="V1910" s="37" t="n">
        <x:v>2000000</x:v>
      </x:c>
      <x:c r="W1910" s="37" t="n">
        <x:v>214448.78938783891</x:v>
      </x:c>
      <x:c r="X1910" s="37" t="n">
        <x:v>0</x:v>
      </x:c>
      <x:c r="Y1910" s="37" t="n">
        <x:v>2219.494920369951</x:v>
      </x:c>
      <x:c r="Z1910" s="37" t="n">
        <x:v>10953408.094242426</x:v>
      </x:c>
      <x:c r="AA1910" s="37" t="n">
        <x:v>0</x:v>
      </x:c>
      <x:c r="AB1910" s="37" t="n">
        <x:v>10953408.094242426</x:v>
      </x:c>
      <x:c r="AC1910" s="37" t="n">
        <x:v>3094093.4829030577</x:v>
      </x:c>
      <x:c r="AD1910" s="37" t="n">
        <x:v>0</x:v>
      </x:c>
      <x:c r="AE1910" s="37" t="n">
        <x:v>0</x:v>
      </x:c>
      <x:c r="AF1910" s="47" t="b">
        <x:v>0</x:v>
      </x:c>
      <x:c r="AG1910" s="47" t="b">
        <x:v>0</x:v>
      </x:c>
      <x:c r="AH1910" s="48" t="n">
        <x:v>0</x:v>
      </x:c>
      <x:c r="AI1910" s="48" t="n">
        <x:v>1.1920928955078125e-7</x:v>
      </x:c>
      <x:c r="AJ1910" s="37" t="str">
        <x:v>passed</x:v>
      </x:c>
    </x:row>
    <x:row r="1911" ht="21" customHeight="1">
      <x:c r="A1911" s="2"/>
      <x:c r="B1911" s="2"/>
      <x:c r="C1911" s="2" t="str">
        <x:v>2023</x:v>
      </x:c>
      <x:c r="D1911" s="5" t="n">
        <x:v>45258</x:v>
      </x:c>
      <x:c r="E1911" s="2" t="str">
        <x:v>unhedged</x:v>
      </x:c>
      <x:c r="F1911" s="37" t="n">
        <x:v>3352491.5699546626</x:v>
      </x:c>
      <x:c r="G1911" s="37" t="n">
        <x:v>8444141.31528163</x:v>
      </x:c>
      <x:c r="H1911" s="37" t="n">
        <x:v>24860.99498327759</x:v>
      </x:c>
      <x:c r="I1911" s="37" t="n">
        <x:v>8419280.320298351</x:v>
      </x:c>
      <x:c r="J1911" s="37" t="n">
        <x:v>8444141.31528163</x:v>
      </x:c>
      <x:c r="K1911" s="37" t="n">
        <x:v>0</x:v>
      </x:c>
      <x:c r="L1911" s="37" t="n">
        <x:v>11796632.885236293</x:v>
      </x:c>
      <x:c r="M1911" s="37" t="n">
        <x:v>0</x:v>
      </x:c>
      <x:c r="N1911" s="37" t="n">
        <x:v>0</x:v>
      </x:c>
      <x:c r="O1911" s="37" t="n">
        <x:v>183.6881031151861</x:v>
      </x:c>
      <x:c r="P1911" s="37" t="n">
        <x:v>0</x:v>
      </x:c>
      <x:c r="Q1911" s="37" t="n">
        <x:v>0</x:v>
      </x:c>
      <x:c r="R1911" s="37" t="n">
        <x:v>0</x:v>
      </x:c>
      <x:c r="S1911" s="37" t="n">
        <x:v>0</x:v>
      </x:c>
      <x:c r="T1911" s="37" t="n">
        <x:v>0</x:v>
      </x:c>
      <x:c r="U1911" s="37" t="n">
        <x:v>127500</x:v>
      </x:c>
      <x:c r="V1911" s="37" t="n">
        <x:v>2000000</x:v>
      </x:c>
      <x:c r="W1911" s="37" t="n">
        <x:v>26034.43929678481</x:v>
      </x:c>
      <x:c r="X1911" s="37" t="n">
        <x:v>0</x:v>
      </x:c>
      <x:c r="Y1911" s="37" t="n">
        <x:v>1042.869342122179</x:v>
      </x:c>
      <x:c r="Z1911" s="37" t="n">
        <x:v>0</x:v>
      </x:c>
      <x:c r="AA1911" s="37" t="n">
        <x:v>0</x:v>
      </x:c>
      <x:c r="AB1911" s="37" t="n">
        <x:v>0</x:v>
      </x:c>
      <x:c r="AC1911" s="37" t="n">
        <x:v>3352491.5699546626</x:v>
      </x:c>
      <x:c r="AD1911" s="37" t="n">
        <x:v>0</x:v>
      </x:c>
      <x:c r="AE1911" s="37" t="n">
        <x:v>0</x:v>
      </x:c>
      <x:c r="AF1911" s="47" t="b">
        <x:v>0</x:v>
      </x:c>
      <x:c r="AG1911" s="47" t="b">
        <x:v>0</x:v>
      </x:c>
      <x:c r="AH1911" s="48" t="n">
        <x:v>0</x:v>
      </x:c>
      <x:c r="AI1911" s="48" t="n">
        <x:v>1.1920928955078125e-7</x:v>
      </x:c>
      <x:c r="AJ1911" s="37" t="str">
        <x:v>passed</x:v>
      </x:c>
    </x:row>
    <x:row r="1912" ht="21" customHeight="1">
      <x:c r="A1912" s="2"/>
      <x:c r="B1912" s="2"/>
      <x:c r="C1912" s="2" t="str">
        <x:v>2023</x:v>
      </x:c>
      <x:c r="D1912" s="5" t="n">
        <x:v>45258</x:v>
      </x:c>
      <x:c r="E1912" s="2" t="str">
        <x:v>duration</x:v>
      </x:c>
      <x:c r="F1912" s="37" t="n">
        <x:v>9638929.715664783</x:v>
      </x:c>
      <x:c r="G1912" s="37" t="n">
        <x:v>2304375.522005272</x:v>
      </x:c>
      <x:c r="H1912" s="37" t="n">
        <x:v>21095.109195042263</x:v>
      </x:c>
      <x:c r="I1912" s="37" t="n">
        <x:v>2283280.4128102297</x:v>
      </x:c>
      <x:c r="J1912" s="37" t="n">
        <x:v>8444141.31528163</x:v>
      </x:c>
      <x:c r="K1912" s="37" t="n">
        <x:v>6139765.793276357</x:v>
      </x:c>
      <x:c r="L1912" s="37" t="n">
        <x:v>11943305.237670057</x:v>
      </x:c>
      <x:c r="M1912" s="37" t="n">
        <x:v>0</x:v>
      </x:c>
      <x:c r="N1912" s="37" t="n">
        <x:v>0</x:v>
      </x:c>
      <x:c r="O1912" s="37" t="n">
        <x:v>528.1315936483443</x:v>
      </x:c>
      <x:c r="P1912" s="37" t="n">
        <x:v>0</x:v>
      </x:c>
      <x:c r="Q1912" s="37" t="n">
        <x:v>0</x:v>
      </x:c>
      <x:c r="R1912" s="37" t="n">
        <x:v>0</x:v>
      </x:c>
      <x:c r="S1912" s="37" t="n">
        <x:v>0</x:v>
      </x:c>
      <x:c r="T1912" s="37" t="n">
        <x:v>0</x:v>
      </x:c>
      <x:c r="U1912" s="37" t="n">
        <x:v>20944.980443102446</x:v>
      </x:c>
      <x:c r="V1912" s="37" t="n">
        <x:v>2000000</x:v>
      </x:c>
      <x:c r="W1912" s="37" t="n">
        <x:v>141883.5756103499</x:v>
      </x:c>
      <x:c r="X1912" s="37" t="n">
        <x:v>0</x:v>
      </x:c>
      <x:c r="Y1912" s="37" t="n">
        <x:v>1740.677505458311</x:v>
      </x:c>
      <x:c r="Z1912" s="37" t="n">
        <x:v>6262561.109141884</x:v>
      </x:c>
      <x:c r="AA1912" s="37" t="n">
        <x:v>0</x:v>
      </x:c>
      <x:c r="AB1912" s="37" t="n">
        <x:v>6262561.109141884</x:v>
      </x:c>
      <x:c r="AC1912" s="37" t="n">
        <x:v>3376368.606522899</x:v>
      </x:c>
      <x:c r="AD1912" s="37" t="n">
        <x:v>0</x:v>
      </x:c>
      <x:c r="AE1912" s="37" t="n">
        <x:v>0</x:v>
      </x:c>
      <x:c r="AF1912" s="47" t="b">
        <x:v>0</x:v>
      </x:c>
      <x:c r="AG1912" s="47" t="b">
        <x:v>0</x:v>
      </x:c>
      <x:c r="AH1912" s="48" t="n">
        <x:v>0</x:v>
      </x:c>
      <x:c r="AI1912" s="48" t="n">
        <x:v>1.1920928955078125e-7</x:v>
      </x:c>
      <x:c r="AJ1912" s="37" t="str">
        <x:v>passed</x:v>
      </x:c>
    </x:row>
    <x:row r="1913" ht="21" customHeight="1">
      <x:c r="A1913" s="2"/>
      <x:c r="B1913" s="2"/>
      <x:c r="C1913" s="2" t="str">
        <x:v>2023</x:v>
      </x:c>
      <x:c r="D1913" s="5" t="n">
        <x:v>45258</x:v>
      </x:c>
      <x:c r="E1913" s="2" t="str">
        <x:v>unweighted</x:v>
      </x:c>
      <x:c r="F1913" s="37" t="n">
        <x:v>11933224.90165889</x:v>
      </x:c>
      <x:c r="G1913" s="37" t="n">
        <x:v>-78948.11386554076</x:v>
      </x:c>
      <x:c r="H1913" s="37" t="n">
        <x:v>-3008.251735123394</x:v>
      </x:c>
      <x:c r="I1913" s="37" t="n">
        <x:v>-75939.86213041736</x:v>
      </x:c>
      <x:c r="J1913" s="37" t="n">
        <x:v>8581228.366873614</x:v>
      </x:c>
      <x:c r="K1913" s="37" t="n">
        <x:v>8660176.480739156</x:v>
      </x:c>
      <x:c r="L1913" s="37" t="n">
        <x:v>11854276.78779335</x:v>
      </x:c>
      <x:c r="M1913" s="37" t="n">
        <x:v>0</x:v>
      </x:c>
      <x:c r="N1913" s="37" t="n">
        <x:v>0</x:v>
      </x:c>
      <x:c r="O1913" s="37" t="n">
        <x:v>653.8395102564245</x:v>
      </x:c>
      <x:c r="P1913" s="37" t="n">
        <x:v>0</x:v>
      </x:c>
      <x:c r="Q1913" s="37" t="n">
        <x:v>0</x:v>
      </x:c>
      <x:c r="R1913" s="37" t="n">
        <x:v>0</x:v>
      </x:c>
      <x:c r="S1913" s="37" t="n">
        <x:v>0</x:v>
      </x:c>
      <x:c r="T1913" s="37" t="n">
        <x:v>0</x:v>
      </x:c>
      <x:c r="U1913" s="37" t="n">
        <x:v>17113.035705848495</x:v>
      </x:c>
      <x:c r="V1913" s="37" t="n">
        <x:v>2000000</x:v>
      </x:c>
      <x:c r="W1913" s="37" t="n">
        <x:v>203244.66351882927</x:v>
      </x:c>
      <x:c r="X1913" s="37" t="n">
        <x:v>0</x:v>
      </x:c>
      <x:c r="Y1913" s="37" t="n">
        <x:v>2316.0970281288896</x:v>
      </x:c>
      <x:c r="Z1913" s="37" t="n">
        <x:v>8833380.01035394</x:v>
      </x:c>
      <x:c r="AA1913" s="37" t="n">
        <x:v>0</x:v>
      </x:c>
      <x:c r="AB1913" s="37" t="n">
        <x:v>8833380.01035394</x:v>
      </x:c>
      <x:c r="AC1913" s="37" t="n">
        <x:v>3099844.891304951</x:v>
      </x:c>
      <x:c r="AD1913" s="37" t="n">
        <x:v>0</x:v>
      </x:c>
      <x:c r="AE1913" s="37" t="n">
        <x:v>0</x:v>
      </x:c>
      <x:c r="AF1913" s="47" t="b">
        <x:v>0</x:v>
      </x:c>
      <x:c r="AG1913" s="47" t="b">
        <x:v>0</x:v>
      </x:c>
      <x:c r="AH1913" s="48" t="n">
        <x:v>0</x:v>
      </x:c>
      <x:c r="AI1913" s="48" t="n">
        <x:v>1.1920928955078125e-7</x:v>
      </x:c>
      <x:c r="AJ1913" s="37" t="str">
        <x:v>passed</x:v>
      </x:c>
    </x:row>
    <x:row r="1914" ht="21" customHeight="1">
      <x:c r="A1914" s="2"/>
      <x:c r="B1914" s="2"/>
      <x:c r="C1914" s="2" t="str">
        <x:v>2023</x:v>
      </x:c>
      <x:c r="D1914" s="5" t="n">
        <x:v>45258</x:v>
      </x:c>
      <x:c r="E1914" s="2" t="str">
        <x:v>constrained</x:v>
      </x:c>
      <x:c r="F1914" s="37" t="n">
        <x:v>14048271.303259302</x:v>
      </x:c>
      <x:c r="G1914" s="37" t="n">
        <x:v>-2214655.8405426675</x:v>
      </x:c>
      <x:c r="H1914" s="37" t="n">
        <x:v>-8426.143042288175</x:v>
      </x:c>
      <x:c r="I1914" s="37" t="n">
        <x:v>-2206229.6975003793</x:v>
      </x:c>
      <x:c r="J1914" s="37" t="n">
        <x:v>8555786.69107837</x:v>
      </x:c>
      <x:c r="K1914" s="37" t="n">
        <x:v>10770442.531621039</x:v>
      </x:c>
      <x:c r="L1914" s="37" t="n">
        <x:v>11833615.462716635</x:v>
      </x:c>
      <x:c r="M1914" s="37" t="n">
        <x:v>0</x:v>
      </x:c>
      <x:c r="N1914" s="37" t="n">
        <x:v>0</x:v>
      </x:c>
      <x:c r="O1914" s="37" t="n">
        <x:v>769.7261138185859</x:v>
      </x:c>
      <x:c r="P1914" s="37" t="n">
        <x:v>0</x:v>
      </x:c>
      <x:c r="Q1914" s="37" t="n">
        <x:v>0</x:v>
      </x:c>
      <x:c r="R1914" s="37" t="n">
        <x:v>0</x:v>
      </x:c>
      <x:c r="S1914" s="37" t="n">
        <x:v>0</x:v>
      </x:c>
      <x:c r="T1914" s="37" t="n">
        <x:v>0</x:v>
      </x:c>
      <x:c r="U1914" s="37" t="n">
        <x:v>17255.654138498503</x:v>
      </x:c>
      <x:c r="V1914" s="37" t="n">
        <x:v>2000000</x:v>
      </x:c>
      <x:c r="W1914" s="37" t="n">
        <x:v>215218.5155016575</x:v>
      </x:c>
      <x:c r="X1914" s="37" t="n">
        <x:v>0</x:v>
      </x:c>
      <x:c r="Y1914" s="37" t="n">
        <x:v>2219.494920369951</x:v>
      </x:c>
      <x:c r="Z1914" s="37" t="n">
        <x:v>10985851.38225346</x:v>
      </x:c>
      <x:c r="AA1914" s="37" t="n">
        <x:v>0</x:v>
      </x:c>
      <x:c r="AB1914" s="37" t="n">
        <x:v>10985851.38225346</x:v>
      </x:c>
      <x:c r="AC1914" s="37" t="n">
        <x:v>3062419.9210058413</x:v>
      </x:c>
      <x:c r="AD1914" s="37" t="n">
        <x:v>0</x:v>
      </x:c>
      <x:c r="AE1914" s="37" t="n">
        <x:v>0</x:v>
      </x:c>
      <x:c r="AF1914" s="47" t="b">
        <x:v>0</x:v>
      </x:c>
      <x:c r="AG1914" s="47" t="b">
        <x:v>0</x:v>
      </x:c>
      <x:c r="AH1914" s="48" t="n">
        <x:v>0</x:v>
      </x:c>
      <x:c r="AI1914" s="48" t="n">
        <x:v>1.1920928955078125e-7</x:v>
      </x:c>
      <x:c r="AJ1914" s="37" t="str">
        <x:v>passed</x:v>
      </x:c>
    </x:row>
    <x:row r="1915" ht="21" customHeight="1">
      <x:c r="A1915" s="2"/>
      <x:c r="B1915" s="2"/>
      <x:c r="C1915" s="2" t="str">
        <x:v>2023</x:v>
      </x:c>
      <x:c r="D1915" s="5" t="n">
        <x:v>45259</x:v>
      </x:c>
      <x:c r="E1915" s="2" t="str">
        <x:v>unhedged</x:v>
      </x:c>
      <x:c r="F1915" s="37" t="n">
        <x:v>3352675.2681228793</x:v>
      </x:c>
      <x:c r="G1915" s="37" t="n">
        <x:v>8476086.741263421</x:v>
      </x:c>
      <x:c r="H1915" s="37" t="n">
        <x:v>25188.425704730056</x:v>
      </x:c>
      <x:c r="I1915" s="37" t="n">
        <x:v>8450898.31555869</x:v>
      </x:c>
      <x:c r="J1915" s="37" t="n">
        <x:v>8476086.741263421</x:v>
      </x:c>
      <x:c r="K1915" s="37" t="n">
        <x:v>0</x:v>
      </x:c>
      <x:c r="L1915" s="37" t="n">
        <x:v>11828762.009386301</x:v>
      </x:c>
      <x:c r="M1915" s="37" t="n">
        <x:v>0</x:v>
      </x:c>
      <x:c r="N1915" s="37" t="n">
        <x:v>0</x:v>
      </x:c>
      <x:c r="O1915" s="37" t="n">
        <x:v>183.69816821673885</x:v>
      </x:c>
      <x:c r="P1915" s="37" t="n">
        <x:v>0</x:v>
      </x:c>
      <x:c r="Q1915" s="37" t="n">
        <x:v>0</x:v>
      </x:c>
      <x:c r="R1915" s="37" t="n">
        <x:v>0</x:v>
      </x:c>
      <x:c r="S1915" s="37" t="n">
        <x:v>0</x:v>
      </x:c>
      <x:c r="T1915" s="37" t="n">
        <x:v>0</x:v>
      </x:c>
      <x:c r="U1915" s="37" t="n">
        <x:v>127500</x:v>
      </x:c>
      <x:c r="V1915" s="37" t="n">
        <x:v>2000000</x:v>
      </x:c>
      <x:c r="W1915" s="37" t="n">
        <x:v>26218.13746500155</x:v>
      </x:c>
      <x:c r="X1915" s="37" t="n">
        <x:v>0</x:v>
      </x:c>
      <x:c r="Y1915" s="37" t="n">
        <x:v>1042.869342122179</x:v>
      </x:c>
      <x:c r="Z1915" s="37" t="n">
        <x:v>0</x:v>
      </x:c>
      <x:c r="AA1915" s="37" t="n">
        <x:v>0</x:v>
      </x:c>
      <x:c r="AB1915" s="37" t="n">
        <x:v>0</x:v>
      </x:c>
      <x:c r="AC1915" s="37" t="n">
        <x:v>3352675.2681228793</x:v>
      </x:c>
      <x:c r="AD1915" s="37" t="n">
        <x:v>0</x:v>
      </x:c>
      <x:c r="AE1915" s="37" t="n">
        <x:v>0</x:v>
      </x:c>
      <x:c r="AF1915" s="47" t="b">
        <x:v>0</x:v>
      </x:c>
      <x:c r="AG1915" s="47" t="b">
        <x:v>0</x:v>
      </x:c>
      <x:c r="AH1915" s="48" t="n">
        <x:v>0</x:v>
      </x:c>
      <x:c r="AI1915" s="48" t="n">
        <x:v>1.1920928955078125e-7</x:v>
      </x:c>
      <x:c r="AJ1915" s="37" t="str">
        <x:v>passed</x:v>
      </x:c>
    </x:row>
    <x:row r="1916" ht="21" customHeight="1">
      <x:c r="A1916" s="2"/>
      <x:c r="B1916" s="2"/>
      <x:c r="C1916" s="2" t="str">
        <x:v>2023</x:v>
      </x:c>
      <x:c r="D1916" s="5" t="n">
        <x:v>45259</x:v>
      </x:c>
      <x:c r="E1916" s="2" t="str">
        <x:v>duration</x:v>
      </x:c>
      <x:c r="F1916" s="37" t="n">
        <x:v>9639457.87619715</x:v>
      </x:c>
      <x:c r="G1916" s="37" t="n">
        <x:v>2307140.6944039436</x:v>
      </x:c>
      <x:c r="H1916" s="37" t="n">
        <x:v>21132.856394322782</x:v>
      </x:c>
      <x:c r="I1916" s="37" t="n">
        <x:v>2286007.838009621</x:v>
      </x:c>
      <x:c r="J1916" s="37" t="n">
        <x:v>8476086.741263421</x:v>
      </x:c>
      <x:c r="K1916" s="37" t="n">
        <x:v>6168946.046859478</x:v>
      </x:c>
      <x:c r="L1916" s="37" t="n">
        <x:v>11946598.570601095</x:v>
      </x:c>
      <x:c r="M1916" s="37" t="n">
        <x:v>0</x:v>
      </x:c>
      <x:c r="N1916" s="37" t="n">
        <x:v>0</x:v>
      </x:c>
      <x:c r="O1916" s="37" t="n">
        <x:v>528.1605323664844</x:v>
      </x:c>
      <x:c r="P1916" s="37" t="n">
        <x:v>0</x:v>
      </x:c>
      <x:c r="Q1916" s="37" t="n">
        <x:v>0</x:v>
      </x:c>
      <x:c r="R1916" s="37" t="n">
        <x:v>0</x:v>
      </x:c>
      <x:c r="S1916" s="37" t="n">
        <x:v>0</x:v>
      </x:c>
      <x:c r="T1916" s="37" t="n">
        <x:v>0</x:v>
      </x:c>
      <x:c r="U1916" s="37" t="n">
        <x:v>20944.980443102446</x:v>
      </x:c>
      <x:c r="V1916" s="37" t="n">
        <x:v>2000000</x:v>
      </x:c>
      <x:c r="W1916" s="37" t="n">
        <x:v>142411.73614271637</x:v>
      </x:c>
      <x:c r="X1916" s="37" t="n">
        <x:v>0</x:v>
      </x:c>
      <x:c r="Y1916" s="37" t="n">
        <x:v>1740.677505458311</x:v>
      </x:c>
      <x:c r="Z1916" s="37" t="n">
        <x:v>6292324.9677966675</x:v>
      </x:c>
      <x:c r="AA1916" s="37" t="n">
        <x:v>0</x:v>
      </x:c>
      <x:c r="AB1916" s="37" t="n">
        <x:v>6292324.9677966675</x:v>
      </x:c>
      <x:c r="AC1916" s="37" t="n">
        <x:v>3347132.9084004825</x:v>
      </x:c>
      <x:c r="AD1916" s="37" t="n">
        <x:v>0</x:v>
      </x:c>
      <x:c r="AE1916" s="37" t="n">
        <x:v>0</x:v>
      </x:c>
      <x:c r="AF1916" s="47" t="b">
        <x:v>0</x:v>
      </x:c>
      <x:c r="AG1916" s="47" t="b">
        <x:v>0</x:v>
      </x:c>
      <x:c r="AH1916" s="48" t="n">
        <x:v>0</x:v>
      </x:c>
      <x:c r="AI1916" s="48" t="n">
        <x:v>1.1920928955078125e-7</x:v>
      </x:c>
      <x:c r="AJ1916" s="37" t="str">
        <x:v>passed</x:v>
      </x:c>
    </x:row>
    <x:row r="1917" ht="21" customHeight="1">
      <x:c r="A1917" s="2"/>
      <x:c r="B1917" s="2"/>
      <x:c r="C1917" s="2" t="str">
        <x:v>2023</x:v>
      </x:c>
      <x:c r="D1917" s="5" t="n">
        <x:v>45259</x:v>
      </x:c>
      <x:c r="E1917" s="2" t="str">
        <x:v>unweighted</x:v>
      </x:c>
      <x:c r="F1917" s="37" t="n">
        <x:v>11933878.77699597</x:v>
      </x:c>
      <x:c r="G1917" s="37" t="n">
        <x:v>-79220.70649381049</x:v>
      </x:c>
      <x:c r="H1917" s="37" t="n">
        <x:v>-3043.5976514568138</x:v>
      </x:c>
      <x:c r="I1917" s="37" t="n">
        <x:v>-76177.10884235367</x:v>
      </x:c>
      <x:c r="J1917" s="37" t="n">
        <x:v>8614766.013021305</x:v>
      </x:c>
      <x:c r="K1917" s="37" t="n">
        <x:v>8693986.719515115</x:v>
      </x:c>
      <x:c r="L1917" s="37" t="n">
        <x:v>11854658.07050216</x:v>
      </x:c>
      <x:c r="M1917" s="37" t="n">
        <x:v>0</x:v>
      </x:c>
      <x:c r="N1917" s="37" t="n">
        <x:v>0</x:v>
      </x:c>
      <x:c r="O1917" s="37" t="n">
        <x:v>653.8753370791674</x:v>
      </x:c>
      <x:c r="P1917" s="37" t="n">
        <x:v>0</x:v>
      </x:c>
      <x:c r="Q1917" s="37" t="n">
        <x:v>0</x:v>
      </x:c>
      <x:c r="R1917" s="37" t="n">
        <x:v>0</x:v>
      </x:c>
      <x:c r="S1917" s="37" t="n">
        <x:v>0</x:v>
      </x:c>
      <x:c r="T1917" s="37" t="n">
        <x:v>0</x:v>
      </x:c>
      <x:c r="U1917" s="37" t="n">
        <x:v>17113.035705848495</x:v>
      </x:c>
      <x:c r="V1917" s="37" t="n">
        <x:v>2000000</x:v>
      </x:c>
      <x:c r="W1917" s="37" t="n">
        <x:v>203898.53885590844</x:v>
      </x:c>
      <x:c r="X1917" s="37" t="n">
        <x:v>0</x:v>
      </x:c>
      <x:c r="Y1917" s="37" t="n">
        <x:v>2316.0970281288896</x:v>
      </x:c>
      <x:c r="Z1917" s="37" t="n">
        <x:v>8867866.453905417</x:v>
      </x:c>
      <x:c r="AA1917" s="37" t="n">
        <x:v>0</x:v>
      </x:c>
      <x:c r="AB1917" s="37" t="n">
        <x:v>8867866.453905417</x:v>
      </x:c>
      <x:c r="AC1917" s="37" t="n">
        <x:v>3066012.3230905533</x:v>
      </x:c>
      <x:c r="AD1917" s="37" t="n">
        <x:v>0</x:v>
      </x:c>
      <x:c r="AE1917" s="37" t="n">
        <x:v>0</x:v>
      </x:c>
      <x:c r="AF1917" s="47" t="b">
        <x:v>0</x:v>
      </x:c>
      <x:c r="AG1917" s="47" t="b">
        <x:v>0</x:v>
      </x:c>
      <x:c r="AH1917" s="48" t="n">
        <x:v>0</x:v>
      </x:c>
      <x:c r="AI1917" s="48" t="n">
        <x:v>1.1920928955078125e-7</x:v>
      </x:c>
      <x:c r="AJ1917" s="37" t="str">
        <x:v>passed</x:v>
      </x:c>
    </x:row>
    <x:row r="1918" ht="21" customHeight="1">
      <x:c r="A1918" s="2"/>
      <x:c r="B1918" s="2"/>
      <x:c r="C1918" s="2" t="str">
        <x:v>2023</x:v>
      </x:c>
      <x:c r="D1918" s="5" t="n">
        <x:v>45259</x:v>
      </x:c>
      <x:c r="E1918" s="2" t="str">
        <x:v>constrained</x:v>
      </x:c>
      <x:c r="F1918" s="37" t="n">
        <x:v>14049041.071549892</x:v>
      </x:c>
      <x:c r="G1918" s="37" t="n">
        <x:v>-2214520.411546943</x:v>
      </x:c>
      <x:c r="H1918" s="37" t="n">
        <x:v>-8485.159532157439</x:v>
      </x:c>
      <x:c r="I1918" s="37" t="n">
        <x:v>-2206035.2520147855</x:v>
      </x:c>
      <x:c r="J1918" s="37" t="n">
        <x:v>8589281.180230672</x:v>
      </x:c>
      <x:c r="K1918" s="37" t="n">
        <x:v>10803801.591777613</x:v>
      </x:c>
      <x:c r="L1918" s="37" t="n">
        <x:v>11834520.66000295</x:v>
      </x:c>
      <x:c r="M1918" s="37" t="n">
        <x:v>0</x:v>
      </x:c>
      <x:c r="N1918" s="37" t="n">
        <x:v>0</x:v>
      </x:c>
      <x:c r="O1918" s="37" t="n">
        <x:v>769.7682905904949</x:v>
      </x:c>
      <x:c r="P1918" s="37" t="n">
        <x:v>0</x:v>
      </x:c>
      <x:c r="Q1918" s="37" t="n">
        <x:v>0</x:v>
      </x:c>
      <x:c r="R1918" s="37" t="n">
        <x:v>0</x:v>
      </x:c>
      <x:c r="S1918" s="37" t="n">
        <x:v>0</x:v>
      </x:c>
      <x:c r="T1918" s="37" t="n">
        <x:v>0</x:v>
      </x:c>
      <x:c r="U1918" s="37" t="n">
        <x:v>17255.654138498503</x:v>
      </x:c>
      <x:c r="V1918" s="37" t="n">
        <x:v>2000000</x:v>
      </x:c>
      <x:c r="W1918" s="37" t="n">
        <x:v>215988.283792248</x:v>
      </x:c>
      <x:c r="X1918" s="37" t="n">
        <x:v>0</x:v>
      </x:c>
      <x:c r="Y1918" s="37" t="n">
        <x:v>2219.494920369951</x:v>
      </x:c>
      <x:c r="Z1918" s="37" t="n">
        <x:v>11019877.623613166</x:v>
      </x:c>
      <x:c r="AA1918" s="37" t="n">
        <x:v>0</x:v>
      </x:c>
      <x:c r="AB1918" s="37" t="n">
        <x:v>11019877.623613166</x:v>
      </x:c>
      <x:c r="AC1918" s="37" t="n">
        <x:v>3029163.4479367267</x:v>
      </x:c>
      <x:c r="AD1918" s="37" t="n">
        <x:v>0</x:v>
      </x:c>
      <x:c r="AE1918" s="37" t="n">
        <x:v>0</x:v>
      </x:c>
      <x:c r="AF1918" s="47" t="b">
        <x:v>0</x:v>
      </x:c>
      <x:c r="AG1918" s="47" t="b">
        <x:v>0</x:v>
      </x:c>
      <x:c r="AH1918" s="48" t="n">
        <x:v>0</x:v>
      </x:c>
      <x:c r="AI1918" s="48" t="n">
        <x:v>1.1920928955078125e-7</x:v>
      </x:c>
      <x:c r="AJ1918" s="37" t="str">
        <x:v>passed</x:v>
      </x:c>
    </x:row>
    <x:row r="1919" ht="21" customHeight="1">
      <x:c r="A1919" s="2"/>
      <x:c r="B1919" s="2"/>
      <x:c r="C1919" s="2" t="str">
        <x:v>2023</x:v>
      </x:c>
      <x:c r="D1919" s="5" t="n">
        <x:v>45260</x:v>
      </x:c>
      <x:c r="E1919" s="2" t="str">
        <x:v>unhedged</x:v>
      </x:c>
      <x:c r="F1919" s="37" t="n">
        <x:v>3352858.97635675</x:v>
      </x:c>
      <x:c r="G1919" s="37" t="n">
        <x:v>8438232.87476037</x:v>
      </x:c>
      <x:c r="H1919" s="37" t="n">
        <x:v>25515.856426182512</x:v>
      </x:c>
      <x:c r="I1919" s="37" t="n">
        <x:v>8412717.018334188</x:v>
      </x:c>
      <x:c r="J1919" s="37" t="n">
        <x:v>8438232.87476037</x:v>
      </x:c>
      <x:c r="K1919" s="37" t="n">
        <x:v>0</x:v>
      </x:c>
      <x:c r="L1919" s="37" t="n">
        <x:v>11791091.851117121</x:v>
      </x:c>
      <x:c r="M1919" s="37" t="n">
        <x:v>0</x:v>
      </x:c>
      <x:c r="N1919" s="37" t="n">
        <x:v>0</x:v>
      </x:c>
      <x:c r="O1919" s="37" t="n">
        <x:v>183.7082338705659</x:v>
      </x:c>
      <x:c r="P1919" s="37" t="n">
        <x:v>0</x:v>
      </x:c>
      <x:c r="Q1919" s="37" t="n">
        <x:v>0</x:v>
      </x:c>
      <x:c r="R1919" s="37" t="n">
        <x:v>0</x:v>
      </x:c>
      <x:c r="S1919" s="37" t="n">
        <x:v>0</x:v>
      </x:c>
      <x:c r="T1919" s="37" t="n">
        <x:v>0</x:v>
      </x:c>
      <x:c r="U1919" s="37" t="n">
        <x:v>127500</x:v>
      </x:c>
      <x:c r="V1919" s="37" t="n">
        <x:v>2000000</x:v>
      </x:c>
      <x:c r="W1919" s="37" t="n">
        <x:v>26401.845698872115</x:v>
      </x:c>
      <x:c r="X1919" s="37" t="n">
        <x:v>0</x:v>
      </x:c>
      <x:c r="Y1919" s="37" t="n">
        <x:v>1042.869342122179</x:v>
      </x:c>
      <x:c r="Z1919" s="37" t="n">
        <x:v>0</x:v>
      </x:c>
      <x:c r="AA1919" s="37" t="n">
        <x:v>0</x:v>
      </x:c>
      <x:c r="AB1919" s="37" t="n">
        <x:v>0</x:v>
      </x:c>
      <x:c r="AC1919" s="37" t="n">
        <x:v>3352858.97635675</x:v>
      </x:c>
      <x:c r="AD1919" s="37" t="n">
        <x:v>0</x:v>
      </x:c>
      <x:c r="AE1919" s="37" t="n">
        <x:v>0</x:v>
      </x:c>
      <x:c r="AF1919" s="47" t="b">
        <x:v>0</x:v>
      </x:c>
      <x:c r="AG1919" s="47" t="b">
        <x:v>0</x:v>
      </x:c>
      <x:c r="AH1919" s="48" t="n">
        <x:v>0</x:v>
      </x:c>
      <x:c r="AI1919" s="48" t="n">
        <x:v>1.1920928955078125e-7</x:v>
      </x:c>
      <x:c r="AJ1919" s="37" t="str">
        <x:v>passed</x:v>
      </x:c>
    </x:row>
    <x:row r="1920" ht="21" customHeight="1">
      <x:c r="A1920" s="2"/>
      <x:c r="B1920" s="2"/>
      <x:c r="C1920" s="2" t="str">
        <x:v>2023</x:v>
      </x:c>
      <x:c r="D1920" s="5" t="n">
        <x:v>45260</x:v>
      </x:c>
      <x:c r="E1920" s="2" t="str">
        <x:v>duration</x:v>
      </x:c>
      <x:c r="F1920" s="37" t="n">
        <x:v>9639986.06566982</x:v>
      </x:c>
      <x:c r="G1920" s="37" t="n">
        <x:v>2308250.112907209</x:v>
      </x:c>
      <x:c r="H1920" s="37" t="n">
        <x:v>21170.603593603293</x:v>
      </x:c>
      <x:c r="I1920" s="37" t="n">
        <x:v>2287079.5093136057</x:v>
      </x:c>
      <x:c r="J1920" s="37" t="n">
        <x:v>8438232.87476037</x:v>
      </x:c>
      <x:c r="K1920" s="37" t="n">
        <x:v>6129982.761853161</x:v>
      </x:c>
      <x:c r="L1920" s="37" t="n">
        <x:v>11948236.178577028</x:v>
      </x:c>
      <x:c r="M1920" s="37" t="n">
        <x:v>0</x:v>
      </x:c>
      <x:c r="N1920" s="37" t="n">
        <x:v>0</x:v>
      </x:c>
      <x:c r="O1920" s="37" t="n">
        <x:v>528.1894726697356</x:v>
      </x:c>
      <x:c r="P1920" s="37" t="n">
        <x:v>0</x:v>
      </x:c>
      <x:c r="Q1920" s="37" t="n">
        <x:v>0</x:v>
      </x:c>
      <x:c r="R1920" s="37" t="n">
        <x:v>0</x:v>
      </x:c>
      <x:c r="S1920" s="37" t="n">
        <x:v>0</x:v>
      </x:c>
      <x:c r="T1920" s="37" t="n">
        <x:v>0</x:v>
      </x:c>
      <x:c r="U1920" s="37" t="n">
        <x:v>20944.980443102446</x:v>
      </x:c>
      <x:c r="V1920" s="37" t="n">
        <x:v>2000000</x:v>
      </x:c>
      <x:c r="W1920" s="37" t="n">
        <x:v>142939.9256153861</x:v>
      </x:c>
      <x:c r="X1920" s="37" t="n">
        <x:v>0</x:v>
      </x:c>
      <x:c r="Y1920" s="37" t="n">
        <x:v>1740.677505458311</x:v>
      </x:c>
      <x:c r="Z1920" s="37" t="n">
        <x:v>6252582.417090225</x:v>
      </x:c>
      <x:c r="AA1920" s="37" t="n">
        <x:v>0</x:v>
      </x:c>
      <x:c r="AB1920" s="37" t="n">
        <x:v>6252582.417090225</x:v>
      </x:c>
      <x:c r="AC1920" s="37" t="n">
        <x:v>3387403.6485795947</x:v>
      </x:c>
      <x:c r="AD1920" s="37" t="n">
        <x:v>0</x:v>
      </x:c>
      <x:c r="AE1920" s="37" t="n">
        <x:v>0</x:v>
      </x:c>
      <x:c r="AF1920" s="47" t="b">
        <x:v>0</x:v>
      </x:c>
      <x:c r="AG1920" s="47" t="b">
        <x:v>0</x:v>
      </x:c>
      <x:c r="AH1920" s="48" t="n">
        <x:v>0</x:v>
      </x:c>
      <x:c r="AI1920" s="48" t="n">
        <x:v>1.1920928955078125e-7</x:v>
      </x:c>
      <x:c r="AJ1920" s="37" t="str">
        <x:v>passed</x:v>
      </x:c>
    </x:row>
    <x:row r="1921" ht="21" customHeight="1">
      <x:c r="A1921" s="2"/>
      <x:c r="B1921" s="2"/>
      <x:c r="C1921" s="2" t="str">
        <x:v>2023</x:v>
      </x:c>
      <x:c r="D1921" s="5" t="n">
        <x:v>45260</x:v>
      </x:c>
      <x:c r="E1921" s="2" t="str">
        <x:v>unweighted</x:v>
      </x:c>
      <x:c r="F1921" s="37" t="n">
        <x:v>11930997.105298156</x:v>
      </x:c>
      <x:c r="G1921" s="37" t="n">
        <x:v>-74946.63960257215</x:v>
      </x:c>
      <x:c r="H1921" s="37" t="n">
        <x:v>22141.45243324998</x:v>
      </x:c>
      <x:c r="I1921" s="37" t="n">
        <x:v>-97088.09203582213</x:v>
      </x:c>
      <x:c r="J1921" s="37" t="n">
        <x:v>8553458.863133943</x:v>
      </x:c>
      <x:c r="K1921" s="37" t="n">
        <x:v>8628405.502736516</x:v>
      </x:c>
      <x:c r="L1921" s="37" t="n">
        <x:v>11856050.465695584</x:v>
      </x:c>
      <x:c r="M1921" s="37" t="n">
        <x:v>-25220.396001040222</x:v>
      </x:c>
      <x:c r="N1921" s="37" t="n">
        <x:v>21684.813137363326</x:v>
      </x:c>
      <x:c r="O1921" s="37" t="n">
        <x:v>653.9111658632755</x:v>
      </x:c>
      <x:c r="P1921" s="37" t="n">
        <x:v>0</x:v>
      </x:c>
      <x:c r="Q1921" s="37" t="n">
        <x:v>0</x:v>
      </x:c>
      <x:c r="R1921" s="37" t="n">
        <x:v>0</x:v>
      </x:c>
      <x:c r="S1921" s="37" t="n">
        <x:v>0</x:v>
      </x:c>
      <x:c r="T1921" s="37" t="n">
        <x:v>0</x:v>
      </x:c>
      <x:c r="U1921" s="37" t="n">
        <x:v>-8107.360295191727</x:v>
      </x:c>
      <x:c r="V1921" s="37" t="n">
        <x:v>2021684.8131373634</x:v>
      </x:c>
      <x:c r="W1921" s="37" t="n">
        <x:v>204552.4500217717</x:v>
      </x:c>
      <x:c r="X1921" s="37" t="n">
        <x:v>0</x:v>
      </x:c>
      <x:c r="Y1921" s="37" t="n">
        <x:v>2316.0970281288896</x:v>
      </x:c>
      <x:c r="Z1921" s="37" t="n">
        <x:v>8800973.612791248</x:v>
      </x:c>
      <x:c r="AA1921" s="37" t="n">
        <x:v>0</x:v>
      </x:c>
      <x:c r="AB1921" s="37" t="n">
        <x:v>8800973.612791248</x:v>
      </x:c>
      <x:c r="AC1921" s="37" t="n">
        <x:v>3130023.4925069083</x:v>
      </x:c>
      <x:c r="AD1921" s="37" t="n">
        <x:v>0</x:v>
      </x:c>
      <x:c r="AE1921" s="37" t="n">
        <x:v>0</x:v>
      </x:c>
      <x:c r="AF1921" s="47" t="b">
        <x:v>0</x:v>
      </x:c>
      <x:c r="AG1921" s="47" t="b">
        <x:v>0</x:v>
      </x:c>
      <x:c r="AH1921" s="48" t="n">
        <x:v>-3.965396899729967e-10</x:v>
      </x:c>
      <x:c r="AI1921" s="48" t="n">
        <x:v>1.1920928955078125e-7</x:v>
      </x:c>
      <x:c r="AJ1921" s="37" t="str">
        <x:v>passed</x:v>
      </x:c>
    </x:row>
    <x:row r="1922" ht="21" customHeight="1">
      <x:c r="A1922" s="2"/>
      <x:c r="B1922" s="2"/>
      <x:c r="C1922" s="2" t="str">
        <x:v>2023</x:v>
      </x:c>
      <x:c r="D1922" s="5" t="n">
        <x:v>45260</x:v>
      </x:c>
      <x:c r="E1922" s="2" t="str">
        <x:v>constrained</x:v>
      </x:c>
      <x:c r="F1922" s="37" t="n">
        <x:v>11753638.18257042</x:v>
      </x:c>
      <x:c r="G1922" s="37" t="n">
        <x:v>81024.67376586431</x:v>
      </x:c>
      <x:c r="H1922" s="37" t="n">
        <x:v>22242.65935264072</x:v>
      </x:c>
      <x:c r="I1922" s="37" t="n">
        <x:v>58782.01441322359</x:v>
      </x:c>
      <x:c r="J1922" s="37" t="n">
        <x:v>8549738.6609929</x:v>
      </x:c>
      <x:c r="K1922" s="37" t="n">
        <x:v>8468713.987227036</x:v>
      </x:c>
      <x:c r="L1922" s="37" t="n">
        <x:v>11834662.856336284</x:v>
      </x:c>
      <x:c r="M1922" s="37" t="n">
        <x:v>-30786.835374667437</x:v>
      </x:c>
      <x:c r="N1922" s="37" t="n">
        <x:v>-2265385.864074479</x:v>
      </x:c>
      <x:c r="O1922" s="37" t="n">
        <x:v>769.8104696758091</x:v>
      </x:c>
      <x:c r="P1922" s="37" t="n">
        <x:v>0</x:v>
      </x:c>
      <x:c r="Q1922" s="37" t="n">
        <x:v>0</x:v>
      </x:c>
      <x:c r="R1922" s="37" t="n">
        <x:v>0</x:v>
      </x:c>
      <x:c r="S1922" s="37" t="n">
        <x:v>0</x:v>
      </x:c>
      <x:c r="T1922" s="37" t="n">
        <x:v>0</x:v>
      </x:c>
      <x:c r="U1922" s="37" t="n">
        <x:v>-13531.181236168934</x:v>
      </x:c>
      <x:c r="V1922" s="37" t="n">
        <x:v>-265385.86407447886</x:v>
      </x:c>
      <x:c r="W1922" s="37" t="n">
        <x:v>216758.0942619238</x:v>
      </x:c>
      <x:c r="X1922" s="37" t="n">
        <x:v>0</x:v>
      </x:c>
      <x:c r="Y1922" s="37" t="n">
        <x:v>2219.494920369951</x:v>
      </x:c>
      <x:c r="Z1922" s="37" t="n">
        <x:v>8638088.266971577</x:v>
      </x:c>
      <x:c r="AA1922" s="37" t="n">
        <x:v>0</x:v>
      </x:c>
      <x:c r="AB1922" s="37" t="n">
        <x:v>8638088.266971577</x:v>
      </x:c>
      <x:c r="AC1922" s="37" t="n">
        <x:v>3115549.9155988432</x:v>
      </x:c>
      <x:c r="AD1922" s="37" t="n">
        <x:v>0</x:v>
      </x:c>
      <x:c r="AE1922" s="37" t="n">
        <x:v>0</x:v>
      </x:c>
      <x:c r="AF1922" s="47" t="b">
        <x:v>0</x:v>
      </x:c>
      <x:c r="AG1922" s="47" t="b">
        <x:v>0</x:v>
      </x:c>
      <x:c r="AH1922" s="48" t="n">
        <x:v>-1.862645149230957e-9</x:v>
      </x:c>
      <x:c r="AI1922" s="48" t="n">
        <x:v>1.1920928955078125e-7</x:v>
      </x:c>
      <x:c r="AJ1922" s="37" t="str">
        <x:v>passed</x:v>
      </x:c>
    </x:row>
    <x:row r="1923" ht="21" customHeight="1">
      <x:c r="A1923" s="2"/>
      <x:c r="B1923" s="2"/>
      <x:c r="C1923" s="2" t="str">
        <x:v>2023</x:v>
      </x:c>
      <x:c r="D1923" s="5" t="n">
        <x:v>45261</x:v>
      </x:c>
      <x:c r="E1923" s="2" t="str">
        <x:v>unhedged</x:v>
      </x:c>
      <x:c r="F1923" s="37" t="n">
        <x:v>3353042.694656824</x:v>
      </x:c>
      <x:c r="G1923" s="37" t="n">
        <x:v>8509531.005482176</x:v>
      </x:c>
      <x:c r="H1923" s="37" t="n">
        <x:v>25843.287147634976</x:v>
      </x:c>
      <x:c r="I1923" s="37" t="n">
        <x:v>8483687.71833454</x:v>
      </x:c>
      <x:c r="J1923" s="37" t="n">
        <x:v>8509531.005482176</x:v>
      </x:c>
      <x:c r="K1923" s="37" t="n">
        <x:v>0</x:v>
      </x:c>
      <x:c r="L1923" s="37" t="n">
        <x:v>11862573.700139001</x:v>
      </x:c>
      <x:c r="M1923" s="37" t="n">
        <x:v>0</x:v>
      </x:c>
      <x:c r="N1923" s="37" t="n">
        <x:v>0</x:v>
      </x:c>
      <x:c r="O1923" s="37" t="n">
        <x:v>183.7183000743389</x:v>
      </x:c>
      <x:c r="P1923" s="37" t="n">
        <x:v>0</x:v>
      </x:c>
      <x:c r="Q1923" s="37" t="n">
        <x:v>0</x:v>
      </x:c>
      <x:c r="R1923" s="37" t="n">
        <x:v>0</x:v>
      </x:c>
      <x:c r="S1923" s="37" t="n">
        <x:v>0</x:v>
      </x:c>
      <x:c r="T1923" s="37" t="n">
        <x:v>0</x:v>
      </x:c>
      <x:c r="U1923" s="37" t="n">
        <x:v>127500</x:v>
      </x:c>
      <x:c r="V1923" s="37" t="n">
        <x:v>2000000</x:v>
      </x:c>
      <x:c r="W1923" s="37" t="n">
        <x:v>26585.563998946454</x:v>
      </x:c>
      <x:c r="X1923" s="37" t="n">
        <x:v>0</x:v>
      </x:c>
      <x:c r="Y1923" s="37" t="n">
        <x:v>1042.869342122179</x:v>
      </x:c>
      <x:c r="Z1923" s="37" t="n">
        <x:v>0</x:v>
      </x:c>
      <x:c r="AA1923" s="37" t="n">
        <x:v>0</x:v>
      </x:c>
      <x:c r="AB1923" s="37" t="n">
        <x:v>0</x:v>
      </x:c>
      <x:c r="AC1923" s="37" t="n">
        <x:v>3353042.694656824</x:v>
      </x:c>
      <x:c r="AD1923" s="37" t="n">
        <x:v>0</x:v>
      </x:c>
      <x:c r="AE1923" s="37" t="n">
        <x:v>0</x:v>
      </x:c>
      <x:c r="AF1923" s="47" t="b">
        <x:v>0</x:v>
      </x:c>
      <x:c r="AG1923" s="47" t="b">
        <x:v>0</x:v>
      </x:c>
      <x:c r="AH1923" s="48" t="n">
        <x:v>0</x:v>
      </x:c>
      <x:c r="AI1923" s="48" t="n">
        <x:v>1.1920928955078125e-7</x:v>
      </x:c>
      <x:c r="AJ1923" s="37" t="str">
        <x:v>passed</x:v>
      </x:c>
    </x:row>
    <x:row r="1924" ht="21" customHeight="1">
      <x:c r="A1924" s="2"/>
      <x:c r="B1924" s="2"/>
      <x:c r="C1924" s="2" t="str">
        <x:v>2023</x:v>
      </x:c>
      <x:c r="D1924" s="5" t="n">
        <x:v>45261</x:v>
      </x:c>
      <x:c r="E1924" s="2" t="str">
        <x:v>duration</x:v>
      </x:c>
      <x:c r="F1924" s="37" t="n">
        <x:v>9566247.345091848</x:v>
      </x:c>
      <x:c r="G1924" s="37" t="n">
        <x:v>2384921.055377207</x:v>
      </x:c>
      <x:c r="H1924" s="37" t="n">
        <x:v>21263.875129817687</x:v>
      </x:c>
      <x:c r="I1924" s="37" t="n">
        <x:v>2363657.1802473897</x:v>
      </x:c>
      <x:c r="J1924" s="37" t="n">
        <x:v>8509531.005482176</x:v>
      </x:c>
      <x:c r="K1924" s="37" t="n">
        <x:v>6124609.95010497</x:v>
      </x:c>
      <x:c r="L1924" s="37" t="n">
        <x:v>11951168.400469055</x:v>
      </x:c>
      <x:c r="M1924" s="37" t="n">
        <x:v>0</x:v>
      </x:c>
      <x:c r="N1924" s="37" t="n">
        <x:v>0</x:v>
      </x:c>
      <x:c r="O1924" s="37" t="n">
        <x:v>528.2184145580977</x:v>
      </x:c>
      <x:c r="P1924" s="37" t="n">
        <x:v>0</x:v>
      </x:c>
      <x:c r="Q1924" s="37" t="n">
        <x:v>7.425951304122527</x:v>
      </x:c>
      <x:c r="R1924" s="37" t="n">
        <x:v>-74259.51304122526</x:v>
      </x:c>
      <x:c r="S1924" s="37" t="n">
        <x:v>74259.51304122526</x:v>
      </x:c>
      <x:c r="T1924" s="37" t="n">
        <x:v>0</x:v>
      </x:c>
      <x:c r="U1924" s="37" t="n">
        <x:v>20944.980443102446</x:v>
      </x:c>
      <x:c r="V1924" s="37" t="n">
        <x:v>2000000</x:v>
      </x:c>
      <x:c r="W1924" s="37" t="n">
        <x:v>143468.1440299442</x:v>
      </x:c>
      <x:c r="X1924" s="37" t="n">
        <x:v>0</x:v>
      </x:c>
      <x:c r="Y1924" s="37" t="n">
        <x:v>1748.1034567624336</x:v>
      </x:c>
      <x:c r="Z1924" s="37" t="n">
        <x:v>6247102.149107069</x:v>
      </x:c>
      <x:c r="AA1924" s="37" t="n">
        <x:v>0</x:v>
      </x:c>
      <x:c r="AB1924" s="37" t="n">
        <x:v>6247102.149107069</x:v>
      </x:c>
      <x:c r="AC1924" s="37" t="n">
        <x:v>3319145.195984779</x:v>
      </x:c>
      <x:c r="AD1924" s="37" t="n">
        <x:v>0</x:v>
      </x:c>
      <x:c r="AE1924" s="37" t="n">
        <x:v>0</x:v>
      </x:c>
      <x:c r="AF1924" s="47" t="b">
        <x:v>0</x:v>
      </x:c>
      <x:c r="AG1924" s="47" t="b">
        <x:v>0</x:v>
      </x:c>
      <x:c r="AH1924" s="48" t="n">
        <x:v>-7.229852272416792e-10</x:v>
      </x:c>
      <x:c r="AI1924" s="48" t="n">
        <x:v>1.1920928955078125e-7</x:v>
      </x:c>
      <x:c r="AJ1924" s="37" t="str">
        <x:v>passed</x:v>
      </x:c>
    </x:row>
    <x:row r="1925" ht="21" customHeight="1">
      <x:c r="A1925" s="2"/>
      <x:c r="B1925" s="2"/>
      <x:c r="C1925" s="2" t="str">
        <x:v>2023</x:v>
      </x:c>
      <x:c r="D1925" s="5" t="n">
        <x:v>45261</x:v>
      </x:c>
      <x:c r="E1925" s="2" t="str">
        <x:v>unweighted</x:v>
      </x:c>
      <x:c r="F1925" s="37" t="n">
        <x:v>11548468.417723732</x:v>
      </x:c>
      <x:c r="G1925" s="37" t="n">
        <x:v>306832.26305269176</x:v>
      </x:c>
      <x:c r="H1925" s="37" t="n">
        <x:v>22099.453533023116</x:v>
      </x:c>
      <x:c r="I1925" s="37" t="n">
        <x:v>284732.80951966863</x:v>
      </x:c>
      <x:c r="J1925" s="37" t="n">
        <x:v>8627381.490104191</x:v>
      </x:c>
      <x:c r="K1925" s="37" t="n">
        <x:v>8320549.2270515</x:v>
      </x:c>
      <x:c r="L1925" s="37" t="n">
        <x:v>11855300.680776425</x:v>
      </x:c>
      <x:c r="M1925" s="37" t="n">
        <x:v>0</x:v>
      </x:c>
      <x:c r="N1925" s="37" t="n">
        <x:v>0</x:v>
      </x:c>
      <x:c r="O1925" s="37" t="n">
        <x:v>653.753266043961</x:v>
      </x:c>
      <x:c r="P1925" s="37" t="n">
        <x:v>0</x:v>
      </x:c>
      <x:c r="Q1925" s="37" t="n">
        <x:v>43.57174681633375</x:v>
      </x:c>
      <x:c r="R1925" s="37" t="n">
        <x:v>-383138.8690936511</x:v>
      </x:c>
      <x:c r="S1925" s="37" t="n">
        <x:v>435717.4681633375</x:v>
      </x:c>
      <x:c r="T1925" s="37" t="n">
        <x:v>0</x:v>
      </x:c>
      <x:c r="U1925" s="37" t="n">
        <x:v>-8107.360295191727</x:v>
      </x:c>
      <x:c r="V1925" s="37" t="n">
        <x:v>2021684.8131373634</x:v>
      </x:c>
      <x:c r="W1925" s="37" t="n">
        <x:v>205206.20328781568</x:v>
      </x:c>
      <x:c r="X1925" s="37" t="n">
        <x:v>0</x:v>
      </x:c>
      <x:c r="Y1925" s="37" t="n">
        <x:v>2359.6687749452235</x:v>
      </x:c>
      <x:c r="Z1925" s="37" t="n">
        <x:v>8486960.21159253</x:v>
      </x:c>
      <x:c r="AA1925" s="37" t="n">
        <x:v>0</x:v>
      </x:c>
      <x:c r="AB1925" s="37" t="n">
        <x:v>8486960.21159253</x:v>
      </x:c>
      <x:c r="AC1925" s="37" t="n">
        <x:v>3061508.2061312012</x:v>
      </x:c>
      <x:c r="AD1925" s="37" t="n">
        <x:v>0</x:v>
      </x:c>
      <x:c r="AE1925" s="37" t="n">
        <x:v>0</x:v>
      </x:c>
      <x:c r="AF1925" s="47" t="b">
        <x:v>0</x:v>
      </x:c>
      <x:c r="AG1925" s="47" t="b">
        <x:v>0</x:v>
      </x:c>
      <x:c r="AH1925" s="48" t="n">
        <x:v>-3.502762524476566e-10</x:v>
      </x:c>
      <x:c r="AI1925" s="48" t="n">
        <x:v>1.1920928955078125e-7</x:v>
      </x:c>
      <x:c r="AJ1925" s="37" t="str">
        <x:v>passed</x:v>
      </x:c>
    </x:row>
    <x:row r="1926" ht="21" customHeight="1">
      <x:c r="A1926" s="2"/>
      <x:c r="B1926" s="2"/>
      <x:c r="C1926" s="2" t="str">
        <x:v>2023</x:v>
      </x:c>
      <x:c r="D1926" s="5" t="n">
        <x:v>45261</x:v>
      </x:c>
      <x:c r="E1926" s="2" t="str">
        <x:v>constrained</x:v>
      </x:c>
      <x:c r="F1926" s="37" t="n">
        <x:v>11714930.262935394</x:v>
      </x:c>
      <x:c r="G1926" s="37" t="n">
        <x:v>120693.06732976134</x:v>
      </x:c>
      <x:c r="H1926" s="37" t="n">
        <x:v>22167.444295250792</x:v>
      </x:c>
      <x:c r="I1926" s="37" t="n">
        <x:v>98525.62303451054</x:v>
      </x:c>
      <x:c r="J1926" s="37" t="n">
        <x:v>8613945.722618142</x:v>
      </x:c>
      <x:c r="K1926" s="37" t="n">
        <x:v>8493252.65528838</x:v>
      </x:c>
      <x:c r="L1926" s="37" t="n">
        <x:v>11835623.330265155</x:v>
      </x:c>
      <x:c r="M1926" s="37" t="n">
        <x:v>0</x:v>
      </x:c>
      <x:c r="N1926" s="37" t="n">
        <x:v>0</x:v>
      </x:c>
      <x:c r="O1926" s="37" t="n">
        <x:v>644.0349689088762</x:v>
      </x:c>
      <x:c r="P1926" s="37" t="n">
        <x:v>0</x:v>
      </x:c>
      <x:c r="Q1926" s="37" t="n">
        <x:v>16.38190270705899</x:v>
      </x:c>
      <x:c r="R1926" s="37" t="n">
        <x:v>-39335.57270122767</x:v>
      </x:c>
      <x:c r="S1926" s="37" t="n">
        <x:v>163819.02707058992</x:v>
      </x:c>
      <x:c r="T1926" s="37" t="n">
        <x:v>0</x:v>
      </x:c>
      <x:c r="U1926" s="37" t="n">
        <x:v>-13531.181236168934</x:v>
      </x:c>
      <x:c r="V1926" s="37" t="n">
        <x:v>-265385.86407447886</x:v>
      </x:c>
      <x:c r="W1926" s="37" t="n">
        <x:v>217402.12923083268</x:v>
      </x:c>
      <x:c r="X1926" s="37" t="n">
        <x:v>0</x:v>
      </x:c>
      <x:c r="Y1926" s="37" t="n">
        <x:v>2235.87682307701</x:v>
      </x:c>
      <x:c r="Z1926" s="37" t="n">
        <x:v>8663117.708394147</x:v>
      </x:c>
      <x:c r="AA1926" s="37" t="n">
        <x:v>0</x:v>
      </x:c>
      <x:c r="AB1926" s="37" t="n">
        <x:v>8663117.708394147</x:v>
      </x:c>
      <x:c r="AC1926" s="37" t="n">
        <x:v>3051812.554541247</x:v>
      </x:c>
      <x:c r="AD1926" s="37" t="n">
        <x:v>0</x:v>
      </x:c>
      <x:c r="AE1926" s="37" t="n">
        <x:v>0</x:v>
      </x:c>
      <x:c r="AF1926" s="47" t="b">
        <x:v>0</x:v>
      </x:c>
      <x:c r="AG1926" s="47" t="b">
        <x:v>0</x:v>
      </x:c>
      <x:c r="AH1926" s="48" t="n">
        <x:v>6.775024985472555e-11</x:v>
      </x:c>
      <x:c r="AI1926" s="48" t="n">
        <x:v>1.1920928955078125e-7</x:v>
      </x:c>
      <x:c r="AJ1926" s="37" t="str">
        <x:v>passed</x:v>
      </x:c>
    </x:row>
    <x:row r="1927" ht="21" customHeight="1">
      <x:c r="A1927" s="2"/>
      <x:c r="B1927" s="2"/>
      <x:c r="C1927" s="2" t="str">
        <x:v>2023</x:v>
      </x:c>
      <x:c r="D1927" s="5" t="n">
        <x:v>45264</x:v>
      </x:c>
      <x:c r="E1927" s="2" t="str">
        <x:v>unhedged</x:v>
      </x:c>
      <x:c r="F1927" s="37" t="n">
        <x:v>3353593.9099597917</x:v>
      </x:c>
      <x:c r="G1927" s="37" t="n">
        <x:v>8479249.881484618</x:v>
      </x:c>
      <x:c r="H1927" s="37" t="n">
        <x:v>26825.579311992355</x:v>
      </x:c>
      <x:c r="I1927" s="37" t="n">
        <x:v>8452424.302172625</x:v>
      </x:c>
      <x:c r="J1927" s="37" t="n">
        <x:v>8479249.881484618</x:v>
      </x:c>
      <x:c r="K1927" s="37" t="n">
        <x:v>0</x:v>
      </x:c>
      <x:c r="L1927" s="37" t="n">
        <x:v>11832843.79144441</x:v>
      </x:c>
      <x:c r="M1927" s="37" t="n">
        <x:v>0</x:v>
      </x:c>
      <x:c r="N1927" s="37" t="n">
        <x:v>0</x:v>
      </x:c>
      <x:c r="O1927" s="37" t="n">
        <x:v>551.2153029674664</x:v>
      </x:c>
      <x:c r="P1927" s="37" t="n">
        <x:v>0</x:v>
      </x:c>
      <x:c r="Q1927" s="37" t="n">
        <x:v>0</x:v>
      </x:c>
      <x:c r="R1927" s="37" t="n">
        <x:v>0</x:v>
      </x:c>
      <x:c r="S1927" s="37" t="n">
        <x:v>0</x:v>
      </x:c>
      <x:c r="T1927" s="37" t="n">
        <x:v>0</x:v>
      </x:c>
      <x:c r="U1927" s="37" t="n">
        <x:v>127500</x:v>
      </x:c>
      <x:c r="V1927" s="37" t="n">
        <x:v>2000000</x:v>
      </x:c>
      <x:c r="W1927" s="37" t="n">
        <x:v>27136.77930191392</x:v>
      </x:c>
      <x:c r="X1927" s="37" t="n">
        <x:v>0</x:v>
      </x:c>
      <x:c r="Y1927" s="37" t="n">
        <x:v>1042.869342122179</x:v>
      </x:c>
      <x:c r="Z1927" s="37" t="n">
        <x:v>0</x:v>
      </x:c>
      <x:c r="AA1927" s="37" t="n">
        <x:v>0</x:v>
      </x:c>
      <x:c r="AB1927" s="37" t="n">
        <x:v>0</x:v>
      </x:c>
      <x:c r="AC1927" s="37" t="n">
        <x:v>3353593.9099597917</x:v>
      </x:c>
      <x:c r="AD1927" s="37" t="n">
        <x:v>0</x:v>
      </x:c>
      <x:c r="AE1927" s="37" t="n">
        <x:v>0</x:v>
      </x:c>
      <x:c r="AF1927" s="47" t="b">
        <x:v>0</x:v>
      </x:c>
      <x:c r="AG1927" s="47" t="b">
        <x:v>0</x:v>
      </x:c>
      <x:c r="AH1927" s="48" t="n">
        <x:v>0</x:v>
      </x:c>
      <x:c r="AI1927" s="48" t="n">
        <x:v>1.1920928955078125e-7</x:v>
      </x:c>
      <x:c r="AJ1927" s="37" t="str">
        <x:v>passed</x:v>
      </x:c>
    </x:row>
    <x:row r="1928" ht="21" customHeight="1">
      <x:c r="A1928" s="2"/>
      <x:c r="B1928" s="2"/>
      <x:c r="C1928" s="2" t="str">
        <x:v>2023</x:v>
      </x:c>
      <x:c r="D1928" s="5" t="n">
        <x:v>45264</x:v>
      </x:c>
      <x:c r="E1928" s="2" t="str">
        <x:v>duration</x:v>
      </x:c>
      <x:c r="F1928" s="37" t="n">
        <x:v>9567819.965069812</x:v>
      </x:c>
      <x:c r="G1928" s="37" t="n">
        <x:v>2382504.2242295914</x:v>
      </x:c>
      <x:c r="H1928" s="37" t="n">
        <x:v>21387.52754083433</x:v>
      </x:c>
      <x:c r="I1928" s="37" t="n">
        <x:v>2361116.6966887573</x:v>
      </x:c>
      <x:c r="J1928" s="37" t="n">
        <x:v>8479249.881484618</x:v>
      </x:c>
      <x:c r="K1928" s="37" t="n">
        <x:v>6096745.6572550265</x:v>
      </x:c>
      <x:c r="L1928" s="37" t="n">
        <x:v>11950324.189299403</x:v>
      </x:c>
      <x:c r="M1928" s="37" t="n">
        <x:v>0</x:v>
      </x:c>
      <x:c r="N1928" s="37" t="n">
        <x:v>0</x:v>
      </x:c>
      <x:c r="O1928" s="37" t="n">
        <x:v>1572.6199779640883</x:v>
      </x:c>
      <x:c r="P1928" s="37" t="n">
        <x:v>0</x:v>
      </x:c>
      <x:c r="Q1928" s="37" t="n">
        <x:v>0</x:v>
      </x:c>
      <x:c r="R1928" s="37" t="n">
        <x:v>0</x:v>
      </x:c>
      <x:c r="S1928" s="37" t="n">
        <x:v>0</x:v>
      </x:c>
      <x:c r="T1928" s="37" t="n">
        <x:v>0</x:v>
      </x:c>
      <x:c r="U1928" s="37" t="n">
        <x:v>20944.980443102446</x:v>
      </x:c>
      <x:c r="V1928" s="37" t="n">
        <x:v>2000000</x:v>
      </x:c>
      <x:c r="W1928" s="37" t="n">
        <x:v>145040.7640079083</x:v>
      </x:c>
      <x:c r="X1928" s="37" t="n">
        <x:v>0</x:v>
      </x:c>
      <x:c r="Y1928" s="37" t="n">
        <x:v>1748.1034567624336</x:v>
      </x:c>
      <x:c r="Z1928" s="37" t="n">
        <x:v>6218680.570400127</x:v>
      </x:c>
      <x:c r="AA1928" s="37" t="n">
        <x:v>0</x:v>
      </x:c>
      <x:c r="AB1928" s="37" t="n">
        <x:v>6218680.570400127</x:v>
      </x:c>
      <x:c r="AC1928" s="37" t="n">
        <x:v>3349139.3946696846</x:v>
      </x:c>
      <x:c r="AD1928" s="37" t="n">
        <x:v>0</x:v>
      </x:c>
      <x:c r="AE1928" s="37" t="n">
        <x:v>0</x:v>
      </x:c>
      <x:c r="AF1928" s="47" t="b">
        <x:v>0</x:v>
      </x:c>
      <x:c r="AG1928" s="47" t="b">
        <x:v>0</x:v>
      </x:c>
      <x:c r="AH1928" s="48" t="n">
        <x:v>0</x:v>
      </x:c>
      <x:c r="AI1928" s="48" t="n">
        <x:v>1.1920928955078125e-7</x:v>
      </x:c>
      <x:c r="AJ1928" s="37" t="str">
        <x:v>passed</x:v>
      </x:c>
    </x:row>
    <x:row r="1929" ht="21" customHeight="1">
      <x:c r="A1929" s="2"/>
      <x:c r="B1929" s="2"/>
      <x:c r="C1929" s="2" t="str">
        <x:v>2023</x:v>
      </x:c>
      <x:c r="D1929" s="5" t="n">
        <x:v>45264</x:v>
      </x:c>
      <x:c r="E1929" s="2" t="str">
        <x:v>unweighted</x:v>
      </x:c>
      <x:c r="F1929" s="37" t="n">
        <x:v>11550366.900116405</x:v>
      </x:c>
      <x:c r="G1929" s="37" t="n">
        <x:v>306658.64461945306</x:v>
      </x:c>
      <x:c r="H1929" s="37" t="n">
        <x:v>22034.33877131675</x:v>
      </x:c>
      <x:c r="I1929" s="37" t="n">
        <x:v>284624.3058481363</x:v>
      </x:c>
      <x:c r="J1929" s="37" t="n">
        <x:v>8596475.58513332</x:v>
      </x:c>
      <x:c r="K1929" s="37" t="n">
        <x:v>8289816.940513866</x:v>
      </x:c>
      <x:c r="L1929" s="37" t="n">
        <x:v>11857025.544735858</x:v>
      </x:c>
      <x:c r="M1929" s="37" t="n">
        <x:v>0</x:v>
      </x:c>
      <x:c r="N1929" s="37" t="n">
        <x:v>0</x:v>
      </x:c>
      <x:c r="O1929" s="37" t="n">
        <x:v>1898.4823926724494</x:v>
      </x:c>
      <x:c r="P1929" s="37" t="n">
        <x:v>0</x:v>
      </x:c>
      <x:c r="Q1929" s="37" t="n">
        <x:v>0</x:v>
      </x:c>
      <x:c r="R1929" s="37" t="n">
        <x:v>0</x:v>
      </x:c>
      <x:c r="S1929" s="37" t="n">
        <x:v>0</x:v>
      </x:c>
      <x:c r="T1929" s="37" t="n">
        <x:v>0</x:v>
      </x:c>
      <x:c r="U1929" s="37" t="n">
        <x:v>-8107.360295191727</x:v>
      </x:c>
      <x:c r="V1929" s="37" t="n">
        <x:v>2021684.8131373634</x:v>
      </x:c>
      <x:c r="W1929" s="37" t="n">
        <x:v>207104.68568048812</x:v>
      </x:c>
      <x:c r="X1929" s="37" t="n">
        <x:v>0</x:v>
      </x:c>
      <x:c r="Y1929" s="37" t="n">
        <x:v>2359.6687749452235</x:v>
      </x:c>
      <x:c r="Z1929" s="37" t="n">
        <x:v>8455613.279324144</x:v>
      </x:c>
      <x:c r="AA1929" s="37" t="n">
        <x:v>0</x:v>
      </x:c>
      <x:c r="AB1929" s="37" t="n">
        <x:v>8455613.279324144</x:v>
      </x:c>
      <x:c r="AC1929" s="37" t="n">
        <x:v>3094753.6207922604</x:v>
      </x:c>
      <x:c r="AD1929" s="37" t="n">
        <x:v>0</x:v>
      </x:c>
      <x:c r="AE1929" s="37" t="n">
        <x:v>0</x:v>
      </x:c>
      <x:c r="AF1929" s="47" t="b">
        <x:v>0</x:v>
      </x:c>
      <x:c r="AG1929" s="47" t="b">
        <x:v>0</x:v>
      </x:c>
      <x:c r="AH1929" s="48" t="n">
        <x:v>0</x:v>
      </x:c>
      <x:c r="AI1929" s="48" t="n">
        <x:v>1.1920928955078125e-7</x:v>
      </x:c>
      <x:c r="AJ1929" s="37" t="str">
        <x:v>passed</x:v>
      </x:c>
    </x:row>
    <x:row r="1930" ht="21" customHeight="1">
      <x:c r="A1930" s="2"/>
      <x:c r="B1930" s="2"/>
      <x:c r="C1930" s="2" t="str">
        <x:v>2023</x:v>
      </x:c>
      <x:c r="D1930" s="5" t="n">
        <x:v>45264</x:v>
      </x:c>
      <x:c r="E1930" s="2" t="str">
        <x:v>constrained</x:v>
      </x:c>
      <x:c r="F1930" s="37" t="n">
        <x:v>11716856.110418463</x:v>
      </x:c>
      <x:c r="G1930" s="37" t="n">
        <x:v>120786.96689553847</x:v>
      </x:c>
      <x:c r="H1930" s="37" t="n">
        <x:v>22084.9899644012</x:v>
      </x:c>
      <x:c r="I1930" s="37" t="n">
        <x:v>98701.97693113727</x:v>
      </x:c>
      <x:c r="J1930" s="37" t="n">
        <x:v>8583132.359288245</x:v>
      </x:c>
      <x:c r="K1930" s="37" t="n">
        <x:v>8462345.392392706</x:v>
      </x:c>
      <x:c r="L1930" s="37" t="n">
        <x:v>11837643.077314002</x:v>
      </x:c>
      <x:c r="M1930" s="37" t="n">
        <x:v>0</x:v>
      </x:c>
      <x:c r="N1930" s="37" t="n">
        <x:v>0</x:v>
      </x:c>
      <x:c r="O1930" s="37" t="n">
        <x:v>1925.8474830687046</x:v>
      </x:c>
      <x:c r="P1930" s="37" t="n">
        <x:v>0</x:v>
      </x:c>
      <x:c r="Q1930" s="37" t="n">
        <x:v>0</x:v>
      </x:c>
      <x:c r="R1930" s="37" t="n">
        <x:v>0</x:v>
      </x:c>
      <x:c r="S1930" s="37" t="n">
        <x:v>0</x:v>
      </x:c>
      <x:c r="T1930" s="37" t="n">
        <x:v>0</x:v>
      </x:c>
      <x:c r="U1930" s="37" t="n">
        <x:v>-13531.181236168934</x:v>
      </x:c>
      <x:c r="V1930" s="37" t="n">
        <x:v>-265385.86407447886</x:v>
      </x:c>
      <x:c r="W1930" s="37" t="n">
        <x:v>219327.9767139014</x:v>
      </x:c>
      <x:c r="X1930" s="37" t="n">
        <x:v>0</x:v>
      </x:c>
      <x:c r="Y1930" s="37" t="n">
        <x:v>2235.87682307701</x:v>
      </x:c>
      <x:c r="Z1930" s="37" t="n">
        <x:v>8631592.30024056</x:v>
      </x:c>
      <x:c r="AA1930" s="37" t="n">
        <x:v>0</x:v>
      </x:c>
      <x:c r="AB1930" s="37" t="n">
        <x:v>8631592.30024056</x:v>
      </x:c>
      <x:c r="AC1930" s="37" t="n">
        <x:v>3085263.8101779036</x:v>
      </x:c>
      <x:c r="AD1930" s="37" t="n">
        <x:v>0</x:v>
      </x:c>
      <x:c r="AE1930" s="37" t="n">
        <x:v>0</x:v>
      </x:c>
      <x:c r="AF1930" s="47" t="b">
        <x:v>0</x:v>
      </x:c>
      <x:c r="AG1930" s="47" t="b">
        <x:v>0</x:v>
      </x:c>
      <x:c r="AH1930" s="48" t="n">
        <x:v>0</x:v>
      </x:c>
      <x:c r="AI1930" s="48" t="n">
        <x:v>1.1920928955078125e-7</x:v>
      </x:c>
      <x:c r="AJ1930" s="37" t="str">
        <x:v>passed</x:v>
      </x:c>
    </x:row>
    <x:row r="1931" ht="21" customHeight="1">
      <x:c r="A1931" s="2"/>
      <x:c r="B1931" s="2"/>
      <x:c r="C1931" s="2" t="str">
        <x:v>2023</x:v>
      </x:c>
      <x:c r="D1931" s="5" t="n">
        <x:v>45265</x:v>
      </x:c>
      <x:c r="E1931" s="2" t="str">
        <x:v>unhedged</x:v>
      </x:c>
      <x:c r="F1931" s="37" t="n">
        <x:v>3353777.6685302006</x:v>
      </x:c>
      <x:c r="G1931" s="37" t="n">
        <x:v>8522622.138342334</x:v>
      </x:c>
      <x:c r="H1931" s="37" t="n">
        <x:v>27153.010033444818</x:v>
      </x:c>
      <x:c r="I1931" s="37" t="n">
        <x:v>8495469.128308889</x:v>
      </x:c>
      <x:c r="J1931" s="37" t="n">
        <x:v>8522622.138342334</x:v>
      </x:c>
      <x:c r="K1931" s="37" t="n">
        <x:v>0</x:v>
      </x:c>
      <x:c r="L1931" s="37" t="n">
        <x:v>11876399.806872535</x:v>
      </x:c>
      <x:c r="M1931" s="37" t="n">
        <x:v>0</x:v>
      </x:c>
      <x:c r="N1931" s="37" t="n">
        <x:v>0</x:v>
      </x:c>
      <x:c r="O1931" s="37" t="n">
        <x:v>183.75857040891424</x:v>
      </x:c>
      <x:c r="P1931" s="37" t="n">
        <x:v>0</x:v>
      </x:c>
      <x:c r="Q1931" s="37" t="n">
        <x:v>0</x:v>
      </x:c>
      <x:c r="R1931" s="37" t="n">
        <x:v>0</x:v>
      </x:c>
      <x:c r="S1931" s="37" t="n">
        <x:v>0</x:v>
      </x:c>
      <x:c r="T1931" s="37" t="n">
        <x:v>0</x:v>
      </x:c>
      <x:c r="U1931" s="37" t="n">
        <x:v>127500</x:v>
      </x:c>
      <x:c r="V1931" s="37" t="n">
        <x:v>2000000</x:v>
      </x:c>
      <x:c r="W1931" s="37" t="n">
        <x:v>27320.537872322835</x:v>
      </x:c>
      <x:c r="X1931" s="37" t="n">
        <x:v>0</x:v>
      </x:c>
      <x:c r="Y1931" s="37" t="n">
        <x:v>1042.869342122179</x:v>
      </x:c>
      <x:c r="Z1931" s="37" t="n">
        <x:v>0</x:v>
      </x:c>
      <x:c r="AA1931" s="37" t="n">
        <x:v>0</x:v>
      </x:c>
      <x:c r="AB1931" s="37" t="n">
        <x:v>0</x:v>
      </x:c>
      <x:c r="AC1931" s="37" t="n">
        <x:v>3353777.6685302006</x:v>
      </x:c>
      <x:c r="AD1931" s="37" t="n">
        <x:v>0</x:v>
      </x:c>
      <x:c r="AE1931" s="37" t="n">
        <x:v>0</x:v>
      </x:c>
      <x:c r="AF1931" s="47" t="b">
        <x:v>0</x:v>
      </x:c>
      <x:c r="AG1931" s="47" t="b">
        <x:v>0</x:v>
      </x:c>
      <x:c r="AH1931" s="48" t="n">
        <x:v>0</x:v>
      </x:c>
      <x:c r="AI1931" s="48" t="n">
        <x:v>1.1920928955078125e-7</x:v>
      </x:c>
      <x:c r="AJ1931" s="37" t="str">
        <x:v>passed</x:v>
      </x:c>
    </x:row>
    <x:row r="1932" ht="21" customHeight="1">
      <x:c r="A1932" s="2"/>
      <x:c r="B1932" s="2"/>
      <x:c r="C1932" s="2" t="str">
        <x:v>2023</x:v>
      </x:c>
      <x:c r="D1932" s="5" t="n">
        <x:v>45265</x:v>
      </x:c>
      <x:c r="E1932" s="2" t="str">
        <x:v>duration</x:v>
      </x:c>
      <x:c r="F1932" s="37" t="n">
        <x:v>9568344.229177488</x:v>
      </x:c>
      <x:c r="G1932" s="37" t="n">
        <x:v>2379808.448827313</x:v>
      </x:c>
      <x:c r="H1932" s="37" t="n">
        <x:v>21428.74501117321</x:v>
      </x:c>
      <x:c r="I1932" s="37" t="n">
        <x:v>2358379.7038161396</x:v>
      </x:c>
      <x:c r="J1932" s="37" t="n">
        <x:v>8522622.138342334</x:v>
      </x:c>
      <x:c r="K1932" s="37" t="n">
        <x:v>6142813.689515021</x:v>
      </x:c>
      <x:c r="L1932" s="37" t="n">
        <x:v>11948152.678004801</x:v>
      </x:c>
      <x:c r="M1932" s="37" t="n">
        <x:v>0</x:v>
      </x:c>
      <x:c r="N1932" s="37" t="n">
        <x:v>0</x:v>
      </x:c>
      <x:c r="O1932" s="37" t="n">
        <x:v>524.2641076762229</x:v>
      </x:c>
      <x:c r="P1932" s="37" t="n">
        <x:v>0</x:v>
      </x:c>
      <x:c r="Q1932" s="37" t="n">
        <x:v>0</x:v>
      </x:c>
      <x:c r="R1932" s="37" t="n">
        <x:v>0</x:v>
      </x:c>
      <x:c r="S1932" s="37" t="n">
        <x:v>0</x:v>
      </x:c>
      <x:c r="T1932" s="37" t="n">
        <x:v>0</x:v>
      </x:c>
      <x:c r="U1932" s="37" t="n">
        <x:v>20944.980443102446</x:v>
      </x:c>
      <x:c r="V1932" s="37" t="n">
        <x:v>2000000</x:v>
      </x:c>
      <x:c r="W1932" s="37" t="n">
        <x:v>145565.02811558452</x:v>
      </x:c>
      <x:c r="X1932" s="37" t="n">
        <x:v>0</x:v>
      </x:c>
      <x:c r="Y1932" s="37" t="n">
        <x:v>1748.1034567624336</x:v>
      </x:c>
      <x:c r="Z1932" s="37" t="n">
        <x:v>6265669.9633053215</x:v>
      </x:c>
      <x:c r="AA1932" s="37" t="n">
        <x:v>0</x:v>
      </x:c>
      <x:c r="AB1932" s="37" t="n">
        <x:v>6265669.9633053215</x:v>
      </x:c>
      <x:c r="AC1932" s="37" t="n">
        <x:v>3302674.2658721665</x:v>
      </x:c>
      <x:c r="AD1932" s="37" t="n">
        <x:v>0</x:v>
      </x:c>
      <x:c r="AE1932" s="37" t="n">
        <x:v>0</x:v>
      </x:c>
      <x:c r="AF1932" s="47" t="b">
        <x:v>0</x:v>
      </x:c>
      <x:c r="AG1932" s="47" t="b">
        <x:v>0</x:v>
      </x:c>
      <x:c r="AH1932" s="48" t="n">
        <x:v>0</x:v>
      </x:c>
      <x:c r="AI1932" s="48" t="n">
        <x:v>1.1920928955078125e-7</x:v>
      </x:c>
      <x:c r="AJ1932" s="37" t="str">
        <x:v>passed</x:v>
      </x:c>
    </x:row>
    <x:row r="1933" ht="21" customHeight="1">
      <x:c r="A1933" s="2"/>
      <x:c r="B1933" s="2"/>
      <x:c r="C1933" s="2" t="str">
        <x:v>2023</x:v>
      </x:c>
      <x:c r="D1933" s="5" t="n">
        <x:v>45265</x:v>
      </x:c>
      <x:c r="E1933" s="2" t="str">
        <x:v>unweighted</x:v>
      </x:c>
      <x:c r="F1933" s="37" t="n">
        <x:v>11550999.79693285</x:v>
      </x:c>
      <x:c r="G1933" s="37" t="n">
        <x:v>306438.627859687</x:v>
      </x:c>
      <x:c r="H1933" s="37" t="n">
        <x:v>22012.633850747963</x:v>
      </x:c>
      <x:c r="I1933" s="37" t="n">
        <x:v>284425.9940089391</x:v>
      </x:c>
      <x:c r="J1933" s="37" t="n">
        <x:v>8642006.447543029</x:v>
      </x:c>
      <x:c r="K1933" s="37" t="n">
        <x:v>8335567.819683342</x:v>
      </x:c>
      <x:c r="L1933" s="37" t="n">
        <x:v>11857438.424792537</x:v>
      </x:c>
      <x:c r="M1933" s="37" t="n">
        <x:v>0</x:v>
      </x:c>
      <x:c r="N1933" s="37" t="n">
        <x:v>0</x:v>
      </x:c>
      <x:c r="O1933" s="37" t="n">
        <x:v>632.8968164455146</x:v>
      </x:c>
      <x:c r="P1933" s="37" t="n">
        <x:v>0</x:v>
      </x:c>
      <x:c r="Q1933" s="37" t="n">
        <x:v>0</x:v>
      </x:c>
      <x:c r="R1933" s="37" t="n">
        <x:v>0</x:v>
      </x:c>
      <x:c r="S1933" s="37" t="n">
        <x:v>0</x:v>
      </x:c>
      <x:c r="T1933" s="37" t="n">
        <x:v>0</x:v>
      </x:c>
      <x:c r="U1933" s="37" t="n">
        <x:v>-8107.360295191727</x:v>
      </x:c>
      <x:c r="V1933" s="37" t="n">
        <x:v>2021684.8131373634</x:v>
      </x:c>
      <x:c r="W1933" s="37" t="n">
        <x:v>207737.58249693364</x:v>
      </x:c>
      <x:c r="X1933" s="37" t="n">
        <x:v>0</x:v>
      </x:c>
      <x:c r="Y1933" s="37" t="n">
        <x:v>2359.6687749452235</x:v>
      </x:c>
      <x:c r="Z1933" s="37" t="n">
        <x:v>8502279.17607701</x:v>
      </x:c>
      <x:c r="AA1933" s="37" t="n">
        <x:v>0</x:v>
      </x:c>
      <x:c r="AB1933" s="37" t="n">
        <x:v>8502279.17607701</x:v>
      </x:c>
      <x:c r="AC1933" s="37" t="n">
        <x:v>3048720.62085584</x:v>
      </x:c>
      <x:c r="AD1933" s="37" t="n">
        <x:v>0</x:v>
      </x:c>
      <x:c r="AE1933" s="37" t="n">
        <x:v>0</x:v>
      </x:c>
      <x:c r="AF1933" s="47" t="b">
        <x:v>0</x:v>
      </x:c>
      <x:c r="AG1933" s="47" t="b">
        <x:v>0</x:v>
      </x:c>
      <x:c r="AH1933" s="48" t="n">
        <x:v>0</x:v>
      </x:c>
      <x:c r="AI1933" s="48" t="n">
        <x:v>1.1920928955078125e-7</x:v>
      </x:c>
      <x:c r="AJ1933" s="37" t="str">
        <x:v>passed</x:v>
      </x:c>
    </x:row>
    <x:row r="1934" ht="21" customHeight="1">
      <x:c r="A1934" s="2"/>
      <x:c r="B1934" s="2"/>
      <x:c r="C1934" s="2" t="str">
        <x:v>2023</x:v>
      </x:c>
      <x:c r="D1934" s="5" t="n">
        <x:v>45265</x:v>
      </x:c>
      <x:c r="E1934" s="2" t="str">
        <x:v>constrained</x:v>
      </x:c>
      <x:c r="F1934" s="37" t="n">
        <x:v>11717498.129931364</x:v>
      </x:c>
      <x:c r="G1934" s="37" t="n">
        <x:v>120799.20956528367</x:v>
      </x:c>
      <x:c r="H1934" s="37" t="n">
        <x:v>22057.505187451334</x:v>
      </x:c>
      <x:c r="I1934" s="37" t="n">
        <x:v>98741.70437783234</x:v>
      </x:c>
      <x:c r="J1934" s="37" t="n">
        <x:v>8628499.87014296</x:v>
      </x:c>
      <x:c r="K1934" s="37" t="n">
        <x:v>8507700.660577677</x:v>
      </x:c>
      <x:c r="L1934" s="37" t="n">
        <x:v>11838297.339496648</x:v>
      </x:c>
      <x:c r="M1934" s="37" t="n">
        <x:v>0</x:v>
      </x:c>
      <x:c r="N1934" s="37" t="n">
        <x:v>0</x:v>
      </x:c>
      <x:c r="O1934" s="37" t="n">
        <x:v>642.0195129010826</x:v>
      </x:c>
      <x:c r="P1934" s="37" t="n">
        <x:v>0</x:v>
      </x:c>
      <x:c r="Q1934" s="37" t="n">
        <x:v>0</x:v>
      </x:c>
      <x:c r="R1934" s="37" t="n">
        <x:v>0</x:v>
      </x:c>
      <x:c r="S1934" s="37" t="n">
        <x:v>0</x:v>
      </x:c>
      <x:c r="T1934" s="37" t="n">
        <x:v>0</x:v>
      </x:c>
      <x:c r="U1934" s="37" t="n">
        <x:v>-13531.181236168934</x:v>
      </x:c>
      <x:c r="V1934" s="37" t="n">
        <x:v>-265385.86407447886</x:v>
      </x:c>
      <x:c r="W1934" s="37" t="n">
        <x:v>219969.99622680247</x:v>
      </x:c>
      <x:c r="X1934" s="37" t="n">
        <x:v>0</x:v>
      </x:c>
      <x:c r="Y1934" s="37" t="n">
        <x:v>2235.87682307701</x:v>
      </x:c>
      <x:c r="Z1934" s="37" t="n">
        <x:v>8677854.673789231</x:v>
      </x:c>
      <x:c r="AA1934" s="37" t="n">
        <x:v>0</x:v>
      </x:c>
      <x:c r="AB1934" s="37" t="n">
        <x:v>8677854.673789231</x:v>
      </x:c>
      <x:c r="AC1934" s="37" t="n">
        <x:v>3039643.456142133</x:v>
      </x:c>
      <x:c r="AD1934" s="37" t="n">
        <x:v>0</x:v>
      </x:c>
      <x:c r="AE1934" s="37" t="n">
        <x:v>0</x:v>
      </x:c>
      <x:c r="AF1934" s="47" t="b">
        <x:v>0</x:v>
      </x:c>
      <x:c r="AG1934" s="47" t="b">
        <x:v>0</x:v>
      </x:c>
      <x:c r="AH1934" s="48" t="n">
        <x:v>0</x:v>
      </x:c>
      <x:c r="AI1934" s="48" t="n">
        <x:v>1.1920928955078125e-7</x:v>
      </x:c>
      <x:c r="AJ1934" s="37" t="str">
        <x:v>passed</x:v>
      </x:c>
    </x:row>
    <x:row r="1935" ht="21" customHeight="1">
      <x:c r="A1935" s="2"/>
      <x:c r="B1935" s="2"/>
      <x:c r="C1935" s="2" t="str">
        <x:v>2023</x:v>
      </x:c>
      <x:c r="D1935" s="5" t="n">
        <x:v>45266</x:v>
      </x:c>
      <x:c r="E1935" s="2" t="str">
        <x:v>unhedged</x:v>
      </x:c>
      <x:c r="F1935" s="37" t="n">
        <x:v>3353961.4371695723</x:v>
      </x:c>
      <x:c r="G1935" s="37" t="n">
        <x:v>8543526.438740883</x:v>
      </x:c>
      <x:c r="H1935" s="37" t="n">
        <x:v>27480.440754897274</x:v>
      </x:c>
      <x:c r="I1935" s="37" t="n">
        <x:v>8516045.997985985</x:v>
      </x:c>
      <x:c r="J1935" s="37" t="n">
        <x:v>8543526.438740883</x:v>
      </x:c>
      <x:c r="K1935" s="37" t="n">
        <x:v>0</x:v>
      </x:c>
      <x:c r="L1935" s="37" t="n">
        <x:v>11897487.875910455</x:v>
      </x:c>
      <x:c r="M1935" s="37" t="n">
        <x:v>0</x:v>
      </x:c>
      <x:c r="N1935" s="37" t="n">
        <x:v>0</x:v>
      </x:c>
      <x:c r="O1935" s="37" t="n">
        <x:v>183.7686393717304</x:v>
      </x:c>
      <x:c r="P1935" s="37" t="n">
        <x:v>0</x:v>
      </x:c>
      <x:c r="Q1935" s="37" t="n">
        <x:v>0</x:v>
      </x:c>
      <x:c r="R1935" s="37" t="n">
        <x:v>0</x:v>
      </x:c>
      <x:c r="S1935" s="37" t="n">
        <x:v>0</x:v>
      </x:c>
      <x:c r="T1935" s="37" t="n">
        <x:v>0</x:v>
      </x:c>
      <x:c r="U1935" s="37" t="n">
        <x:v>127500</x:v>
      </x:c>
      <x:c r="V1935" s="37" t="n">
        <x:v>2000000</x:v>
      </x:c>
      <x:c r="W1935" s="37" t="n">
        <x:v>27504.306511694565</x:v>
      </x:c>
      <x:c r="X1935" s="37" t="n">
        <x:v>0</x:v>
      </x:c>
      <x:c r="Y1935" s="37" t="n">
        <x:v>1042.869342122179</x:v>
      </x:c>
      <x:c r="Z1935" s="37" t="n">
        <x:v>0</x:v>
      </x:c>
      <x:c r="AA1935" s="37" t="n">
        <x:v>0</x:v>
      </x:c>
      <x:c r="AB1935" s="37" t="n">
        <x:v>0</x:v>
      </x:c>
      <x:c r="AC1935" s="37" t="n">
        <x:v>3353961.4371695723</x:v>
      </x:c>
      <x:c r="AD1935" s="37" t="n">
        <x:v>0</x:v>
      </x:c>
      <x:c r="AE1935" s="37" t="n">
        <x:v>0</x:v>
      </x:c>
      <x:c r="AF1935" s="47" t="b">
        <x:v>0</x:v>
      </x:c>
      <x:c r="AG1935" s="47" t="b">
        <x:v>0</x:v>
      </x:c>
      <x:c r="AH1935" s="48" t="n">
        <x:v>0</x:v>
      </x:c>
      <x:c r="AI1935" s="48" t="n">
        <x:v>1.1920928955078125e-7</x:v>
      </x:c>
      <x:c r="AJ1935" s="37" t="str">
        <x:v>passed</x:v>
      </x:c>
    </x:row>
    <x:row r="1936" ht="21" customHeight="1">
      <x:c r="A1936" s="2"/>
      <x:c r="B1936" s="2"/>
      <x:c r="C1936" s="2" t="str">
        <x:v>2023</x:v>
      </x:c>
      <x:c r="D1936" s="5" t="n">
        <x:v>45266</x:v>
      </x:c>
      <x:c r="E1936" s="2" t="str">
        <x:v>duration</x:v>
      </x:c>
      <x:c r="F1936" s="37" t="n">
        <x:v>9568868.522011964</x:v>
      </x:c>
      <x:c r="G1936" s="37" t="n">
        <x:v>2372176.0208233884</x:v>
      </x:c>
      <x:c r="H1936" s="37" t="n">
        <x:v>21469.962481512088</x:v>
      </x:c>
      <x:c r="I1936" s="37" t="n">
        <x:v>2350706.058341876</x:v>
      </x:c>
      <x:c r="J1936" s="37" t="n">
        <x:v>8543526.438740883</x:v>
      </x:c>
      <x:c r="K1936" s="37" t="n">
        <x:v>6171350.417917496</x:v>
      </x:c>
      <x:c r="L1936" s="37" t="n">
        <x:v>11941044.542835351</x:v>
      </x:c>
      <x:c r="M1936" s="37" t="n">
        <x:v>0</x:v>
      </x:c>
      <x:c r="N1936" s="37" t="n">
        <x:v>0</x:v>
      </x:c>
      <x:c r="O1936" s="37" t="n">
        <x:v>524.2928344756365</x:v>
      </x:c>
      <x:c r="P1936" s="37" t="n">
        <x:v>0</x:v>
      </x:c>
      <x:c r="Q1936" s="37" t="n">
        <x:v>0</x:v>
      </x:c>
      <x:c r="R1936" s="37" t="n">
        <x:v>0</x:v>
      </x:c>
      <x:c r="S1936" s="37" t="n">
        <x:v>0</x:v>
      </x:c>
      <x:c r="T1936" s="37" t="n">
        <x:v>0</x:v>
      </x:c>
      <x:c r="U1936" s="37" t="n">
        <x:v>20944.980443102446</x:v>
      </x:c>
      <x:c r="V1936" s="37" t="n">
        <x:v>2000000</x:v>
      </x:c>
      <x:c r="W1936" s="37" t="n">
        <x:v>146089.32095006015</x:v>
      </x:c>
      <x:c r="X1936" s="37" t="n">
        <x:v>0</x:v>
      </x:c>
      <x:c r="Y1936" s="37" t="n">
        <x:v>1748.1034567624336</x:v>
      </x:c>
      <x:c r="Z1936" s="37" t="n">
        <x:v>6294777.426275846</x:v>
      </x:c>
      <x:c r="AA1936" s="37" t="n">
        <x:v>0</x:v>
      </x:c>
      <x:c r="AB1936" s="37" t="n">
        <x:v>6294777.426275846</x:v>
      </x:c>
      <x:c r="AC1936" s="37" t="n">
        <x:v>3274091.095736118</x:v>
      </x:c>
      <x:c r="AD1936" s="37" t="n">
        <x:v>0</x:v>
      </x:c>
      <x:c r="AE1936" s="37" t="n">
        <x:v>0</x:v>
      </x:c>
      <x:c r="AF1936" s="47" t="b">
        <x:v>0</x:v>
      </x:c>
      <x:c r="AG1936" s="47" t="b">
        <x:v>0</x:v>
      </x:c>
      <x:c r="AH1936" s="48" t="n">
        <x:v>0</x:v>
      </x:c>
      <x:c r="AI1936" s="48" t="n">
        <x:v>1.1920928955078125e-7</x:v>
      </x:c>
      <x:c r="AJ1936" s="37" t="str">
        <x:v>passed</x:v>
      </x:c>
    </x:row>
    <x:row r="1937" ht="21" customHeight="1">
      <x:c r="A1937" s="2"/>
      <x:c r="B1937" s="2"/>
      <x:c r="C1937" s="2" t="str">
        <x:v>2023</x:v>
      </x:c>
      <x:c r="D1937" s="5" t="n">
        <x:v>45266</x:v>
      </x:c>
      <x:c r="E1937" s="2" t="str">
        <x:v>unweighted</x:v>
      </x:c>
      <x:c r="F1937" s="37" t="n">
        <x:v>11551632.728428574</x:v>
      </x:c>
      <x:c r="G1937" s="37" t="n">
        <x:v>305439.2187682609</x:v>
      </x:c>
      <x:c r="H1937" s="37" t="n">
        <x:v>21990.928930179172</x:v>
      </x:c>
      <x:c r="I1937" s="37" t="n">
        <x:v>283448.28983808175</x:v>
      </x:c>
      <x:c r="J1937" s="37" t="n">
        <x:v>8664313.667063473</x:v>
      </x:c>
      <x:c r="K1937" s="37" t="n">
        <x:v>8358874.448295212</x:v>
      </x:c>
      <x:c r="L1937" s="37" t="n">
        <x:v>11857071.947196836</x:v>
      </x:c>
      <x:c r="M1937" s="37" t="n">
        <x:v>0</x:v>
      </x:c>
      <x:c r="N1937" s="37" t="n">
        <x:v>0</x:v>
      </x:c>
      <x:c r="O1937" s="37" t="n">
        <x:v>632.9314957242459</x:v>
      </x:c>
      <x:c r="P1937" s="37" t="n">
        <x:v>0</x:v>
      </x:c>
      <x:c r="Q1937" s="37" t="n">
        <x:v>0</x:v>
      </x:c>
      <x:c r="R1937" s="37" t="n">
        <x:v>0</x:v>
      </x:c>
      <x:c r="S1937" s="37" t="n">
        <x:v>0</x:v>
      </x:c>
      <x:c r="T1937" s="37" t="n">
        <x:v>0</x:v>
      </x:c>
      <x:c r="U1937" s="37" t="n">
        <x:v>-8107.360295191727</x:v>
      </x:c>
      <x:c r="V1937" s="37" t="n">
        <x:v>2021684.8131373634</x:v>
      </x:c>
      <x:c r="W1937" s="37" t="n">
        <x:v>208370.51399265788</x:v>
      </x:c>
      <x:c r="X1937" s="37" t="n">
        <x:v>0</x:v>
      </x:c>
      <x:c r="Y1937" s="37" t="n">
        <x:v>2359.6687749452235</x:v>
      </x:c>
      <x:c r="Z1937" s="37" t="n">
        <x:v>8526051.937261118</x:v>
      </x:c>
      <x:c r="AA1937" s="37" t="n">
        <x:v>0</x:v>
      </x:c>
      <x:c r="AB1937" s="37" t="n">
        <x:v>8526051.937261118</x:v>
      </x:c>
      <x:c r="AC1937" s="37" t="n">
        <x:v>3025580.7911674567</x:v>
      </x:c>
      <x:c r="AD1937" s="37" t="n">
        <x:v>0</x:v>
      </x:c>
      <x:c r="AE1937" s="37" t="n">
        <x:v>0</x:v>
      </x:c>
      <x:c r="AF1937" s="47" t="b">
        <x:v>0</x:v>
      </x:c>
      <x:c r="AG1937" s="47" t="b">
        <x:v>0</x:v>
      </x:c>
      <x:c r="AH1937" s="48" t="n">
        <x:v>0</x:v>
      </x:c>
      <x:c r="AI1937" s="48" t="n">
        <x:v>1.1920928955078125e-7</x:v>
      </x:c>
      <x:c r="AJ1937" s="37" t="str">
        <x:v>passed</x:v>
      </x:c>
    </x:row>
    <x:row r="1938" ht="21" customHeight="1">
      <x:c r="A1938" s="2"/>
      <x:c r="B1938" s="2"/>
      <x:c r="C1938" s="2" t="str">
        <x:v>2023</x:v>
      </x:c>
      <x:c r="D1938" s="5" t="n">
        <x:v>45266</x:v>
      </x:c>
      <x:c r="E1938" s="2" t="str">
        <x:v>constrained</x:v>
      </x:c>
      <x:c r="F1938" s="37" t="n">
        <x:v>11718140.184623415</x:v>
      </x:c>
      <x:c r="G1938" s="37" t="n">
        <x:v>120450.21516011281</x:v>
      </x:c>
      <x:c r="H1938" s="37" t="n">
        <x:v>22030.020410501467</x:v>
      </x:c>
      <x:c r="I1938" s="37" t="n">
        <x:v>98420.19474961134</x:v>
      </x:c>
      <x:c r="J1938" s="37" t="n">
        <x:v>8650733.313630057</x:v>
      </x:c>
      <x:c r="K1938" s="37" t="n">
        <x:v>8530283.098469947</x:v>
      </x:c>
      <x:c r="L1938" s="37" t="n">
        <x:v>11838590.399783527</x:v>
      </x:c>
      <x:c r="M1938" s="37" t="n">
        <x:v>0</x:v>
      </x:c>
      <x:c r="N1938" s="37" t="n">
        <x:v>0</x:v>
      </x:c>
      <x:c r="O1938" s="37" t="n">
        <x:v>642.0546920504421</x:v>
      </x:c>
      <x:c r="P1938" s="37" t="n">
        <x:v>0</x:v>
      </x:c>
      <x:c r="Q1938" s="37" t="n">
        <x:v>0</x:v>
      </x:c>
      <x:c r="R1938" s="37" t="n">
        <x:v>0</x:v>
      </x:c>
      <x:c r="S1938" s="37" t="n">
        <x:v>0</x:v>
      </x:c>
      <x:c r="T1938" s="37" t="n">
        <x:v>0</x:v>
      </x:c>
      <x:c r="U1938" s="37" t="n">
        <x:v>-13531.181236168934</x:v>
      </x:c>
      <x:c r="V1938" s="37" t="n">
        <x:v>-265385.86407447886</x:v>
      </x:c>
      <x:c r="W1938" s="37" t="n">
        <x:v>220612.0509188529</x:v>
      </x:c>
      <x:c r="X1938" s="37" t="n">
        <x:v>0</x:v>
      </x:c>
      <x:c r="Y1938" s="37" t="n">
        <x:v>2235.87682307701</x:v>
      </x:c>
      <x:c r="Z1938" s="37" t="n">
        <x:v>8700888.760439346</x:v>
      </x:c>
      <x:c r="AA1938" s="37" t="n">
        <x:v>0</x:v>
      </x:c>
      <x:c r="AB1938" s="37" t="n">
        <x:v>8700888.760439346</x:v>
      </x:c>
      <x:c r="AC1938" s="37" t="n">
        <x:v>3017251.424184069</x:v>
      </x:c>
      <x:c r="AD1938" s="37" t="n">
        <x:v>0</x:v>
      </x:c>
      <x:c r="AE1938" s="37" t="n">
        <x:v>0</x:v>
      </x:c>
      <x:c r="AF1938" s="47" t="b">
        <x:v>0</x:v>
      </x:c>
      <x:c r="AG1938" s="47" t="b">
        <x:v>0</x:v>
      </x:c>
      <x:c r="AH1938" s="48" t="n">
        <x:v>0</x:v>
      </x:c>
      <x:c r="AI1938" s="48" t="n">
        <x:v>1.1920928955078125e-7</x:v>
      </x:c>
      <x:c r="AJ1938" s="37" t="str">
        <x:v>passed</x:v>
      </x:c>
    </x:row>
    <x:row r="1939" ht="21" customHeight="1">
      <x:c r="A1939" s="2"/>
      <x:c r="B1939" s="2"/>
      <x:c r="C1939" s="2" t="str">
        <x:v>2023</x:v>
      </x:c>
      <x:c r="D1939" s="5" t="n">
        <x:v>45267</x:v>
      </x:c>
      <x:c r="E1939" s="2" t="str">
        <x:v>unhedged</x:v>
      </x:c>
      <x:c r="F1939" s="37" t="n">
        <x:v>3354145.215878458</x:v>
      </x:c>
      <x:c r="G1939" s="37" t="n">
        <x:v>8542624.98369998</x:v>
      </x:c>
      <x:c r="H1939" s="37" t="n">
        <x:v>27807.87147634974</x:v>
      </x:c>
      <x:c r="I1939" s="37" t="n">
        <x:v>8514817.112223629</x:v>
      </x:c>
      <x:c r="J1939" s="37" t="n">
        <x:v>8542624.98369998</x:v>
      </x:c>
      <x:c r="K1939" s="37" t="n">
        <x:v>0</x:v>
      </x:c>
      <x:c r="L1939" s="37" t="n">
        <x:v>11896770.199578438</x:v>
      </x:c>
      <x:c r="M1939" s="37" t="n">
        <x:v>0</x:v>
      </x:c>
      <x:c r="N1939" s="37" t="n">
        <x:v>0</x:v>
      </x:c>
      <x:c r="O1939" s="37" t="n">
        <x:v>183.7787088858895</x:v>
      </x:c>
      <x:c r="P1939" s="37" t="n">
        <x:v>0</x:v>
      </x:c>
      <x:c r="Q1939" s="37" t="n">
        <x:v>0</x:v>
      </x:c>
      <x:c r="R1939" s="37" t="n">
        <x:v>0</x:v>
      </x:c>
      <x:c r="S1939" s="37" t="n">
        <x:v>0</x:v>
      </x:c>
      <x:c r="T1939" s="37" t="n">
        <x:v>0</x:v>
      </x:c>
      <x:c r="U1939" s="37" t="n">
        <x:v>127500</x:v>
      </x:c>
      <x:c r="V1939" s="37" t="n">
        <x:v>2000000</x:v>
      </x:c>
      <x:c r="W1939" s="37" t="n">
        <x:v>27688.085220580455</x:v>
      </x:c>
      <x:c r="X1939" s="37" t="n">
        <x:v>0</x:v>
      </x:c>
      <x:c r="Y1939" s="37" t="n">
        <x:v>1042.869342122179</x:v>
      </x:c>
      <x:c r="Z1939" s="37" t="n">
        <x:v>0</x:v>
      </x:c>
      <x:c r="AA1939" s="37" t="n">
        <x:v>0</x:v>
      </x:c>
      <x:c r="AB1939" s="37" t="n">
        <x:v>0</x:v>
      </x:c>
      <x:c r="AC1939" s="37" t="n">
        <x:v>3354145.215878458</x:v>
      </x:c>
      <x:c r="AD1939" s="37" t="n">
        <x:v>0</x:v>
      </x:c>
      <x:c r="AE1939" s="37" t="n">
        <x:v>0</x:v>
      </x:c>
      <x:c r="AF1939" s="47" t="b">
        <x:v>0</x:v>
      </x:c>
      <x:c r="AG1939" s="47" t="b">
        <x:v>0</x:v>
      </x:c>
      <x:c r="AH1939" s="48" t="n">
        <x:v>0</x:v>
      </x:c>
      <x:c r="AI1939" s="48" t="n">
        <x:v>1.1920928955078125e-7</x:v>
      </x:c>
      <x:c r="AJ1939" s="37" t="str">
        <x:v>passed</x:v>
      </x:c>
    </x:row>
    <x:row r="1940" ht="21" customHeight="1">
      <x:c r="A1940" s="2"/>
      <x:c r="B1940" s="2"/>
      <x:c r="C1940" s="2" t="str">
        <x:v>2023</x:v>
      </x:c>
      <x:c r="D1940" s="5" t="n">
        <x:v>45267</x:v>
      </x:c>
      <x:c r="E1940" s="2" t="str">
        <x:v>duration</x:v>
      </x:c>
      <x:c r="F1940" s="37" t="n">
        <x:v>9569392.843574814</x:v>
      </x:c>
      <x:c r="G1940" s="37" t="n">
        <x:v>2375488.3871936323</x:v>
      </x:c>
      <x:c r="H1940" s="37" t="n">
        <x:v>21511.179951850972</x:v>
      </x:c>
      <x:c r="I1940" s="37" t="n">
        <x:v>2353977.2072417815</x:v>
      </x:c>
      <x:c r="J1940" s="37" t="n">
        <x:v>8542624.98369998</x:v>
      </x:c>
      <x:c r="K1940" s="37" t="n">
        <x:v>6167136.596506347</x:v>
      </x:c>
      <x:c r="L1940" s="37" t="n">
        <x:v>11944881.230768446</x:v>
      </x:c>
      <x:c r="M1940" s="37" t="n">
        <x:v>0</x:v>
      </x:c>
      <x:c r="N1940" s="37" t="n">
        <x:v>0</x:v>
      </x:c>
      <x:c r="O1940" s="37" t="n">
        <x:v>524.3215628508478</x:v>
      </x:c>
      <x:c r="P1940" s="37" t="n">
        <x:v>0</x:v>
      </x:c>
      <x:c r="Q1940" s="37" t="n">
        <x:v>0</x:v>
      </x:c>
      <x:c r="R1940" s="37" t="n">
        <x:v>0</x:v>
      </x:c>
      <x:c r="S1940" s="37" t="n">
        <x:v>0</x:v>
      </x:c>
      <x:c r="T1940" s="37" t="n">
        <x:v>0</x:v>
      </x:c>
      <x:c r="U1940" s="37" t="n">
        <x:v>20944.980443102446</x:v>
      </x:c>
      <x:c r="V1940" s="37" t="n">
        <x:v>2000000</x:v>
      </x:c>
      <x:c r="W1940" s="37" t="n">
        <x:v>146613.642512911</x:v>
      </x:c>
      <x:c r="X1940" s="37" t="n">
        <x:v>0</x:v>
      </x:c>
      <x:c r="Y1940" s="37" t="n">
        <x:v>1748.1034567624336</x:v>
      </x:c>
      <x:c r="Z1940" s="37" t="n">
        <x:v>6290479.328436474</x:v>
      </x:c>
      <x:c r="AA1940" s="37" t="n">
        <x:v>0</x:v>
      </x:c>
      <x:c r="AB1940" s="37" t="n">
        <x:v>6290479.328436474</x:v>
      </x:c>
      <x:c r="AC1940" s="37" t="n">
        <x:v>3278913.51513834</x:v>
      </x:c>
      <x:c r="AD1940" s="37" t="n">
        <x:v>0</x:v>
      </x:c>
      <x:c r="AE1940" s="37" t="n">
        <x:v>0</x:v>
      </x:c>
      <x:c r="AF1940" s="47" t="b">
        <x:v>0</x:v>
      </x:c>
      <x:c r="AG1940" s="47" t="b">
        <x:v>0</x:v>
      </x:c>
      <x:c r="AH1940" s="48" t="n">
        <x:v>0</x:v>
      </x:c>
      <x:c r="AI1940" s="48" t="n">
        <x:v>1.1920928955078125e-7</x:v>
      </x:c>
      <x:c r="AJ1940" s="37" t="str">
        <x:v>passed</x:v>
      </x:c>
    </x:row>
    <x:row r="1941" ht="21" customHeight="1">
      <x:c r="A1941" s="2"/>
      <x:c r="B1941" s="2"/>
      <x:c r="C1941" s="2" t="str">
        <x:v>2023</x:v>
      </x:c>
      <x:c r="D1941" s="5" t="n">
        <x:v>45267</x:v>
      </x:c>
      <x:c r="E1941" s="2" t="str">
        <x:v>unweighted</x:v>
      </x:c>
      <x:c r="F1941" s="37" t="n">
        <x:v>11552265.694605473</x:v>
      </x:c>
      <x:c r="G1941" s="37" t="n">
        <x:v>305840.48686589923</x:v>
      </x:c>
      <x:c r="H1941" s="37" t="n">
        <x:v>21969.22400961039</x:v>
      </x:c>
      <x:c r="I1941" s="37" t="n">
        <x:v>283871.2628562889</x:v>
      </x:c>
      <x:c r="J1941" s="37" t="n">
        <x:v>8663021.605608894</x:v>
      </x:c>
      <x:c r="K1941" s="37" t="n">
        <x:v>8357181.118742993</x:v>
      </x:c>
      <x:c r="L1941" s="37" t="n">
        <x:v>11858106.181471372</x:v>
      </x:c>
      <x:c r="M1941" s="37" t="n">
        <x:v>0</x:v>
      </x:c>
      <x:c r="N1941" s="37" t="n">
        <x:v>0</x:v>
      </x:c>
      <x:c r="O1941" s="37" t="n">
        <x:v>632.96617689915</x:v>
      </x:c>
      <x:c r="P1941" s="37" t="n">
        <x:v>0</x:v>
      </x:c>
      <x:c r="Q1941" s="37" t="n">
        <x:v>0</x:v>
      </x:c>
      <x:c r="R1941" s="37" t="n">
        <x:v>0</x:v>
      </x:c>
      <x:c r="S1941" s="37" t="n">
        <x:v>0</x:v>
      </x:c>
      <x:c r="T1941" s="37" t="n">
        <x:v>0</x:v>
      </x:c>
      <x:c r="U1941" s="37" t="n">
        <x:v>-8107.360295191727</x:v>
      </x:c>
      <x:c r="V1941" s="37" t="n">
        <x:v>2021684.8131373634</x:v>
      </x:c>
      <x:c r="W1941" s="37" t="n">
        <x:v>209003.48016955703</x:v>
      </x:c>
      <x:c r="X1941" s="37" t="n">
        <x:v>0</x:v>
      </x:c>
      <x:c r="Y1941" s="37" t="n">
        <x:v>2359.6687749452235</x:v>
      </x:c>
      <x:c r="Z1941" s="37" t="n">
        <x:v>8524324.741117854</x:v>
      </x:c>
      <x:c r="AA1941" s="37" t="n">
        <x:v>0</x:v>
      </x:c>
      <x:c r="AB1941" s="37" t="n">
        <x:v>8524324.741117854</x:v>
      </x:c>
      <x:c r="AC1941" s="37" t="n">
        <x:v>3027940.9534876198</x:v>
      </x:c>
      <x:c r="AD1941" s="37" t="n">
        <x:v>0</x:v>
      </x:c>
      <x:c r="AE1941" s="37" t="n">
        <x:v>0</x:v>
      </x:c>
      <x:c r="AF1941" s="47" t="b">
        <x:v>0</x:v>
      </x:c>
      <x:c r="AG1941" s="47" t="b">
        <x:v>0</x:v>
      </x:c>
      <x:c r="AH1941" s="48" t="n">
        <x:v>0</x:v>
      </x:c>
      <x:c r="AI1941" s="48" t="n">
        <x:v>1.1920928955078125e-7</x:v>
      </x:c>
      <x:c r="AJ1941" s="37" t="str">
        <x:v>passed</x:v>
      </x:c>
    </x:row>
    <x:row r="1942" ht="21" customHeight="1">
      <x:c r="A1942" s="2"/>
      <x:c r="B1942" s="2"/>
      <x:c r="C1942" s="2" t="str">
        <x:v>2023</x:v>
      </x:c>
      <x:c r="D1942" s="5" t="n">
        <x:v>45267</x:v>
      </x:c>
      <x:c r="E1942" s="2" t="str">
        <x:v>constrained</x:v>
      </x:c>
      <x:c r="F1942" s="37" t="n">
        <x:v>11718782.274496546</x:v>
      </x:c>
      <x:c r="G1942" s="37" t="n">
        <x:v>120600.71467057231</x:v>
      </x:c>
      <x:c r="H1942" s="37" t="n">
        <x:v>22002.535633551608</x:v>
      </x:c>
      <x:c r="I1942" s="37" t="n">
        <x:v>98598.1790370207</x:v>
      </x:c>
      <x:c r="J1942" s="37" t="n">
        <x:v>8649472.187390413</x:v>
      </x:c>
      <x:c r="K1942" s="37" t="n">
        <x:v>8528871.47271984</x:v>
      </x:c>
      <x:c r="L1942" s="37" t="n">
        <x:v>11839382.989167118</x:v>
      </x:c>
      <x:c r="M1942" s="37" t="n">
        <x:v>0</x:v>
      </x:c>
      <x:c r="N1942" s="37" t="n">
        <x:v>0</x:v>
      </x:c>
      <x:c r="O1942" s="37" t="n">
        <x:v>642.0898731313646</x:v>
      </x:c>
      <x:c r="P1942" s="37" t="n">
        <x:v>0</x:v>
      </x:c>
      <x:c r="Q1942" s="37" t="n">
        <x:v>0</x:v>
      </x:c>
      <x:c r="R1942" s="37" t="n">
        <x:v>0</x:v>
      </x:c>
      <x:c r="S1942" s="37" t="n">
        <x:v>0</x:v>
      </x:c>
      <x:c r="T1942" s="37" t="n">
        <x:v>0</x:v>
      </x:c>
      <x:c r="U1942" s="37" t="n">
        <x:v>-13531.181236168934</x:v>
      </x:c>
      <x:c r="V1942" s="37" t="n">
        <x:v>-265385.86407447886</x:v>
      </x:c>
      <x:c r="W1942" s="37" t="n">
        <x:v>221254.14079198427</x:v>
      </x:c>
      <x:c r="X1942" s="37" t="n">
        <x:v>0</x:v>
      </x:c>
      <x:c r="Y1942" s="37" t="n">
        <x:v>2235.87682307701</x:v>
      </x:c>
      <x:c r="Z1942" s="37" t="n">
        <x:v>8699448.902174238</x:v>
      </x:c>
      <x:c r="AA1942" s="37" t="n">
        <x:v>0</x:v>
      </x:c>
      <x:c r="AB1942" s="37" t="n">
        <x:v>8699448.902174238</x:v>
      </x:c>
      <x:c r="AC1942" s="37" t="n">
        <x:v>3019333.372322308</x:v>
      </x:c>
      <x:c r="AD1942" s="37" t="n">
        <x:v>0</x:v>
      </x:c>
      <x:c r="AE1942" s="37" t="n">
        <x:v>0</x:v>
      </x:c>
      <x:c r="AF1942" s="47" t="b">
        <x:v>0</x:v>
      </x:c>
      <x:c r="AG1942" s="47" t="b">
        <x:v>0</x:v>
      </x:c>
      <x:c r="AH1942" s="48" t="n">
        <x:v>0</x:v>
      </x:c>
      <x:c r="AI1942" s="48" t="n">
        <x:v>1.1920928955078125e-7</x:v>
      </x:c>
      <x:c r="AJ1942" s="37" t="str">
        <x:v>passed</x:v>
      </x:c>
    </x:row>
    <x:row r="1943" ht="21" customHeight="1">
      <x:c r="A1943" s="2"/>
      <x:c r="B1943" s="2"/>
      <x:c r="C1943" s="2" t="str">
        <x:v>2023</x:v>
      </x:c>
      <x:c r="D1943" s="5" t="n">
        <x:v>45268</x:v>
      </x:c>
      <x:c r="E1943" s="2" t="str">
        <x:v>unhedged</x:v>
      </x:c>
      <x:c r="F1943" s="37" t="n">
        <x:v>3354329.004657411</x:v>
      </x:c>
      <x:c r="G1943" s="37" t="n">
        <x:v>8496076.722964346</x:v>
      </x:c>
      <x:c r="H1943" s="37" t="n">
        <x:v>28135.302197802197</x:v>
      </x:c>
      <x:c r="I1943" s="37" t="n">
        <x:v>8467941.420766544</x:v>
      </x:c>
      <x:c r="J1943" s="37" t="n">
        <x:v>8496076.722964346</x:v>
      </x:c>
      <x:c r="K1943" s="37" t="n">
        <x:v>0</x:v>
      </x:c>
      <x:c r="L1943" s="37" t="n">
        <x:v>11850405.727621756</x:v>
      </x:c>
      <x:c r="M1943" s="37" t="n">
        <x:v>0</x:v>
      </x:c>
      <x:c r="N1943" s="37" t="n">
        <x:v>0</x:v>
      </x:c>
      <x:c r="O1943" s="37" t="n">
        <x:v>183.78877895278856</x:v>
      </x:c>
      <x:c r="P1943" s="37" t="n">
        <x:v>0</x:v>
      </x:c>
      <x:c r="Q1943" s="37" t="n">
        <x:v>0</x:v>
      </x:c>
      <x:c r="R1943" s="37" t="n">
        <x:v>0</x:v>
      </x:c>
      <x:c r="S1943" s="37" t="n">
        <x:v>0</x:v>
      </x:c>
      <x:c r="T1943" s="37" t="n">
        <x:v>0</x:v>
      </x:c>
      <x:c r="U1943" s="37" t="n">
        <x:v>127500</x:v>
      </x:c>
      <x:c r="V1943" s="37" t="n">
        <x:v>2000000</x:v>
      </x:c>
      <x:c r="W1943" s="37" t="n">
        <x:v>27871.873999533243</x:v>
      </x:c>
      <x:c r="X1943" s="37" t="n">
        <x:v>0</x:v>
      </x:c>
      <x:c r="Y1943" s="37" t="n">
        <x:v>1042.869342122179</x:v>
      </x:c>
      <x:c r="Z1943" s="37" t="n">
        <x:v>0</x:v>
      </x:c>
      <x:c r="AA1943" s="37" t="n">
        <x:v>0</x:v>
      </x:c>
      <x:c r="AB1943" s="37" t="n">
        <x:v>0</x:v>
      </x:c>
      <x:c r="AC1943" s="37" t="n">
        <x:v>3354329.004657411</x:v>
      </x:c>
      <x:c r="AD1943" s="37" t="n">
        <x:v>0</x:v>
      </x:c>
      <x:c r="AE1943" s="37" t="n">
        <x:v>0</x:v>
      </x:c>
      <x:c r="AF1943" s="47" t="b">
        <x:v>0</x:v>
      </x:c>
      <x:c r="AG1943" s="47" t="b">
        <x:v>0</x:v>
      </x:c>
      <x:c r="AH1943" s="48" t="n">
        <x:v>0</x:v>
      </x:c>
      <x:c r="AI1943" s="48" t="n">
        <x:v>1.1920928955078125e-7</x:v>
      </x:c>
      <x:c r="AJ1943" s="37" t="str">
        <x:v>passed</x:v>
      </x:c>
    </x:row>
    <x:row r="1944" ht="21" customHeight="1">
      <x:c r="A1944" s="2"/>
      <x:c r="B1944" s="2"/>
      <x:c r="C1944" s="2" t="str">
        <x:v>2023</x:v>
      </x:c>
      <x:c r="D1944" s="5" t="n">
        <x:v>45268</x:v>
      </x:c>
      <x:c r="E1944" s="2" t="str">
        <x:v>duration</x:v>
      </x:c>
      <x:c r="F1944" s="37" t="n">
        <x:v>9569917.193867614</x:v>
      </x:c>
      <x:c r="G1944" s="37" t="n">
        <x:v>2370737.5082889125</x:v>
      </x:c>
      <x:c r="H1944" s="37" t="n">
        <x:v>21552.39742218985</x:v>
      </x:c>
      <x:c r="I1944" s="37" t="n">
        <x:v>2349185.1108667227</x:v>
      </x:c>
      <x:c r="J1944" s="37" t="n">
        <x:v>8496076.722964346</x:v>
      </x:c>
      <x:c r="K1944" s="37" t="n">
        <x:v>6125339.214675433</x:v>
      </x:c>
      <x:c r="L1944" s="37" t="n">
        <x:v>11940654.702156527</x:v>
      </x:c>
      <x:c r="M1944" s="37" t="n">
        <x:v>0</x:v>
      </x:c>
      <x:c r="N1944" s="37" t="n">
        <x:v>0</x:v>
      </x:c>
      <x:c r="O1944" s="37" t="n">
        <x:v>524.3502927999943</x:v>
      </x:c>
      <x:c r="P1944" s="37" t="n">
        <x:v>0</x:v>
      </x:c>
      <x:c r="Q1944" s="37" t="n">
        <x:v>0</x:v>
      </x:c>
      <x:c r="R1944" s="37" t="n">
        <x:v>0</x:v>
      </x:c>
      <x:c r="S1944" s="37" t="n">
        <x:v>0</x:v>
      </x:c>
      <x:c r="T1944" s="37" t="n">
        <x:v>0</x:v>
      </x:c>
      <x:c r="U1944" s="37" t="n">
        <x:v>20944.980443102446</x:v>
      </x:c>
      <x:c r="V1944" s="37" t="n">
        <x:v>2000000</x:v>
      </x:c>
      <x:c r="W1944" s="37" t="n">
        <x:v>147137.992805711</x:v>
      </x:c>
      <x:c r="X1944" s="37" t="n">
        <x:v>0</x:v>
      </x:c>
      <x:c r="Y1944" s="37" t="n">
        <x:v>1748.1034567624336</x:v>
      </x:c>
      <x:c r="Z1944" s="37" t="n">
        <x:v>6247845.998968942</x:v>
      </x:c>
      <x:c r="AA1944" s="37" t="n">
        <x:v>0</x:v>
      </x:c>
      <x:c r="AB1944" s="37" t="n">
        <x:v>6247845.998968942</x:v>
      </x:c>
      <x:c r="AC1944" s="37" t="n">
        <x:v>3322071.1948986724</x:v>
      </x:c>
      <x:c r="AD1944" s="37" t="n">
        <x:v>0</x:v>
      </x:c>
      <x:c r="AE1944" s="37" t="n">
        <x:v>0</x:v>
      </x:c>
      <x:c r="AF1944" s="47" t="b">
        <x:v>0</x:v>
      </x:c>
      <x:c r="AG1944" s="47" t="b">
        <x:v>0</x:v>
      </x:c>
      <x:c r="AH1944" s="48" t="n">
        <x:v>0</x:v>
      </x:c>
      <x:c r="AI1944" s="48" t="n">
        <x:v>1.1920928955078125e-7</x:v>
      </x:c>
      <x:c r="AJ1944" s="37" t="str">
        <x:v>passed</x:v>
      </x:c>
    </x:row>
    <x:row r="1945" ht="21" customHeight="1">
      <x:c r="A1945" s="2"/>
      <x:c r="B1945" s="2"/>
      <x:c r="C1945" s="2" t="str">
        <x:v>2023</x:v>
      </x:c>
      <x:c r="D1945" s="5" t="n">
        <x:v>45268</x:v>
      </x:c>
      <x:c r="E1945" s="2" t="str">
        <x:v>unweighted</x:v>
      </x:c>
      <x:c r="F1945" s="37" t="n">
        <x:v>11552898.695465455</x:v>
      </x:c>
      <x:c r="G1945" s="37" t="n">
        <x:v>305185.17093182064</x:v>
      </x:c>
      <x:c r="H1945" s="37" t="n">
        <x:v>21947.519089041598</x:v>
      </x:c>
      <x:c r="I1945" s="37" t="n">
        <x:v>283237.651842779</x:v>
      </x:c>
      <x:c r="J1945" s="37" t="n">
        <x:v>8615206.337699292</x:v>
      </x:c>
      <x:c r="K1945" s="37" t="n">
        <x:v>8310021.166767472</x:v>
      </x:c>
      <x:c r="L1945" s="37" t="n">
        <x:v>11858083.866397275</x:v>
      </x:c>
      <x:c r="M1945" s="37" t="n">
        <x:v>0</x:v>
      </x:c>
      <x:c r="N1945" s="37" t="n">
        <x:v>0</x:v>
      </x:c>
      <x:c r="O1945" s="37" t="n">
        <x:v>633.0008599814028</x:v>
      </x:c>
      <x:c r="P1945" s="37" t="n">
        <x:v>0</x:v>
      </x:c>
      <x:c r="Q1945" s="37" t="n">
        <x:v>0</x:v>
      </x:c>
      <x:c r="R1945" s="37" t="n">
        <x:v>0</x:v>
      </x:c>
      <x:c r="S1945" s="37" t="n">
        <x:v>0</x:v>
      </x:c>
      <x:c r="T1945" s="37" t="n">
        <x:v>0</x:v>
      </x:c>
      <x:c r="U1945" s="37" t="n">
        <x:v>-8107.360295191727</x:v>
      </x:c>
      <x:c r="V1945" s="37" t="n">
        <x:v>2021684.8131373634</x:v>
      </x:c>
      <x:c r="W1945" s="37" t="n">
        <x:v>209636.48102953844</x:v>
      </x:c>
      <x:c r="X1945" s="37" t="n">
        <x:v>0</x:v>
      </x:c>
      <x:c r="Y1945" s="37" t="n">
        <x:v>2359.6687749452235</x:v>
      </x:c>
      <x:c r="Z1945" s="37" t="n">
        <x:v>8476221.590102822</x:v>
      </x:c>
      <x:c r="AA1945" s="37" t="n">
        <x:v>0</x:v>
      </x:c>
      <x:c r="AB1945" s="37" t="n">
        <x:v>8476221.590102822</x:v>
      </x:c>
      <x:c r="AC1945" s="37" t="n">
        <x:v>3076677.1053626332</x:v>
      </x:c>
      <x:c r="AD1945" s="37" t="n">
        <x:v>0</x:v>
      </x:c>
      <x:c r="AE1945" s="37" t="n">
        <x:v>0</x:v>
      </x:c>
      <x:c r="AF1945" s="47" t="b">
        <x:v>0</x:v>
      </x:c>
      <x:c r="AG1945" s="47" t="b">
        <x:v>0</x:v>
      </x:c>
      <x:c r="AH1945" s="48" t="n">
        <x:v>0</x:v>
      </x:c>
      <x:c r="AI1945" s="48" t="n">
        <x:v>1.1920928955078125e-7</x:v>
      </x:c>
      <x:c r="AJ1945" s="37" t="str">
        <x:v>passed</x:v>
      </x:c>
    </x:row>
    <x:row r="1946" ht="21" customHeight="1">
      <x:c r="A1946" s="2"/>
      <x:c r="B1946" s="2"/>
      <x:c r="C1946" s="2" t="str">
        <x:v>2023</x:v>
      </x:c>
      <x:c r="D1946" s="5" t="n">
        <x:v>45268</x:v>
      </x:c>
      <x:c r="E1946" s="2" t="str">
        <x:v>constrained</x:v>
      </x:c>
      <x:c r="F1946" s="37" t="n">
        <x:v>11719424.399552684</x:v>
      </x:c>
      <x:c r="G1946" s="37" t="n">
        <x:v>120375.2643622763</x:v>
      </x:c>
      <x:c r="H1946" s="37" t="n">
        <x:v>21975.05085660174</x:v>
      </x:c>
      <x:c r="I1946" s="37" t="n">
        <x:v>98400.21350567456</x:v>
      </x:c>
      <x:c r="J1946" s="37" t="n">
        <x:v>8601801.212662164</x:v>
      </x:c>
      <x:c r="K1946" s="37" t="n">
        <x:v>8481425.948299889</x:v>
      </x:c>
      <x:c r="L1946" s="37" t="n">
        <x:v>11839799.66391496</x:v>
      </x:c>
      <x:c r="M1946" s="37" t="n">
        <x:v>0</x:v>
      </x:c>
      <x:c r="N1946" s="37" t="n">
        <x:v>0</x:v>
      </x:c>
      <x:c r="O1946" s="37" t="n">
        <x:v>642.1250561382622</x:v>
      </x:c>
      <x:c r="P1946" s="37" t="n">
        <x:v>0</x:v>
      </x:c>
      <x:c r="Q1946" s="37" t="n">
        <x:v>0</x:v>
      </x:c>
      <x:c r="R1946" s="37" t="n">
        <x:v>0</x:v>
      </x:c>
      <x:c r="S1946" s="37" t="n">
        <x:v>0</x:v>
      </x:c>
      <x:c r="T1946" s="37" t="n">
        <x:v>0</x:v>
      </x:c>
      <x:c r="U1946" s="37" t="n">
        <x:v>-13531.181236168934</x:v>
      </x:c>
      <x:c r="V1946" s="37" t="n">
        <x:v>-265385.86407447886</x:v>
      </x:c>
      <x:c r="W1946" s="37" t="n">
        <x:v>221896.26584812254</x:v>
      </x:c>
      <x:c r="X1946" s="37" t="n">
        <x:v>0</x:v>
      </x:c>
      <x:c r="Y1946" s="37" t="n">
        <x:v>2235.87682307701</x:v>
      </x:c>
      <x:c r="Z1946" s="37" t="n">
        <x:v>8651054.467265887</x:v>
      </x:c>
      <x:c r="AA1946" s="37" t="n">
        <x:v>0</x:v>
      </x:c>
      <x:c r="AB1946" s="37" t="n">
        <x:v>8651054.467265887</x:v>
      </x:c>
      <x:c r="AC1946" s="37" t="n">
        <x:v>3068369.932286797</x:v>
      </x:c>
      <x:c r="AD1946" s="37" t="n">
        <x:v>0</x:v>
      </x:c>
      <x:c r="AE1946" s="37" t="n">
        <x:v>0</x:v>
      </x:c>
      <x:c r="AF1946" s="47" t="b">
        <x:v>0</x:v>
      </x:c>
      <x:c r="AG1946" s="47" t="b">
        <x:v>0</x:v>
      </x:c>
      <x:c r="AH1946" s="48" t="n">
        <x:v>0</x:v>
      </x:c>
      <x:c r="AI1946" s="48" t="n">
        <x:v>1.1920928955078125e-7</x:v>
      </x:c>
      <x:c r="AJ1946" s="37" t="str">
        <x:v>passed</x:v>
      </x:c>
    </x:row>
    <x:row r="1947" ht="21" customHeight="1">
      <x:c r="A1947" s="2"/>
      <x:c r="B1947" s="2"/>
      <x:c r="C1947" s="2" t="str">
        <x:v>2023</x:v>
      </x:c>
      <x:c r="D1947" s="5" t="n">
        <x:v>45271</x:v>
      </x:c>
      <x:c r="E1947" s="2" t="str">
        <x:v>unhedged</x:v>
      </x:c>
      <x:c r="F1947" s="37" t="n">
        <x:v>3354880.4314201837</x:v>
      </x:c>
      <x:c r="G1947" s="37" t="n">
        <x:v>8496235.736447478</x:v>
      </x:c>
      <x:c r="H1947" s="37" t="n">
        <x:v>29117.59436215958</x:v>
      </x:c>
      <x:c r="I1947" s="37" t="n">
        <x:v>8467118.142085318</x:v>
      </x:c>
      <x:c r="J1947" s="37" t="n">
        <x:v>8496235.736447478</x:v>
      </x:c>
      <x:c r="K1947" s="37" t="n">
        <x:v>0</x:v>
      </x:c>
      <x:c r="L1947" s="37" t="n">
        <x:v>11851116.16786766</x:v>
      </x:c>
      <x:c r="M1947" s="37" t="n">
        <x:v>0</x:v>
      </x:c>
      <x:c r="N1947" s="37" t="n">
        <x:v>0</x:v>
      </x:c>
      <x:c r="O1947" s="37" t="n">
        <x:v>551.426762772724</x:v>
      </x:c>
      <x:c r="P1947" s="37" t="n">
        <x:v>0</x:v>
      </x:c>
      <x:c r="Q1947" s="37" t="n">
        <x:v>0</x:v>
      </x:c>
      <x:c r="R1947" s="37" t="n">
        <x:v>0</x:v>
      </x:c>
      <x:c r="S1947" s="37" t="n">
        <x:v>0</x:v>
      </x:c>
      <x:c r="T1947" s="37" t="n">
        <x:v>0</x:v>
      </x:c>
      <x:c r="U1947" s="37" t="n">
        <x:v>127500</x:v>
      </x:c>
      <x:c r="V1947" s="37" t="n">
        <x:v>2000000</x:v>
      </x:c>
      <x:c r="W1947" s="37" t="n">
        <x:v>28423.300762305968</x:v>
      </x:c>
      <x:c r="X1947" s="37" t="n">
        <x:v>0</x:v>
      </x:c>
      <x:c r="Y1947" s="37" t="n">
        <x:v>1042.869342122179</x:v>
      </x:c>
      <x:c r="Z1947" s="37" t="n">
        <x:v>0</x:v>
      </x:c>
      <x:c r="AA1947" s="37" t="n">
        <x:v>0</x:v>
      </x:c>
      <x:c r="AB1947" s="37" t="n">
        <x:v>0</x:v>
      </x:c>
      <x:c r="AC1947" s="37" t="n">
        <x:v>3354880.4314201837</x:v>
      </x:c>
      <x:c r="AD1947" s="37" t="n">
        <x:v>0</x:v>
      </x:c>
      <x:c r="AE1947" s="37" t="n">
        <x:v>0</x:v>
      </x:c>
      <x:c r="AF1947" s="47" t="b">
        <x:v>0</x:v>
      </x:c>
      <x:c r="AG1947" s="47" t="b">
        <x:v>0</x:v>
      </x:c>
      <x:c r="AH1947" s="48" t="n">
        <x:v>0</x:v>
      </x:c>
      <x:c r="AI1947" s="48" t="n">
        <x:v>1.1920928955078125e-7</x:v>
      </x:c>
      <x:c r="AJ1947" s="37" t="str">
        <x:v>passed</x:v>
      </x:c>
    </x:row>
    <x:row r="1948" ht="21" customHeight="1">
      <x:c r="A1948" s="2"/>
      <x:c r="B1948" s="2"/>
      <x:c r="C1948" s="2" t="str">
        <x:v>2023</x:v>
      </x:c>
      <x:c r="D1948" s="5" t="n">
        <x:v>45271</x:v>
      </x:c>
      <x:c r="E1948" s="2" t="str">
        <x:v>duration</x:v>
      </x:c>
      <x:c r="F1948" s="37" t="n">
        <x:v>9571490.417141447</x:v>
      </x:c>
      <x:c r="G1948" s="37" t="n">
        <x:v>2372153.5103588556</x:v>
      </x:c>
      <x:c r="H1948" s="37" t="n">
        <x:v>21676.04983320649</x:v>
      </x:c>
      <x:c r="I1948" s="37" t="n">
        <x:v>2350477.460525649</x:v>
      </x:c>
      <x:c r="J1948" s="37" t="n">
        <x:v>8496235.736447478</x:v>
      </x:c>
      <x:c r="K1948" s="37" t="n">
        <x:v>6124082.226088622</x:v>
      </x:c>
      <x:c r="L1948" s="37" t="n">
        <x:v>11943643.927500302</x:v>
      </x:c>
      <x:c r="M1948" s="37" t="n">
        <x:v>0</x:v>
      </x:c>
      <x:c r="N1948" s="37" t="n">
        <x:v>0</x:v>
      </x:c>
      <x:c r="O1948" s="37" t="n">
        <x:v>1573.223273832351</x:v>
      </x:c>
      <x:c r="P1948" s="37" t="n">
        <x:v>0</x:v>
      </x:c>
      <x:c r="Q1948" s="37" t="n">
        <x:v>0</x:v>
      </x:c>
      <x:c r="R1948" s="37" t="n">
        <x:v>0</x:v>
      </x:c>
      <x:c r="S1948" s="37" t="n">
        <x:v>0</x:v>
      </x:c>
      <x:c r="T1948" s="37" t="n">
        <x:v>0</x:v>
      </x:c>
      <x:c r="U1948" s="37" t="n">
        <x:v>20944.980443102446</x:v>
      </x:c>
      <x:c r="V1948" s="37" t="n">
        <x:v>2000000</x:v>
      </x:c>
      <x:c r="W1948" s="37" t="n">
        <x:v>148711.21607954334</x:v>
      </x:c>
      <x:c r="X1948" s="37" t="n">
        <x:v>0</x:v>
      </x:c>
      <x:c r="Y1948" s="37" t="n">
        <x:v>1748.1034567624336</x:v>
      </x:c>
      <x:c r="Z1948" s="37" t="n">
        <x:v>6246563.8706103945</x:v>
      </x:c>
      <x:c r="AA1948" s="37" t="n">
        <x:v>0</x:v>
      </x:c>
      <x:c r="AB1948" s="37" t="n">
        <x:v>6246563.8706103945</x:v>
      </x:c>
      <x:c r="AC1948" s="37" t="n">
        <x:v>3324926.5465310523</x:v>
      </x:c>
      <x:c r="AD1948" s="37" t="n">
        <x:v>0</x:v>
      </x:c>
      <x:c r="AE1948" s="37" t="n">
        <x:v>0</x:v>
      </x:c>
      <x:c r="AF1948" s="47" t="b">
        <x:v>0</x:v>
      </x:c>
      <x:c r="AG1948" s="47" t="b">
        <x:v>0</x:v>
      </x:c>
      <x:c r="AH1948" s="48" t="n">
        <x:v>0</x:v>
      </x:c>
      <x:c r="AI1948" s="48" t="n">
        <x:v>1.1920928955078125e-7</x:v>
      </x:c>
      <x:c r="AJ1948" s="37" t="str">
        <x:v>passed</x:v>
      </x:c>
    </x:row>
    <x:row r="1949" ht="21" customHeight="1">
      <x:c r="A1949" s="2"/>
      <x:c r="B1949" s="2"/>
      <x:c r="C1949" s="2" t="str">
        <x:v>2023</x:v>
      </x:c>
      <x:c r="D1949" s="5" t="n">
        <x:v>45271</x:v>
      </x:c>
      <x:c r="E1949" s="2" t="str">
        <x:v>unweighted</x:v>
      </x:c>
      <x:c r="F1949" s="37" t="n">
        <x:v>11554797.906162865</x:v>
      </x:c>
      <x:c r="G1949" s="37" t="n">
        <x:v>305363.36896492797</x:v>
      </x:c>
      <x:c r="H1949" s="37" t="n">
        <x:v>21882.404327335233</x:v>
      </x:c>
      <x:c r="I1949" s="37" t="n">
        <x:v>283480.9646375927</x:v>
      </x:c>
      <x:c r="J1949" s="37" t="n">
        <x:v>8615217.942153469</x:v>
      </x:c>
      <x:c r="K1949" s="37" t="n">
        <x:v>8309854.57318854</x:v>
      </x:c>
      <x:c r="L1949" s="37" t="n">
        <x:v>11860161.275127793</x:v>
      </x:c>
      <x:c r="M1949" s="37" t="n">
        <x:v>0</x:v>
      </x:c>
      <x:c r="N1949" s="37" t="n">
        <x:v>0</x:v>
      </x:c>
      <x:c r="O1949" s="37" t="n">
        <x:v>1899.2106974106282</x:v>
      </x:c>
      <x:c r="P1949" s="37" t="n">
        <x:v>0</x:v>
      </x:c>
      <x:c r="Q1949" s="37" t="n">
        <x:v>0</x:v>
      </x:c>
      <x:c r="R1949" s="37" t="n">
        <x:v>0</x:v>
      </x:c>
      <x:c r="S1949" s="37" t="n">
        <x:v>0</x:v>
      </x:c>
      <x:c r="T1949" s="37" t="n">
        <x:v>0</x:v>
      </x:c>
      <x:c r="U1949" s="37" t="n">
        <x:v>-8107.360295191727</x:v>
      </x:c>
      <x:c r="V1949" s="37" t="n">
        <x:v>2021684.8131373634</x:v>
      </x:c>
      <x:c r="W1949" s="37" t="n">
        <x:v>211535.69172694907</x:v>
      </x:c>
      <x:c r="X1949" s="37" t="n">
        <x:v>0</x:v>
      </x:c>
      <x:c r="Y1949" s="37" t="n">
        <x:v>2359.6687749452235</x:v>
      </x:c>
      <x:c r="Z1949" s="37" t="n">
        <x:v>8476051.66465231</x:v>
      </x:c>
      <x:c r="AA1949" s="37" t="n">
        <x:v>0</x:v>
      </x:c>
      <x:c r="AB1949" s="37" t="n">
        <x:v>8476051.66465231</x:v>
      </x:c>
      <x:c r="AC1949" s="37" t="n">
        <x:v>3078746.241510555</x:v>
      </x:c>
      <x:c r="AD1949" s="37" t="n">
        <x:v>0</x:v>
      </x:c>
      <x:c r="AE1949" s="37" t="n">
        <x:v>0</x:v>
      </x:c>
      <x:c r="AF1949" s="47" t="b">
        <x:v>0</x:v>
      </x:c>
      <x:c r="AG1949" s="47" t="b">
        <x:v>0</x:v>
      </x:c>
      <x:c r="AH1949" s="48" t="n">
        <x:v>0</x:v>
      </x:c>
      <x:c r="AI1949" s="48" t="n">
        <x:v>1.1920928955078125e-7</x:v>
      </x:c>
      <x:c r="AJ1949" s="37" t="str">
        <x:v>passed</x:v>
      </x:c>
    </x:row>
    <x:row r="1950" ht="21" customHeight="1">
      <x:c r="A1950" s="2"/>
      <x:c r="B1950" s="2"/>
      <x:c r="C1950" s="2" t="str">
        <x:v>2023</x:v>
      </x:c>
      <x:c r="D1950" s="5" t="n">
        <x:v>45271</x:v>
      </x:c>
      <x:c r="E1950" s="2" t="str">
        <x:v>constrained</x:v>
      </x:c>
      <x:c r="F1950" s="37" t="n">
        <x:v>11721350.985838415</x:v>
      </x:c>
      <x:c r="G1950" s="37" t="n">
        <x:v>120403.00670703678</x:v>
      </x:c>
      <x:c r="H1950" s="37" t="n">
        <x:v>21892.596525752146</x:v>
      </x:c>
      <x:c r="I1950" s="37" t="n">
        <x:v>98510.41018128463</x:v>
      </x:c>
      <x:c r="J1950" s="37" t="n">
        <x:v>8601801.875016317</x:v>
      </x:c>
      <x:c r="K1950" s="37" t="n">
        <x:v>8481398.86830928</x:v>
      </x:c>
      <x:c r="L1950" s="37" t="n">
        <x:v>11841753.992545452</x:v>
      </x:c>
      <x:c r="M1950" s="37" t="n">
        <x:v>0</x:v>
      </x:c>
      <x:c r="N1950" s="37" t="n">
        <x:v>0</x:v>
      </x:c>
      <x:c r="O1950" s="37" t="n">
        <x:v>1926.5862857308239</x:v>
      </x:c>
      <x:c r="P1950" s="37" t="n">
        <x:v>0</x:v>
      </x:c>
      <x:c r="Q1950" s="37" t="n">
        <x:v>0</x:v>
      </x:c>
      <x:c r="R1950" s="37" t="n">
        <x:v>0</x:v>
      </x:c>
      <x:c r="S1950" s="37" t="n">
        <x:v>0</x:v>
      </x:c>
      <x:c r="T1950" s="37" t="n">
        <x:v>0</x:v>
      </x:c>
      <x:c r="U1950" s="37" t="n">
        <x:v>-13531.181236168934</x:v>
      </x:c>
      <x:c r="V1950" s="37" t="n">
        <x:v>-265385.86407447886</x:v>
      </x:c>
      <x:c r="W1950" s="37" t="n">
        <x:v>223822.85213385336</x:v>
      </x:c>
      <x:c r="X1950" s="37" t="n">
        <x:v>0</x:v>
      </x:c>
      <x:c r="Y1950" s="37" t="n">
        <x:v>2235.87682307701</x:v>
      </x:c>
      <x:c r="Z1950" s="37" t="n">
        <x:v>8651026.845675467</x:v>
      </x:c>
      <x:c r="AA1950" s="37" t="n">
        <x:v>0</x:v>
      </x:c>
      <x:c r="AB1950" s="37" t="n">
        <x:v>8651026.845675467</x:v>
      </x:c>
      <x:c r="AC1950" s="37" t="n">
        <x:v>3070324.1401629485</x:v>
      </x:c>
      <x:c r="AD1950" s="37" t="n">
        <x:v>0</x:v>
      </x:c>
      <x:c r="AE1950" s="37" t="n">
        <x:v>0</x:v>
      </x:c>
      <x:c r="AF1950" s="47" t="b">
        <x:v>0</x:v>
      </x:c>
      <x:c r="AG1950" s="47" t="b">
        <x:v>0</x:v>
      </x:c>
      <x:c r="AH1950" s="48" t="n">
        <x:v>0</x:v>
      </x:c>
      <x:c r="AI1950" s="48" t="n">
        <x:v>1.1920928955078125e-7</x:v>
      </x:c>
      <x:c r="AJ1950" s="37" t="str">
        <x:v>passed</x:v>
      </x:c>
    </x:row>
    <x:row r="1951" ht="21" customHeight="1">
      <x:c r="A1951" s="2"/>
      <x:c r="B1951" s="2"/>
      <x:c r="C1951" s="2" t="str">
        <x:v>2023</x:v>
      </x:c>
      <x:c r="D1951" s="5" t="n">
        <x:v>45272</x:v>
      </x:c>
      <x:c r="E1951" s="2" t="str">
        <x:v>unhedged</x:v>
      </x:c>
      <x:c r="F1951" s="37" t="n">
        <x:v>3355064.2604849194</x:v>
      </x:c>
      <x:c r="G1951" s="37" t="n">
        <x:v>8511900.575794403</x:v>
      </x:c>
      <x:c r="H1951" s="37" t="n">
        <x:v>29445.02508361204</x:v>
      </x:c>
      <x:c r="I1951" s="37" t="n">
        <x:v>8482455.55071079</x:v>
      </x:c>
      <x:c r="J1951" s="37" t="n">
        <x:v>8511900.575794403</x:v>
      </x:c>
      <x:c r="K1951" s="37" t="n">
        <x:v>0</x:v>
      </x:c>
      <x:c r="L1951" s="37" t="n">
        <x:v>11866964.836279321</x:v>
      </x:c>
      <x:c r="M1951" s="37" t="n">
        <x:v>0</x:v>
      </x:c>
      <x:c r="N1951" s="37" t="n">
        <x:v>0</x:v>
      </x:c>
      <x:c r="O1951" s="37" t="n">
        <x:v>183.8290647356771</x:v>
      </x:c>
      <x:c r="P1951" s="37" t="n">
        <x:v>0</x:v>
      </x:c>
      <x:c r="Q1951" s="37" t="n">
        <x:v>0</x:v>
      </x:c>
      <x:c r="R1951" s="37" t="n">
        <x:v>0</x:v>
      </x:c>
      <x:c r="S1951" s="37" t="n">
        <x:v>0</x:v>
      </x:c>
      <x:c r="T1951" s="37" t="n">
        <x:v>0</x:v>
      </x:c>
      <x:c r="U1951" s="37" t="n">
        <x:v>127500</x:v>
      </x:c>
      <x:c r="V1951" s="37" t="n">
        <x:v>2000000</x:v>
      </x:c>
      <x:c r="W1951" s="37" t="n">
        <x:v>28607.129827041645</x:v>
      </x:c>
      <x:c r="X1951" s="37" t="n">
        <x:v>0</x:v>
      </x:c>
      <x:c r="Y1951" s="37" t="n">
        <x:v>1042.869342122179</x:v>
      </x:c>
      <x:c r="Z1951" s="37" t="n">
        <x:v>0</x:v>
      </x:c>
      <x:c r="AA1951" s="37" t="n">
        <x:v>0</x:v>
      </x:c>
      <x:c r="AB1951" s="37" t="n">
        <x:v>0</x:v>
      </x:c>
      <x:c r="AC1951" s="37" t="n">
        <x:v>3355064.2604849194</x:v>
      </x:c>
      <x:c r="AD1951" s="37" t="n">
        <x:v>0</x:v>
      </x:c>
      <x:c r="AE1951" s="37" t="n">
        <x:v>0</x:v>
      </x:c>
      <x:c r="AF1951" s="47" t="b">
        <x:v>0</x:v>
      </x:c>
      <x:c r="AG1951" s="47" t="b">
        <x:v>0</x:v>
      </x:c>
      <x:c r="AH1951" s="48" t="n">
        <x:v>0</x:v>
      </x:c>
      <x:c r="AI1951" s="48" t="n">
        <x:v>1.1920928955078125e-7</x:v>
      </x:c>
      <x:c r="AJ1951" s="37" t="str">
        <x:v>passed</x:v>
      </x:c>
    </x:row>
    <x:row r="1952" ht="21" customHeight="1">
      <x:c r="A1952" s="2"/>
      <x:c r="B1952" s="2"/>
      <x:c r="C1952" s="2" t="str">
        <x:v>2023</x:v>
      </x:c>
      <x:c r="D1952" s="5" t="n">
        <x:v>45272</x:v>
      </x:c>
      <x:c r="E1952" s="2" t="str">
        <x:v>duration</x:v>
      </x:c>
      <x:c r="F1952" s="37" t="n">
        <x:v>9572014.882369783</x:v>
      </x:c>
      <x:c r="G1952" s="37" t="n">
        <x:v>2368100.2527517835</x:v>
      </x:c>
      <x:c r="H1952" s="37" t="n">
        <x:v>21717.26730354537</x:v>
      </x:c>
      <x:c r="I1952" s="37" t="n">
        <x:v>2346382.985448238</x:v>
      </x:c>
      <x:c r="J1952" s="37" t="n">
        <x:v>8511900.575794403</x:v>
      </x:c>
      <x:c r="K1952" s="37" t="n">
        <x:v>6143800.323042619</x:v>
      </x:c>
      <x:c r="L1952" s="37" t="n">
        <x:v>11940115.135121565</x:v>
      </x:c>
      <x:c r="M1952" s="37" t="n">
        <x:v>0</x:v>
      </x:c>
      <x:c r="N1952" s="37" t="n">
        <x:v>0</x:v>
      </x:c>
      <x:c r="O1952" s="37" t="n">
        <x:v>524.4652283359319</x:v>
      </x:c>
      <x:c r="P1952" s="37" t="n">
        <x:v>0</x:v>
      </x:c>
      <x:c r="Q1952" s="37" t="n">
        <x:v>0</x:v>
      </x:c>
      <x:c r="R1952" s="37" t="n">
        <x:v>0</x:v>
      </x:c>
      <x:c r="S1952" s="37" t="n">
        <x:v>0</x:v>
      </x:c>
      <x:c r="T1952" s="37" t="n">
        <x:v>0</x:v>
      </x:c>
      <x:c r="U1952" s="37" t="n">
        <x:v>20944.980443102446</x:v>
      </x:c>
      <x:c r="V1952" s="37" t="n">
        <x:v>2000000</x:v>
      </x:c>
      <x:c r="W1952" s="37" t="n">
        <x:v>149235.68130787928</x:v>
      </x:c>
      <x:c r="X1952" s="37" t="n">
        <x:v>0</x:v>
      </x:c>
      <x:c r="Y1952" s="37" t="n">
        <x:v>1748.1034567624336</x:v>
      </x:c>
      <x:c r="Z1952" s="37" t="n">
        <x:v>6266676.329503472</x:v>
      </x:c>
      <x:c r="AA1952" s="37" t="n">
        <x:v>0</x:v>
      </x:c>
      <x:c r="AB1952" s="37" t="n">
        <x:v>6266676.329503472</x:v>
      </x:c>
      <x:c r="AC1952" s="37" t="n">
        <x:v>3305338.552866311</x:v>
      </x:c>
      <x:c r="AD1952" s="37" t="n">
        <x:v>0</x:v>
      </x:c>
      <x:c r="AE1952" s="37" t="n">
        <x:v>0</x:v>
      </x:c>
      <x:c r="AF1952" s="47" t="b">
        <x:v>0</x:v>
      </x:c>
      <x:c r="AG1952" s="47" t="b">
        <x:v>0</x:v>
      </x:c>
      <x:c r="AH1952" s="48" t="n">
        <x:v>0</x:v>
      </x:c>
      <x:c r="AI1952" s="48" t="n">
        <x:v>1.1920928955078125e-7</x:v>
      </x:c>
      <x:c r="AJ1952" s="37" t="str">
        <x:v>passed</x:v>
      </x:c>
    </x:row>
    <x:row r="1953" ht="21" customHeight="1">
      <x:c r="A1953" s="2"/>
      <x:c r="B1953" s="2"/>
      <x:c r="C1953" s="2" t="str">
        <x:v>2023</x:v>
      </x:c>
      <x:c r="D1953" s="5" t="n">
        <x:v>45272</x:v>
      </x:c>
      <x:c r="E1953" s="2" t="str">
        <x:v>unweighted</x:v>
      </x:c>
      <x:c r="F1953" s="37" t="n">
        <x:v>11555431.045774162</x:v>
      </x:c>
      <x:c r="G1953" s="37" t="n">
        <x:v>304559.6287318903</x:v>
      </x:c>
      <x:c r="H1953" s="37" t="n">
        <x:v>21860.699406766445</x:v>
      </x:c>
      <x:c r="I1953" s="37" t="n">
        <x:v>282698.92932512384</x:v>
      </x:c>
      <x:c r="J1953" s="37" t="n">
        <x:v>8631334.930907099</x:v>
      </x:c>
      <x:c r="K1953" s="37" t="n">
        <x:v>8326775.302175208</x:v>
      </x:c>
      <x:c r="L1953" s="37" t="n">
        <x:v>11859990.674506051</x:v>
      </x:c>
      <x:c r="M1953" s="37" t="n">
        <x:v>0</x:v>
      </x:c>
      <x:c r="N1953" s="37" t="n">
        <x:v>0</x:v>
      </x:c>
      <x:c r="O1953" s="37" t="n">
        <x:v>633.1396112963557</x:v>
      </x:c>
      <x:c r="P1953" s="37" t="n">
        <x:v>0</x:v>
      </x:c>
      <x:c r="Q1953" s="37" t="n">
        <x:v>0</x:v>
      </x:c>
      <x:c r="R1953" s="37" t="n">
        <x:v>0</x:v>
      </x:c>
      <x:c r="S1953" s="37" t="n">
        <x:v>0</x:v>
      </x:c>
      <x:c r="T1953" s="37" t="n">
        <x:v>0</x:v>
      </x:c>
      <x:c r="U1953" s="37" t="n">
        <x:v>-8107.360295191727</x:v>
      </x:c>
      <x:c r="V1953" s="37" t="n">
        <x:v>2021684.8131373634</x:v>
      </x:c>
      <x:c r="W1953" s="37" t="n">
        <x:v>212168.83133824542</x:v>
      </x:c>
      <x:c r="X1953" s="37" t="n">
        <x:v>0</x:v>
      </x:c>
      <x:c r="Y1953" s="37" t="n">
        <x:v>2359.6687749452235</x:v>
      </x:c>
      <x:c r="Z1953" s="37" t="n">
        <x:v>8493310.808218712</x:v>
      </x:c>
      <x:c r="AA1953" s="37" t="n">
        <x:v>0</x:v>
      </x:c>
      <x:c r="AB1953" s="37" t="n">
        <x:v>8493310.808218712</x:v>
      </x:c>
      <x:c r="AC1953" s="37" t="n">
        <x:v>3062120.23755545</x:v>
      </x:c>
      <x:c r="AD1953" s="37" t="n">
        <x:v>0</x:v>
      </x:c>
      <x:c r="AE1953" s="37" t="n">
        <x:v>0</x:v>
      </x:c>
      <x:c r="AF1953" s="47" t="b">
        <x:v>0</x:v>
      </x:c>
      <x:c r="AG1953" s="47" t="b">
        <x:v>0</x:v>
      </x:c>
      <x:c r="AH1953" s="48" t="n">
        <x:v>0</x:v>
      </x:c>
      <x:c r="AI1953" s="48" t="n">
        <x:v>1.1920928955078125e-7</x:v>
      </x:c>
      <x:c r="AJ1953" s="37" t="str">
        <x:v>passed</x:v>
      </x:c>
    </x:row>
    <x:row r="1954" ht="21" customHeight="1">
      <x:c r="A1954" s="2"/>
      <x:c r="B1954" s="2"/>
      <x:c r="C1954" s="2" t="str">
        <x:v>2023</x:v>
      </x:c>
      <x:c r="D1954" s="5" t="n">
        <x:v>45272</x:v>
      </x:c>
      <x:c r="E1954" s="2" t="str">
        <x:v>constrained</x:v>
      </x:c>
      <x:c r="F1954" s="37" t="n">
        <x:v>11721993.251645857</x:v>
      </x:c>
      <x:c r="G1954" s="37" t="n">
        <x:v>119932.01945883653</x:v>
      </x:c>
      <x:c r="H1954" s="37" t="n">
        <x:v>21865.11174880228</x:v>
      </x:c>
      <x:c r="I1954" s="37" t="n">
        <x:v>98066.90771003425</x:v>
      </x:c>
      <x:c r="J1954" s="37" t="n">
        <x:v>8617904.517441118</x:v>
      </x:c>
      <x:c r="K1954" s="37" t="n">
        <x:v>8497972.49798228</x:v>
      </x:c>
      <x:c r="L1954" s="37" t="n">
        <x:v>11841925.271104693</x:v>
      </x:c>
      <x:c r="M1954" s="37" t="n">
        <x:v>0</x:v>
      </x:c>
      <x:c r="N1954" s="37" t="n">
        <x:v>0</x:v>
      </x:c>
      <x:c r="O1954" s="37" t="n">
        <x:v>642.2658074423671</x:v>
      </x:c>
      <x:c r="P1954" s="37" t="n">
        <x:v>0</x:v>
      </x:c>
      <x:c r="Q1954" s="37" t="n">
        <x:v>0</x:v>
      </x:c>
      <x:c r="R1954" s="37" t="n">
        <x:v>0</x:v>
      </x:c>
      <x:c r="S1954" s="37" t="n">
        <x:v>0</x:v>
      </x:c>
      <x:c r="T1954" s="37" t="n">
        <x:v>0</x:v>
      </x:c>
      <x:c r="U1954" s="37" t="n">
        <x:v>-13531.181236168934</x:v>
      </x:c>
      <x:c r="V1954" s="37" t="n">
        <x:v>-265385.86407447886</x:v>
      </x:c>
      <x:c r="W1954" s="37" t="n">
        <x:v>224465.11794129573</x:v>
      </x:c>
      <x:c r="X1954" s="37" t="n">
        <x:v>0</x:v>
      </x:c>
      <x:c r="Y1954" s="37" t="n">
        <x:v>2235.87682307701</x:v>
      </x:c>
      <x:c r="Z1954" s="37" t="n">
        <x:v>8667931.947941925</x:v>
      </x:c>
      <x:c r="AA1954" s="37" t="n">
        <x:v>0</x:v>
      </x:c>
      <x:c r="AB1954" s="37" t="n">
        <x:v>8667931.947941925</x:v>
      </x:c>
      <x:c r="AC1954" s="37" t="n">
        <x:v>3054061.303703932</x:v>
      </x:c>
      <x:c r="AD1954" s="37" t="n">
        <x:v>0</x:v>
      </x:c>
      <x:c r="AE1954" s="37" t="n">
        <x:v>0</x:v>
      </x:c>
      <x:c r="AF1954" s="47" t="b">
        <x:v>0</x:v>
      </x:c>
      <x:c r="AG1954" s="47" t="b">
        <x:v>0</x:v>
      </x:c>
      <x:c r="AH1954" s="48" t="n">
        <x:v>0</x:v>
      </x:c>
      <x:c r="AI1954" s="48" t="n">
        <x:v>1.1920928955078125e-7</x:v>
      </x:c>
      <x:c r="AJ1954" s="37" t="str">
        <x:v>passed</x:v>
      </x:c>
    </x:row>
    <x:row r="1955" ht="21" customHeight="1">
      <x:c r="A1955" s="2"/>
      <x:c r="B1955" s="2"/>
      <x:c r="C1955" s="2" t="str">
        <x:v>2023</x:v>
      </x:c>
      <x:c r="D1955" s="5" t="n">
        <x:v>45273</x:v>
      </x:c>
      <x:c r="E1955" s="2" t="str">
        <x:v>unhedged</x:v>
      </x:c>
      <x:c r="F1955" s="37" t="n">
        <x:v>3355248.09962248</x:v>
      </x:c>
      <x:c r="G1955" s="37" t="n">
        <x:v>8597032.365970025</x:v>
      </x:c>
      <x:c r="H1955" s="37" t="n">
        <x:v>29772.4558050645</x:v>
      </x:c>
      <x:c r="I1955" s="37" t="n">
        <x:v>8567259.91016496</x:v>
      </x:c>
      <x:c r="J1955" s="37" t="n">
        <x:v>8597032.365970025</x:v>
      </x:c>
      <x:c r="K1955" s="37" t="n">
        <x:v>0</x:v>
      </x:c>
      <x:c r="L1955" s="37" t="n">
        <x:v>11952280.465592505</x:v>
      </x:c>
      <x:c r="M1955" s="37" t="n">
        <x:v>0</x:v>
      </x:c>
      <x:c r="N1955" s="37" t="n">
        <x:v>0</x:v>
      </x:c>
      <x:c r="O1955" s="37" t="n">
        <x:v>183.83913756068796</x:v>
      </x:c>
      <x:c r="P1955" s="37" t="n">
        <x:v>0</x:v>
      </x:c>
      <x:c r="Q1955" s="37" t="n">
        <x:v>0</x:v>
      </x:c>
      <x:c r="R1955" s="37" t="n">
        <x:v>0</x:v>
      </x:c>
      <x:c r="S1955" s="37" t="n">
        <x:v>0</x:v>
      </x:c>
      <x:c r="T1955" s="37" t="n">
        <x:v>0</x:v>
      </x:c>
      <x:c r="U1955" s="37" t="n">
        <x:v>127500</x:v>
      </x:c>
      <x:c r="V1955" s="37" t="n">
        <x:v>2000000</x:v>
      </x:c>
      <x:c r="W1955" s="37" t="n">
        <x:v>28790.968964602333</x:v>
      </x:c>
      <x:c r="X1955" s="37" t="n">
        <x:v>0</x:v>
      </x:c>
      <x:c r="Y1955" s="37" t="n">
        <x:v>1042.869342122179</x:v>
      </x:c>
      <x:c r="Z1955" s="37" t="n">
        <x:v>0</x:v>
      </x:c>
      <x:c r="AA1955" s="37" t="n">
        <x:v>0</x:v>
      </x:c>
      <x:c r="AB1955" s="37" t="n">
        <x:v>0</x:v>
      </x:c>
      <x:c r="AC1955" s="37" t="n">
        <x:v>3355248.09962248</x:v>
      </x:c>
      <x:c r="AD1955" s="37" t="n">
        <x:v>0</x:v>
      </x:c>
      <x:c r="AE1955" s="37" t="n">
        <x:v>0</x:v>
      </x:c>
      <x:c r="AF1955" s="47" t="b">
        <x:v>0</x:v>
      </x:c>
      <x:c r="AG1955" s="47" t="b">
        <x:v>0</x:v>
      </x:c>
      <x:c r="AH1955" s="48" t="n">
        <x:v>0</x:v>
      </x:c>
      <x:c r="AI1955" s="48" t="n">
        <x:v>1.1920928955078125e-7</x:v>
      </x:c>
      <x:c r="AJ1955" s="37" t="str">
        <x:v>passed</x:v>
      </x:c>
    </x:row>
    <x:row r="1956" ht="21" customHeight="1">
      <x:c r="A1956" s="2"/>
      <x:c r="B1956" s="2"/>
      <x:c r="C1956" s="2" t="str">
        <x:v>2023</x:v>
      </x:c>
      <x:c r="D1956" s="5" t="n">
        <x:v>45273</x:v>
      </x:c>
      <x:c r="E1956" s="2" t="str">
        <x:v>duration</x:v>
      </x:c>
      <x:c r="F1956" s="37" t="n">
        <x:v>9572539.376335941</x:v>
      </x:c>
      <x:c r="G1956" s="37" t="n">
        <x:v>2378492.1804245715</x:v>
      </x:c>
      <x:c r="H1956" s="37" t="n">
        <x:v>21758.484773884247</x:v>
      </x:c>
      <x:c r="I1956" s="37" t="n">
        <x:v>2356733.6956506874</x:v>
      </x:c>
      <x:c r="J1956" s="37" t="n">
        <x:v>8597032.365970025</x:v>
      </x:c>
      <x:c r="K1956" s="37" t="n">
        <x:v>6218540.185545454</x:v>
      </x:c>
      <x:c r="L1956" s="37" t="n">
        <x:v>11951031.556760512</x:v>
      </x:c>
      <x:c r="M1956" s="37" t="n">
        <x:v>0</x:v>
      </x:c>
      <x:c r="N1956" s="37" t="n">
        <x:v>0</x:v>
      </x:c>
      <x:c r="O1956" s="37" t="n">
        <x:v>524.4939661584795</x:v>
      </x:c>
      <x:c r="P1956" s="37" t="n">
        <x:v>0</x:v>
      </x:c>
      <x:c r="Q1956" s="37" t="n">
        <x:v>0</x:v>
      </x:c>
      <x:c r="R1956" s="37" t="n">
        <x:v>0</x:v>
      </x:c>
      <x:c r="S1956" s="37" t="n">
        <x:v>0</x:v>
      </x:c>
      <x:c r="T1956" s="37" t="n">
        <x:v>0</x:v>
      </x:c>
      <x:c r="U1956" s="37" t="n">
        <x:v>20944.980443102446</x:v>
      </x:c>
      <x:c r="V1956" s="37" t="n">
        <x:v>2000000</x:v>
      </x:c>
      <x:c r="W1956" s="37" t="n">
        <x:v>149760.17527403776</x:v>
      </x:c>
      <x:c r="X1956" s="37" t="n">
        <x:v>0</x:v>
      </x:c>
      <x:c r="Y1956" s="37" t="n">
        <x:v>1748.1034567624336</x:v>
      </x:c>
      <x:c r="Z1956" s="37" t="n">
        <x:v>6342910.989256363</x:v>
      </x:c>
      <x:c r="AA1956" s="37" t="n">
        <x:v>0</x:v>
      </x:c>
      <x:c r="AB1956" s="37" t="n">
        <x:v>6342910.989256363</x:v>
      </x:c>
      <x:c r="AC1956" s="37" t="n">
        <x:v>3229628.387079578</x:v>
      </x:c>
      <x:c r="AD1956" s="37" t="n">
        <x:v>0</x:v>
      </x:c>
      <x:c r="AE1956" s="37" t="n">
        <x:v>0</x:v>
      </x:c>
      <x:c r="AF1956" s="47" t="b">
        <x:v>0</x:v>
      </x:c>
      <x:c r="AG1956" s="47" t="b">
        <x:v>0</x:v>
      </x:c>
      <x:c r="AH1956" s="48" t="n">
        <x:v>0</x:v>
      </x:c>
      <x:c r="AI1956" s="48" t="n">
        <x:v>1.1920928955078125e-7</x:v>
      </x:c>
      <x:c r="AJ1956" s="37" t="str">
        <x:v>passed</x:v>
      </x:c>
    </x:row>
    <x:row r="1957" ht="21" customHeight="1">
      <x:c r="A1957" s="2"/>
      <x:c r="B1957" s="2"/>
      <x:c r="C1957" s="2" t="str">
        <x:v>2023</x:v>
      </x:c>
      <x:c r="D1957" s="5" t="n">
        <x:v>45273</x:v>
      </x:c>
      <x:c r="E1957" s="2" t="str">
        <x:v>unweighted</x:v>
      </x:c>
      <x:c r="F1957" s="37" t="n">
        <x:v>11556064.22007804</x:v>
      </x:c>
      <x:c r="G1957" s="37" t="n">
        <x:v>306038.91021995305</x:v>
      </x:c>
      <x:c r="H1957" s="37" t="n">
        <x:v>21838.994486197655</x:v>
      </x:c>
      <x:c r="I1957" s="37" t="n">
        <x:v>284199.9157337554</x:v>
      </x:c>
      <x:c r="J1957" s="37" t="n">
        <x:v>8718816.408150148</x:v>
      </x:c>
      <x:c r="K1957" s="37" t="n">
        <x:v>8412777.497930195</x:v>
      </x:c>
      <x:c r="L1957" s="37" t="n">
        <x:v>11862103.130297992</x:v>
      </x:c>
      <x:c r="M1957" s="37" t="n">
        <x:v>0</x:v>
      </x:c>
      <x:c r="N1957" s="37" t="n">
        <x:v>0</x:v>
      </x:c>
      <x:c r="O1957" s="37" t="n">
        <x:v>633.1743038780987</x:v>
      </x:c>
      <x:c r="P1957" s="37" t="n">
        <x:v>0</x:v>
      </x:c>
      <x:c r="Q1957" s="37" t="n">
        <x:v>0</x:v>
      </x:c>
      <x:c r="R1957" s="37" t="n">
        <x:v>0</x:v>
      </x:c>
      <x:c r="S1957" s="37" t="n">
        <x:v>0</x:v>
      </x:c>
      <x:c r="T1957" s="37" t="n">
        <x:v>0</x:v>
      </x:c>
      <x:c r="U1957" s="37" t="n">
        <x:v>-8107.360295191727</x:v>
      </x:c>
      <x:c r="V1957" s="37" t="n">
        <x:v>2021684.8131373634</x:v>
      </x:c>
      <x:c r="W1957" s="37" t="n">
        <x:v>212802.00564212352</x:v>
      </x:c>
      <x:c r="X1957" s="37" t="n">
        <x:v>0</x:v>
      </x:c>
      <x:c r="Y1957" s="37" t="n">
        <x:v>2359.6687749452235</x:v>
      </x:c>
      <x:c r="Z1957" s="37" t="n">
        <x:v>8581033.047888799</x:v>
      </x:c>
      <x:c r="AA1957" s="37" t="n">
        <x:v>0</x:v>
      </x:c>
      <x:c r="AB1957" s="37" t="n">
        <x:v>8581033.047888799</x:v>
      </x:c>
      <x:c r="AC1957" s="37" t="n">
        <x:v>2975031.1721892413</x:v>
      </x:c>
      <x:c r="AD1957" s="37" t="n">
        <x:v>0</x:v>
      </x:c>
      <x:c r="AE1957" s="37" t="n">
        <x:v>0</x:v>
      </x:c>
      <x:c r="AF1957" s="47" t="b">
        <x:v>0</x:v>
      </x:c>
      <x:c r="AG1957" s="47" t="b">
        <x:v>0</x:v>
      </x:c>
      <x:c r="AH1957" s="48" t="n">
        <x:v>0</x:v>
      </x:c>
      <x:c r="AI1957" s="48" t="n">
        <x:v>1.1920928955078125e-7</x:v>
      </x:c>
      <x:c r="AJ1957" s="37" t="str">
        <x:v>passed</x:v>
      </x:c>
    </x:row>
    <x:row r="1958" ht="21" customHeight="1">
      <x:c r="A1958" s="2"/>
      <x:c r="B1958" s="2"/>
      <x:c r="C1958" s="2" t="str">
        <x:v>2023</x:v>
      </x:c>
      <x:c r="D1958" s="5" t="n">
        <x:v>45273</x:v>
      </x:c>
      <x:c r="E1958" s="2" t="str">
        <x:v>constrained</x:v>
      </x:c>
      <x:c r="F1958" s="37" t="n">
        <x:v>11722635.55264595</x:v>
      </x:c>
      <x:c r="G1958" s="37" t="n">
        <x:v>120406.03405743557</x:v>
      </x:c>
      <x:c r="H1958" s="37" t="n">
        <x:v>21837.626971852413</x:v>
      </x:c>
      <x:c r="I1958" s="37" t="n">
        <x:v>98568.40708558315</x:v>
      </x:c>
      <x:c r="J1958" s="37" t="n">
        <x:v>8705071.45096062</x:v>
      </x:c>
      <x:c r="K1958" s="37" t="n">
        <x:v>8584665.416903185</x:v>
      </x:c>
      <x:c r="L1958" s="37" t="n">
        <x:v>11843041.586703384</x:v>
      </x:c>
      <x:c r="M1958" s="37" t="n">
        <x:v>0</x:v>
      </x:c>
      <x:c r="N1958" s="37" t="n">
        <x:v>0</x:v>
      </x:c>
      <x:c r="O1958" s="37" t="n">
        <x:v>642.3010000921786</x:v>
      </x:c>
      <x:c r="P1958" s="37" t="n">
        <x:v>0</x:v>
      </x:c>
      <x:c r="Q1958" s="37" t="n">
        <x:v>0</x:v>
      </x:c>
      <x:c r="R1958" s="37" t="n">
        <x:v>0</x:v>
      </x:c>
      <x:c r="S1958" s="37" t="n">
        <x:v>0</x:v>
      </x:c>
      <x:c r="T1958" s="37" t="n">
        <x:v>0</x:v>
      </x:c>
      <x:c r="U1958" s="37" t="n">
        <x:v>-13531.181236168934</x:v>
      </x:c>
      <x:c r="V1958" s="37" t="n">
        <x:v>-265385.86407447886</x:v>
      </x:c>
      <x:c r="W1958" s="37" t="n">
        <x:v>225107.4189413879</x:v>
      </x:c>
      <x:c r="X1958" s="37" t="n">
        <x:v>0</x:v>
      </x:c>
      <x:c r="Y1958" s="37" t="n">
        <x:v>2235.87682307701</x:v>
      </x:c>
      <x:c r="Z1958" s="37" t="n">
        <x:v>8756358.72524125</x:v>
      </x:c>
      <x:c r="AA1958" s="37" t="n">
        <x:v>0</x:v>
      </x:c>
      <x:c r="AB1958" s="37" t="n">
        <x:v>8756358.72524125</x:v>
      </x:c>
      <x:c r="AC1958" s="37" t="n">
        <x:v>2966276.8274047</x:v>
      </x:c>
      <x:c r="AD1958" s="37" t="n">
        <x:v>0</x:v>
      </x:c>
      <x:c r="AE1958" s="37" t="n">
        <x:v>0</x:v>
      </x:c>
      <x:c r="AF1958" s="47" t="b">
        <x:v>0</x:v>
      </x:c>
      <x:c r="AG1958" s="47" t="b">
        <x:v>0</x:v>
      </x:c>
      <x:c r="AH1958" s="48" t="n">
        <x:v>0</x:v>
      </x:c>
      <x:c r="AI1958" s="48" t="n">
        <x:v>1.1920928955078125e-7</x:v>
      </x:c>
      <x:c r="AJ1958" s="37" t="str">
        <x:v>passed</x:v>
      </x:c>
    </x:row>
    <x:row r="1959" ht="21" customHeight="1">
      <x:c r="A1959" s="2"/>
      <x:c r="B1959" s="2"/>
      <x:c r="C1959" s="2" t="str">
        <x:v>2023</x:v>
      </x:c>
      <x:c r="D1959" s="5" t="n">
        <x:v>45274</x:v>
      </x:c>
      <x:c r="E1959" s="2" t="str">
        <x:v>unhedged</x:v>
      </x:c>
      <x:c r="F1959" s="37" t="n">
        <x:v>3355431.9488334195</x:v>
      </x:c>
      <x:c r="G1959" s="37" t="n">
        <x:v>8647676.657700248</x:v>
      </x:c>
      <x:c r="H1959" s="37" t="n">
        <x:v>30099.886526516962</x:v>
      </x:c>
      <x:c r="I1959" s="37" t="n">
        <x:v>8617576.77117373</x:v>
      </x:c>
      <x:c r="J1959" s="37" t="n">
        <x:v>8647676.657700248</x:v>
      </x:c>
      <x:c r="K1959" s="37" t="n">
        <x:v>0</x:v>
      </x:c>
      <x:c r="L1959" s="37" t="n">
        <x:v>12003108.606533667</x:v>
      </x:c>
      <x:c r="M1959" s="37" t="n">
        <x:v>0</x:v>
      </x:c>
      <x:c r="N1959" s="37" t="n">
        <x:v>0</x:v>
      </x:c>
      <x:c r="O1959" s="37" t="n">
        <x:v>183.8492109393701</x:v>
      </x:c>
      <x:c r="P1959" s="37" t="n">
        <x:v>0</x:v>
      </x:c>
      <x:c r="Q1959" s="37" t="n">
        <x:v>0</x:v>
      </x:c>
      <x:c r="R1959" s="37" t="n">
        <x:v>0</x:v>
      </x:c>
      <x:c r="S1959" s="37" t="n">
        <x:v>0</x:v>
      </x:c>
      <x:c r="T1959" s="37" t="n">
        <x:v>0</x:v>
      </x:c>
      <x:c r="U1959" s="37" t="n">
        <x:v>127500</x:v>
      </x:c>
      <x:c r="V1959" s="37" t="n">
        <x:v>2000000</x:v>
      </x:c>
      <x:c r="W1959" s="37" t="n">
        <x:v>28974.818175541703</x:v>
      </x:c>
      <x:c r="X1959" s="37" t="n">
        <x:v>0</x:v>
      </x:c>
      <x:c r="Y1959" s="37" t="n">
        <x:v>1042.869342122179</x:v>
      </x:c>
      <x:c r="Z1959" s="37" t="n">
        <x:v>0</x:v>
      </x:c>
      <x:c r="AA1959" s="37" t="n">
        <x:v>0</x:v>
      </x:c>
      <x:c r="AB1959" s="37" t="n">
        <x:v>0</x:v>
      </x:c>
      <x:c r="AC1959" s="37" t="n">
        <x:v>3355431.9488334195</x:v>
      </x:c>
      <x:c r="AD1959" s="37" t="n">
        <x:v>0</x:v>
      </x:c>
      <x:c r="AE1959" s="37" t="n">
        <x:v>0</x:v>
      </x:c>
      <x:c r="AF1959" s="47" t="b">
        <x:v>0</x:v>
      </x:c>
      <x:c r="AG1959" s="47" t="b">
        <x:v>0</x:v>
      </x:c>
      <x:c r="AH1959" s="48" t="n">
        <x:v>0</x:v>
      </x:c>
      <x:c r="AI1959" s="48" t="n">
        <x:v>1.1920928955078125e-7</x:v>
      </x:c>
      <x:c r="AJ1959" s="37" t="str">
        <x:v>passed</x:v>
      </x:c>
    </x:row>
    <x:row r="1960" ht="21" customHeight="1">
      <x:c r="A1960" s="2"/>
      <x:c r="B1960" s="2"/>
      <x:c r="C1960" s="2" t="str">
        <x:v>2023</x:v>
      </x:c>
      <x:c r="D1960" s="5" t="n">
        <x:v>45274</x:v>
      </x:c>
      <x:c r="E1960" s="2" t="str">
        <x:v>duration</x:v>
      </x:c>
      <x:c r="F1960" s="37" t="n">
        <x:v>9573063.899041494</x:v>
      </x:c>
      <x:c r="G1960" s="37" t="n">
        <x:v>2376289.071945171</x:v>
      </x:c>
      <x:c r="H1960" s="37" t="n">
        <x:v>21799.702244223132</x:v>
      </x:c>
      <x:c r="I1960" s="37" t="n">
        <x:v>2354489.369700948</x:v>
      </x:c>
      <x:c r="J1960" s="37" t="n">
        <x:v>8647676.657700248</x:v>
      </x:c>
      <x:c r="K1960" s="37" t="n">
        <x:v>6271387.585755077</x:v>
      </x:c>
      <x:c r="L1960" s="37" t="n">
        <x:v>11949352.970986664</x:v>
      </x:c>
      <x:c r="M1960" s="37" t="n">
        <x:v>0</x:v>
      </x:c>
      <x:c r="N1960" s="37" t="n">
        <x:v>0</x:v>
      </x:c>
      <x:c r="O1960" s="37" t="n">
        <x:v>524.5227055530995</x:v>
      </x:c>
      <x:c r="P1960" s="37" t="n">
        <x:v>0</x:v>
      </x:c>
      <x:c r="Q1960" s="37" t="n">
        <x:v>0</x:v>
      </x:c>
      <x:c r="R1960" s="37" t="n">
        <x:v>0</x:v>
      </x:c>
      <x:c r="S1960" s="37" t="n">
        <x:v>0</x:v>
      </x:c>
      <x:c r="T1960" s="37" t="n">
        <x:v>0</x:v>
      </x:c>
      <x:c r="U1960" s="37" t="n">
        <x:v>20944.980443102446</x:v>
      </x:c>
      <x:c r="V1960" s="37" t="n">
        <x:v>2000000</x:v>
      </x:c>
      <x:c r="W1960" s="37" t="n">
        <x:v>150284.69797959086</x:v>
      </x:c>
      <x:c r="X1960" s="37" t="n">
        <x:v>0</x:v>
      </x:c>
      <x:c r="Y1960" s="37" t="n">
        <x:v>1748.1034567624336</x:v>
      </x:c>
      <x:c r="Z1960" s="37" t="n">
        <x:v>6396815.3374701785</x:v>
      </x:c>
      <x:c r="AA1960" s="37" t="n">
        <x:v>0</x:v>
      </x:c>
      <x:c r="AB1960" s="37" t="n">
        <x:v>6396815.3374701785</x:v>
      </x:c>
      <x:c r="AC1960" s="37" t="n">
        <x:v>3176248.561571316</x:v>
      </x:c>
      <x:c r="AD1960" s="37" t="n">
        <x:v>0</x:v>
      </x:c>
      <x:c r="AE1960" s="37" t="n">
        <x:v>0</x:v>
      </x:c>
      <x:c r="AF1960" s="47" t="b">
        <x:v>0</x:v>
      </x:c>
      <x:c r="AG1960" s="47" t="b">
        <x:v>0</x:v>
      </x:c>
      <x:c r="AH1960" s="48" t="n">
        <x:v>0</x:v>
      </x:c>
      <x:c r="AI1960" s="48" t="n">
        <x:v>1.1920928955078125e-7</x:v>
      </x:c>
      <x:c r="AJ1960" s="37" t="str">
        <x:v>passed</x:v>
      </x:c>
    </x:row>
    <x:row r="1961" ht="21" customHeight="1">
      <x:c r="A1961" s="2"/>
      <x:c r="B1961" s="2"/>
      <x:c r="C1961" s="2" t="str">
        <x:v>2023</x:v>
      </x:c>
      <x:c r="D1961" s="5" t="n">
        <x:v>45274</x:v>
      </x:c>
      <x:c r="E1961" s="2" t="str">
        <x:v>unweighted</x:v>
      </x:c>
      <x:c r="F1961" s="37" t="n">
        <x:v>11556697.429076402</x:v>
      </x:c>
      <x:c r="G1961" s="37" t="n">
        <x:v>306021.50859393633</x:v>
      </x:c>
      <x:c r="H1961" s="37" t="n">
        <x:v>21817.28956562887</x:v>
      </x:c>
      <x:c r="I1961" s="37" t="n">
        <x:v>284204.2190283075</x:v>
      </x:c>
      <x:c r="J1961" s="37" t="n">
        <x:v>8772266.319349758</x:v>
      </x:c>
      <x:c r="K1961" s="37" t="n">
        <x:v>8466244.810755823</x:v>
      </x:c>
      <x:c r="L1961" s="37" t="n">
        <x:v>11862718.937670337</x:v>
      </x:c>
      <x:c r="M1961" s="37" t="n">
        <x:v>0</x:v>
      </x:c>
      <x:c r="N1961" s="37" t="n">
        <x:v>0</x:v>
      </x:c>
      <x:c r="O1961" s="37" t="n">
        <x:v>633.2089983616024</x:v>
      </x:c>
      <x:c r="P1961" s="37" t="n">
        <x:v>0</x:v>
      </x:c>
      <x:c r="Q1961" s="37" t="n">
        <x:v>0</x:v>
      </x:c>
      <x:c r="R1961" s="37" t="n">
        <x:v>0</x:v>
      </x:c>
      <x:c r="S1961" s="37" t="n">
        <x:v>0</x:v>
      </x:c>
      <x:c r="T1961" s="37" t="n">
        <x:v>0</x:v>
      </x:c>
      <x:c r="U1961" s="37" t="n">
        <x:v>-8107.360295191727</x:v>
      </x:c>
      <x:c r="V1961" s="37" t="n">
        <x:v>2021684.8131373634</x:v>
      </x:c>
      <x:c r="W1961" s="37" t="n">
        <x:v>213435.21464048512</x:v>
      </x:c>
      <x:c r="X1961" s="37" t="n">
        <x:v>0</x:v>
      </x:c>
      <x:c r="Y1961" s="37" t="n">
        <x:v>2359.6687749452235</x:v>
      </x:c>
      <x:c r="Z1961" s="37" t="n">
        <x:v>8635569.70697094</x:v>
      </x:c>
      <x:c r="AA1961" s="37" t="n">
        <x:v>0</x:v>
      </x:c>
      <x:c r="AB1961" s="37" t="n">
        <x:v>8635569.70697094</x:v>
      </x:c>
      <x:c r="AC1961" s="37" t="n">
        <x:v>2921127.722105462</x:v>
      </x:c>
      <x:c r="AD1961" s="37" t="n">
        <x:v>0</x:v>
      </x:c>
      <x:c r="AE1961" s="37" t="n">
        <x:v>0</x:v>
      </x:c>
      <x:c r="AF1961" s="47" t="b">
        <x:v>0</x:v>
      </x:c>
      <x:c r="AG1961" s="47" t="b">
        <x:v>0</x:v>
      </x:c>
      <x:c r="AH1961" s="48" t="n">
        <x:v>0</x:v>
      </x:c>
      <x:c r="AI1961" s="48" t="n">
        <x:v>1.1920928955078125e-7</x:v>
      </x:c>
      <x:c r="AJ1961" s="37" t="str">
        <x:v>passed</x:v>
      </x:c>
    </x:row>
    <x:row r="1962" ht="21" customHeight="1">
      <x:c r="A1962" s="2"/>
      <x:c r="B1962" s="2"/>
      <x:c r="C1962" s="2" t="str">
        <x:v>2023</x:v>
      </x:c>
      <x:c r="D1962" s="5" t="n">
        <x:v>45274</x:v>
      </x:c>
      <x:c r="E1962" s="2" t="str">
        <x:v>constrained</x:v>
      </x:c>
      <x:c r="F1962" s="37" t="n">
        <x:v>11723277.888840618</x:v>
      </x:c>
      <x:c r="G1962" s="37" t="n">
        <x:v>120538.31124250364</x:v>
      </x:c>
      <x:c r="H1962" s="37" t="n">
        <x:v>21810.142194902553</x:v>
      </x:c>
      <x:c r="I1962" s="37" t="n">
        <x:v>98728.16904760108</x:v>
      </x:c>
      <x:c r="J1962" s="37" t="n">
        <x:v>8758279.72770077</x:v>
      </x:c>
      <x:c r="K1962" s="37" t="n">
        <x:v>8637741.416458266</x:v>
      </x:c>
      <x:c r="L1962" s="37" t="n">
        <x:v>11843816.200083122</x:v>
      </x:c>
      <x:c r="M1962" s="37" t="n">
        <x:v>0</x:v>
      </x:c>
      <x:c r="N1962" s="37" t="n">
        <x:v>0</x:v>
      </x:c>
      <x:c r="O1962" s="37" t="n">
        <x:v>642.3361946679652</x:v>
      </x:c>
      <x:c r="P1962" s="37" t="n">
        <x:v>0</x:v>
      </x:c>
      <x:c r="Q1962" s="37" t="n">
        <x:v>0</x:v>
      </x:c>
      <x:c r="R1962" s="37" t="n">
        <x:v>0</x:v>
      </x:c>
      <x:c r="S1962" s="37" t="n">
        <x:v>0</x:v>
      </x:c>
      <x:c r="T1962" s="37" t="n">
        <x:v>0</x:v>
      </x:c>
      <x:c r="U1962" s="37" t="n">
        <x:v>-13531.181236168934</x:v>
      </x:c>
      <x:c r="V1962" s="37" t="n">
        <x:v>-265385.86407447886</x:v>
      </x:c>
      <x:c r="W1962" s="37" t="n">
        <x:v>225749.75513605587</x:v>
      </x:c>
      <x:c r="X1962" s="37" t="n">
        <x:v>0</x:v>
      </x:c>
      <x:c r="Y1962" s="37" t="n">
        <x:v>2235.87682307701</x:v>
      </x:c>
      <x:c r="Z1962" s="37" t="n">
        <x:v>8810496.244787432</x:v>
      </x:c>
      <x:c r="AA1962" s="37" t="n">
        <x:v>0</x:v>
      </x:c>
      <x:c r="AB1962" s="37" t="n">
        <x:v>8810496.244787432</x:v>
      </x:c>
      <x:c r="AC1962" s="37" t="n">
        <x:v>2912781.6440531854</x:v>
      </x:c>
      <x:c r="AD1962" s="37" t="n">
        <x:v>0</x:v>
      </x:c>
      <x:c r="AE1962" s="37" t="n">
        <x:v>0</x:v>
      </x:c>
      <x:c r="AF1962" s="47" t="b">
        <x:v>0</x:v>
      </x:c>
      <x:c r="AG1962" s="47" t="b">
        <x:v>0</x:v>
      </x:c>
      <x:c r="AH1962" s="48" t="n">
        <x:v>0</x:v>
      </x:c>
      <x:c r="AI1962" s="48" t="n">
        <x:v>1.1920928955078125e-7</x:v>
      </x:c>
      <x:c r="AJ1962" s="37" t="str">
        <x:v>passed</x:v>
      </x:c>
    </x:row>
    <x:row r="1963" ht="21" customHeight="1">
      <x:c r="A1963" s="2"/>
      <x:c r="B1963" s="2"/>
      <x:c r="C1963" s="2" t="str">
        <x:v>2023</x:v>
      </x:c>
      <x:c r="D1963" s="5" t="n">
        <x:v>45275</x:v>
      </x:c>
      <x:c r="E1963" s="2" t="str">
        <x:v>unhedged</x:v>
      </x:c>
      <x:c r="F1963" s="37" t="n">
        <x:v>3355615.8081182865</x:v>
      </x:c>
      <x:c r="G1963" s="37" t="n">
        <x:v>8648986.15220939</x:v>
      </x:c>
      <x:c r="H1963" s="37" t="n">
        <x:v>30427.317247969422</x:v>
      </x:c>
      <x:c r="I1963" s="37" t="n">
        <x:v>8618558.83496142</x:v>
      </x:c>
      <x:c r="J1963" s="37" t="n">
        <x:v>8648986.15220939</x:v>
      </x:c>
      <x:c r="K1963" s="37" t="n">
        <x:v>0</x:v>
      </x:c>
      <x:c r="L1963" s="37" t="n">
        <x:v>12004601.960327677</x:v>
      </x:c>
      <x:c r="M1963" s="37" t="n">
        <x:v>0</x:v>
      </x:c>
      <x:c r="N1963" s="37" t="n">
        <x:v>0</x:v>
      </x:c>
      <x:c r="O1963" s="37" t="n">
        <x:v>183.8592848670669</x:v>
      </x:c>
      <x:c r="P1963" s="37" t="n">
        <x:v>0</x:v>
      </x:c>
      <x:c r="Q1963" s="37" t="n">
        <x:v>0</x:v>
      </x:c>
      <x:c r="R1963" s="37" t="n">
        <x:v>0</x:v>
      </x:c>
      <x:c r="S1963" s="37" t="n">
        <x:v>0</x:v>
      </x:c>
      <x:c r="T1963" s="37" t="n">
        <x:v>0</x:v>
      </x:c>
      <x:c r="U1963" s="37" t="n">
        <x:v>127500</x:v>
      </x:c>
      <x:c r="V1963" s="37" t="n">
        <x:v>2000000</x:v>
      </x:c>
      <x:c r="W1963" s="37" t="n">
        <x:v>29158.67746040877</x:v>
      </x:c>
      <x:c r="X1963" s="37" t="n">
        <x:v>0</x:v>
      </x:c>
      <x:c r="Y1963" s="37" t="n">
        <x:v>1042.869342122179</x:v>
      </x:c>
      <x:c r="Z1963" s="37" t="n">
        <x:v>0</x:v>
      </x:c>
      <x:c r="AA1963" s="37" t="n">
        <x:v>0</x:v>
      </x:c>
      <x:c r="AB1963" s="37" t="n">
        <x:v>0</x:v>
      </x:c>
      <x:c r="AC1963" s="37" t="n">
        <x:v>3355615.8081182865</x:v>
      </x:c>
      <x:c r="AD1963" s="37" t="n">
        <x:v>0</x:v>
      </x:c>
      <x:c r="AE1963" s="37" t="n">
        <x:v>0</x:v>
      </x:c>
      <x:c r="AF1963" s="47" t="b">
        <x:v>0</x:v>
      </x:c>
      <x:c r="AG1963" s="47" t="b">
        <x:v>0</x:v>
      </x:c>
      <x:c r="AH1963" s="48" t="n">
        <x:v>0</x:v>
      </x:c>
      <x:c r="AI1963" s="48" t="n">
        <x:v>1.1920928955078125e-7</x:v>
      </x:c>
      <x:c r="AJ1963" s="37" t="str">
        <x:v>passed</x:v>
      </x:c>
    </x:row>
    <x:row r="1964" ht="21" customHeight="1">
      <x:c r="A1964" s="2"/>
      <x:c r="B1964" s="2"/>
      <x:c r="C1964" s="2" t="str">
        <x:v>2023</x:v>
      </x:c>
      <x:c r="D1964" s="5" t="n">
        <x:v>45275</x:v>
      </x:c>
      <x:c r="E1964" s="2" t="str">
        <x:v>duration</x:v>
      </x:c>
      <x:c r="F1964" s="37" t="n">
        <x:v>9573588.45048802</x:v>
      </x:c>
      <x:c r="G1964" s="37" t="n">
        <x:v>2369741.7301341547</x:v>
      </x:c>
      <x:c r="H1964" s="37" t="n">
        <x:v>21840.91971456201</x:v>
      </x:c>
      <x:c r="I1964" s="37" t="n">
        <x:v>2347900.8104195925</x:v>
      </x:c>
      <x:c r="J1964" s="37" t="n">
        <x:v>8648986.15220939</x:v>
      </x:c>
      <x:c r="K1964" s="37" t="n">
        <x:v>6279244.422075235</x:v>
      </x:c>
      <x:c r="L1964" s="37" t="n">
        <x:v>11943330.180622175</x:v>
      </x:c>
      <x:c r="M1964" s="37" t="n">
        <x:v>0</x:v>
      </x:c>
      <x:c r="N1964" s="37" t="n">
        <x:v>0</x:v>
      </x:c>
      <x:c r="O1964" s="37" t="n">
        <x:v>524.55144652538</x:v>
      </x:c>
      <x:c r="P1964" s="37" t="n">
        <x:v>0</x:v>
      </x:c>
      <x:c r="Q1964" s="37" t="n">
        <x:v>0</x:v>
      </x:c>
      <x:c r="R1964" s="37" t="n">
        <x:v>0</x:v>
      </x:c>
      <x:c r="S1964" s="37" t="n">
        <x:v>0</x:v>
      </x:c>
      <x:c r="T1964" s="37" t="n">
        <x:v>0</x:v>
      </x:c>
      <x:c r="U1964" s="37" t="n">
        <x:v>20944.980443102446</x:v>
      </x:c>
      <x:c r="V1964" s="37" t="n">
        <x:v>2000000</x:v>
      </x:c>
      <x:c r="W1964" s="37" t="n">
        <x:v>150809.24942611624</x:v>
      </x:c>
      <x:c r="X1964" s="37" t="n">
        <x:v>0</x:v>
      </x:c>
      <x:c r="Y1964" s="37" t="n">
        <x:v>1748.1034567624336</x:v>
      </x:c>
      <x:c r="Z1964" s="37" t="n">
        <x:v>6404829.31051674</x:v>
      </x:c>
      <x:c r="AA1964" s="37" t="n">
        <x:v>0</x:v>
      </x:c>
      <x:c r="AB1964" s="37" t="n">
        <x:v>6404829.31051674</x:v>
      </x:c>
      <x:c r="AC1964" s="37" t="n">
        <x:v>3168759.1399712795</x:v>
      </x:c>
      <x:c r="AD1964" s="37" t="n">
        <x:v>0</x:v>
      </x:c>
      <x:c r="AE1964" s="37" t="n">
        <x:v>0</x:v>
      </x:c>
      <x:c r="AF1964" s="47" t="b">
        <x:v>0</x:v>
      </x:c>
      <x:c r="AG1964" s="47" t="b">
        <x:v>0</x:v>
      </x:c>
      <x:c r="AH1964" s="48" t="n">
        <x:v>0</x:v>
      </x:c>
      <x:c r="AI1964" s="48" t="n">
        <x:v>1.1920928955078125e-7</x:v>
      </x:c>
      <x:c r="AJ1964" s="37" t="str">
        <x:v>passed</x:v>
      </x:c>
    </x:row>
    <x:row r="1965" ht="21" customHeight="1">
      <x:c r="A1965" s="2"/>
      <x:c r="B1965" s="2"/>
      <x:c r="C1965" s="2" t="str">
        <x:v>2023</x:v>
      </x:c>
      <x:c r="D1965" s="5" t="n">
        <x:v>45275</x:v>
      </x:c>
      <x:c r="E1965" s="2" t="str">
        <x:v>unweighted</x:v>
      </x:c>
      <x:c r="F1965" s="37" t="n">
        <x:v>11557330.672771148</x:v>
      </x:c>
      <x:c r="G1965" s="37" t="n">
        <x:v>305137.84303513326</x:v>
      </x:c>
      <x:c r="H1965" s="37" t="n">
        <x:v>21795.58464506008</x:v>
      </x:c>
      <x:c r="I1965" s="37" t="n">
        <x:v>283342.2583900732</x:v>
      </x:c>
      <x:c r="J1965" s="37" t="n">
        <x:v>8774000.355734719</x:v>
      </x:c>
      <x:c r="K1965" s="37" t="n">
        <x:v>8468862.512699585</x:v>
      </x:c>
      <x:c r="L1965" s="37" t="n">
        <x:v>11862468.515806282</x:v>
      </x:c>
      <x:c r="M1965" s="37" t="n">
        <x:v>0</x:v>
      </x:c>
      <x:c r="N1965" s="37" t="n">
        <x:v>0</x:v>
      </x:c>
      <x:c r="O1965" s="37" t="n">
        <x:v>633.2436947468668</x:v>
      </x:c>
      <x:c r="P1965" s="37" t="n">
        <x:v>0</x:v>
      </x:c>
      <x:c r="Q1965" s="37" t="n">
        <x:v>0</x:v>
      </x:c>
      <x:c r="R1965" s="37" t="n">
        <x:v>0</x:v>
      </x:c>
      <x:c r="S1965" s="37" t="n">
        <x:v>0</x:v>
      </x:c>
      <x:c r="T1965" s="37" t="n">
        <x:v>0</x:v>
      </x:c>
      <x:c r="U1965" s="37" t="n">
        <x:v>-8107.360295191727</x:v>
      </x:c>
      <x:c r="V1965" s="37" t="n">
        <x:v>2021684.8131373634</x:v>
      </x:c>
      <x:c r="W1965" s="37" t="n">
        <x:v>214068.458335232</x:v>
      </x:c>
      <x:c r="X1965" s="37" t="n">
        <x:v>0</x:v>
      </x:c>
      <x:c r="Y1965" s="37" t="n">
        <x:v>2359.6687749452235</x:v>
      </x:c>
      <x:c r="Z1965" s="37" t="n">
        <x:v>8638239.762953578</x:v>
      </x:c>
      <x:c r="AA1965" s="37" t="n">
        <x:v>0</x:v>
      </x:c>
      <x:c r="AB1965" s="37" t="n">
        <x:v>8638239.762953578</x:v>
      </x:c>
      <x:c r="AC1965" s="37" t="n">
        <x:v>2919090.909817571</x:v>
      </x:c>
      <x:c r="AD1965" s="37" t="n">
        <x:v>0</x:v>
      </x:c>
      <x:c r="AE1965" s="37" t="n">
        <x:v>0</x:v>
      </x:c>
      <x:c r="AF1965" s="47" t="b">
        <x:v>0</x:v>
      </x:c>
      <x:c r="AG1965" s="47" t="b">
        <x:v>0</x:v>
      </x:c>
      <x:c r="AH1965" s="48" t="n">
        <x:v>0</x:v>
      </x:c>
      <x:c r="AI1965" s="48" t="n">
        <x:v>1.1920928955078125e-7</x:v>
      </x:c>
      <x:c r="AJ1965" s="37" t="str">
        <x:v>passed</x:v>
      </x:c>
    </x:row>
    <x:row r="1966" ht="21" customHeight="1">
      <x:c r="A1966" s="2"/>
      <x:c r="B1966" s="2"/>
      <x:c r="C1966" s="2" t="str">
        <x:v>2023</x:v>
      </x:c>
      <x:c r="D1966" s="5" t="n">
        <x:v>45275</x:v>
      </x:c>
      <x:c r="E1966" s="2" t="str">
        <x:v>constrained</x:v>
      </x:c>
      <x:c r="F1966" s="37" t="n">
        <x:v>11723920.260231787</x:v>
      </x:c>
      <x:c r="G1966" s="37" t="n">
        <x:v>120267.60137298238</x:v>
      </x:c>
      <x:c r="H1966" s="37" t="n">
        <x:v>21782.657417952687</x:v>
      </x:c>
      <x:c r="I1966" s="37" t="n">
        <x:v>98484.94395502968</x:v>
      </x:c>
      <x:c r="J1966" s="37" t="n">
        <x:v>8760041.997532746</x:v>
      </x:c>
      <x:c r="K1966" s="37" t="n">
        <x:v>8639774.396159764</x:v>
      </x:c>
      <x:c r="L1966" s="37" t="n">
        <x:v>11844187.861604769</x:v>
      </x:c>
      <x:c r="M1966" s="37" t="n">
        <x:v>0</x:v>
      </x:c>
      <x:c r="N1966" s="37" t="n">
        <x:v>0</x:v>
      </x:c>
      <x:c r="O1966" s="37" t="n">
        <x:v>642.3713911697268</x:v>
      </x:c>
      <x:c r="P1966" s="37" t="n">
        <x:v>0</x:v>
      </x:c>
      <x:c r="Q1966" s="37" t="n">
        <x:v>0</x:v>
      </x:c>
      <x:c r="R1966" s="37" t="n">
        <x:v>0</x:v>
      </x:c>
      <x:c r="S1966" s="37" t="n">
        <x:v>0</x:v>
      </x:c>
      <x:c r="T1966" s="37" t="n">
        <x:v>0</x:v>
      </x:c>
      <x:c r="U1966" s="37" t="n">
        <x:v>-13531.181236168934</x:v>
      </x:c>
      <x:c r="V1966" s="37" t="n">
        <x:v>-265385.86407447886</x:v>
      </x:c>
      <x:c r="W1966" s="37" t="n">
        <x:v>226392.1265272256</x:v>
      </x:c>
      <x:c r="X1966" s="37" t="n">
        <x:v>0</x:v>
      </x:c>
      <x:c r="Y1966" s="37" t="n">
        <x:v>2235.87682307701</x:v>
      </x:c>
      <x:c r="Z1966" s="37" t="n">
        <x:v>8812569.88408296</x:v>
      </x:c>
      <x:c r="AA1966" s="37" t="n">
        <x:v>0</x:v>
      </x:c>
      <x:c r="AB1966" s="37" t="n">
        <x:v>8812569.88408296</x:v>
      </x:c>
      <x:c r="AC1966" s="37" t="n">
        <x:v>2911350.3761488274</x:v>
      </x:c>
      <x:c r="AD1966" s="37" t="n">
        <x:v>0</x:v>
      </x:c>
      <x:c r="AE1966" s="37" t="n">
        <x:v>0</x:v>
      </x:c>
      <x:c r="AF1966" s="47" t="b">
        <x:v>0</x:v>
      </x:c>
      <x:c r="AG1966" s="47" t="b">
        <x:v>0</x:v>
      </x:c>
      <x:c r="AH1966" s="48" t="n">
        <x:v>0</x:v>
      </x:c>
      <x:c r="AI1966" s="48" t="n">
        <x:v>1.1920928955078125e-7</x:v>
      </x:c>
      <x:c r="AJ1966" s="37" t="str">
        <x:v>passed</x:v>
      </x:c>
    </x:row>
    <x:row r="1967" ht="21" customHeight="1">
      <x:c r="A1967" s="2"/>
      <x:c r="B1967" s="2"/>
      <x:c r="C1967" s="2" t="str">
        <x:v>2023</x:v>
      </x:c>
      <x:c r="D1967" s="5" t="n">
        <x:v>45278</x:v>
      </x:c>
      <x:c r="E1967" s="2" t="str">
        <x:v>unhedged</x:v>
      </x:c>
      <x:c r="F1967" s="37" t="n">
        <x:v>3356167.446421987</x:v>
      </x:c>
      <x:c r="G1967" s="37" t="n">
        <x:v>8635867.023751568</x:v>
      </x:c>
      <x:c r="H1967" s="37" t="n">
        <x:v>31409.609412326805</x:v>
      </x:c>
      <x:c r="I1967" s="37" t="n">
        <x:v>8604457.41433924</x:v>
      </x:c>
      <x:c r="J1967" s="37" t="n">
        <x:v>8635867.023751568</x:v>
      </x:c>
      <x:c r="K1967" s="37" t="n">
        <x:v>0</x:v>
      </x:c>
      <x:c r="L1967" s="37" t="n">
        <x:v>11992034.470173554</x:v>
      </x:c>
      <x:c r="M1967" s="37" t="n">
        <x:v>0</x:v>
      </x:c>
      <x:c r="N1967" s="37" t="n">
        <x:v>0</x:v>
      </x:c>
      <x:c r="O1967" s="37" t="n">
        <x:v>551.6383037003689</x:v>
      </x:c>
      <x:c r="P1967" s="37" t="n">
        <x:v>0</x:v>
      </x:c>
      <x:c r="Q1967" s="37" t="n">
        <x:v>0</x:v>
      </x:c>
      <x:c r="R1967" s="37" t="n">
        <x:v>0</x:v>
      </x:c>
      <x:c r="S1967" s="37" t="n">
        <x:v>0</x:v>
      </x:c>
      <x:c r="T1967" s="37" t="n">
        <x:v>0</x:v>
      </x:c>
      <x:c r="U1967" s="37" t="n">
        <x:v>127500</x:v>
      </x:c>
      <x:c r="V1967" s="37" t="n">
        <x:v>2000000</x:v>
      </x:c>
      <x:c r="W1967" s="37" t="n">
        <x:v>29710.31576410914</x:v>
      </x:c>
      <x:c r="X1967" s="37" t="n">
        <x:v>0</x:v>
      </x:c>
      <x:c r="Y1967" s="37" t="n">
        <x:v>1042.869342122179</x:v>
      </x:c>
      <x:c r="Z1967" s="37" t="n">
        <x:v>0</x:v>
      </x:c>
      <x:c r="AA1967" s="37" t="n">
        <x:v>0</x:v>
      </x:c>
      <x:c r="AB1967" s="37" t="n">
        <x:v>0</x:v>
      </x:c>
      <x:c r="AC1967" s="37" t="n">
        <x:v>3356167.446421987</x:v>
      </x:c>
      <x:c r="AD1967" s="37" t="n">
        <x:v>0</x:v>
      </x:c>
      <x:c r="AE1967" s="37" t="n">
        <x:v>0</x:v>
      </x:c>
      <x:c r="AF1967" s="47" t="b">
        <x:v>0</x:v>
      </x:c>
      <x:c r="AG1967" s="47" t="b">
        <x:v>0</x:v>
      </x:c>
      <x:c r="AH1967" s="48" t="n">
        <x:v>0</x:v>
      </x:c>
      <x:c r="AI1967" s="48" t="n">
        <x:v>1.1920928955078125e-7</x:v>
      </x:c>
      <x:c r="AJ1967" s="37" t="str">
        <x:v>passed</x:v>
      </x:c>
    </x:row>
    <x:row r="1968" ht="21" customHeight="1">
      <x:c r="A1968" s="2"/>
      <x:c r="B1968" s="2"/>
      <x:c r="C1968" s="2" t="str">
        <x:v>2023</x:v>
      </x:c>
      <x:c r="D1968" s="5" t="n">
        <x:v>45278</x:v>
      </x:c>
      <x:c r="E1968" s="2" t="str">
        <x:v>duration</x:v>
      </x:c>
      <x:c r="F1968" s="37" t="n">
        <x:v>9575162.277289158</x:v>
      </x:c>
      <x:c r="G1968" s="37" t="n">
        <x:v>2373000.430747265</x:v>
      </x:c>
      <x:c r="H1968" s="37" t="n">
        <x:v>21964.572125578652</x:v>
      </x:c>
      <x:c r="I1968" s="37" t="n">
        <x:v>2351035.858621686</x:v>
      </x:c>
      <x:c r="J1968" s="37" t="n">
        <x:v>8635867.023751568</x:v>
      </x:c>
      <x:c r="K1968" s="37" t="n">
        <x:v>6262866.593004304</x:v>
      </x:c>
      <x:c r="L1968" s="37" t="n">
        <x:v>11948162.708036423</x:v>
      </x:c>
      <x:c r="M1968" s="37" t="n">
        <x:v>0</x:v>
      </x:c>
      <x:c r="N1968" s="37" t="n">
        <x:v>0</x:v>
      </x:c>
      <x:c r="O1968" s="37" t="n">
        <x:v>1573.8268011379987</x:v>
      </x:c>
      <x:c r="P1968" s="37" t="n">
        <x:v>0</x:v>
      </x:c>
      <x:c r="Q1968" s="37" t="n">
        <x:v>0</x:v>
      </x:c>
      <x:c r="R1968" s="37" t="n">
        <x:v>0</x:v>
      </x:c>
      <x:c r="S1968" s="37" t="n">
        <x:v>0</x:v>
      </x:c>
      <x:c r="T1968" s="37" t="n">
        <x:v>0</x:v>
      </x:c>
      <x:c r="U1968" s="37" t="n">
        <x:v>20944.980443102446</x:v>
      </x:c>
      <x:c r="V1968" s="37" t="n">
        <x:v>2000000</x:v>
      </x:c>
      <x:c r="W1968" s="37" t="n">
        <x:v>152383.07622725423</x:v>
      </x:c>
      <x:c r="X1968" s="37" t="n">
        <x:v>0</x:v>
      </x:c>
      <x:c r="Y1968" s="37" t="n">
        <x:v>1748.1034567624336</x:v>
      </x:c>
      <x:c r="Z1968" s="37" t="n">
        <x:v>6388123.92486439</x:v>
      </x:c>
      <x:c r="AA1968" s="37" t="n">
        <x:v>0</x:v>
      </x:c>
      <x:c r="AB1968" s="37" t="n">
        <x:v>6388123.92486439</x:v>
      </x:c>
      <x:c r="AC1968" s="37" t="n">
        <x:v>3187038.352424768</x:v>
      </x:c>
      <x:c r="AD1968" s="37" t="n">
        <x:v>0</x:v>
      </x:c>
      <x:c r="AE1968" s="37" t="n">
        <x:v>0</x:v>
      </x:c>
      <x:c r="AF1968" s="47" t="b">
        <x:v>0</x:v>
      </x:c>
      <x:c r="AG1968" s="47" t="b">
        <x:v>0</x:v>
      </x:c>
      <x:c r="AH1968" s="48" t="n">
        <x:v>0</x:v>
      </x:c>
      <x:c r="AI1968" s="48" t="n">
        <x:v>1.1920928955078125e-7</x:v>
      </x:c>
      <x:c r="AJ1968" s="37" t="str">
        <x:v>passed</x:v>
      </x:c>
    </x:row>
    <x:row r="1969" ht="21" customHeight="1">
      <x:c r="A1969" s="2"/>
      <x:c r="B1969" s="2"/>
      <x:c r="C1969" s="2" t="str">
        <x:v>2023</x:v>
      </x:c>
      <x:c r="D1969" s="5" t="n">
        <x:v>45278</x:v>
      </x:c>
      <x:c r="E1969" s="2" t="str">
        <x:v>unweighted</x:v>
      </x:c>
      <x:c r="F1969" s="37" t="n">
        <x:v>11559230.612052694</x:v>
      </x:c>
      <x:c r="G1969" s="37" t="n">
        <x:v>305570.9818275767</x:v>
      </x:c>
      <x:c r="H1969" s="37" t="n">
        <x:v>21730.46988335372</x:v>
      </x:c>
      <x:c r="I1969" s="37" t="n">
        <x:v>283840.51194422296</x:v>
      </x:c>
      <x:c r="J1969" s="37" t="n">
        <x:v>8760171.502601463</x:v>
      </x:c>
      <x:c r="K1969" s="37" t="n">
        <x:v>8454600.520773888</x:v>
      </x:c>
      <x:c r="L1969" s="37" t="n">
        <x:v>11864801.593880272</x:v>
      </x:c>
      <x:c r="M1969" s="37" t="n">
        <x:v>0</x:v>
      </x:c>
      <x:c r="N1969" s="37" t="n">
        <x:v>0</x:v>
      </x:c>
      <x:c r="O1969" s="37" t="n">
        <x:v>1899.9392815455794</x:v>
      </x:c>
      <x:c r="P1969" s="37" t="n">
        <x:v>0</x:v>
      </x:c>
      <x:c r="Q1969" s="37" t="n">
        <x:v>0</x:v>
      </x:c>
      <x:c r="R1969" s="37" t="n">
        <x:v>0</x:v>
      </x:c>
      <x:c r="S1969" s="37" t="n">
        <x:v>0</x:v>
      </x:c>
      <x:c r="T1969" s="37" t="n">
        <x:v>0</x:v>
      </x:c>
      <x:c r="U1969" s="37" t="n">
        <x:v>-8107.360295191727</x:v>
      </x:c>
      <x:c r="V1969" s="37" t="n">
        <x:v>2021684.8131373634</x:v>
      </x:c>
      <x:c r="W1969" s="37" t="n">
        <x:v>215968.39761677757</x:v>
      </x:c>
      <x:c r="X1969" s="37" t="n">
        <x:v>0</x:v>
      </x:c>
      <x:c r="Y1969" s="37" t="n">
        <x:v>2359.6687749452235</x:v>
      </x:c>
      <x:c r="Z1969" s="37" t="n">
        <x:v>8623692.531189365</x:v>
      </x:c>
      <x:c r="AA1969" s="37" t="n">
        <x:v>0</x:v>
      </x:c>
      <x:c r="AB1969" s="37" t="n">
        <x:v>8623692.531189365</x:v>
      </x:c>
      <x:c r="AC1969" s="37" t="n">
        <x:v>2935538.0808633287</x:v>
      </x:c>
      <x:c r="AD1969" s="37" t="n">
        <x:v>0</x:v>
      </x:c>
      <x:c r="AE1969" s="37" t="n">
        <x:v>0</x:v>
      </x:c>
      <x:c r="AF1969" s="47" t="b">
        <x:v>0</x:v>
      </x:c>
      <x:c r="AG1969" s="47" t="b">
        <x:v>0</x:v>
      </x:c>
      <x:c r="AH1969" s="48" t="n">
        <x:v>0</x:v>
      </x:c>
      <x:c r="AI1969" s="48" t="n">
        <x:v>1.1920928955078125e-7</x:v>
      </x:c>
      <x:c r="AJ1969" s="37" t="str">
        <x:v>passed</x:v>
      </x:c>
    </x:row>
    <x:row r="1970" ht="21" customHeight="1">
      <x:c r="A1970" s="2"/>
      <x:c r="B1970" s="2"/>
      <x:c r="C1970" s="2" t="str">
        <x:v>2023</x:v>
      </x:c>
      <x:c r="D1970" s="5" t="n">
        <x:v>45278</x:v>
      </x:c>
      <x:c r="E1970" s="2" t="str">
        <x:v>constrained</x:v>
      </x:c>
      <x:c r="F1970" s="37" t="n">
        <x:v>11725847.585603606</x:v>
      </x:c>
      <x:c r="G1970" s="37" t="n">
        <x:v>120377.58659178605</x:v>
      </x:c>
      <x:c r="H1970" s="37" t="n">
        <x:v>21700.203087103095</x:v>
      </x:c>
      <x:c r="I1970" s="37" t="n">
        <x:v>98677.38350468295</x:v>
      </x:c>
      <x:c r="J1970" s="37" t="n">
        <x:v>8746230.494732158</x:v>
      </x:c>
      <x:c r="K1970" s="37" t="n">
        <x:v>8625852.908140372</x:v>
      </x:c>
      <x:c r="L1970" s="37" t="n">
        <x:v>11846225.172195392</x:v>
      </x:c>
      <x:c r="M1970" s="37" t="n">
        <x:v>0</x:v>
      </x:c>
      <x:c r="N1970" s="37" t="n">
        <x:v>0</x:v>
      </x:c>
      <x:c r="O1970" s="37" t="n">
        <x:v>1927.325371818617</x:v>
      </x:c>
      <x:c r="P1970" s="37" t="n">
        <x:v>0</x:v>
      </x:c>
      <x:c r="Q1970" s="37" t="n">
        <x:v>0</x:v>
      </x:c>
      <x:c r="R1970" s="37" t="n">
        <x:v>0</x:v>
      </x:c>
      <x:c r="S1970" s="37" t="n">
        <x:v>0</x:v>
      </x:c>
      <x:c r="T1970" s="37" t="n">
        <x:v>0</x:v>
      </x:c>
      <x:c r="U1970" s="37" t="n">
        <x:v>-13531.181236168934</x:v>
      </x:c>
      <x:c r="V1970" s="37" t="n">
        <x:v>-265385.86407447886</x:v>
      </x:c>
      <x:c r="W1970" s="37" t="n">
        <x:v>228319.45189904422</x:v>
      </x:c>
      <x:c r="X1970" s="37" t="n">
        <x:v>0</x:v>
      </x:c>
      <x:c r="Y1970" s="37" t="n">
        <x:v>2235.87682307701</x:v>
      </x:c>
      <x:c r="Z1970" s="37" t="n">
        <x:v>8798369.96630318</x:v>
      </x:c>
      <x:c r="AA1970" s="37" t="n">
        <x:v>0</x:v>
      </x:c>
      <x:c r="AB1970" s="37" t="n">
        <x:v>8798369.96630318</x:v>
      </x:c>
      <x:c r="AC1970" s="37" t="n">
        <x:v>2927477.619300425</x:v>
      </x:c>
      <x:c r="AD1970" s="37" t="n">
        <x:v>0</x:v>
      </x:c>
      <x:c r="AE1970" s="37" t="n">
        <x:v>0</x:v>
      </x:c>
      <x:c r="AF1970" s="47" t="b">
        <x:v>0</x:v>
      </x:c>
      <x:c r="AG1970" s="47" t="b">
        <x:v>0</x:v>
      </x:c>
      <x:c r="AH1970" s="48" t="n">
        <x:v>0</x:v>
      </x:c>
      <x:c r="AI1970" s="48" t="n">
        <x:v>1.1920928955078125e-7</x:v>
      </x:c>
      <x:c r="AJ1970" s="37" t="str">
        <x:v>passed</x:v>
      </x:c>
    </x:row>
    <x:row r="1971" ht="21" customHeight="1">
      <x:c r="A1971" s="2"/>
      <x:c r="B1971" s="2"/>
      <x:c r="C1971" s="2" t="str">
        <x:v>2023</x:v>
      </x:c>
      <x:c r="D1971" s="5" t="n">
        <x:v>45279</x:v>
      </x:c>
      <x:c r="E1971" s="2" t="str">
        <x:v>unhedged</x:v>
      </x:c>
      <x:c r="F1971" s="37" t="n">
        <x:v>3356351.3460080926</x:v>
      </x:c>
      <x:c r="G1971" s="37" t="n">
        <x:v>8640214.14336122</x:v>
      </x:c>
      <x:c r="H1971" s="37" t="n">
        <x:v>31737.040133779265</x:v>
      </x:c>
      <x:c r="I1971" s="37" t="n">
        <x:v>8608477.10322744</x:v>
      </x:c>
      <x:c r="J1971" s="37" t="n">
        <x:v>8640214.14336122</x:v>
      </x:c>
      <x:c r="K1971" s="37" t="n">
        <x:v>0</x:v>
      </x:c>
      <x:c r="L1971" s="37" t="n">
        <x:v>11996565.489369312</x:v>
      </x:c>
      <x:c r="M1971" s="37" t="n">
        <x:v>0</x:v>
      </x:c>
      <x:c r="N1971" s="37" t="n">
        <x:v>0</x:v>
      </x:c>
      <x:c r="O1971" s="37" t="n">
        <x:v>183.8995861057192</x:v>
      </x:c>
      <x:c r="P1971" s="37" t="n">
        <x:v>0</x:v>
      </x:c>
      <x:c r="Q1971" s="37" t="n">
        <x:v>0</x:v>
      </x:c>
      <x:c r="R1971" s="37" t="n">
        <x:v>0</x:v>
      </x:c>
      <x:c r="S1971" s="37" t="n">
        <x:v>0</x:v>
      </x:c>
      <x:c r="T1971" s="37" t="n">
        <x:v>0</x:v>
      </x:c>
      <x:c r="U1971" s="37" t="n">
        <x:v>127500</x:v>
      </x:c>
      <x:c r="V1971" s="37" t="n">
        <x:v>2000000</x:v>
      </x:c>
      <x:c r="W1971" s="37" t="n">
        <x:v>29894.215350214858</x:v>
      </x:c>
      <x:c r="X1971" s="37" t="n">
        <x:v>0</x:v>
      </x:c>
      <x:c r="Y1971" s="37" t="n">
        <x:v>1042.869342122179</x:v>
      </x:c>
      <x:c r="Z1971" s="37" t="n">
        <x:v>0</x:v>
      </x:c>
      <x:c r="AA1971" s="37" t="n">
        <x:v>0</x:v>
      </x:c>
      <x:c r="AB1971" s="37" t="n">
        <x:v>0</x:v>
      </x:c>
      <x:c r="AC1971" s="37" t="n">
        <x:v>3356351.3460080926</x:v>
      </x:c>
      <x:c r="AD1971" s="37" t="n">
        <x:v>0</x:v>
      </x:c>
      <x:c r="AE1971" s="37" t="n">
        <x:v>0</x:v>
      </x:c>
      <x:c r="AF1971" s="47" t="b">
        <x:v>0</x:v>
      </x:c>
      <x:c r="AG1971" s="47" t="b">
        <x:v>0</x:v>
      </x:c>
      <x:c r="AH1971" s="48" t="n">
        <x:v>0</x:v>
      </x:c>
      <x:c r="AI1971" s="48" t="n">
        <x:v>1.1920928955078125e-7</x:v>
      </x:c>
      <x:c r="AJ1971" s="37" t="str">
        <x:v>passed</x:v>
      </x:c>
    </x:row>
    <x:row r="1972" ht="21" customHeight="1">
      <x:c r="A1972" s="2"/>
      <x:c r="B1972" s="2"/>
      <x:c r="C1972" s="2" t="str">
        <x:v>2023</x:v>
      </x:c>
      <x:c r="D1972" s="5" t="n">
        <x:v>45279</x:v>
      </x:c>
      <x:c r="E1972" s="2" t="str">
        <x:v>duration</x:v>
      </x:c>
      <x:c r="F1972" s="37" t="n">
        <x:v>9575686.943715313</x:v>
      </x:c>
      <x:c r="G1972" s="37" t="n">
        <x:v>2373842.6240926557</x:v>
      </x:c>
      <x:c r="H1972" s="37" t="n">
        <x:v>22005.789595917533</x:v>
      </x:c>
      <x:c r="I1972" s="37" t="n">
        <x:v>2351836.8344967384</x:v>
      </x:c>
      <x:c r="J1972" s="37" t="n">
        <x:v>8640214.14336122</x:v>
      </x:c>
      <x:c r="K1972" s="37" t="n">
        <x:v>6266371.519268565</x:v>
      </x:c>
      <x:c r="L1972" s="37" t="n">
        <x:v>11949529.567807969</x:v>
      </x:c>
      <x:c r="M1972" s="37" t="n">
        <x:v>0</x:v>
      </x:c>
      <x:c r="N1972" s="37" t="n">
        <x:v>0</x:v>
      </x:c>
      <x:c r="O1972" s="37" t="n">
        <x:v>524.6664261557162</x:v>
      </x:c>
      <x:c r="P1972" s="37" t="n">
        <x:v>0</x:v>
      </x:c>
      <x:c r="Q1972" s="37" t="n">
        <x:v>0</x:v>
      </x:c>
      <x:c r="R1972" s="37" t="n">
        <x:v>0</x:v>
      </x:c>
      <x:c r="S1972" s="37" t="n">
        <x:v>0</x:v>
      </x:c>
      <x:c r="T1972" s="37" t="n">
        <x:v>0</x:v>
      </x:c>
      <x:c r="U1972" s="37" t="n">
        <x:v>20944.980443102446</x:v>
      </x:c>
      <x:c r="V1972" s="37" t="n">
        <x:v>2000000</x:v>
      </x:c>
      <x:c r="W1972" s="37" t="n">
        <x:v>152907.74265340995</x:v>
      </x:c>
      <x:c r="X1972" s="37" t="n">
        <x:v>0</x:v>
      </x:c>
      <x:c r="Y1972" s="37" t="n">
        <x:v>1748.1034567624336</x:v>
      </x:c>
      <x:c r="Z1972" s="37" t="n">
        <x:v>6391698.949653937</x:v>
      </x:c>
      <x:c r="AA1972" s="37" t="n">
        <x:v>0</x:v>
      </x:c>
      <x:c r="AB1972" s="37" t="n">
        <x:v>6391698.949653937</x:v>
      </x:c>
      <x:c r="AC1972" s="37" t="n">
        <x:v>3183987.994061377</x:v>
      </x:c>
      <x:c r="AD1972" s="37" t="n">
        <x:v>0</x:v>
      </x:c>
      <x:c r="AE1972" s="37" t="n">
        <x:v>0</x:v>
      </x:c>
      <x:c r="AF1972" s="47" t="b">
        <x:v>0</x:v>
      </x:c>
      <x:c r="AG1972" s="47" t="b">
        <x:v>0</x:v>
      </x:c>
      <x:c r="AH1972" s="48" t="n">
        <x:v>0</x:v>
      </x:c>
      <x:c r="AI1972" s="48" t="n">
        <x:v>1.1920928955078125e-7</x:v>
      </x:c>
      <x:c r="AJ1972" s="37" t="str">
        <x:v>passed</x:v>
      </x:c>
    </x:row>
    <x:row r="1973" ht="21" customHeight="1">
      <x:c r="A1973" s="2"/>
      <x:c r="B1973" s="2"/>
      <x:c r="C1973" s="2" t="str">
        <x:v>2023</x:v>
      </x:c>
      <x:c r="D1973" s="5" t="n">
        <x:v>45279</x:v>
      </x:c>
      <x:c r="E1973" s="2" t="str">
        <x:v>unweighted</x:v>
      </x:c>
      <x:c r="F1973" s="37" t="n">
        <x:v>11559863.994551986</x:v>
      </x:c>
      <x:c r="G1973" s="37" t="n">
        <x:v>305745.6122631355</x:v>
      </x:c>
      <x:c r="H1973" s="37" t="n">
        <x:v>21708.764962784928</x:v>
      </x:c>
      <x:c r="I1973" s="37" t="n">
        <x:v>284036.84730035055</x:v>
      </x:c>
      <x:c r="J1973" s="37" t="n">
        <x:v>8764790.063700626</x:v>
      </x:c>
      <x:c r="K1973" s="37" t="n">
        <x:v>8459044.451437492</x:v>
      </x:c>
      <x:c r="L1973" s="37" t="n">
        <x:v>11865609.606815122</x:v>
      </x:c>
      <x:c r="M1973" s="37" t="n">
        <x:v>0</x:v>
      </x:c>
      <x:c r="N1973" s="37" t="n">
        <x:v>0</x:v>
      </x:c>
      <x:c r="O1973" s="37" t="n">
        <x:v>633.3824992924929</x:v>
      </x:c>
      <x:c r="P1973" s="37" t="n">
        <x:v>0</x:v>
      </x:c>
      <x:c r="Q1973" s="37" t="n">
        <x:v>0</x:v>
      </x:c>
      <x:c r="R1973" s="37" t="n">
        <x:v>0</x:v>
      </x:c>
      <x:c r="S1973" s="37" t="n">
        <x:v>0</x:v>
      </x:c>
      <x:c r="T1973" s="37" t="n">
        <x:v>0</x:v>
      </x:c>
      <x:c r="U1973" s="37" t="n">
        <x:v>-8107.360295191727</x:v>
      </x:c>
      <x:c r="V1973" s="37" t="n">
        <x:v>2021684.8131373634</x:v>
      </x:c>
      <x:c r="W1973" s="37" t="n">
        <x:v>216601.78011607006</x:v>
      </x:c>
      <x:c r="X1973" s="37" t="n">
        <x:v>0</x:v>
      </x:c>
      <x:c r="Y1973" s="37" t="n">
        <x:v>2359.6687749452235</x:v>
      </x:c>
      <x:c r="Z1973" s="37" t="n">
        <x:v>8628225.340466242</x:v>
      </x:c>
      <x:c r="AA1973" s="37" t="n">
        <x:v>0</x:v>
      </x:c>
      <x:c r="AB1973" s="37" t="n">
        <x:v>8628225.340466242</x:v>
      </x:c>
      <x:c r="AC1973" s="37" t="n">
        <x:v>2931638.654085744</x:v>
      </x:c>
      <x:c r="AD1973" s="37" t="n">
        <x:v>0</x:v>
      </x:c>
      <x:c r="AE1973" s="37" t="n">
        <x:v>0</x:v>
      </x:c>
      <x:c r="AF1973" s="47" t="b">
        <x:v>0</x:v>
      </x:c>
      <x:c r="AG1973" s="47" t="b">
        <x:v>0</x:v>
      </x:c>
      <x:c r="AH1973" s="48" t="n">
        <x:v>0</x:v>
      </x:c>
      <x:c r="AI1973" s="48" t="n">
        <x:v>1.1920928955078125e-7</x:v>
      </x:c>
      <x:c r="AJ1973" s="37" t="str">
        <x:v>passed</x:v>
      </x:c>
    </x:row>
    <x:row r="1974" ht="21" customHeight="1">
      <x:c r="A1974" s="2"/>
      <x:c r="B1974" s="2"/>
      <x:c r="C1974" s="2" t="str">
        <x:v>2023</x:v>
      </x:c>
      <x:c r="D1974" s="5" t="n">
        <x:v>45279</x:v>
      </x:c>
      <x:c r="E1974" s="2" t="str">
        <x:v>constrained</x:v>
      </x:c>
      <x:c r="F1974" s="37" t="n">
        <x:v>11726490.09780008</x:v>
      </x:c>
      <x:c r="G1974" s="37" t="n">
        <x:v>120469.78505421196</x:v>
      </x:c>
      <x:c r="H1974" s="37" t="n">
        <x:v>21672.71831015323</x:v>
      </x:c>
      <x:c r="I1974" s="37" t="n">
        <x:v>98797.06674405873</x:v>
      </x:c>
      <x:c r="J1974" s="37" t="n">
        <x:v>8750815.832350248</x:v>
      </x:c>
      <x:c r="K1974" s="37" t="n">
        <x:v>8630346.047296036</x:v>
      </x:c>
      <x:c r="L1974" s="37" t="n">
        <x:v>11846959.882854292</x:v>
      </x:c>
      <x:c r="M1974" s="37" t="n">
        <x:v>0</x:v>
      </x:c>
      <x:c r="N1974" s="37" t="n">
        <x:v>0</x:v>
      </x:c>
      <x:c r="O1974" s="37" t="n">
        <x:v>642.5121964737773</x:v>
      </x:c>
      <x:c r="P1974" s="37" t="n">
        <x:v>0</x:v>
      </x:c>
      <x:c r="Q1974" s="37" t="n">
        <x:v>0</x:v>
      </x:c>
      <x:c r="R1974" s="37" t="n">
        <x:v>0</x:v>
      </x:c>
      <x:c r="S1974" s="37" t="n">
        <x:v>0</x:v>
      </x:c>
      <x:c r="T1974" s="37" t="n">
        <x:v>0</x:v>
      </x:c>
      <x:c r="U1974" s="37" t="n">
        <x:v>-13531.181236168934</x:v>
      </x:c>
      <x:c r="V1974" s="37" t="n">
        <x:v>-265385.86407447886</x:v>
      </x:c>
      <x:c r="W1974" s="37" t="n">
        <x:v>228961.964095518</x:v>
      </x:c>
      <x:c r="X1974" s="37" t="n">
        <x:v>0</x:v>
      </x:c>
      <x:c r="Y1974" s="37" t="n">
        <x:v>2235.87682307701</x:v>
      </x:c>
      <x:c r="Z1974" s="37" t="n">
        <x:v>8802952.968241956</x:v>
      </x:c>
      <x:c r="AA1974" s="37" t="n">
        <x:v>0</x:v>
      </x:c>
      <x:c r="AB1974" s="37" t="n">
        <x:v>8802952.968241956</x:v>
      </x:c>
      <x:c r="AC1974" s="37" t="n">
        <x:v>2923537.1295581236</x:v>
      </x:c>
      <x:c r="AD1974" s="37" t="n">
        <x:v>0</x:v>
      </x:c>
      <x:c r="AE1974" s="37" t="n">
        <x:v>0</x:v>
      </x:c>
      <x:c r="AF1974" s="47" t="b">
        <x:v>0</x:v>
      </x:c>
      <x:c r="AG1974" s="47" t="b">
        <x:v>0</x:v>
      </x:c>
      <x:c r="AH1974" s="48" t="n">
        <x:v>0</x:v>
      </x:c>
      <x:c r="AI1974" s="48" t="n">
        <x:v>1.1920928955078125e-7</x:v>
      </x:c>
      <x:c r="AJ1974" s="37" t="str">
        <x:v>passed</x:v>
      </x:c>
    </x:row>
    <x:row r="1975" ht="21" customHeight="1">
      <x:c r="A1975" s="2"/>
      <x:c r="B1975" s="2"/>
      <x:c r="C1975" s="2" t="str">
        <x:v>2023</x:v>
      </x:c>
      <x:c r="D1975" s="5" t="n">
        <x:v>45280</x:v>
      </x:c>
      <x:c r="E1975" s="2" t="str">
        <x:v>unhedged</x:v>
      </x:c>
      <x:c r="F1975" s="37" t="n">
        <x:v>3356535.2556708874</x:v>
      </x:c>
      <x:c r="G1975" s="37" t="n">
        <x:v>8674428.815513149</x:v>
      </x:c>
      <x:c r="H1975" s="37" t="n">
        <x:v>32064.470855231724</x:v>
      </x:c>
      <x:c r="I1975" s="37" t="n">
        <x:v>8642364.344657917</x:v>
      </x:c>
      <x:c r="J1975" s="37" t="n">
        <x:v>8674428.815513149</x:v>
      </x:c>
      <x:c r="K1975" s="37" t="n">
        <x:v>0</x:v>
      </x:c>
      <x:c r="L1975" s="37" t="n">
        <x:v>12030964.071184035</x:v>
      </x:c>
      <x:c r="M1975" s="37" t="n">
        <x:v>0</x:v>
      </x:c>
      <x:c r="N1975" s="37" t="n">
        <x:v>0</x:v>
      </x:c>
      <x:c r="O1975" s="37" t="n">
        <x:v>183.90966279478744</x:v>
      </x:c>
      <x:c r="P1975" s="37" t="n">
        <x:v>0</x:v>
      </x:c>
      <x:c r="Q1975" s="37" t="n">
        <x:v>0</x:v>
      </x:c>
      <x:c r="R1975" s="37" t="n">
        <x:v>0</x:v>
      </x:c>
      <x:c r="S1975" s="37" t="n">
        <x:v>0</x:v>
      </x:c>
      <x:c r="T1975" s="37" t="n">
        <x:v>0</x:v>
      </x:c>
      <x:c r="U1975" s="37" t="n">
        <x:v>127500</x:v>
      </x:c>
      <x:c r="V1975" s="37" t="n">
        <x:v>2000000</x:v>
      </x:c>
      <x:c r="W1975" s="37" t="n">
        <x:v>30078.125013009645</x:v>
      </x:c>
      <x:c r="X1975" s="37" t="n">
        <x:v>0</x:v>
      </x:c>
      <x:c r="Y1975" s="37" t="n">
        <x:v>1042.869342122179</x:v>
      </x:c>
      <x:c r="Z1975" s="37" t="n">
        <x:v>0</x:v>
      </x:c>
      <x:c r="AA1975" s="37" t="n">
        <x:v>0</x:v>
      </x:c>
      <x:c r="AB1975" s="37" t="n">
        <x:v>0</x:v>
      </x:c>
      <x:c r="AC1975" s="37" t="n">
        <x:v>3356535.2556708874</x:v>
      </x:c>
      <x:c r="AD1975" s="37" t="n">
        <x:v>0</x:v>
      </x:c>
      <x:c r="AE1975" s="37" t="n">
        <x:v>0</x:v>
      </x:c>
      <x:c r="AF1975" s="47" t="b">
        <x:v>0</x:v>
      </x:c>
      <x:c r="AG1975" s="47" t="b">
        <x:v>0</x:v>
      </x:c>
      <x:c r="AH1975" s="48" t="n">
        <x:v>0</x:v>
      </x:c>
      <x:c r="AI1975" s="48" t="n">
        <x:v>1.1920928955078125e-7</x:v>
      </x:c>
      <x:c r="AJ1975" s="37" t="str">
        <x:v>passed</x:v>
      </x:c>
    </x:row>
    <x:row r="1976" ht="21" customHeight="1">
      <x:c r="A1976" s="2"/>
      <x:c r="B1976" s="2"/>
      <x:c r="C1976" s="2" t="str">
        <x:v>2023</x:v>
      </x:c>
      <x:c r="D1976" s="5" t="n">
        <x:v>45280</x:v>
      </x:c>
      <x:c r="E1976" s="2" t="str">
        <x:v>duration</x:v>
      </x:c>
      <x:c r="F1976" s="37" t="n">
        <x:v>9576211.638890313</x:v>
      </x:c>
      <x:c r="G1976" s="37" t="n">
        <x:v>2375174.7760896888</x:v>
      </x:c>
      <x:c r="H1976" s="37" t="n">
        <x:v>22047.007066256414</x:v>
      </x:c>
      <x:c r="I1976" s="37" t="n">
        <x:v>2353127.7690234324</x:v>
      </x:c>
      <x:c r="J1976" s="37" t="n">
        <x:v>8674428.815513149</x:v>
      </x:c>
      <x:c r="K1976" s="37" t="n">
        <x:v>6299254.039423459</x:v>
      </x:c>
      <x:c r="L1976" s="37" t="n">
        <x:v>11951386.414980002</x:v>
      </x:c>
      <x:c r="M1976" s="37" t="n">
        <x:v>0</x:v>
      </x:c>
      <x:c r="N1976" s="37" t="n">
        <x:v>0</x:v>
      </x:c>
      <x:c r="O1976" s="37" t="n">
        <x:v>524.6951749995351</x:v>
      </x:c>
      <x:c r="P1976" s="37" t="n">
        <x:v>0</x:v>
      </x:c>
      <x:c r="Q1976" s="37" t="n">
        <x:v>0</x:v>
      </x:c>
      <x:c r="R1976" s="37" t="n">
        <x:v>0</x:v>
      </x:c>
      <x:c r="S1976" s="37" t="n">
        <x:v>0</x:v>
      </x:c>
      <x:c r="T1976" s="37" t="n">
        <x:v>0</x:v>
      </x:c>
      <x:c r="U1976" s="37" t="n">
        <x:v>20944.980443102446</x:v>
      </x:c>
      <x:c r="V1976" s="37" t="n">
        <x:v>2000000</x:v>
      </x:c>
      <x:c r="W1976" s="37" t="n">
        <x:v>153432.4378284095</x:v>
      </x:c>
      <x:c r="X1976" s="37" t="n">
        <x:v>0</x:v>
      </x:c>
      <x:c r="Y1976" s="37" t="n">
        <x:v>1748.1034567624336</x:v>
      </x:c>
      <x:c r="Z1976" s="37" t="n">
        <x:v>6425239.120211928</x:v>
      </x:c>
      <x:c r="AA1976" s="37" t="n">
        <x:v>0</x:v>
      </x:c>
      <x:c r="AB1976" s="37" t="n">
        <x:v>6425239.120211928</x:v>
      </x:c>
      <x:c r="AC1976" s="37" t="n">
        <x:v>3150972.518678385</x:v>
      </x:c>
      <x:c r="AD1976" s="37" t="n">
        <x:v>0</x:v>
      </x:c>
      <x:c r="AE1976" s="37" t="n">
        <x:v>0</x:v>
      </x:c>
      <x:c r="AF1976" s="47" t="b">
        <x:v>0</x:v>
      </x:c>
      <x:c r="AG1976" s="47" t="b">
        <x:v>0</x:v>
      </x:c>
      <x:c r="AH1976" s="48" t="n">
        <x:v>0</x:v>
      </x:c>
      <x:c r="AI1976" s="48" t="n">
        <x:v>1.1920928955078125e-7</x:v>
      </x:c>
      <x:c r="AJ1976" s="37" t="str">
        <x:v>passed</x:v>
      </x:c>
    </x:row>
    <x:row r="1977" ht="21" customHeight="1">
      <x:c r="A1977" s="2"/>
      <x:c r="B1977" s="2"/>
      <x:c r="C1977" s="2" t="str">
        <x:v>2023</x:v>
      </x:c>
      <x:c r="D1977" s="5" t="n">
        <x:v>45280</x:v>
      </x:c>
      <x:c r="E1977" s="2" t="str">
        <x:v>unweighted</x:v>
      </x:c>
      <x:c r="F1977" s="37" t="n">
        <x:v>11560497.41175717</x:v>
      </x:c>
      <x:c r="G1977" s="37" t="n">
        <x:v>305886.31408945203</x:v>
      </x:c>
      <x:c r="H1977" s="37" t="n">
        <x:v>21687.06004221614</x:v>
      </x:c>
      <x:c r="I1977" s="37" t="n">
        <x:v>284199.2540472359</x:v>
      </x:c>
      <x:c r="J1977" s="37" t="n">
        <x:v>8800214.3374465</x:v>
      </x:c>
      <x:c r="K1977" s="37" t="n">
        <x:v>8494328.023357047</x:v>
      </x:c>
      <x:c r="L1977" s="37" t="n">
        <x:v>11866383.725846622</x:v>
      </x:c>
      <x:c r="M1977" s="37" t="n">
        <x:v>0</x:v>
      </x:c>
      <x:c r="N1977" s="37" t="n">
        <x:v>0</x:v>
      </x:c>
      <x:c r="O1977" s="37" t="n">
        <x:v>633.4172051828355</x:v>
      </x:c>
      <x:c r="P1977" s="37" t="n">
        <x:v>0</x:v>
      </x:c>
      <x:c r="Q1977" s="37" t="n">
        <x:v>0</x:v>
      </x:c>
      <x:c r="R1977" s="37" t="n">
        <x:v>0</x:v>
      </x:c>
      <x:c r="S1977" s="37" t="n">
        <x:v>0</x:v>
      </x:c>
      <x:c r="T1977" s="37" t="n">
        <x:v>0</x:v>
      </x:c>
      <x:c r="U1977" s="37" t="n">
        <x:v>-8107.360295191727</x:v>
      </x:c>
      <x:c r="V1977" s="37" t="n">
        <x:v>2021684.8131373634</x:v>
      </x:c>
      <x:c r="W1977" s="37" t="n">
        <x:v>217235.1973212529</x:v>
      </x:c>
      <x:c r="X1977" s="37" t="n">
        <x:v>0</x:v>
      </x:c>
      <x:c r="Y1977" s="37" t="n">
        <x:v>2359.6687749452235</x:v>
      </x:c>
      <x:c r="Z1977" s="37" t="n">
        <x:v>8664214.583824188</x:v>
      </x:c>
      <x:c r="AA1977" s="37" t="n">
        <x:v>0</x:v>
      </x:c>
      <x:c r="AB1977" s="37" t="n">
        <x:v>8664214.583824188</x:v>
      </x:c>
      <x:c r="AC1977" s="37" t="n">
        <x:v>2896282.827932982</x:v>
      </x:c>
      <x:c r="AD1977" s="37" t="n">
        <x:v>0</x:v>
      </x:c>
      <x:c r="AE1977" s="37" t="n">
        <x:v>0</x:v>
      </x:c>
      <x:c r="AF1977" s="47" t="b">
        <x:v>0</x:v>
      </x:c>
      <x:c r="AG1977" s="47" t="b">
        <x:v>0</x:v>
      </x:c>
      <x:c r="AH1977" s="48" t="n">
        <x:v>0</x:v>
      </x:c>
      <x:c r="AI1977" s="48" t="n">
        <x:v>1.1920928955078125e-7</x:v>
      </x:c>
      <x:c r="AJ1977" s="37" t="str">
        <x:v>passed</x:v>
      </x:c>
    </x:row>
    <x:row r="1978" ht="21" customHeight="1">
      <x:c r="A1978" s="2"/>
      <x:c r="B1978" s="2"/>
      <x:c r="C1978" s="2" t="str">
        <x:v>2023</x:v>
      </x:c>
      <x:c r="D1978" s="5" t="n">
        <x:v>45280</x:v>
      </x:c>
      <x:c r="E1978" s="2" t="str">
        <x:v>constrained</x:v>
      </x:c>
      <x:c r="F1978" s="37" t="n">
        <x:v>11727132.6452027</x:v>
      </x:c>
      <x:c r="G1978" s="37" t="n">
        <x:v>120362.12483280493</x:v>
      </x:c>
      <x:c r="H1978" s="37" t="n">
        <x:v>21645.23353320336</x:v>
      </x:c>
      <x:c r="I1978" s="37" t="n">
        <x:v>98716.89129960156</x:v>
      </x:c>
      <x:c r="J1978" s="37" t="n">
        <x:v>8786066.614074517</x:v>
      </x:c>
      <x:c r="K1978" s="37" t="n">
        <x:v>8665704.489241712</x:v>
      </x:c>
      <x:c r="L1978" s="37" t="n">
        <x:v>11847494.770035505</x:v>
      </x:c>
      <x:c r="M1978" s="37" t="n">
        <x:v>0</x:v>
      </x:c>
      <x:c r="N1978" s="37" t="n">
        <x:v>0</x:v>
      </x:c>
      <x:c r="O1978" s="37" t="n">
        <x:v>642.5474026203156</x:v>
      </x:c>
      <x:c r="P1978" s="37" t="n">
        <x:v>0</x:v>
      </x:c>
      <x:c r="Q1978" s="37" t="n">
        <x:v>0</x:v>
      </x:c>
      <x:c r="R1978" s="37" t="n">
        <x:v>0</x:v>
      </x:c>
      <x:c r="S1978" s="37" t="n">
        <x:v>0</x:v>
      </x:c>
      <x:c r="T1978" s="37" t="n">
        <x:v>0</x:v>
      </x:c>
      <x:c r="U1978" s="37" t="n">
        <x:v>-13531.181236168934</x:v>
      </x:c>
      <x:c r="V1978" s="37" t="n">
        <x:v>-265385.86407447886</x:v>
      </x:c>
      <x:c r="W1978" s="37" t="n">
        <x:v>229604.5114981383</x:v>
      </x:c>
      <x:c r="X1978" s="37" t="n">
        <x:v>0</x:v>
      </x:c>
      <x:c r="Y1978" s="37" t="n">
        <x:v>2235.87682307701</x:v>
      </x:c>
      <x:c r="Z1978" s="37" t="n">
        <x:v>8839018.579026546</x:v>
      </x:c>
      <x:c r="AA1978" s="37" t="n">
        <x:v>0</x:v>
      </x:c>
      <x:c r="AB1978" s="37" t="n">
        <x:v>8839018.579026546</x:v>
      </x:c>
      <x:c r="AC1978" s="37" t="n">
        <x:v>2888114.0661761537</x:v>
      </x:c>
      <x:c r="AD1978" s="37" t="n">
        <x:v>0</x:v>
      </x:c>
      <x:c r="AE1978" s="37" t="n">
        <x:v>0</x:v>
      </x:c>
      <x:c r="AF1978" s="47" t="b">
        <x:v>0</x:v>
      </x:c>
      <x:c r="AG1978" s="47" t="b">
        <x:v>0</x:v>
      </x:c>
      <x:c r="AH1978" s="48" t="n">
        <x:v>0</x:v>
      </x:c>
      <x:c r="AI1978" s="48" t="n">
        <x:v>1.1920928955078125e-7</x:v>
      </x:c>
      <x:c r="AJ1978" s="37" t="str">
        <x:v>passed</x:v>
      </x:c>
    </x:row>
    <x:row r="1979" ht="21" customHeight="1">
      <x:c r="A1979" s="2"/>
      <x:c r="B1979" s="2"/>
      <x:c r="C1979" s="2" t="str">
        <x:v>2023</x:v>
      </x:c>
      <x:c r="D1979" s="5" t="n">
        <x:v>45281</x:v>
      </x:c>
      <x:c r="E1979" s="2" t="str">
        <x:v>unhedged</x:v>
      </x:c>
      <x:c r="F1979" s="37" t="n">
        <x:v>3356719.1754109245</x:v>
      </x:c>
      <x:c r="G1979" s="37" t="n">
        <x:v>8666585.470551213</x:v>
      </x:c>
      <x:c r="H1979" s="37" t="n">
        <x:v>32391.901576684184</x:v>
      </x:c>
      <x:c r="I1979" s="37" t="n">
        <x:v>8634193.568974528</x:v>
      </x:c>
      <x:c r="J1979" s="37" t="n">
        <x:v>8666585.470551213</x:v>
      </x:c>
      <x:c r="K1979" s="37" t="n">
        <x:v>0</x:v>
      </x:c>
      <x:c r="L1979" s="37" t="n">
        <x:v>12023304.645962138</x:v>
      </x:c>
      <x:c r="M1979" s="37" t="n">
        <x:v>0</x:v>
      </x:c>
      <x:c r="N1979" s="37" t="n">
        <x:v>0</x:v>
      </x:c>
      <x:c r="O1979" s="37" t="n">
        <x:v>183.91974003706127</x:v>
      </x:c>
      <x:c r="P1979" s="37" t="n">
        <x:v>0</x:v>
      </x:c>
      <x:c r="Q1979" s="37" t="n">
        <x:v>0</x:v>
      </x:c>
      <x:c r="R1979" s="37" t="n">
        <x:v>0</x:v>
      </x:c>
      <x:c r="S1979" s="37" t="n">
        <x:v>0</x:v>
      </x:c>
      <x:c r="T1979" s="37" t="n">
        <x:v>0</x:v>
      </x:c>
      <x:c r="U1979" s="37" t="n">
        <x:v>127500</x:v>
      </x:c>
      <x:c r="V1979" s="37" t="n">
        <x:v>2000000</x:v>
      </x:c>
      <x:c r="W1979" s="37" t="n">
        <x:v>30262.044753046706</x:v>
      </x:c>
      <x:c r="X1979" s="37" t="n">
        <x:v>0</x:v>
      </x:c>
      <x:c r="Y1979" s="37" t="n">
        <x:v>1042.869342122179</x:v>
      </x:c>
      <x:c r="Z1979" s="37" t="n">
        <x:v>0</x:v>
      </x:c>
      <x:c r="AA1979" s="37" t="n">
        <x:v>0</x:v>
      </x:c>
      <x:c r="AB1979" s="37" t="n">
        <x:v>0</x:v>
      </x:c>
      <x:c r="AC1979" s="37" t="n">
        <x:v>3356719.1754109245</x:v>
      </x:c>
      <x:c r="AD1979" s="37" t="n">
        <x:v>0</x:v>
      </x:c>
      <x:c r="AE1979" s="37" t="n">
        <x:v>0</x:v>
      </x:c>
      <x:c r="AF1979" s="47" t="b">
        <x:v>0</x:v>
      </x:c>
      <x:c r="AG1979" s="47" t="b">
        <x:v>0</x:v>
      </x:c>
      <x:c r="AH1979" s="48" t="n">
        <x:v>0</x:v>
      </x:c>
      <x:c r="AI1979" s="48" t="n">
        <x:v>1.1920928955078125e-7</x:v>
      </x:c>
      <x:c r="AJ1979" s="37" t="str">
        <x:v>passed</x:v>
      </x:c>
    </x:row>
    <x:row r="1980" ht="21" customHeight="1">
      <x:c r="A1980" s="2"/>
      <x:c r="B1980" s="2"/>
      <x:c r="C1980" s="2" t="str">
        <x:v>2023</x:v>
      </x:c>
      <x:c r="D1980" s="5" t="n">
        <x:v>45281</x:v>
      </x:c>
      <x:c r="E1980" s="2" t="str">
        <x:v>duration</x:v>
      </x:c>
      <x:c r="F1980" s="37" t="n">
        <x:v>9576736.36281573</x:v>
      </x:c>
      <x:c r="G1980" s="37" t="n">
        <x:v>2378312.0433092215</x:v>
      </x:c>
      <x:c r="H1980" s="37" t="n">
        <x:v>22088.22453659529</x:v>
      </x:c>
      <x:c r="I1980" s="37" t="n">
        <x:v>2356223.818772626</x:v>
      </x:c>
      <x:c r="J1980" s="37" t="n">
        <x:v>8666585.470551213</x:v>
      </x:c>
      <x:c r="K1980" s="37" t="n">
        <x:v>6288273.427241991</x:v>
      </x:c>
      <x:c r="L1980" s="37" t="n">
        <x:v>11955048.406124951</x:v>
      </x:c>
      <x:c r="M1980" s="37" t="n">
        <x:v>0</x:v>
      </x:c>
      <x:c r="N1980" s="37" t="n">
        <x:v>0</x:v>
      </x:c>
      <x:c r="O1980" s="37" t="n">
        <x:v>524.7239254172891</x:v>
      </x:c>
      <x:c r="P1980" s="37" t="n">
        <x:v>0</x:v>
      </x:c>
      <x:c r="Q1980" s="37" t="n">
        <x:v>0</x:v>
      </x:c>
      <x:c r="R1980" s="37" t="n">
        <x:v>0</x:v>
      </x:c>
      <x:c r="S1980" s="37" t="n">
        <x:v>0</x:v>
      </x:c>
      <x:c r="T1980" s="37" t="n">
        <x:v>0</x:v>
      </x:c>
      <x:c r="U1980" s="37" t="n">
        <x:v>20944.980443102446</x:v>
      </x:c>
      <x:c r="V1980" s="37" t="n">
        <x:v>2000000</x:v>
      </x:c>
      <x:c r="W1980" s="37" t="n">
        <x:v>153957.16175382677</x:v>
      </x:c>
      <x:c r="X1980" s="37" t="n">
        <x:v>0</x:v>
      </x:c>
      <x:c r="Y1980" s="37" t="n">
        <x:v>1748.1034567624336</x:v>
      </x:c>
      <x:c r="Z1980" s="37" t="n">
        <x:v>6414038.895786831</x:v>
      </x:c>
      <x:c r="AA1980" s="37" t="n">
        <x:v>0</x:v>
      </x:c>
      <x:c r="AB1980" s="37" t="n">
        <x:v>6414038.895786831</x:v>
      </x:c>
      <x:c r="AC1980" s="37" t="n">
        <x:v>3162697.467028899</x:v>
      </x:c>
      <x:c r="AD1980" s="37" t="n">
        <x:v>0</x:v>
      </x:c>
      <x:c r="AE1980" s="37" t="n">
        <x:v>0</x:v>
      </x:c>
      <x:c r="AF1980" s="47" t="b">
        <x:v>0</x:v>
      </x:c>
      <x:c r="AG1980" s="47" t="b">
        <x:v>0</x:v>
      </x:c>
      <x:c r="AH1980" s="48" t="n">
        <x:v>0</x:v>
      </x:c>
      <x:c r="AI1980" s="48" t="n">
        <x:v>1.1920928955078125e-7</x:v>
      </x:c>
      <x:c r="AJ1980" s="37" t="str">
        <x:v>passed</x:v>
      </x:c>
    </x:row>
    <x:row r="1981" ht="21" customHeight="1">
      <x:c r="A1981" s="2"/>
      <x:c r="B1981" s="2"/>
      <x:c r="C1981" s="2" t="str">
        <x:v>2023</x:v>
      </x:c>
      <x:c r="D1981" s="5" t="n">
        <x:v>45281</x:v>
      </x:c>
      <x:c r="E1981" s="2" t="str">
        <x:v>unweighted</x:v>
      </x:c>
      <x:c r="F1981" s="37" t="n">
        <x:v>11561130.86367014</x:v>
      </x:c>
      <x:c r="G1981" s="37" t="n">
        <x:v>306252.2507928237</x:v>
      </x:c>
      <x:c r="H1981" s="37" t="n">
        <x:v>21665.355121647353</x:v>
      </x:c>
      <x:c r="I1981" s="37" t="n">
        <x:v>284586.8956711763</x:v>
      </x:c>
      <x:c r="J1981" s="37" t="n">
        <x:v>8791759.216074143</x:v>
      </x:c>
      <x:c r="K1981" s="37" t="n">
        <x:v>8485506.965281319</x:v>
      </x:c>
      <x:c r="L1981" s="37" t="n">
        <x:v>11867383.114462964</x:v>
      </x:c>
      <x:c r="M1981" s="37" t="n">
        <x:v>0</x:v>
      </x:c>
      <x:c r="N1981" s="37" t="n">
        <x:v>0</x:v>
      </x:c>
      <x:c r="O1981" s="37" t="n">
        <x:v>633.4519129712135</x:v>
      </x:c>
      <x:c r="P1981" s="37" t="n">
        <x:v>0</x:v>
      </x:c>
      <x:c r="Q1981" s="37" t="n">
        <x:v>0</x:v>
      </x:c>
      <x:c r="R1981" s="37" t="n">
        <x:v>0</x:v>
      </x:c>
      <x:c r="S1981" s="37" t="n">
        <x:v>0</x:v>
      </x:c>
      <x:c r="T1981" s="37" t="n">
        <x:v>0</x:v>
      </x:c>
      <x:c r="U1981" s="37" t="n">
        <x:v>-8107.360295191727</x:v>
      </x:c>
      <x:c r="V1981" s="37" t="n">
        <x:v>2021684.8131373634</x:v>
      </x:c>
      <x:c r="W1981" s="37" t="n">
        <x:v>217868.6492342241</x:v>
      </x:c>
      <x:c r="X1981" s="37" t="n">
        <x:v>0</x:v>
      </x:c>
      <x:c r="Y1981" s="37" t="n">
        <x:v>2359.6687749452235</x:v>
      </x:c>
      <x:c r="Z1981" s="37" t="n">
        <x:v>8655217.104586946</x:v>
      </x:c>
      <x:c r="AA1981" s="37" t="n">
        <x:v>0</x:v>
      </x:c>
      <x:c r="AB1981" s="37" t="n">
        <x:v>8655217.104586946</x:v>
      </x:c>
      <x:c r="AC1981" s="37" t="n">
        <x:v>2905913.7590831947</x:v>
      </x:c>
      <x:c r="AD1981" s="37" t="n">
        <x:v>0</x:v>
      </x:c>
      <x:c r="AE1981" s="37" t="n">
        <x:v>0</x:v>
      </x:c>
      <x:c r="AF1981" s="47" t="b">
        <x:v>0</x:v>
      </x:c>
      <x:c r="AG1981" s="47" t="b">
        <x:v>0</x:v>
      </x:c>
      <x:c r="AH1981" s="48" t="n">
        <x:v>0</x:v>
      </x:c>
      <x:c r="AI1981" s="48" t="n">
        <x:v>1.1920928955078125e-7</x:v>
      </x:c>
      <x:c r="AJ1981" s="37" t="str">
        <x:v>passed</x:v>
      </x:c>
    </x:row>
    <x:row r="1982" ht="21" customHeight="1">
      <x:c r="A1982" s="2"/>
      <x:c r="B1982" s="2"/>
      <x:c r="C1982" s="2" t="str">
        <x:v>2023</x:v>
      </x:c>
      <x:c r="D1982" s="5" t="n">
        <x:v>45281</x:v>
      </x:c>
      <x:c r="E1982" s="2" t="str">
        <x:v>constrained</x:v>
      </x:c>
      <x:c r="F1982" s="37" t="n">
        <x:v>11727775.227813395</x:v>
      </x:c>
      <x:c r="G1982" s="37" t="n">
        <x:v>120454.66429487456</x:v>
      </x:c>
      <x:c r="H1982" s="37" t="n">
        <x:v>21617.748756253495</x:v>
      </x:c>
      <x:c r="I1982" s="37" t="n">
        <x:v>98836.91553862106</x:v>
      </x:c>
      <x:c r="J1982" s="37" t="n">
        <x:v>8777642.928727673</x:v>
      </x:c>
      <x:c r="K1982" s="37" t="n">
        <x:v>8657188.2644328</x:v>
      </x:c>
      <x:c r="L1982" s="37" t="n">
        <x:v>11848229.892108269</x:v>
      </x:c>
      <x:c r="M1982" s="37" t="n">
        <x:v>0</x:v>
      </x:c>
      <x:c r="N1982" s="37" t="n">
        <x:v>0</x:v>
      </x:c>
      <x:c r="O1982" s="37" t="n">
        <x:v>642.5826106946915</x:v>
      </x:c>
      <x:c r="P1982" s="37" t="n">
        <x:v>0</x:v>
      </x:c>
      <x:c r="Q1982" s="37" t="n">
        <x:v>0</x:v>
      </x:c>
      <x:c r="R1982" s="37" t="n">
        <x:v>0</x:v>
      </x:c>
      <x:c r="S1982" s="37" t="n">
        <x:v>0</x:v>
      </x:c>
      <x:c r="T1982" s="37" t="n">
        <x:v>0</x:v>
      </x:c>
      <x:c r="U1982" s="37" t="n">
        <x:v>-13531.181236168934</x:v>
      </x:c>
      <x:c r="V1982" s="37" t="n">
        <x:v>-265385.86407447886</x:v>
      </x:c>
      <x:c r="W1982" s="37" t="n">
        <x:v>230247.094108833</x:v>
      </x:c>
      <x:c r="X1982" s="37" t="n">
        <x:v>0</x:v>
      </x:c>
      <x:c r="Y1982" s="37" t="n">
        <x:v>2235.87682307701</x:v>
      </x:c>
      <x:c r="Z1982" s="37" t="n">
        <x:v>8830332.029721456</x:v>
      </x:c>
      <x:c r="AA1982" s="37" t="n">
        <x:v>0</x:v>
      </x:c>
      <x:c r="AB1982" s="37" t="n">
        <x:v>8830332.029721456</x:v>
      </x:c>
      <x:c r="AC1982" s="37" t="n">
        <x:v>2897443.198091939</x:v>
      </x:c>
      <x:c r="AD1982" s="37" t="n">
        <x:v>0</x:v>
      </x:c>
      <x:c r="AE1982" s="37" t="n">
        <x:v>0</x:v>
      </x:c>
      <x:c r="AF1982" s="47" t="b">
        <x:v>0</x:v>
      </x:c>
      <x:c r="AG1982" s="47" t="b">
        <x:v>0</x:v>
      </x:c>
      <x:c r="AH1982" s="48" t="n">
        <x:v>0</x:v>
      </x:c>
      <x:c r="AI1982" s="48" t="n">
        <x:v>1.1920928955078125e-7</x:v>
      </x:c>
      <x:c r="AJ1982" s="37" t="str">
        <x:v>passed</x:v>
      </x:c>
    </x:row>
    <x:row r="1983" ht="21" customHeight="1">
      <x:c r="A1983" s="2"/>
      <x:c r="B1983" s="2"/>
      <x:c r="C1983" s="2" t="str">
        <x:v>2023</x:v>
      </x:c>
      <x:c r="D1983" s="5" t="n">
        <x:v>45282</x:v>
      </x:c>
      <x:c r="E1983" s="2" t="str">
        <x:v>unhedged</x:v>
      </x:c>
      <x:c r="F1983" s="37" t="n">
        <x:v>3356903.105228755</x:v>
      </x:c>
      <x:c r="G1983" s="37" t="n">
        <x:v>8666863.087328942</x:v>
      </x:c>
      <x:c r="H1983" s="37" t="n">
        <x:v>32719.33229813665</x:v>
      </x:c>
      <x:c r="I1983" s="37" t="n">
        <x:v>8634143.755030805</x:v>
      </x:c>
      <x:c r="J1983" s="37" t="n">
        <x:v>8666863.087328942</x:v>
      </x:c>
      <x:c r="K1983" s="37" t="n">
        <x:v>0</x:v>
      </x:c>
      <x:c r="L1983" s="37" t="n">
        <x:v>12023766.192557698</x:v>
      </x:c>
      <x:c r="M1983" s="37" t="n">
        <x:v>0</x:v>
      </x:c>
      <x:c r="N1983" s="37" t="n">
        <x:v>0</x:v>
      </x:c>
      <x:c r="O1983" s="37" t="n">
        <x:v>183.92981783067808</x:v>
      </x:c>
      <x:c r="P1983" s="37" t="n">
        <x:v>0</x:v>
      </x:c>
      <x:c r="Q1983" s="37" t="n">
        <x:v>0</x:v>
      </x:c>
      <x:c r="R1983" s="37" t="n">
        <x:v>0</x:v>
      </x:c>
      <x:c r="S1983" s="37" t="n">
        <x:v>0</x:v>
      </x:c>
      <x:c r="T1983" s="37" t="n">
        <x:v>0</x:v>
      </x:c>
      <x:c r="U1983" s="37" t="n">
        <x:v>127500</x:v>
      </x:c>
      <x:c r="V1983" s="37" t="n">
        <x:v>2000000</x:v>
      </x:c>
      <x:c r="W1983" s="37" t="n">
        <x:v>30445.974570877384</x:v>
      </x:c>
      <x:c r="X1983" s="37" t="n">
        <x:v>0</x:v>
      </x:c>
      <x:c r="Y1983" s="37" t="n">
        <x:v>1042.869342122179</x:v>
      </x:c>
      <x:c r="Z1983" s="37" t="n">
        <x:v>0</x:v>
      </x:c>
      <x:c r="AA1983" s="37" t="n">
        <x:v>0</x:v>
      </x:c>
      <x:c r="AB1983" s="37" t="n">
        <x:v>0</x:v>
      </x:c>
      <x:c r="AC1983" s="37" t="n">
        <x:v>3356903.105228755</x:v>
      </x:c>
      <x:c r="AD1983" s="37" t="n">
        <x:v>0</x:v>
      </x:c>
      <x:c r="AE1983" s="37" t="n">
        <x:v>0</x:v>
      </x:c>
      <x:c r="AF1983" s="47" t="b">
        <x:v>0</x:v>
      </x:c>
      <x:c r="AG1983" s="47" t="b">
        <x:v>0</x:v>
      </x:c>
      <x:c r="AH1983" s="48" t="n">
        <x:v>0</x:v>
      </x:c>
      <x:c r="AI1983" s="48" t="n">
        <x:v>1.1920928955078125e-7</x:v>
      </x:c>
      <x:c r="AJ1983" s="37" t="str">
        <x:v>passed</x:v>
      </x:c>
    </x:row>
    <x:row r="1984" ht="21" customHeight="1">
      <x:c r="A1984" s="2"/>
      <x:c r="B1984" s="2"/>
      <x:c r="C1984" s="2" t="str">
        <x:v>2023</x:v>
      </x:c>
      <x:c r="D1984" s="5" t="n">
        <x:v>45282</x:v>
      </x:c>
      <x:c r="E1984" s="2" t="str">
        <x:v>duration</x:v>
      </x:c>
      <x:c r="F1984" s="37" t="n">
        <x:v>9577261.115493145</x:v>
      </x:c>
      <x:c r="G1984" s="37" t="n">
        <x:v>2381943.386937058</x:v>
      </x:c>
      <x:c r="H1984" s="37" t="n">
        <x:v>22129.442006934176</x:v>
      </x:c>
      <x:c r="I1984" s="37" t="n">
        <x:v>2359813.944930124</x:v>
      </x:c>
      <x:c r="J1984" s="37" t="n">
        <x:v>8666863.087328942</x:v>
      </x:c>
      <x:c r="K1984" s="37" t="n">
        <x:v>6284919.700391885</x:v>
      </x:c>
      <x:c r="L1984" s="37" t="n">
        <x:v>11959204.502430202</x:v>
      </x:c>
      <x:c r="M1984" s="37" t="n">
        <x:v>0</x:v>
      </x:c>
      <x:c r="N1984" s="37" t="n">
        <x:v>0</x:v>
      </x:c>
      <x:c r="O1984" s="37" t="n">
        <x:v>524.7526774145663</x:v>
      </x:c>
      <x:c r="P1984" s="37" t="n">
        <x:v>0</x:v>
      </x:c>
      <x:c r="Q1984" s="37" t="n">
        <x:v>0</x:v>
      </x:c>
      <x:c r="R1984" s="37" t="n">
        <x:v>0</x:v>
      </x:c>
      <x:c r="S1984" s="37" t="n">
        <x:v>0</x:v>
      </x:c>
      <x:c r="T1984" s="37" t="n">
        <x:v>0</x:v>
      </x:c>
      <x:c r="U1984" s="37" t="n">
        <x:v>20944.980443102446</x:v>
      </x:c>
      <x:c r="V1984" s="37" t="n">
        <x:v>2000000</x:v>
      </x:c>
      <x:c r="W1984" s="37" t="n">
        <x:v>154481.91443124134</x:v>
      </x:c>
      <x:c r="X1984" s="37" t="n">
        <x:v>0</x:v>
      </x:c>
      <x:c r="Y1984" s="37" t="n">
        <x:v>1748.1034567624336</x:v>
      </x:c>
      <x:c r="Z1984" s="37" t="n">
        <x:v>6410618.094399722</x:v>
      </x:c>
      <x:c r="AA1984" s="37" t="n">
        <x:v>0</x:v>
      </x:c>
      <x:c r="AB1984" s="37" t="n">
        <x:v>6410618.094399722</x:v>
      </x:c>
      <x:c r="AC1984" s="37" t="n">
        <x:v>3166643.0210934225</x:v>
      </x:c>
      <x:c r="AD1984" s="37" t="n">
        <x:v>0</x:v>
      </x:c>
      <x:c r="AE1984" s="37" t="n">
        <x:v>0</x:v>
      </x:c>
      <x:c r="AF1984" s="47" t="b">
        <x:v>0</x:v>
      </x:c>
      <x:c r="AG1984" s="47" t="b">
        <x:v>0</x:v>
      </x:c>
      <x:c r="AH1984" s="48" t="n">
        <x:v>0</x:v>
      </x:c>
      <x:c r="AI1984" s="48" t="n">
        <x:v>1.1920928955078125e-7</x:v>
      </x:c>
      <x:c r="AJ1984" s="37" t="str">
        <x:v>passed</x:v>
      </x:c>
    </x:row>
    <x:row r="1985" ht="21" customHeight="1">
      <x:c r="A1985" s="2"/>
      <x:c r="B1985" s="2"/>
      <x:c r="C1985" s="2" t="str">
        <x:v>2023</x:v>
      </x:c>
      <x:c r="D1985" s="5" t="n">
        <x:v>45282</x:v>
      </x:c>
      <x:c r="E1985" s="2" t="str">
        <x:v>unweighted</x:v>
      </x:c>
      <x:c r="F1985" s="37" t="n">
        <x:v>11561764.35029281</x:v>
      </x:c>
      <x:c r="G1985" s="37" t="n">
        <x:v>306696.0126003929</x:v>
      </x:c>
      <x:c r="H1985" s="37" t="n">
        <x:v>21643.650201078566</x:v>
      </x:c>
      <x:c r="I1985" s="37" t="n">
        <x:v>285052.36239931436</x:v>
      </x:c>
      <x:c r="J1985" s="37" t="n">
        <x:v>8791795.30465111</x:v>
      </x:c>
      <x:c r="K1985" s="37" t="n">
        <x:v>8485099.292050717</x:v>
      </x:c>
      <x:c r="L1985" s="37" t="n">
        <x:v>11868460.362893201</x:v>
      </x:c>
      <x:c r="M1985" s="37" t="n">
        <x:v>0</x:v>
      </x:c>
      <x:c r="N1985" s="37" t="n">
        <x:v>0</x:v>
      </x:c>
      <x:c r="O1985" s="37" t="n">
        <x:v>633.4866226688027</x:v>
      </x:c>
      <x:c r="P1985" s="37" t="n">
        <x:v>0</x:v>
      </x:c>
      <x:c r="Q1985" s="37" t="n">
        <x:v>0</x:v>
      </x:c>
      <x:c r="R1985" s="37" t="n">
        <x:v>0</x:v>
      </x:c>
      <x:c r="S1985" s="37" t="n">
        <x:v>0</x:v>
      </x:c>
      <x:c r="T1985" s="37" t="n">
        <x:v>0</x:v>
      </x:c>
      <x:c r="U1985" s="37" t="n">
        <x:v>-8107.360295191727</x:v>
      </x:c>
      <x:c r="V1985" s="37" t="n">
        <x:v>2021684.8131373634</x:v>
      </x:c>
      <x:c r="W1985" s="37" t="n">
        <x:v>218502.1358568929</x:v>
      </x:c>
      <x:c r="X1985" s="37" t="n">
        <x:v>0</x:v>
      </x:c>
      <x:c r="Y1985" s="37" t="n">
        <x:v>2359.6687749452235</x:v>
      </x:c>
      <x:c r="Z1985" s="37" t="n">
        <x:v>8654801.277891733</x:v>
      </x:c>
      <x:c r="AA1985" s="37" t="n">
        <x:v>0</x:v>
      </x:c>
      <x:c r="AB1985" s="37" t="n">
        <x:v>8654801.277891733</x:v>
      </x:c>
      <x:c r="AC1985" s="37" t="n">
        <x:v>2906963.0724010766</x:v>
      </x:c>
      <x:c r="AD1985" s="37" t="n">
        <x:v>0</x:v>
      </x:c>
      <x:c r="AE1985" s="37" t="n">
        <x:v>0</x:v>
      </x:c>
      <x:c r="AF1985" s="47" t="b">
        <x:v>0</x:v>
      </x:c>
      <x:c r="AG1985" s="47" t="b">
        <x:v>0</x:v>
      </x:c>
      <x:c r="AH1985" s="48" t="n">
        <x:v>0</x:v>
      </x:c>
      <x:c r="AI1985" s="48" t="n">
        <x:v>1.1920928955078125e-7</x:v>
      </x:c>
      <x:c r="AJ1985" s="37" t="str">
        <x:v>passed</x:v>
      </x:c>
    </x:row>
    <x:row r="1986" ht="21" customHeight="1">
      <x:c r="A1986" s="2"/>
      <x:c r="B1986" s="2"/>
      <x:c r="C1986" s="2" t="str">
        <x:v>2023</x:v>
      </x:c>
      <x:c r="D1986" s="5" t="n">
        <x:v>45282</x:v>
      </x:c>
      <x:c r="E1986" s="2" t="str">
        <x:v>constrained</x:v>
      </x:c>
      <x:c r="F1986" s="37" t="n">
        <x:v>11728417.8456341</x:v>
      </x:c>
      <x:c r="G1986" s="37" t="n">
        <x:v>120534.27550210261</x:v>
      </x:c>
      <x:c r="H1986" s="37" t="n">
        <x:v>21590.263979303636</x:v>
      </x:c>
      <x:c r="I1986" s="37" t="n">
        <x:v>98944.01152279897</x:v>
      </x:c>
      <x:c r="J1986" s="37" t="n">
        <x:v>8777653.029077407</x:v>
      </x:c>
      <x:c r="K1986" s="37" t="n">
        <x:v>8657118.753575305</x:v>
      </x:c>
      <x:c r="L1986" s="37" t="n">
        <x:v>11848952.121136202</x:v>
      </x:c>
      <x:c r="M1986" s="37" t="n">
        <x:v>0</x:v>
      </x:c>
      <x:c r="N1986" s="37" t="n">
        <x:v>0</x:v>
      </x:c>
      <x:c r="O1986" s="37" t="n">
        <x:v>642.6178207043558</x:v>
      </x:c>
      <x:c r="P1986" s="37" t="n">
        <x:v>0</x:v>
      </x:c>
      <x:c r="Q1986" s="37" t="n">
        <x:v>0</x:v>
      </x:c>
      <x:c r="R1986" s="37" t="n">
        <x:v>0</x:v>
      </x:c>
      <x:c r="S1986" s="37" t="n">
        <x:v>0</x:v>
      </x:c>
      <x:c r="T1986" s="37" t="n">
        <x:v>0</x:v>
      </x:c>
      <x:c r="U1986" s="37" t="n">
        <x:v>-13531.181236168934</x:v>
      </x:c>
      <x:c r="V1986" s="37" t="n">
        <x:v>-265385.86407447886</x:v>
      </x:c>
      <x:c r="W1986" s="37" t="n">
        <x:v>230889.71192953736</x:v>
      </x:c>
      <x:c r="X1986" s="37" t="n">
        <x:v>0</x:v>
      </x:c>
      <x:c r="Y1986" s="37" t="n">
        <x:v>2235.87682307701</x:v>
      </x:c>
      <x:c r="Z1986" s="37" t="n">
        <x:v>8830261.128646811</x:v>
      </x:c>
      <x:c r="AA1986" s="37" t="n">
        <x:v>0</x:v>
      </x:c>
      <x:c r="AB1986" s="37" t="n">
        <x:v>8830261.128646811</x:v>
      </x:c>
      <x:c r="AC1986" s="37" t="n">
        <x:v>2898156.7169872876</x:v>
      </x:c>
      <x:c r="AD1986" s="37" t="n">
        <x:v>0</x:v>
      </x:c>
      <x:c r="AE1986" s="37" t="n">
        <x:v>0</x:v>
      </x:c>
      <x:c r="AF1986" s="47" t="b">
        <x:v>0</x:v>
      </x:c>
      <x:c r="AG1986" s="47" t="b">
        <x:v>0</x:v>
      </x:c>
      <x:c r="AH1986" s="48" t="n">
        <x:v>0</x:v>
      </x:c>
      <x:c r="AI1986" s="48" t="n">
        <x:v>1.1920928955078125e-7</x:v>
      </x:c>
      <x:c r="AJ1986" s="37" t="str">
        <x:v>passed</x:v>
      </x:c>
    </x:row>
    <x:row r="1987" ht="21" customHeight="1">
      <x:c r="A1987" s="2"/>
      <x:c r="B1987" s="2"/>
      <x:c r="C1987" s="2" t="str">
        <x:v>2023</x:v>
      </x:c>
      <x:c r="D1987" s="5" t="n">
        <x:v>45286</x:v>
      </x:c>
      <x:c r="E1987" s="2" t="str">
        <x:v>unhedged</x:v>
      </x:c>
      <x:c r="F1987" s="37" t="n">
        <x:v>3357638.925289064</x:v>
      </x:c>
      <x:c r="G1987" s="37" t="n">
        <x:v>8669784.988229496</x:v>
      </x:c>
      <x:c r="H1987" s="37" t="n">
        <x:v>34029.05518394649</x:v>
      </x:c>
      <x:c r="I1987" s="37" t="n">
        <x:v>8635755.93304555</x:v>
      </x:c>
      <x:c r="J1987" s="37" t="n">
        <x:v>8669784.988229496</x:v>
      </x:c>
      <x:c r="K1987" s="37" t="n">
        <x:v>0</x:v>
      </x:c>
      <x:c r="L1987" s="37" t="n">
        <x:v>12027423.913518561</x:v>
      </x:c>
      <x:c r="M1987" s="37" t="n">
        <x:v>0</x:v>
      </x:c>
      <x:c r="N1987" s="37" t="n">
        <x:v>0</x:v>
      </x:c>
      <x:c r="O1987" s="37" t="n">
        <x:v>735.8200603090227</x:v>
      </x:c>
      <x:c r="P1987" s="37" t="n">
        <x:v>0</x:v>
      </x:c>
      <x:c r="Q1987" s="37" t="n">
        <x:v>0</x:v>
      </x:c>
      <x:c r="R1987" s="37" t="n">
        <x:v>0</x:v>
      </x:c>
      <x:c r="S1987" s="37" t="n">
        <x:v>0</x:v>
      </x:c>
      <x:c r="T1987" s="37" t="n">
        <x:v>0</x:v>
      </x:c>
      <x:c r="U1987" s="37" t="n">
        <x:v>127500</x:v>
      </x:c>
      <x:c r="V1987" s="37" t="n">
        <x:v>2000000</x:v>
      </x:c>
      <x:c r="W1987" s="37" t="n">
        <x:v>31181.794631186407</x:v>
      </x:c>
      <x:c r="X1987" s="37" t="n">
        <x:v>0</x:v>
      </x:c>
      <x:c r="Y1987" s="37" t="n">
        <x:v>1042.869342122179</x:v>
      </x:c>
      <x:c r="Z1987" s="37" t="n">
        <x:v>0</x:v>
      </x:c>
      <x:c r="AA1987" s="37" t="n">
        <x:v>0</x:v>
      </x:c>
      <x:c r="AB1987" s="37" t="n">
        <x:v>0</x:v>
      </x:c>
      <x:c r="AC1987" s="37" t="n">
        <x:v>3357638.925289064</x:v>
      </x:c>
      <x:c r="AD1987" s="37" t="n">
        <x:v>0</x:v>
      </x:c>
      <x:c r="AE1987" s="37" t="n">
        <x:v>0</x:v>
      </x:c>
      <x:c r="AF1987" s="47" t="b">
        <x:v>0</x:v>
      </x:c>
      <x:c r="AG1987" s="47" t="b">
        <x:v>0</x:v>
      </x:c>
      <x:c r="AH1987" s="48" t="n">
        <x:v>0</x:v>
      </x:c>
      <x:c r="AI1987" s="48" t="n">
        <x:v>1.1920928955078125e-7</x:v>
      </x:c>
      <x:c r="AJ1987" s="37" t="str">
        <x:v>passed</x:v>
      </x:c>
    </x:row>
    <x:row r="1988" ht="21" customHeight="1">
      <x:c r="A1988" s="2"/>
      <x:c r="B1988" s="2"/>
      <x:c r="C1988" s="2" t="str">
        <x:v>2023</x:v>
      </x:c>
      <x:c r="D1988" s="5" t="n">
        <x:v>45286</x:v>
      </x:c>
      <x:c r="E1988" s="2" t="str">
        <x:v>duration</x:v>
      </x:c>
      <x:c r="F1988" s="37" t="n">
        <x:v>9579360.413754277</x:v>
      </x:c>
      <x:c r="G1988" s="37" t="n">
        <x:v>2379701.4602152733</x:v>
      </x:c>
      <x:c r="H1988" s="37" t="n">
        <x:v>22294.311888289696</x:v>
      </x:c>
      <x:c r="I1988" s="37" t="n">
        <x:v>2357407.1483269837</x:v>
      </x:c>
      <x:c r="J1988" s="37" t="n">
        <x:v>8669784.988229496</x:v>
      </x:c>
      <x:c r="K1988" s="37" t="n">
        <x:v>6290083.528014223</x:v>
      </x:c>
      <x:c r="L1988" s="37" t="n">
        <x:v>11959061.873969551</x:v>
      </x:c>
      <x:c r="M1988" s="37" t="n">
        <x:v>0</x:v>
      </x:c>
      <x:c r="N1988" s="37" t="n">
        <x:v>0</x:v>
      </x:c>
      <x:c r="O1988" s="37" t="n">
        <x:v>2099.2982611320913</x:v>
      </x:c>
      <x:c r="P1988" s="37" t="n">
        <x:v>0</x:v>
      </x:c>
      <x:c r="Q1988" s="37" t="n">
        <x:v>0</x:v>
      </x:c>
      <x:c r="R1988" s="37" t="n">
        <x:v>0</x:v>
      </x:c>
      <x:c r="S1988" s="37" t="n">
        <x:v>0</x:v>
      </x:c>
      <x:c r="T1988" s="37" t="n">
        <x:v>0</x:v>
      </x:c>
      <x:c r="U1988" s="37" t="n">
        <x:v>20944.980443102446</x:v>
      </x:c>
      <x:c r="V1988" s="37" t="n">
        <x:v>2000000</x:v>
      </x:c>
      <x:c r="W1988" s="37" t="n">
        <x:v>156581.21269237343</x:v>
      </x:c>
      <x:c r="X1988" s="37" t="n">
        <x:v>0</x:v>
      </x:c>
      <x:c r="Y1988" s="37" t="n">
        <x:v>1748.1034567624336</x:v>
      </x:c>
      <x:c r="Z1988" s="37" t="n">
        <x:v>6415885.198574508</x:v>
      </x:c>
      <x:c r="AA1988" s="37" t="n">
        <x:v>0</x:v>
      </x:c>
      <x:c r="AB1988" s="37" t="n">
        <x:v>6415885.198574508</x:v>
      </x:c>
      <x:c r="AC1988" s="37" t="n">
        <x:v>3163475.2151797693</x:v>
      </x:c>
      <x:c r="AD1988" s="37" t="n">
        <x:v>0</x:v>
      </x:c>
      <x:c r="AE1988" s="37" t="n">
        <x:v>0</x:v>
      </x:c>
      <x:c r="AF1988" s="47" t="b">
        <x:v>0</x:v>
      </x:c>
      <x:c r="AG1988" s="47" t="b">
        <x:v>0</x:v>
      </x:c>
      <x:c r="AH1988" s="48" t="n">
        <x:v>0</x:v>
      </x:c>
      <x:c r="AI1988" s="48" t="n">
        <x:v>1.1920928955078125e-7</x:v>
      </x:c>
      <x:c r="AJ1988" s="37" t="str">
        <x:v>passed</x:v>
      </x:c>
    </x:row>
    <x:row r="1989" ht="21" customHeight="1">
      <x:c r="A1989" s="2"/>
      <x:c r="B1989" s="2"/>
      <x:c r="C1989" s="2" t="str">
        <x:v>2023</x:v>
      </x:c>
      <x:c r="D1989" s="5" t="n">
        <x:v>45286</x:v>
      </x:c>
      <x:c r="E1989" s="2" t="str">
        <x:v>unweighted</x:v>
      </x:c>
      <x:c r="F1989" s="37" t="n">
        <x:v>11564298.643918458</x:v>
      </x:c>
      <x:c r="G1989" s="37" t="n">
        <x:v>306419.76708285237</x:v>
      </x:c>
      <x:c r="H1989" s="37" t="n">
        <x:v>21556.830518803414</x:v>
      </x:c>
      <x:c r="I1989" s="37" t="n">
        <x:v>284862.936564049</x:v>
      </x:c>
      <x:c r="J1989" s="37" t="n">
        <x:v>8795001.914140759</x:v>
      </x:c>
      <x:c r="K1989" s="37" t="n">
        <x:v>8488582.147057908</x:v>
      </x:c>
      <x:c r="L1989" s="37" t="n">
        <x:v>11870718.411001312</x:v>
      </x:c>
      <x:c r="M1989" s="37" t="n">
        <x:v>0</x:v>
      </x:c>
      <x:c r="N1989" s="37" t="n">
        <x:v>0</x:v>
      </x:c>
      <x:c r="O1989" s="37" t="n">
        <x:v>2534.293625649065</x:v>
      </x:c>
      <x:c r="P1989" s="37" t="n">
        <x:v>0</x:v>
      </x:c>
      <x:c r="Q1989" s="37" t="n">
        <x:v>0</x:v>
      </x:c>
      <x:c r="R1989" s="37" t="n">
        <x:v>0</x:v>
      </x:c>
      <x:c r="S1989" s="37" t="n">
        <x:v>0</x:v>
      </x:c>
      <x:c r="T1989" s="37" t="n">
        <x:v>0</x:v>
      </x:c>
      <x:c r="U1989" s="37" t="n">
        <x:v>-8107.360295191727</x:v>
      </x:c>
      <x:c r="V1989" s="37" t="n">
        <x:v>2021684.8131373634</x:v>
      </x:c>
      <x:c r="W1989" s="37" t="n">
        <x:v>221036.42948254198</x:v>
      </x:c>
      <x:c r="X1989" s="37" t="n">
        <x:v>0</x:v>
      </x:c>
      <x:c r="Y1989" s="37" t="n">
        <x:v>2359.6687749452235</x:v>
      </x:c>
      <x:c r="Z1989" s="37" t="n">
        <x:v>8658353.789999066</x:v>
      </x:c>
      <x:c r="AA1989" s="37" t="n">
        <x:v>0</x:v>
      </x:c>
      <x:c r="AB1989" s="37" t="n">
        <x:v>8658353.789999066</x:v>
      </x:c>
      <x:c r="AC1989" s="37" t="n">
        <x:v>2905944.8539193925</x:v>
      </x:c>
      <x:c r="AD1989" s="37" t="n">
        <x:v>0</x:v>
      </x:c>
      <x:c r="AE1989" s="37" t="n">
        <x:v>0</x:v>
      </x:c>
      <x:c r="AF1989" s="47" t="b">
        <x:v>0</x:v>
      </x:c>
      <x:c r="AG1989" s="47" t="b">
        <x:v>0</x:v>
      </x:c>
      <x:c r="AH1989" s="48" t="n">
        <x:v>0</x:v>
      </x:c>
      <x:c r="AI1989" s="48" t="n">
        <x:v>1.1920928955078125e-7</x:v>
      </x:c>
      <x:c r="AJ1989" s="37" t="str">
        <x:v>passed</x:v>
      </x:c>
    </x:row>
    <x:row r="1990" ht="21" customHeight="1">
      <x:c r="A1990" s="2"/>
      <x:c r="B1990" s="2"/>
      <x:c r="C1990" s="2" t="str">
        <x:v>2023</x:v>
      </x:c>
      <x:c r="D1990" s="5" t="n">
        <x:v>45286</x:v>
      </x:c>
      <x:c r="E1990" s="2" t="str">
        <x:v>constrained</x:v>
      </x:c>
      <x:c r="F1990" s="37" t="n">
        <x:v>11730988.66905556</x:v>
      </x:c>
      <x:c r="G1990" s="37" t="n">
        <x:v>120410.86670122412</x:v>
      </x:c>
      <x:c r="H1990" s="37" t="n">
        <x:v>21480.324871504174</x:v>
      </x:c>
      <x:c r="I1990" s="37" t="n">
        <x:v>98930.54182971995</x:v>
      </x:c>
      <x:c r="J1990" s="37" t="n">
        <x:v>8780827.86458666</x:v>
      </x:c>
      <x:c r="K1990" s="37" t="n">
        <x:v>8660416.997885436</x:v>
      </x:c>
      <x:c r="L1990" s="37" t="n">
        <x:v>11851399.535756785</x:v>
      </x:c>
      <x:c r="M1990" s="37" t="n">
        <x:v>0</x:v>
      </x:c>
      <x:c r="N1990" s="37" t="n">
        <x:v>0</x:v>
      </x:c>
      <x:c r="O1990" s="37" t="n">
        <x:v>2570.8234214615077</x:v>
      </x:c>
      <x:c r="P1990" s="37" t="n">
        <x:v>0</x:v>
      </x:c>
      <x:c r="Q1990" s="37" t="n">
        <x:v>0</x:v>
      </x:c>
      <x:c r="R1990" s="37" t="n">
        <x:v>0</x:v>
      </x:c>
      <x:c r="S1990" s="37" t="n">
        <x:v>0</x:v>
      </x:c>
      <x:c r="T1990" s="37" t="n">
        <x:v>0</x:v>
      </x:c>
      <x:c r="U1990" s="37" t="n">
        <x:v>-13531.181236168934</x:v>
      </x:c>
      <x:c r="V1990" s="37" t="n">
        <x:v>-265385.86407447886</x:v>
      </x:c>
      <x:c r="W1990" s="37" t="n">
        <x:v>233460.53535099886</x:v>
      </x:c>
      <x:c r="X1990" s="37" t="n">
        <x:v>0</x:v>
      </x:c>
      <x:c r="Y1990" s="37" t="n">
        <x:v>2235.87682307701</x:v>
      </x:c>
      <x:c r="Z1990" s="37" t="n">
        <x:v>8833625.337843144</x:v>
      </x:c>
      <x:c r="AA1990" s="37" t="n">
        <x:v>0</x:v>
      </x:c>
      <x:c r="AB1990" s="37" t="n">
        <x:v>8833625.337843144</x:v>
      </x:c>
      <x:c r="AC1990" s="37" t="n">
        <x:v>2897363.3312124163</x:v>
      </x:c>
      <x:c r="AD1990" s="37" t="n">
        <x:v>0</x:v>
      </x:c>
      <x:c r="AE1990" s="37" t="n">
        <x:v>0</x:v>
      </x:c>
      <x:c r="AF1990" s="47" t="b">
        <x:v>0</x:v>
      </x:c>
      <x:c r="AG1990" s="47" t="b">
        <x:v>0</x:v>
      </x:c>
      <x:c r="AH1990" s="48" t="n">
        <x:v>0</x:v>
      </x:c>
      <x:c r="AI1990" s="48" t="n">
        <x:v>1.1920928955078125e-7</x:v>
      </x:c>
      <x:c r="AJ1990" s="37" t="str">
        <x:v>passed</x:v>
      </x:c>
    </x:row>
    <x:row r="1991" ht="21" customHeight="1">
      <x:c r="A1991" s="2"/>
      <x:c r="B1991" s="2"/>
      <x:c r="C1991" s="2" t="str">
        <x:v>2023</x:v>
      </x:c>
      <x:c r="D1991" s="5" t="n">
        <x:v>45287</x:v>
      </x:c>
      <x:c r="E1991" s="2" t="str">
        <x:v>unhedged</x:v>
      </x:c>
      <x:c r="F1991" s="37" t="n">
        <x:v>3357822.9055041485</x:v>
      </x:c>
      <x:c r="G1991" s="37" t="n">
        <x:v>8719255.82452091</x:v>
      </x:c>
      <x:c r="H1991" s="37" t="n">
        <x:v>34356.48590539895</x:v>
      </x:c>
      <x:c r="I1991" s="37" t="n">
        <x:v>8684899.33861551</x:v>
      </x:c>
      <x:c r="J1991" s="37" t="n">
        <x:v>8719255.82452091</x:v>
      </x:c>
      <x:c r="K1991" s="37" t="n">
        <x:v>0</x:v>
      </x:c>
      <x:c r="L1991" s="37" t="n">
        <x:v>12077078.730025059</x:v>
      </x:c>
      <x:c r="M1991" s="37" t="n">
        <x:v>0</x:v>
      </x:c>
      <x:c r="N1991" s="37" t="n">
        <x:v>0</x:v>
      </x:c>
      <x:c r="O1991" s="37" t="n">
        <x:v>183.98021508427337</x:v>
      </x:c>
      <x:c r="P1991" s="37" t="n">
        <x:v>0</x:v>
      </x:c>
      <x:c r="Q1991" s="37" t="n">
        <x:v>0</x:v>
      </x:c>
      <x:c r="R1991" s="37" t="n">
        <x:v>0</x:v>
      </x:c>
      <x:c r="S1991" s="37" t="n">
        <x:v>0</x:v>
      </x:c>
      <x:c r="T1991" s="37" t="n">
        <x:v>0</x:v>
      </x:c>
      <x:c r="U1991" s="37" t="n">
        <x:v>127500</x:v>
      </x:c>
      <x:c r="V1991" s="37" t="n">
        <x:v>2000000</x:v>
      </x:c>
      <x:c r="W1991" s="37" t="n">
        <x:v>31365.77484627068</x:v>
      </x:c>
      <x:c r="X1991" s="37" t="n">
        <x:v>0</x:v>
      </x:c>
      <x:c r="Y1991" s="37" t="n">
        <x:v>1042.869342122179</x:v>
      </x:c>
      <x:c r="Z1991" s="37" t="n">
        <x:v>0</x:v>
      </x:c>
      <x:c r="AA1991" s="37" t="n">
        <x:v>0</x:v>
      </x:c>
      <x:c r="AB1991" s="37" t="n">
        <x:v>0</x:v>
      </x:c>
      <x:c r="AC1991" s="37" t="n">
        <x:v>3357822.9055041485</x:v>
      </x:c>
      <x:c r="AD1991" s="37" t="n">
        <x:v>0</x:v>
      </x:c>
      <x:c r="AE1991" s="37" t="n">
        <x:v>0</x:v>
      </x:c>
      <x:c r="AF1991" s="47" t="b">
        <x:v>0</x:v>
      </x:c>
      <x:c r="AG1991" s="47" t="b">
        <x:v>0</x:v>
      </x:c>
      <x:c r="AH1991" s="48" t="n">
        <x:v>0</x:v>
      </x:c>
      <x:c r="AI1991" s="48" t="n">
        <x:v>1.1920928955078125e-7</x:v>
      </x:c>
      <x:c r="AJ1991" s="37" t="str">
        <x:v>passed</x:v>
      </x:c>
    </x:row>
    <x:row r="1992" ht="21" customHeight="1">
      <x:c r="A1992" s="2"/>
      <x:c r="B1992" s="2"/>
      <x:c r="C1992" s="2" t="str">
        <x:v>2023</x:v>
      </x:c>
      <x:c r="D1992" s="5" t="n">
        <x:v>45287</x:v>
      </x:c>
      <x:c r="E1992" s="2" t="str">
        <x:v>duration</x:v>
      </x:c>
      <x:c r="F1992" s="37" t="n">
        <x:v>9579885.310215306</x:v>
      </x:c>
      <x:c r="G1992" s="37" t="n">
        <x:v>2374135.47850076</x:v>
      </x:c>
      <x:c r="H1992" s="37" t="n">
        <x:v>22335.529358628577</x:v>
      </x:c>
      <x:c r="I1992" s="37" t="n">
        <x:v>2351799.9491421315</x:v>
      </x:c>
      <x:c r="J1992" s="37" t="n">
        <x:v>8719255.82452091</x:v>
      </x:c>
      <x:c r="K1992" s="37" t="n">
        <x:v>6345120.34602015</x:v>
      </x:c>
      <x:c r="L1992" s="37" t="n">
        <x:v>11954020.788716067</x:v>
      </x:c>
      <x:c r="M1992" s="37" t="n">
        <x:v>0</x:v>
      </x:c>
      <x:c r="N1992" s="37" t="n">
        <x:v>0</x:v>
      </x:c>
      <x:c r="O1992" s="37" t="n">
        <x:v>524.8964610286057</x:v>
      </x:c>
      <x:c r="P1992" s="37" t="n">
        <x:v>0</x:v>
      </x:c>
      <x:c r="Q1992" s="37" t="n">
        <x:v>0</x:v>
      </x:c>
      <x:c r="R1992" s="37" t="n">
        <x:v>0</x:v>
      </x:c>
      <x:c r="S1992" s="37" t="n">
        <x:v>0</x:v>
      </x:c>
      <x:c r="T1992" s="37" t="n">
        <x:v>0</x:v>
      </x:c>
      <x:c r="U1992" s="37" t="n">
        <x:v>20944.980443102446</x:v>
      </x:c>
      <x:c r="V1992" s="37" t="n">
        <x:v>2000000</x:v>
      </x:c>
      <x:c r="W1992" s="37" t="n">
        <x:v>157106.10915340204</x:v>
      </x:c>
      <x:c r="X1992" s="37" t="n">
        <x:v>0</x:v>
      </x:c>
      <x:c r="Y1992" s="37" t="n">
        <x:v>1748.1034567624336</x:v>
      </x:c>
      <x:c r="Z1992" s="37" t="n">
        <x:v>6472022.752940553</x:v>
      </x:c>
      <x:c r="AA1992" s="37" t="n">
        <x:v>0</x:v>
      </x:c>
      <x:c r="AB1992" s="37" t="n">
        <x:v>6472022.752940553</x:v>
      </x:c>
      <x:c r="AC1992" s="37" t="n">
        <x:v>3107862.5572747523</x:v>
      </x:c>
      <x:c r="AD1992" s="37" t="n">
        <x:v>0</x:v>
      </x:c>
      <x:c r="AE1992" s="37" t="n">
        <x:v>0</x:v>
      </x:c>
      <x:c r="AF1992" s="47" t="b">
        <x:v>0</x:v>
      </x:c>
      <x:c r="AG1992" s="47" t="b">
        <x:v>0</x:v>
      </x:c>
      <x:c r="AH1992" s="48" t="n">
        <x:v>0</x:v>
      </x:c>
      <x:c r="AI1992" s="48" t="n">
        <x:v>1.1920928955078125e-7</x:v>
      </x:c>
      <x:c r="AJ1992" s="37" t="str">
        <x:v>passed</x:v>
      </x:c>
    </x:row>
    <x:row r="1993" ht="21" customHeight="1">
      <x:c r="A1993" s="2"/>
      <x:c r="B1993" s="2"/>
      <x:c r="C1993" s="2" t="str">
        <x:v>2023</x:v>
      </x:c>
      <x:c r="D1993" s="5" t="n">
        <x:v>45287</x:v>
      </x:c>
      <x:c r="E1993" s="2" t="str">
        <x:v>unweighted</x:v>
      </x:c>
      <x:c r="F1993" s="37" t="n">
        <x:v>11564932.304118127</x:v>
      </x:c>
      <x:c r="G1993" s="37" t="n">
        <x:v>305623.1218786491</x:v>
      </x:c>
      <x:c r="H1993" s="37" t="n">
        <x:v>21535.125598234627</x:v>
      </x:c>
      <x:c r="I1993" s="37" t="n">
        <x:v>284087.99628041446</x:v>
      </x:c>
      <x:c r="J1993" s="37" t="n">
        <x:v>8846632.687486442</x:v>
      </x:c>
      <x:c r="K1993" s="37" t="n">
        <x:v>8541009.565607792</x:v>
      </x:c>
      <x:c r="L1993" s="37" t="n">
        <x:v>11870555.425996777</x:v>
      </x:c>
      <x:c r="M1993" s="37" t="n">
        <x:v>0</x:v>
      </x:c>
      <x:c r="N1993" s="37" t="n">
        <x:v>0</x:v>
      </x:c>
      <x:c r="O1993" s="37" t="n">
        <x:v>633.6601996682584</x:v>
      </x:c>
      <x:c r="P1993" s="37" t="n">
        <x:v>0</x:v>
      </x:c>
      <x:c r="Q1993" s="37" t="n">
        <x:v>0</x:v>
      </x:c>
      <x:c r="R1993" s="37" t="n">
        <x:v>0</x:v>
      </x:c>
      <x:c r="S1993" s="37" t="n">
        <x:v>0</x:v>
      </x:c>
      <x:c r="T1993" s="37" t="n">
        <x:v>0</x:v>
      </x:c>
      <x:c r="U1993" s="37" t="n">
        <x:v>-8107.360295191727</x:v>
      </x:c>
      <x:c r="V1993" s="37" t="n">
        <x:v>2021684.8131373634</x:v>
      </x:c>
      <x:c r="W1993" s="37" t="n">
        <x:v>221670.08968221024</x:v>
      </x:c>
      <x:c r="X1993" s="37" t="n">
        <x:v>0</x:v>
      </x:c>
      <x:c r="Y1993" s="37" t="n">
        <x:v>2359.6687749452235</x:v>
      </x:c>
      <x:c r="Z1993" s="37" t="n">
        <x:v>8711829.756919948</x:v>
      </x:c>
      <x:c r="AA1993" s="37" t="n">
        <x:v>0</x:v>
      </x:c>
      <x:c r="AB1993" s="37" t="n">
        <x:v>8711829.756919948</x:v>
      </x:c>
      <x:c r="AC1993" s="37" t="n">
        <x:v>2853102.5471981782</x:v>
      </x:c>
      <x:c r="AD1993" s="37" t="n">
        <x:v>0</x:v>
      </x:c>
      <x:c r="AE1993" s="37" t="n">
        <x:v>0</x:v>
      </x:c>
      <x:c r="AF1993" s="47" t="b">
        <x:v>0</x:v>
      </x:c>
      <x:c r="AG1993" s="47" t="b">
        <x:v>0</x:v>
      </x:c>
      <x:c r="AH1993" s="48" t="n">
        <x:v>0</x:v>
      </x:c>
      <x:c r="AI1993" s="48" t="n">
        <x:v>1.1920928955078125e-7</x:v>
      </x:c>
      <x:c r="AJ1993" s="37" t="str">
        <x:v>passed</x:v>
      </x:c>
    </x:row>
    <x:row r="1994" ht="21" customHeight="1">
      <x:c r="A1994" s="2"/>
      <x:c r="B1994" s="2"/>
      <x:c r="C1994" s="2" t="str">
        <x:v>2023</x:v>
      </x:c>
      <x:c r="D1994" s="5" t="n">
        <x:v>45287</x:v>
      </x:c>
      <x:c r="E1994" s="2" t="str">
        <x:v>constrained</x:v>
      </x:c>
      <x:c r="F1994" s="37" t="n">
        <x:v>11731631.462955236</x:v>
      </x:c>
      <x:c r="G1994" s="37" t="n">
        <x:v>119763.90848936733</x:v>
      </x:c>
      <x:c r="H1994" s="37" t="n">
        <x:v>21452.84009455431</x:v>
      </x:c>
      <x:c r="I1994" s="37" t="n">
        <x:v>98311.06839481302</x:v>
      </x:c>
      <x:c r="J1994" s="37" t="n">
        <x:v>8832146.393001737</x:v>
      </x:c>
      <x:c r="K1994" s="37" t="n">
        <x:v>8712382.48451237</x:v>
      </x:c>
      <x:c r="L1994" s="37" t="n">
        <x:v>11851395.371444603</x:v>
      </x:c>
      <x:c r="M1994" s="37" t="n">
        <x:v>0</x:v>
      </x:c>
      <x:c r="N1994" s="37" t="n">
        <x:v>0</x:v>
      </x:c>
      <x:c r="O1994" s="37" t="n">
        <x:v>642.7938996758312</x:v>
      </x:c>
      <x:c r="P1994" s="37" t="n">
        <x:v>0</x:v>
      </x:c>
      <x:c r="Q1994" s="37" t="n">
        <x:v>0</x:v>
      </x:c>
      <x:c r="R1994" s="37" t="n">
        <x:v>0</x:v>
      </x:c>
      <x:c r="S1994" s="37" t="n">
        <x:v>0</x:v>
      </x:c>
      <x:c r="T1994" s="37" t="n">
        <x:v>0</x:v>
      </x:c>
      <x:c r="U1994" s="37" t="n">
        <x:v>-13531.181236168934</x:v>
      </x:c>
      <x:c r="V1994" s="37" t="n">
        <x:v>-265385.86407447886</x:v>
      </x:c>
      <x:c r="W1994" s="37" t="n">
        <x:v>234103.3292506747</x:v>
      </x:c>
      <x:c r="X1994" s="37" t="n">
        <x:v>0</x:v>
      </x:c>
      <x:c r="Y1994" s="37" t="n">
        <x:v>2235.87682307701</x:v>
      </x:c>
      <x:c r="Z1994" s="37" t="n">
        <x:v>8886630.134202618</x:v>
      </x:c>
      <x:c r="AA1994" s="37" t="n">
        <x:v>0</x:v>
      </x:c>
      <x:c r="AB1994" s="37" t="n">
        <x:v>8886630.134202618</x:v>
      </x:c>
      <x:c r="AC1994" s="37" t="n">
        <x:v>2845001.3287526183</x:v>
      </x:c>
      <x:c r="AD1994" s="37" t="n">
        <x:v>0</x:v>
      </x:c>
      <x:c r="AE1994" s="37" t="n">
        <x:v>0</x:v>
      </x:c>
      <x:c r="AF1994" s="47" t="b">
        <x:v>0</x:v>
      </x:c>
      <x:c r="AG1994" s="47" t="b">
        <x:v>0</x:v>
      </x:c>
      <x:c r="AH1994" s="48" t="n">
        <x:v>0</x:v>
      </x:c>
      <x:c r="AI1994" s="48" t="n">
        <x:v>1.1920928955078125e-7</x:v>
      </x:c>
      <x:c r="AJ1994" s="37" t="str">
        <x:v>passed</x:v>
      </x:c>
    </x:row>
    <x:row r="1995" ht="21" customHeight="1">
      <x:c r="A1995" s="2"/>
      <x:c r="B1995" s="2"/>
      <x:c r="C1995" s="2" t="str">
        <x:v>2023</x:v>
      </x:c>
      <x:c r="D1995" s="5" t="n">
        <x:v>45288</x:v>
      </x:c>
      <x:c r="E1995" s="2" t="str">
        <x:v>unhedged</x:v>
      </x:c>
      <x:c r="F1995" s="37" t="n">
        <x:v>3358006.89580034</x:v>
      </x:c>
      <x:c r="G1995" s="37" t="n">
        <x:v>8697953.249495499</x:v>
      </x:c>
      <x:c r="H1995" s="37" t="n">
        <x:v>34683.91662685141</x:v>
      </x:c>
      <x:c r="I1995" s="37" t="n">
        <x:v>8663269.332868647</x:v>
      </x:c>
      <x:c r="J1995" s="37" t="n">
        <x:v>8697953.249495499</x:v>
      </x:c>
      <x:c r="K1995" s="37" t="n">
        <x:v>0</x:v>
      </x:c>
      <x:c r="L1995" s="37" t="n">
        <x:v>12055960.14529584</x:v>
      </x:c>
      <x:c r="M1995" s="37" t="n">
        <x:v>0</x:v>
      </x:c>
      <x:c r="N1995" s="37" t="n">
        <x:v>0</x:v>
      </x:c>
      <x:c r="O1995" s="37" t="n">
        <x:v>183.9902961915359</x:v>
      </x:c>
      <x:c r="P1995" s="37" t="n">
        <x:v>0</x:v>
      </x:c>
      <x:c r="Q1995" s="37" t="n">
        <x:v>0</x:v>
      </x:c>
      <x:c r="R1995" s="37" t="n">
        <x:v>0</x:v>
      </x:c>
      <x:c r="S1995" s="37" t="n">
        <x:v>0</x:v>
      </x:c>
      <x:c r="T1995" s="37" t="n">
        <x:v>0</x:v>
      </x:c>
      <x:c r="U1995" s="37" t="n">
        <x:v>127500</x:v>
      </x:c>
      <x:c r="V1995" s="37" t="n">
        <x:v>2000000</x:v>
      </x:c>
      <x:c r="W1995" s="37" t="n">
        <x:v>31549.765142462216</x:v>
      </x:c>
      <x:c r="X1995" s="37" t="n">
        <x:v>0</x:v>
      </x:c>
      <x:c r="Y1995" s="37" t="n">
        <x:v>1042.869342122179</x:v>
      </x:c>
      <x:c r="Z1995" s="37" t="n">
        <x:v>0</x:v>
      </x:c>
      <x:c r="AA1995" s="37" t="n">
        <x:v>0</x:v>
      </x:c>
      <x:c r="AB1995" s="37" t="n">
        <x:v>0</x:v>
      </x:c>
      <x:c r="AC1995" s="37" t="n">
        <x:v>3358006.89580034</x:v>
      </x:c>
      <x:c r="AD1995" s="37" t="n">
        <x:v>0</x:v>
      </x:c>
      <x:c r="AE1995" s="37" t="n">
        <x:v>0</x:v>
      </x:c>
      <x:c r="AF1995" s="47" t="b">
        <x:v>0</x:v>
      </x:c>
      <x:c r="AG1995" s="47" t="b">
        <x:v>0</x:v>
      </x:c>
      <x:c r="AH1995" s="48" t="n">
        <x:v>0</x:v>
      </x:c>
      <x:c r="AI1995" s="48" t="n">
        <x:v>1.1920928955078125e-7</x:v>
      </x:c>
      <x:c r="AJ1995" s="37" t="str">
        <x:v>passed</x:v>
      </x:c>
    </x:row>
    <x:row r="1996" ht="21" customHeight="1">
      <x:c r="A1996" s="2"/>
      <x:c r="B1996" s="2"/>
      <x:c r="C1996" s="2" t="str">
        <x:v>2023</x:v>
      </x:c>
      <x:c r="D1996" s="5" t="n">
        <x:v>45288</x:v>
      </x:c>
      <x:c r="E1996" s="2" t="str">
        <x:v>duration</x:v>
      </x:c>
      <x:c r="F1996" s="37" t="n">
        <x:v>9580410.235437784</x:v>
      </x:c>
      <x:c r="G1996" s="37" t="n">
        <x:v>2375598.323661181</x:v>
      </x:c>
      <x:c r="H1996" s="37" t="n">
        <x:v>22376.746828967454</x:v>
      </x:c>
      <x:c r="I1996" s="37" t="n">
        <x:v>2353221.576832214</x:v>
      </x:c>
      <x:c r="J1996" s="37" t="n">
        <x:v>8697953.249495499</x:v>
      </x:c>
      <x:c r="K1996" s="37" t="n">
        <x:v>6322354.925834318</x:v>
      </x:c>
      <x:c r="L1996" s="37" t="n">
        <x:v>11956008.559098966</x:v>
      </x:c>
      <x:c r="M1996" s="37" t="n">
        <x:v>0</x:v>
      </x:c>
      <x:c r="N1996" s="37" t="n">
        <x:v>0</x:v>
      </x:c>
      <x:c r="O1996" s="37" t="n">
        <x:v>524.925222478807</x:v>
      </x:c>
      <x:c r="P1996" s="37" t="n">
        <x:v>0</x:v>
      </x:c>
      <x:c r="Q1996" s="37" t="n">
        <x:v>0</x:v>
      </x:c>
      <x:c r="R1996" s="37" t="n">
        <x:v>0</x:v>
      </x:c>
      <x:c r="S1996" s="37" t="n">
        <x:v>0</x:v>
      </x:c>
      <x:c r="T1996" s="37" t="n">
        <x:v>0</x:v>
      </x:c>
      <x:c r="U1996" s="37" t="n">
        <x:v>20944.980443102446</x:v>
      </x:c>
      <x:c r="V1996" s="37" t="n">
        <x:v>2000000</x:v>
      </x:c>
      <x:c r="W1996" s="37" t="n">
        <x:v>157631.03437588084</x:v>
      </x:c>
      <x:c r="X1996" s="37" t="n">
        <x:v>0</x:v>
      </x:c>
      <x:c r="Y1996" s="37" t="n">
        <x:v>1748.1034567624336</x:v>
      </x:c>
      <x:c r="Z1996" s="37" t="n">
        <x:v>6448802.0243510045</x:v>
      </x:c>
      <x:c r="AA1996" s="37" t="n">
        <x:v>0</x:v>
      </x:c>
      <x:c r="AB1996" s="37" t="n">
        <x:v>6448802.0243510045</x:v>
      </x:c>
      <x:c r="AC1996" s="37" t="n">
        <x:v>3131608.21108678</x:v>
      </x:c>
      <x:c r="AD1996" s="37" t="n">
        <x:v>0</x:v>
      </x:c>
      <x:c r="AE1996" s="37" t="n">
        <x:v>0</x:v>
      </x:c>
      <x:c r="AF1996" s="47" t="b">
        <x:v>0</x:v>
      </x:c>
      <x:c r="AG1996" s="47" t="b">
        <x:v>0</x:v>
      </x:c>
      <x:c r="AH1996" s="48" t="n">
        <x:v>0</x:v>
      </x:c>
      <x:c r="AI1996" s="48" t="n">
        <x:v>1.1920928955078125e-7</x:v>
      </x:c>
      <x:c r="AJ1996" s="37" t="str">
        <x:v>passed</x:v>
      </x:c>
    </x:row>
    <x:row r="1997" ht="21" customHeight="1">
      <x:c r="A1997" s="2"/>
      <x:c r="B1997" s="2"/>
      <x:c r="C1997" s="2" t="str">
        <x:v>2023</x:v>
      </x:c>
      <x:c r="D1997" s="5" t="n">
        <x:v>45288</x:v>
      </x:c>
      <x:c r="E1997" s="2" t="str">
        <x:v>unweighted</x:v>
      </x:c>
      <x:c r="F1997" s="37" t="n">
        <x:v>11565565.999038901</x:v>
      </x:c>
      <x:c r="G1997" s="37" t="n">
        <x:v>305937.71556745464</x:v>
      </x:c>
      <x:c r="H1997" s="37" t="n">
        <x:v>21513.42067766584</x:v>
      </x:c>
      <x:c r="I1997" s="37" t="n">
        <x:v>284424.2948897888</x:v>
      </x:c>
      <x:c r="J1997" s="37" t="n">
        <x:v>8824750.112291401</x:v>
      </x:c>
      <x:c r="K1997" s="37" t="n">
        <x:v>8518812.396723947</x:v>
      </x:c>
      <x:c r="L1997" s="37" t="n">
        <x:v>11871503.714606356</x:v>
      </x:c>
      <x:c r="M1997" s="37" t="n">
        <x:v>0</x:v>
      </x:c>
      <x:c r="N1997" s="37" t="n">
        <x:v>0</x:v>
      </x:c>
      <x:c r="O1997" s="37" t="n">
        <x:v>633.6949207745492</x:v>
      </x:c>
      <x:c r="P1997" s="37" t="n">
        <x:v>0</x:v>
      </x:c>
      <x:c r="Q1997" s="37" t="n">
        <x:v>0</x:v>
      </x:c>
      <x:c r="R1997" s="37" t="n">
        <x:v>0</x:v>
      </x:c>
      <x:c r="S1997" s="37" t="n">
        <x:v>0</x:v>
      </x:c>
      <x:c r="T1997" s="37" t="n">
        <x:v>0</x:v>
      </x:c>
      <x:c r="U1997" s="37" t="n">
        <x:v>-8107.360295191727</x:v>
      </x:c>
      <x:c r="V1997" s="37" t="n">
        <x:v>2021684.8131373634</x:v>
      </x:c>
      <x:c r="W1997" s="37" t="n">
        <x:v>222303.7846029848</x:v>
      </x:c>
      <x:c r="X1997" s="37" t="n">
        <x:v>0</x:v>
      </x:c>
      <x:c r="Y1997" s="37" t="n">
        <x:v>2359.6687749452235</x:v>
      </x:c>
      <x:c r="Z1997" s="37" t="n">
        <x:v>8689188.644658426</x:v>
      </x:c>
      <x:c r="AA1997" s="37" t="n">
        <x:v>0</x:v>
      </x:c>
      <x:c r="AB1997" s="37" t="n">
        <x:v>8689188.644658426</x:v>
      </x:c>
      <x:c r="AC1997" s="37" t="n">
        <x:v>2876377.3543804754</x:v>
      </x:c>
      <x:c r="AD1997" s="37" t="n">
        <x:v>0</x:v>
      </x:c>
      <x:c r="AE1997" s="37" t="n">
        <x:v>0</x:v>
      </x:c>
      <x:c r="AF1997" s="47" t="b">
        <x:v>0</x:v>
      </x:c>
      <x:c r="AG1997" s="47" t="b">
        <x:v>0</x:v>
      </x:c>
      <x:c r="AH1997" s="48" t="n">
        <x:v>0</x:v>
      </x:c>
      <x:c r="AI1997" s="48" t="n">
        <x:v>1.1920928955078125e-7</x:v>
      </x:c>
      <x:c r="AJ1997" s="37" t="str">
        <x:v>passed</x:v>
      </x:c>
    </x:row>
    <x:row r="1998" ht="21" customHeight="1">
      <x:c r="A1998" s="2"/>
      <x:c r="B1998" s="2"/>
      <x:c r="C1998" s="2" t="str">
        <x:v>2023</x:v>
      </x:c>
      <x:c r="D1998" s="5" t="n">
        <x:v>45288</x:v>
      </x:c>
      <x:c r="E1998" s="2" t="str">
        <x:v>constrained</x:v>
      </x:c>
      <x:c r="F1998" s="37" t="n">
        <x:v>11732274.292076495</x:v>
      </x:c>
      <x:c r="G1998" s="37" t="n">
        <x:v>119999.51170900532</x:v>
      </x:c>
      <x:c r="H1998" s="37" t="n">
        <x:v>21425.355317604444</x:v>
      </x:c>
      <x:c r="I1998" s="37" t="n">
        <x:v>98574.15639140087</x:v>
      </x:c>
      <x:c r="J1998" s="37" t="n">
        <x:v>8810324.875389794</x:v>
      </x:c>
      <x:c r="K1998" s="37" t="n">
        <x:v>8690325.363680787</x:v>
      </x:c>
      <x:c r="L1998" s="37" t="n">
        <x:v>11852273.8037855</x:v>
      </x:c>
      <x:c r="M1998" s="37" t="n">
        <x:v>0</x:v>
      </x:c>
      <x:c r="N1998" s="37" t="n">
        <x:v>0</x:v>
      </x:c>
      <x:c r="O1998" s="37" t="n">
        <x:v>642.8291212581098</x:v>
      </x:c>
      <x:c r="P1998" s="37" t="n">
        <x:v>0</x:v>
      </x:c>
      <x:c r="Q1998" s="37" t="n">
        <x:v>0</x:v>
      </x:c>
      <x:c r="R1998" s="37" t="n">
        <x:v>0</x:v>
      </x:c>
      <x:c r="S1998" s="37" t="n">
        <x:v>0</x:v>
      </x:c>
      <x:c r="T1998" s="37" t="n">
        <x:v>0</x:v>
      </x:c>
      <x:c r="U1998" s="37" t="n">
        <x:v>-13531.181236168934</x:v>
      </x:c>
      <x:c r="V1998" s="37" t="n">
        <x:v>-265385.86407447886</x:v>
      </x:c>
      <x:c r="W1998" s="37" t="n">
        <x:v>234746.1583719328</x:v>
      </x:c>
      <x:c r="X1998" s="37" t="n">
        <x:v>0</x:v>
      </x:c>
      <x:c r="Y1998" s="37" t="n">
        <x:v>2235.87682307701</x:v>
      </x:c>
      <x:c r="Z1998" s="37" t="n">
        <x:v>8864131.870954404</x:v>
      </x:c>
      <x:c r="AA1998" s="37" t="n">
        <x:v>0</x:v>
      </x:c>
      <x:c r="AB1998" s="37" t="n">
        <x:v>8864131.870954404</x:v>
      </x:c>
      <x:c r="AC1998" s="37" t="n">
        <x:v>2868142.421122091</x:v>
      </x:c>
      <x:c r="AD1998" s="37" t="n">
        <x:v>0</x:v>
      </x:c>
      <x:c r="AE1998" s="37" t="n">
        <x:v>0</x:v>
      </x:c>
      <x:c r="AF1998" s="47" t="b">
        <x:v>0</x:v>
      </x:c>
      <x:c r="AG1998" s="47" t="b">
        <x:v>0</x:v>
      </x:c>
      <x:c r="AH1998" s="48" t="n">
        <x:v>0</x:v>
      </x:c>
      <x:c r="AI1998" s="48" t="n">
        <x:v>1.1920928955078125e-7</x:v>
      </x:c>
      <x:c r="AJ1998" s="37" t="str">
        <x:v>passed</x:v>
      </x:c>
    </x:row>
    <x:row r="1999" ht="21" customHeight="1">
      <x:c r="A1999" s="2"/>
      <x:c r="B1999" s="2"/>
      <x:c r="C1999" s="2" t="str">
        <x:v>2023</x:v>
      </x:c>
      <x:c r="D1999" s="5" t="n">
        <x:v>45289</x:v>
      </x:c>
      <x:c r="E1999" s="2" t="str">
        <x:v>unhedged</x:v>
      </x:c>
      <x:c r="F1999" s="37" t="n">
        <x:v>3358190.896178193</x:v>
      </x:c>
      <x:c r="G1999" s="37" t="n">
        <x:v>8687401.334503276</x:v>
      </x:c>
      <x:c r="H1999" s="37" t="n">
        <x:v>35011.34734830387</x:v>
      </x:c>
      <x:c r="I1999" s="37" t="n">
        <x:v>8652389.987154972</x:v>
      </x:c>
      <x:c r="J1999" s="37" t="n">
        <x:v>8687401.334503276</x:v>
      </x:c>
      <x:c r="K1999" s="37" t="n">
        <x:v>0</x:v>
      </x:c>
      <x:c r="L1999" s="37" t="n">
        <x:v>12045592.23068147</x:v>
      </x:c>
      <x:c r="M1999" s="37" t="n">
        <x:v>0</x:v>
      </x:c>
      <x:c r="N1999" s="37" t="n">
        <x:v>0</x:v>
      </x:c>
      <x:c r="O1999" s="37" t="n">
        <x:v>184.00037785293534</x:v>
      </x:c>
      <x:c r="P1999" s="37" t="n">
        <x:v>0</x:v>
      </x:c>
      <x:c r="Q1999" s="37" t="n">
        <x:v>0</x:v>
      </x:c>
      <x:c r="R1999" s="37" t="n">
        <x:v>0</x:v>
      </x:c>
      <x:c r="S1999" s="37" t="n">
        <x:v>0</x:v>
      </x:c>
      <x:c r="T1999" s="37" t="n">
        <x:v>0</x:v>
      </x:c>
      <x:c r="U1999" s="37" t="n">
        <x:v>127500</x:v>
      </x:c>
      <x:c r="V1999" s="37" t="n">
        <x:v>2000000</x:v>
      </x:c>
      <x:c r="W1999" s="37" t="n">
        <x:v>31733.76552031515</x:v>
      </x:c>
      <x:c r="X1999" s="37" t="n">
        <x:v>0</x:v>
      </x:c>
      <x:c r="Y1999" s="37" t="n">
        <x:v>1042.869342122179</x:v>
      </x:c>
      <x:c r="Z1999" s="37" t="n">
        <x:v>0</x:v>
      </x:c>
      <x:c r="AA1999" s="37" t="n">
        <x:v>0</x:v>
      </x:c>
      <x:c r="AB1999" s="37" t="n">
        <x:v>0</x:v>
      </x:c>
      <x:c r="AC1999" s="37" t="n">
        <x:v>3358190.896178193</x:v>
      </x:c>
      <x:c r="AD1999" s="37" t="n">
        <x:v>0</x:v>
      </x:c>
      <x:c r="AE1999" s="37" t="n">
        <x:v>0</x:v>
      </x:c>
      <x:c r="AF1999" s="47" t="b">
        <x:v>0</x:v>
      </x:c>
      <x:c r="AG1999" s="47" t="b">
        <x:v>0</x:v>
      </x:c>
      <x:c r="AH1999" s="48" t="n">
        <x:v>0</x:v>
      </x:c>
      <x:c r="AI1999" s="48" t="n">
        <x:v>1.1920928955078125e-7</x:v>
      </x:c>
      <x:c r="AJ1999" s="37" t="str">
        <x:v>passed</x:v>
      </x:c>
    </x:row>
    <x:row r="2000" ht="21" customHeight="1">
      <x:c r="A2000" s="2"/>
      <x:c r="B2000" s="2"/>
      <x:c r="C2000" s="2" t="str">
        <x:v>2023</x:v>
      </x:c>
      <x:c r="D2000" s="5" t="n">
        <x:v>45289</x:v>
      </x:c>
      <x:c r="E2000" s="2" t="str">
        <x:v>duration</x:v>
      </x:c>
      <x:c r="F2000" s="37" t="n">
        <x:v>9580935.189423287</x:v>
      </x:c>
      <x:c r="G2000" s="37" t="n">
        <x:v>2383373.8838979597</x:v>
      </x:c>
      <x:c r="H2000" s="37" t="n">
        <x:v>22417.96429930633</x:v>
      </x:c>
      <x:c r="I2000" s="37" t="n">
        <x:v>2360955.9195986534</x:v>
      </x:c>
      <x:c r="J2000" s="37" t="n">
        <x:v>8687401.334503276</x:v>
      </x:c>
      <x:c r="K2000" s="37" t="n">
        <x:v>6304027.450605317</x:v>
      </x:c>
      <x:c r="L2000" s="37" t="n">
        <x:v>11964309.073321247</x:v>
      </x:c>
      <x:c r="M2000" s="37" t="n">
        <x:v>0</x:v>
      </x:c>
      <x:c r="N2000" s="37" t="n">
        <x:v>0</x:v>
      </x:c>
      <x:c r="O2000" s="37" t="n">
        <x:v>524.9539855029434</x:v>
      </x:c>
      <x:c r="P2000" s="37" t="n">
        <x:v>0</x:v>
      </x:c>
      <x:c r="Q2000" s="37" t="n">
        <x:v>0</x:v>
      </x:c>
      <x:c r="R2000" s="37" t="n">
        <x:v>0</x:v>
      </x:c>
      <x:c r="S2000" s="37" t="n">
        <x:v>0</x:v>
      </x:c>
      <x:c r="T2000" s="37" t="n">
        <x:v>0</x:v>
      </x:c>
      <x:c r="U2000" s="37" t="n">
        <x:v>20944.980443102446</x:v>
      </x:c>
      <x:c r="V2000" s="37" t="n">
        <x:v>2000000</x:v>
      </x:c>
      <x:c r="W2000" s="37" t="n">
        <x:v>158155.9883613838</x:v>
      </x:c>
      <x:c r="X2000" s="37" t="n">
        <x:v>0</x:v>
      </x:c>
      <x:c r="Y2000" s="37" t="n">
        <x:v>1748.1034567624336</x:v>
      </x:c>
      <x:c r="Z2000" s="37" t="n">
        <x:v>6430107.999617424</x:v>
      </x:c>
      <x:c r="AA2000" s="37" t="n">
        <x:v>0</x:v>
      </x:c>
      <x:c r="AB2000" s="37" t="n">
        <x:v>6430107.999617424</x:v>
      </x:c>
      <x:c r="AC2000" s="37" t="n">
        <x:v>3150827.1898058634</x:v>
      </x:c>
      <x:c r="AD2000" s="37" t="n">
        <x:v>0</x:v>
      </x:c>
      <x:c r="AE2000" s="37" t="n">
        <x:v>0</x:v>
      </x:c>
      <x:c r="AF2000" s="47" t="b">
        <x:v>0</x:v>
      </x:c>
      <x:c r="AG2000" s="47" t="b">
        <x:v>0</x:v>
      </x:c>
      <x:c r="AH2000" s="48" t="n">
        <x:v>0</x:v>
      </x:c>
      <x:c r="AI2000" s="48" t="n">
        <x:v>1.1920928955078125e-7</x:v>
      </x:c>
      <x:c r="AJ2000" s="37" t="str">
        <x:v>passed</x:v>
      </x:c>
    </x:row>
    <x:row r="2001" ht="21" customHeight="1">
      <x:c r="A2001" s="2"/>
      <x:c r="B2001" s="2"/>
      <x:c r="C2001" s="2" t="str">
        <x:v>2023</x:v>
      </x:c>
      <x:c r="D2001" s="5" t="n">
        <x:v>45289</x:v>
      </x:c>
      <x:c r="E2001" s="2" t="str">
        <x:v>unweighted</x:v>
      </x:c>
      <x:c r="F2001" s="37" t="n">
        <x:v>11566199.728682684</x:v>
      </x:c>
      <x:c r="G2001" s="37" t="n">
        <x:v>306877.4258018141</x:v>
      </x:c>
      <x:c r="H2001" s="37" t="n">
        <x:v>21491.71575709705</x:v>
      </x:c>
      <x:c r="I2001" s="37" t="n">
        <x:v>285385.71004471707</x:v>
      </x:c>
      <x:c r="J2001" s="37" t="n">
        <x:v>8813000.67906682</x:v>
      </x:c>
      <x:c r="K2001" s="37" t="n">
        <x:v>8506123.253265006</x:v>
      </x:c>
      <x:c r="L2001" s="37" t="n">
        <x:v>11873077.154484497</x:v>
      </x:c>
      <x:c r="M2001" s="37" t="n">
        <x:v>0</x:v>
      </x:c>
      <x:c r="N2001" s="37" t="n">
        <x:v>0</x:v>
      </x:c>
      <x:c r="O2001" s="37" t="n">
        <x:v>633.7296437826008</x:v>
      </x:c>
      <x:c r="P2001" s="37" t="n">
        <x:v>0</x:v>
      </x:c>
      <x:c r="Q2001" s="37" t="n">
        <x:v>0</x:v>
      </x:c>
      <x:c r="R2001" s="37" t="n">
        <x:v>0</x:v>
      </x:c>
      <x:c r="S2001" s="37" t="n">
        <x:v>0</x:v>
      </x:c>
      <x:c r="T2001" s="37" t="n">
        <x:v>0</x:v>
      </x:c>
      <x:c r="U2001" s="37" t="n">
        <x:v>-8107.360295191727</x:v>
      </x:c>
      <x:c r="V2001" s="37" t="n">
        <x:v>2021684.8131373634</x:v>
      </x:c>
      <x:c r="W2001" s="37" t="n">
        <x:v>222937.5142467674</x:v>
      </x:c>
      <x:c r="X2001" s="37" t="n">
        <x:v>0</x:v>
      </x:c>
      <x:c r="Y2001" s="37" t="n">
        <x:v>2359.6687749452235</x:v>
      </x:c>
      <x:c r="Z2001" s="37" t="n">
        <x:v>8676245.718330307</x:v>
      </x:c>
      <x:c r="AA2001" s="37" t="n">
        <x:v>0</x:v>
      </x:c>
      <x:c r="AB2001" s="37" t="n">
        <x:v>8676245.718330307</x:v>
      </x:c>
      <x:c r="AC2001" s="37" t="n">
        <x:v>2889954.010352377</x:v>
      </x:c>
      <x:c r="AD2001" s="37" t="n">
        <x:v>0</x:v>
      </x:c>
      <x:c r="AE2001" s="37" t="n">
        <x:v>0</x:v>
      </x:c>
      <x:c r="AF2001" s="47" t="b">
        <x:v>0</x:v>
      </x:c>
      <x:c r="AG2001" s="47" t="b">
        <x:v>0</x:v>
      </x:c>
      <x:c r="AH2001" s="48" t="n">
        <x:v>0</x:v>
      </x:c>
      <x:c r="AI2001" s="48" t="n">
        <x:v>1.1920928955078125e-7</x:v>
      </x:c>
      <x:c r="AJ2001" s="37" t="str">
        <x:v>passed</x:v>
      </x:c>
    </x:row>
    <x:row r="2002" ht="21" customHeight="1">
      <x:c r="A2002" s="2"/>
      <x:c r="B2002" s="2"/>
      <x:c r="C2002" s="2" t="str">
        <x:v>2023</x:v>
      </x:c>
      <x:c r="D2002" s="5" t="n">
        <x:v>45289</x:v>
      </x:c>
      <x:c r="E2002" s="2" t="str">
        <x:v>constrained</x:v>
      </x:c>
      <x:c r="F2002" s="37" t="n">
        <x:v>11732917.156421265</x:v>
      </x:c>
      <x:c r="G2002" s="37" t="n">
        <x:v>120564.91837173082</x:v>
      </x:c>
      <x:c r="H2002" s="37" t="n">
        <x:v>21397.870540654578</x:v>
      </x:c>
      <x:c r="I2002" s="37" t="n">
        <x:v>99167.04783107624</x:v>
      </x:c>
      <x:c r="J2002" s="37" t="n">
        <x:v>8798781.775820084</x:v>
      </x:c>
      <x:c r="K2002" s="37" t="n">
        <x:v>8678216.857448354</x:v>
      </x:c>
      <x:c r="L2002" s="37" t="n">
        <x:v>11853482.074792996</x:v>
      </x:c>
      <x:c r="M2002" s="37" t="n">
        <x:v>0</x:v>
      </x:c>
      <x:c r="N2002" s="37" t="n">
        <x:v>0</x:v>
      </x:c>
      <x:c r="O2002" s="37" t="n">
        <x:v>642.8643447700888</x:v>
      </x:c>
      <x:c r="P2002" s="37" t="n">
        <x:v>0</x:v>
      </x:c>
      <x:c r="Q2002" s="37" t="n">
        <x:v>0</x:v>
      </x:c>
      <x:c r="R2002" s="37" t="n">
        <x:v>0</x:v>
      </x:c>
      <x:c r="S2002" s="37" t="n">
        <x:v>0</x:v>
      </x:c>
      <x:c r="T2002" s="37" t="n">
        <x:v>0</x:v>
      </x:c>
      <x:c r="U2002" s="37" t="n">
        <x:v>-13531.181236168934</x:v>
      </x:c>
      <x:c r="V2002" s="37" t="n">
        <x:v>-265385.86407447886</x:v>
      </x:c>
      <x:c r="W2002" s="37" t="n">
        <x:v>235389.0227167029</x:v>
      </x:c>
      <x:c r="X2002" s="37" t="n">
        <x:v>0</x:v>
      </x:c>
      <x:c r="Y2002" s="37" t="n">
        <x:v>2235.87682307701</x:v>
      </x:c>
      <x:c r="Z2002" s="37" t="n">
        <x:v>8851781.194597322</x:v>
      </x:c>
      <x:c r="AA2002" s="37" t="n">
        <x:v>0</x:v>
      </x:c>
      <x:c r="AB2002" s="37" t="n">
        <x:v>8851781.194597322</x:v>
      </x:c>
      <x:c r="AC2002" s="37" t="n">
        <x:v>2881135.961823942</x:v>
      </x:c>
      <x:c r="AD2002" s="37" t="n">
        <x:v>0</x:v>
      </x:c>
      <x:c r="AE2002" s="37" t="n">
        <x:v>0</x:v>
      </x:c>
      <x:c r="AF2002" s="47" t="b">
        <x:v>0</x:v>
      </x:c>
      <x:c r="AG2002" s="47" t="b">
        <x:v>0</x:v>
      </x:c>
      <x:c r="AH2002" s="48" t="n">
        <x:v>0</x:v>
      </x:c>
      <x:c r="AI2002" s="48" t="n">
        <x:v>1.1920928955078125e-7</x:v>
      </x:c>
      <x:c r="AJ2002" s="37" t="str">
        <x:v>passed</x:v>
      </x:c>
    </x:row>
    <x:row r="2003" ht="21" customHeight="1">
      <x:c r="A2003" s="2"/>
      <x:c r="B2003" s="2"/>
      <x:c r="C2003" s="2"/>
      <x:c r="D2003" s="2"/>
      <x:c r="E2003" s="2"/>
      <x:c r="F2003" s="2"/>
      <x:c r="G2003" s="2"/>
      <x:c r="H2003" s="2"/>
      <x:c r="I2003" s="2"/>
      <x:c r="J2003" s="2"/>
      <x:c r="K2003" s="2"/>
      <x:c r="L2003" s="2"/>
      <x:c r="M2003" s="2"/>
      <x:c r="N2003" s="2"/>
      <x:c r="O2003" s="2"/>
      <x:c r="P2003" s="2"/>
      <x:c r="Q2003" s="2"/>
      <x:c r="R2003" s="2"/>
      <x:c r="S2003" s="2"/>
      <x:c r="T2003" s="2"/>
      <x:c r="U2003" s="2"/>
      <x:c r="V2003" s="2"/>
      <x:c r="W2003" s="2"/>
      <x:c r="X2003" s="2"/>
      <x:c r="Y2003" s="2"/>
      <x:c r="Z2003" s="2"/>
      <x:c r="AA2003" s="2"/>
      <x:c r="AB2003" s="2"/>
      <x:c r="AC2003" s="2"/>
      <x:c r="AD2003" s="2"/>
      <x:c r="AE2003" s="2"/>
      <x:c r="AF2003" s="2"/>
      <x:c r="AG2003" s="2"/>
      <x:c r="AH2003" s="2"/>
      <x:c r="AI2003" s="2"/>
      <x:c r="AJ2003" s="2"/>
    </x:row>
    <x:row r="2004" ht="21" customHeight="1">
      <x:c r="A2004" s="2"/>
      <x:c r="B2004" s="2"/>
      <x:c r="C2004" s="2"/>
      <x:c r="D2004" s="2"/>
      <x:c r="E2004" s="2"/>
      <x:c r="F2004" s="2"/>
      <x:c r="G2004" s="2"/>
      <x:c r="H2004" s="2"/>
      <x:c r="I2004" s="2"/>
      <x:c r="J2004" s="2"/>
      <x:c r="K2004" s="2"/>
      <x:c r="L2004" s="2"/>
      <x:c r="M2004" s="2"/>
      <x:c r="N2004" s="2"/>
      <x:c r="O2004" s="2"/>
      <x:c r="P2004" s="2"/>
      <x:c r="Q2004" s="2"/>
      <x:c r="R2004" s="2"/>
      <x:c r="S2004" s="2"/>
      <x:c r="T2004" s="2"/>
      <x:c r="U2004" s="2"/>
      <x:c r="V2004" s="2"/>
      <x:c r="W2004" s="2"/>
      <x:c r="X2004" s="2"/>
      <x:c r="Y2004" s="2"/>
      <x:c r="Z2004" s="2"/>
      <x:c r="AA2004" s="2"/>
      <x:c r="AB2004" s="2"/>
      <x:c r="AC2004" s="2"/>
      <x:c r="AD2004" s="2"/>
      <x:c r="AE2004" s="2"/>
      <x:c r="AF2004" s="2"/>
      <x:c r="AG2004" s="2"/>
      <x:c r="AH2004" s="2"/>
      <x:c r="AI2004" s="2"/>
      <x:c r="AJ2004" s="2"/>
    </x:row>
    <x:row r="2005" ht="23" customHeight="1">
      <x:c r="A2005" s="2"/>
      <x:c r="B2005" s="2"/>
      <x:c r="C2005" s="9" t="str">
        <x:v>Historical model-wealth summaries</x:v>
      </x:c>
      <x:c r="D2005" s="9"/>
      <x:c r="E2005" s="9"/>
      <x:c r="F2005" s="9"/>
      <x:c r="G2005" s="9"/>
      <x:c r="H2005" s="9"/>
      <x:c r="I2005" s="9"/>
      <x:c r="J2005" s="9"/>
      <x:c r="K2005" s="9"/>
      <x:c r="L2005" s="9"/>
      <x:c r="M2005" s="9"/>
      <x:c r="N2005" s="9"/>
      <x:c r="O2005" s="9"/>
      <x:c r="P2005" s="2"/>
      <x:c r="Q2005" s="2"/>
      <x:c r="R2005" s="2"/>
      <x:c r="S2005" s="2"/>
      <x:c r="T2005" s="2"/>
      <x:c r="U2005" s="2"/>
      <x:c r="V2005" s="2"/>
      <x:c r="W2005" s="2"/>
      <x:c r="X2005" s="2"/>
      <x:c r="Y2005" s="2"/>
      <x:c r="Z2005" s="2"/>
      <x:c r="AA2005" s="2"/>
      <x:c r="AB2005" s="2"/>
      <x:c r="AC2005" s="2"/>
      <x:c r="AD2005" s="2"/>
      <x:c r="AE2005" s="2"/>
      <x:c r="AF2005" s="2"/>
      <x:c r="AG2005" s="2"/>
      <x:c r="AH2005" s="2"/>
      <x:c r="AI2005" s="2"/>
      <x:c r="AJ2005" s="2"/>
    </x:row>
    <x:row r="2006" ht="28" customHeight="1">
      <x:c r="A2006" s="2"/>
      <x:c r="B2006" s="2"/>
      <x:c r="C2006" s="13" t="str">
        <x:v>Year</x:v>
      </x:c>
      <x:c r="D2006" s="14" t="str">
        <x:v>Method</x:v>
      </x:c>
      <x:c r="E2006" s="14" t="str">
        <x:v>Start</x:v>
      </x:c>
      <x:c r="F2006" s="14" t="str">
        <x:v>End</x:v>
      </x:c>
      <x:c r="G2006" s="14" t="str">
        <x:v>Initial equity</x:v>
      </x:c>
      <x:c r="H2006" s="14" t="str">
        <x:v>Final wealth</x:v>
      </x:c>
      <x:c r="I2006" s="14" t="str">
        <x:v>Net P&amp;L</x:v>
      </x:c>
      <x:c r="J2006" s="14" t="str">
        <x:v>Wealth change</x:v>
      </x:c>
      <x:c r="K2006" s="14" t="str">
        <x:v>Max drawdown</x:v>
      </x:c>
      <x:c r="L2006" s="14" t="str">
        <x:v>Transaction cost</x:v>
      </x:c>
      <x:c r="M2006" s="14" t="str">
        <x:v>Funding cost</x:v>
      </x:c>
      <x:c r="N2006" s="14" t="str">
        <x:v>Collateral exceptions</x:v>
      </x:c>
      <x:c r="O2006" s="15" t="str">
        <x:v>Financing gaps</x:v>
      </x:c>
      <x:c r="P2006" s="2"/>
      <x:c r="Q2006" s="2"/>
      <x:c r="R2006" s="2"/>
      <x:c r="S2006" s="2"/>
      <x:c r="T2006" s="2"/>
      <x:c r="U2006" s="2"/>
      <x:c r="V2006" s="2"/>
      <x:c r="W2006" s="2"/>
      <x:c r="X2006" s="2"/>
      <x:c r="Y2006" s="2"/>
      <x:c r="Z2006" s="2"/>
      <x:c r="AA2006" s="2"/>
      <x:c r="AB2006" s="2"/>
      <x:c r="AC2006" s="2"/>
      <x:c r="AD2006" s="2"/>
      <x:c r="AE2006" s="2"/>
      <x:c r="AF2006" s="2"/>
      <x:c r="AG2006" s="2"/>
      <x:c r="AH2006" s="2"/>
      <x:c r="AI2006" s="2"/>
      <x:c r="AJ2006" s="2"/>
    </x:row>
    <x:row r="2007" ht="21" customHeight="1">
      <x:c r="A2007" s="2"/>
      <x:c r="B2007" s="2"/>
      <x:c r="C2007" s="2" t="n">
        <x:v>2022</x:v>
      </x:c>
      <x:c r="D2007" s="2" t="str">
        <x:v>unhedged</x:v>
      </x:c>
      <x:c r="E2007" s="5" t="n">
        <x:v>44564</x:v>
      </x:c>
      <x:c r="F2007" s="5" t="n">
        <x:v>44925</x:v>
      </x:c>
      <x:c r="G2007" s="44" t="n">
        <x:v>12947193.167256752</x:v>
      </x:c>
      <x:c r="H2007" s="44" t="n">
        <x:v>11732781.772148833</x:v>
      </x:c>
      <x:c r="I2007" s="32" t="n">
        <x:f>H2007-G2007</x:f>
        <x:v>-1214411.3951079194</x:v>
      </x:c>
      <x:c r="J2007" s="22" t="n">
        <x:f>I2007/G2007</x:f>
        <x:v>-0.09379727168813289</x:v>
      </x:c>
      <x:c r="K2007" s="21" t="n">
        <x:v>-0.11708384953617279</x:v>
      </x:c>
      <x:c r="L2007" s="44" t="n">
        <x:v>1174.7193167256753</x:v>
      </x:c>
      <x:c r="M2007" s="44" t="n">
        <x:v>0</x:v>
      </x:c>
      <x:c r="N2007" s="2" t="n">
        <x:v>0</x:v>
      </x:c>
      <x:c r="O2007" s="2" t="n">
        <x:v>0</x:v>
      </x:c>
      <x:c r="P2007" s="2"/>
      <x:c r="Q2007" s="2"/>
      <x:c r="R2007" s="2"/>
      <x:c r="S2007" s="2"/>
      <x:c r="T2007" s="2"/>
      <x:c r="U2007" s="2"/>
      <x:c r="V2007" s="2"/>
      <x:c r="W2007" s="2"/>
      <x:c r="X2007" s="2"/>
      <x:c r="Y2007" s="2"/>
      <x:c r="Z2007" s="2"/>
      <x:c r="AA2007" s="2"/>
      <x:c r="AB2007" s="2"/>
      <x:c r="AC2007" s="2"/>
      <x:c r="AD2007" s="2"/>
      <x:c r="AE2007" s="2"/>
      <x:c r="AF2007" s="2"/>
      <x:c r="AG2007" s="2"/>
      <x:c r="AH2007" s="2"/>
      <x:c r="AI2007" s="2"/>
      <x:c r="AJ2007" s="2"/>
    </x:row>
    <x:row r="2008" ht="21" customHeight="1">
      <x:c r="A2008" s="2"/>
      <x:c r="B2008" s="2"/>
      <x:c r="C2008" s="2" t="n">
        <x:v>2022</x:v>
      </x:c>
      <x:c r="D2008" s="2" t="str">
        <x:v>duration</x:v>
      </x:c>
      <x:c r="E2008" s="5" t="n">
        <x:v>44564</x:v>
      </x:c>
      <x:c r="F2008" s="5" t="n">
        <x:v>44925</x:v>
      </x:c>
      <x:c r="G2008" s="44" t="n">
        <x:v>12947193.167256752</x:v>
      </x:c>
      <x:c r="H2008" s="44" t="n">
        <x:v>13078858.913977921</x:v>
      </x:c>
      <x:c r="I2008" s="32" t="n">
        <x:f>H2008-G2008</x:f>
        <x:v>131665.74672116898</x:v>
      </x:c>
      <x:c r="J2008" s="22" t="n">
        <x:f>I2008/G2008</x:f>
        <x:v>0.010169443293249814</x:v>
      </x:c>
      <x:c r="K2008" s="21" t="n">
        <x:v>-0.006002412988397876</x:v>
      </x:c>
      <x:c r="L2008" s="44" t="n">
        <x:v>2020.2166044244252</x:v>
      </x:c>
      <x:c r="M2008" s="44" t="n">
        <x:v>0</x:v>
      </x:c>
      <x:c r="N2008" s="2" t="n">
        <x:v>0</x:v>
      </x:c>
      <x:c r="O2008" s="2" t="n">
        <x:v>0</x:v>
      </x:c>
      <x:c r="P2008" s="2"/>
      <x:c r="Q2008" s="2"/>
      <x:c r="R2008" s="2"/>
      <x:c r="S2008" s="2"/>
      <x:c r="T2008" s="2"/>
      <x:c r="U2008" s="2"/>
      <x:c r="V2008" s="2"/>
      <x:c r="W2008" s="2"/>
      <x:c r="X2008" s="2"/>
      <x:c r="Y2008" s="2"/>
      <x:c r="Z2008" s="2"/>
      <x:c r="AA2008" s="2"/>
      <x:c r="AB2008" s="2"/>
      <x:c r="AC2008" s="2"/>
      <x:c r="AD2008" s="2"/>
      <x:c r="AE2008" s="2"/>
      <x:c r="AF2008" s="2"/>
      <x:c r="AG2008" s="2"/>
      <x:c r="AH2008" s="2"/>
      <x:c r="AI2008" s="2"/>
      <x:c r="AJ2008" s="2"/>
    </x:row>
    <x:row r="2009" ht="21" customHeight="1">
      <x:c r="A2009" s="2"/>
      <x:c r="B2009" s="2"/>
      <x:c r="C2009" s="2" t="n">
        <x:v>2022</x:v>
      </x:c>
      <x:c r="D2009" s="2" t="str">
        <x:v>unweighted</x:v>
      </x:c>
      <x:c r="E2009" s="5" t="n">
        <x:v>44564</x:v>
      </x:c>
      <x:c r="F2009" s="5" t="n">
        <x:v>44925</x:v>
      </x:c>
      <x:c r="G2009" s="44" t="n">
        <x:v>12947193.167256752</x:v>
      </x:c>
      <x:c r="H2009" s="44" t="n">
        <x:v>13114859.283898847</x:v>
      </x:c>
      <x:c r="I2009" s="32" t="n">
        <x:f>H2009-G2009</x:f>
        <x:v>167666.11664209515</x:v>
      </x:c>
      <x:c r="J2009" s="22" t="n">
        <x:f>I2009/G2009</x:f>
        <x:v>0.0129499973064525</x:v>
      </x:c>
      <x:c r="K2009" s="21" t="n">
        <x:v>-0.002014611392539001</x:v>
      </x:c>
      <x:c r="L2009" s="44" t="n">
        <x:v>2354.485312553004</x:v>
      </x:c>
      <x:c r="M2009" s="44" t="n">
        <x:v>0</x:v>
      </x:c>
      <x:c r="N2009" s="2" t="n">
        <x:v>0</x:v>
      </x:c>
      <x:c r="O2009" s="2" t="n">
        <x:v>0</x:v>
      </x:c>
      <x:c r="P2009" s="2"/>
      <x:c r="Q2009" s="2"/>
      <x:c r="R2009" s="2"/>
      <x:c r="S2009" s="2"/>
      <x:c r="T2009" s="2"/>
      <x:c r="U2009" s="2"/>
      <x:c r="V2009" s="2"/>
      <x:c r="W2009" s="2"/>
      <x:c r="X2009" s="2"/>
      <x:c r="Y2009" s="2"/>
      <x:c r="Z2009" s="2"/>
      <x:c r="AA2009" s="2"/>
      <x:c r="AB2009" s="2"/>
      <x:c r="AC2009" s="2"/>
      <x:c r="AD2009" s="2"/>
      <x:c r="AE2009" s="2"/>
      <x:c r="AF2009" s="2"/>
      <x:c r="AG2009" s="2"/>
      <x:c r="AH2009" s="2"/>
      <x:c r="AI2009" s="2"/>
      <x:c r="AJ2009" s="2"/>
    </x:row>
    <x:row r="2010" ht="21" customHeight="1">
      <x:c r="A2010" s="2"/>
      <x:c r="B2010" s="2"/>
      <x:c r="C2010" s="2" t="n">
        <x:v>2022</x:v>
      </x:c>
      <x:c r="D2010" s="2" t="str">
        <x:v>constrained</x:v>
      </x:c>
      <x:c r="E2010" s="5" t="n">
        <x:v>44564</x:v>
      </x:c>
      <x:c r="F2010" s="5" t="n">
        <x:v>44925</x:v>
      </x:c>
      <x:c r="G2010" s="44" t="n">
        <x:v>12947193.167256752</x:v>
      </x:c>
      <x:c r="H2010" s="44" t="n">
        <x:v>13207963.353323482</x:v>
      </x:c>
      <x:c r="I2010" s="32" t="n">
        <x:f>H2010-G2010</x:f>
        <x:v>260770.18606672995</x:v>
      </x:c>
      <x:c r="J2010" s="22" t="n">
        <x:f>I2010/G2010</x:f>
        <x:v>0.02014105935533685</x:v>
      </x:c>
      <x:c r="K2010" s="21" t="n">
        <x:v>-0.0001819970453025288</x:v>
      </x:c>
      <x:c r="L2010" s="44" t="n">
        <x:v>2425.773114277156</x:v>
      </x:c>
      <x:c r="M2010" s="44" t="n">
        <x:v>0</x:v>
      </x:c>
      <x:c r="N2010" s="2" t="n">
        <x:v>0</x:v>
      </x:c>
      <x:c r="O2010" s="2" t="n">
        <x:v>0</x:v>
      </x:c>
      <x:c r="P2010" s="2"/>
      <x:c r="Q2010" s="2"/>
      <x:c r="R2010" s="2"/>
      <x:c r="S2010" s="2"/>
      <x:c r="T2010" s="2"/>
      <x:c r="U2010" s="2"/>
      <x:c r="V2010" s="2"/>
      <x:c r="W2010" s="2"/>
      <x:c r="X2010" s="2"/>
      <x:c r="Y2010" s="2"/>
      <x:c r="Z2010" s="2"/>
      <x:c r="AA2010" s="2"/>
      <x:c r="AB2010" s="2"/>
      <x:c r="AC2010" s="2"/>
      <x:c r="AD2010" s="2"/>
      <x:c r="AE2010" s="2"/>
      <x:c r="AF2010" s="2"/>
      <x:c r="AG2010" s="2"/>
      <x:c r="AH2010" s="2"/>
      <x:c r="AI2010" s="2"/>
      <x:c r="AJ2010" s="2"/>
    </x:row>
    <x:row r="2011" ht="21" customHeight="1">
      <x:c r="A2011" s="2"/>
      <x:c r="B2011" s="2"/>
      <x:c r="C2011" s="2" t="n">
        <x:v>2023</x:v>
      </x:c>
      <x:c r="D2011" s="2" t="str">
        <x:v>unhedged</x:v>
      </x:c>
      <x:c r="E2011" s="5" t="n">
        <x:v>44929</x:v>
      </x:c>
      <x:c r="F2011" s="5" t="n">
        <x:v>45289</x:v>
      </x:c>
      <x:c r="G2011" s="44" t="n">
        <x:v>11628693.421221789</x:v>
      </x:c>
      <x:c r="H2011" s="44" t="n">
        <x:v>12045592.23068147</x:v>
      </x:c>
      <x:c r="I2011" s="32" t="n">
        <x:f>H2011-G2011</x:f>
        <x:v>416898.8094596807</x:v>
      </x:c>
      <x:c r="J2011" s="22" t="n">
        <x:f>I2011/G2011</x:f>
        <x:v>0.03585087286752792</x:v>
      </x:c>
      <x:c r="K2011" s="21" t="n">
        <x:v>-0.04700637065293478</x:v>
      </x:c>
      <x:c r="L2011" s="44" t="n">
        <x:v>1042.869342122179</x:v>
      </x:c>
      <x:c r="M2011" s="44" t="n">
        <x:v>0</x:v>
      </x:c>
      <x:c r="N2011" s="2" t="n">
        <x:v>0</x:v>
      </x:c>
      <x:c r="O2011" s="2" t="n">
        <x:v>0</x:v>
      </x:c>
      <x:c r="P2011" s="2"/>
      <x:c r="Q2011" s="2"/>
      <x:c r="R2011" s="2"/>
      <x:c r="S2011" s="2"/>
      <x:c r="T2011" s="2"/>
      <x:c r="U2011" s="2"/>
      <x:c r="V2011" s="2"/>
      <x:c r="W2011" s="2"/>
      <x:c r="X2011" s="2"/>
      <x:c r="Y2011" s="2"/>
      <x:c r="Z2011" s="2"/>
      <x:c r="AA2011" s="2"/>
      <x:c r="AB2011" s="2"/>
      <x:c r="AC2011" s="2"/>
      <x:c r="AD2011" s="2"/>
      <x:c r="AE2011" s="2"/>
      <x:c r="AF2011" s="2"/>
      <x:c r="AG2011" s="2"/>
      <x:c r="AH2011" s="2"/>
      <x:c r="AI2011" s="2"/>
      <x:c r="AJ2011" s="2"/>
    </x:row>
    <x:row r="2012" ht="21" customHeight="1">
      <x:c r="A2012" s="2"/>
      <x:c r="B2012" s="2"/>
      <x:c r="C2012" s="2" t="n">
        <x:v>2023</x:v>
      </x:c>
      <x:c r="D2012" s="2" t="str">
        <x:v>duration</x:v>
      </x:c>
      <x:c r="E2012" s="5" t="n">
        <x:v>44929</x:v>
      </x:c>
      <x:c r="F2012" s="5" t="n">
        <x:v>45289</x:v>
      </x:c>
      <x:c r="G2012" s="44" t="n">
        <x:v>11628693.421221789</x:v>
      </x:c>
      <x:c r="H2012" s="44" t="n">
        <x:v>11964309.073321247</x:v>
      </x:c>
      <x:c r="I2012" s="32" t="n">
        <x:f>H2012-G2012</x:f>
        <x:v>335615.6520994585</x:v>
      </x:c>
      <x:c r="J2012" s="22" t="n">
        <x:f>I2012/G2012</x:f>
        <x:v>0.02886099408958332</x:v>
      </x:c>
      <x:c r="K2012" s="21" t="n">
        <x:v>-0.00197208822742323</x:v>
      </x:c>
      <x:c r="L2012" s="44" t="n">
        <x:v>1748.1034567624336</x:v>
      </x:c>
      <x:c r="M2012" s="44" t="n">
        <x:v>0</x:v>
      </x:c>
      <x:c r="N2012" s="2" t="n">
        <x:v>0</x:v>
      </x:c>
      <x:c r="O2012" s="2" t="n">
        <x:v>0</x:v>
      </x:c>
      <x:c r="P2012" s="2"/>
      <x:c r="Q2012" s="2"/>
      <x:c r="R2012" s="2"/>
      <x:c r="S2012" s="2"/>
      <x:c r="T2012" s="2"/>
      <x:c r="U2012" s="2"/>
      <x:c r="V2012" s="2"/>
      <x:c r="W2012" s="2"/>
      <x:c r="X2012" s="2"/>
      <x:c r="Y2012" s="2"/>
      <x:c r="Z2012" s="2"/>
      <x:c r="AA2012" s="2"/>
      <x:c r="AB2012" s="2"/>
      <x:c r="AC2012" s="2"/>
      <x:c r="AD2012" s="2"/>
      <x:c r="AE2012" s="2"/>
      <x:c r="AF2012" s="2"/>
      <x:c r="AG2012" s="2"/>
      <x:c r="AH2012" s="2"/>
      <x:c r="AI2012" s="2"/>
      <x:c r="AJ2012" s="2"/>
    </x:row>
    <x:row r="2013" ht="21" customHeight="1">
      <x:c r="A2013" s="2"/>
      <x:c r="B2013" s="2"/>
      <x:c r="C2013" s="2" t="n">
        <x:v>2023</x:v>
      </x:c>
      <x:c r="D2013" s="2" t="str">
        <x:v>unweighted</x:v>
      </x:c>
      <x:c r="E2013" s="5" t="n">
        <x:v>44929</x:v>
      </x:c>
      <x:c r="F2013" s="5" t="n">
        <x:v>45289</x:v>
      </x:c>
      <x:c r="G2013" s="44" t="n">
        <x:v>11628693.421221789</x:v>
      </x:c>
      <x:c r="H2013" s="44" t="n">
        <x:v>11873077.154484497</x:v>
      </x:c>
      <x:c r="I2013" s="32" t="n">
        <x:f>H2013-G2013</x:f>
        <x:v>244383.7332627084</x:v>
      </x:c>
      <x:c r="J2013" s="22" t="n">
        <x:f>I2013/G2013</x:f>
        <x:v>0.021015579688146237</x:v>
      </x:c>
      <x:c r="K2013" s="21" t="n">
        <x:v>-0.0001875107295273848</x:v>
      </x:c>
      <x:c r="L2013" s="44" t="n">
        <x:v>2359.6687749452235</x:v>
      </x:c>
      <x:c r="M2013" s="44" t="n">
        <x:v>0</x:v>
      </x:c>
      <x:c r="N2013" s="2" t="n">
        <x:v>0</x:v>
      </x:c>
      <x:c r="O2013" s="2" t="n">
        <x:v>0</x:v>
      </x:c>
      <x:c r="P2013" s="2"/>
      <x:c r="Q2013" s="2"/>
      <x:c r="R2013" s="2"/>
      <x:c r="S2013" s="2"/>
      <x:c r="T2013" s="2"/>
      <x:c r="U2013" s="2"/>
      <x:c r="V2013" s="2"/>
      <x:c r="W2013" s="2"/>
      <x:c r="X2013" s="2"/>
      <x:c r="Y2013" s="2"/>
      <x:c r="Z2013" s="2"/>
      <x:c r="AA2013" s="2"/>
      <x:c r="AB2013" s="2"/>
      <x:c r="AC2013" s="2"/>
      <x:c r="AD2013" s="2"/>
      <x:c r="AE2013" s="2"/>
      <x:c r="AF2013" s="2"/>
      <x:c r="AG2013" s="2"/>
      <x:c r="AH2013" s="2"/>
      <x:c r="AI2013" s="2"/>
      <x:c r="AJ2013" s="2"/>
    </x:row>
    <x:row r="2014" ht="21" customHeight="1">
      <x:c r="A2014" s="2"/>
      <x:c r="B2014" s="2"/>
      <x:c r="C2014" s="2" t="n">
        <x:v>2023</x:v>
      </x:c>
      <x:c r="D2014" s="2" t="str">
        <x:v>constrained</x:v>
      </x:c>
      <x:c r="E2014" s="5" t="n">
        <x:v>44929</x:v>
      </x:c>
      <x:c r="F2014" s="5" t="n">
        <x:v>45289</x:v>
      </x:c>
      <x:c r="G2014" s="44" t="n">
        <x:v>11628693.421221789</x:v>
      </x:c>
      <x:c r="H2014" s="44" t="n">
        <x:v>11853482.074792996</x:v>
      </x:c>
      <x:c r="I2014" s="32" t="n">
        <x:f>H2014-G2014</x:f>
        <x:v>224788.65357120708</x:v>
      </x:c>
      <x:c r="J2014" s="22" t="n">
        <x:f>I2014/G2014</x:f>
        <x:v>0.019330516802599586</x:v>
      </x:c>
      <x:c r="K2014" s="21" t="n">
        <x:v>-0.0001799447428899592</x:v>
      </x:c>
      <x:c r="L2014" s="44" t="n">
        <x:v>2235.87682307701</x:v>
      </x:c>
      <x:c r="M2014" s="44" t="n">
        <x:v>0</x:v>
      </x:c>
      <x:c r="N2014" s="2" t="n">
        <x:v>0</x:v>
      </x:c>
      <x:c r="O2014" s="2" t="n">
        <x:v>0</x:v>
      </x:c>
      <x:c r="P2014" s="2"/>
      <x:c r="Q2014" s="2"/>
      <x:c r="R2014" s="2"/>
      <x:c r="S2014" s="2"/>
      <x:c r="T2014" s="2"/>
      <x:c r="U2014" s="2"/>
      <x:c r="V2014" s="2"/>
      <x:c r="W2014" s="2"/>
      <x:c r="X2014" s="2"/>
      <x:c r="Y2014" s="2"/>
      <x:c r="Z2014" s="2"/>
      <x:c r="AA2014" s="2"/>
      <x:c r="AB2014" s="2"/>
      <x:c r="AC2014" s="2"/>
      <x:c r="AD2014" s="2"/>
      <x:c r="AE2014" s="2"/>
      <x:c r="AF2014" s="2"/>
      <x:c r="AG2014" s="2"/>
      <x:c r="AH2014" s="2"/>
      <x:c r="AI2014" s="2"/>
      <x:c r="AJ2014" s="2"/>
    </x:row>
    <x:row r="2015" ht="21" customHeight="1">
      <x:c r="A2015" s="2"/>
      <x:c r="B2015" s="2"/>
      <x:c r="C2015" s="2"/>
      <x:c r="D2015" s="2"/>
      <x:c r="E2015" s="2"/>
      <x:c r="F2015" s="2"/>
      <x:c r="G2015" s="2"/>
      <x:c r="H2015" s="2"/>
      <x:c r="I2015" s="2"/>
      <x:c r="J2015" s="2"/>
      <x:c r="K2015" s="2"/>
      <x:c r="L2015" s="2"/>
      <x:c r="M2015" s="2"/>
      <x:c r="N2015" s="2"/>
      <x:c r="O2015" s="2"/>
      <x:c r="P2015" s="2"/>
      <x:c r="Q2015" s="2"/>
      <x:c r="R2015" s="2"/>
      <x:c r="S2015" s="2"/>
      <x:c r="T2015" s="2"/>
      <x:c r="U2015" s="2"/>
      <x:c r="V2015" s="2"/>
      <x:c r="W2015" s="2"/>
      <x:c r="X2015" s="2"/>
      <x:c r="Y2015" s="2"/>
      <x:c r="Z2015" s="2"/>
      <x:c r="AA2015" s="2"/>
      <x:c r="AB2015" s="2"/>
      <x:c r="AC2015" s="2"/>
      <x:c r="AD2015" s="2"/>
      <x:c r="AE2015" s="2"/>
      <x:c r="AF2015" s="2"/>
      <x:c r="AG2015" s="2"/>
      <x:c r="AH2015" s="2"/>
      <x:c r="AI2015" s="2"/>
      <x:c r="AJ201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22" hidden="0" customWidth="1"/>
    <x:col min="5" max="5" width="22" hidden="0" customWidth="1"/>
    <x:col min="6" max="6" width="36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2"/>
      <x:c r="B2" s="2"/>
      <x:c r="C2" s="3" t="str">
        <x:v>Reconciliation and source review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3" customHeight="1">
      <x:c r="A6" s="2"/>
      <x:c r="B6" s="2"/>
      <x:c r="C6" s="9" t="str">
        <x:v>Current portfolio reconciliations</x:v>
      </x:c>
      <x:c r="D6" s="9"/>
      <x:c r="E6" s="9"/>
      <x:c r="F6" s="9"/>
      <x:c r="G6" s="9"/>
      <x:c r="H6" s="2"/>
      <x:c r="I6" s="2"/>
      <x:c r="J6" s="2"/>
      <x:c r="K6" s="2"/>
      <x:c r="L6" s="2"/>
      <x:c r="M6" s="2"/>
    </x:row>
    <x:row r="7" ht="28" customHeight="1">
      <x:c r="A7" s="2"/>
      <x:c r="B7" s="2"/>
      <x:c r="C7" s="13" t="str">
        <x:v>Check</x:v>
      </x:c>
      <x:c r="D7" s="14" t="str">
        <x:v>Calculated</x:v>
      </x:c>
      <x:c r="E7" s="14" t="str">
        <x:v>Source control</x:v>
      </x:c>
      <x:c r="F7" s="14" t="str">
        <x:v>Difference</x:v>
      </x:c>
      <x:c r="G7" s="15" t="str">
        <x:v>Tolerance</x:v>
      </x:c>
      <x:c r="H7" s="2"/>
      <x:c r="I7" s="2"/>
      <x:c r="J7" s="2"/>
      <x:c r="K7" s="2"/>
      <x:c r="L7" s="2"/>
      <x:c r="M7" s="2"/>
    </x:row>
    <x:row r="8" ht="21" customHeight="1">
      <x:c r="A8" s="2"/>
      <x:c r="B8" s="2"/>
      <x:c r="C8" s="2" t="str">
        <x:v>Dirty PV</x:v>
      </x:c>
      <x:c r="D8" s="53" t="n">
        <x:f>'Summary'!G11</x:f>
        <x:v>11637353.60111352</x:v>
      </x:c>
      <x:c r="E8" s="31" t="n">
        <x:v>11637353.60111352</x:v>
      </x:c>
      <x:c r="F8" s="54" t="n">
        <x:f>D8-E8</x:f>
        <x:v>0</x:v>
      </x:c>
      <x:c r="G8" s="31" t="n">
        <x:v>0.000001</x:v>
      </x:c>
      <x:c r="H8" s="2"/>
      <x:c r="I8" s="2"/>
      <x:c r="J8" s="2"/>
      <x:c r="K8" s="2"/>
      <x:c r="L8" s="2"/>
      <x:c r="M8" s="2"/>
    </x:row>
    <x:row r="9" ht="21" customHeight="1">
      <x:c r="A9" s="2"/>
      <x:c r="B9" s="2"/>
      <x:c r="C9" s="2" t="str">
        <x:v>Parallel DV01</x:v>
      </x:c>
      <x:c r="D9" s="53" t="n">
        <x:f>'Risk'!D20</x:f>
        <x:v>5631.160907518478</x:v>
      </x:c>
      <x:c r="E9" s="31" t="n">
        <x:v>5631.160907518477</x:v>
      </x:c>
      <x:c r="F9" s="54" t="n">
        <x:f>D9-E9</x:f>
        <x:v>9.094947017729282e-13</x:v>
      </x:c>
      <x:c r="G9" s="31" t="n">
        <x:v>0.000001</x:v>
      </x:c>
      <x:c r="H9" s="2"/>
      <x:c r="I9" s="2"/>
      <x:c r="J9" s="2"/>
      <x:c r="K9" s="2"/>
      <x:c r="L9" s="2"/>
      <x:c r="M9" s="2"/>
    </x:row>
    <x:row r="10" ht="21" customHeight="1">
      <x:c r="A10" s="2"/>
      <x:c r="B10" s="2"/>
      <x:c r="C10" s="2" t="str">
        <x:v>Dirty less clean and accrued</x:v>
      </x:c>
      <x:c r="D10" s="53" t="n">
        <x:f>'Summary'!G11-'Summary'!E11-'Summary'!F11</x:f>
        <x:v>8.731149137020111e-11</x:v>
      </x:c>
      <x:c r="E10" s="31" t="n">
        <x:v>0</x:v>
      </x:c>
      <x:c r="F10" s="54" t="n">
        <x:f>D10-E10</x:f>
        <x:v>8.731149137020111e-11</x:v>
      </x:c>
      <x:c r="G10" s="31" t="n">
        <x:v>0.000001</x:v>
      </x:c>
      <x:c r="H10" s="2"/>
      <x:c r="I10" s="2"/>
      <x:c r="J10" s="2"/>
      <x:c r="K10" s="2"/>
      <x:c r="L10" s="2"/>
      <x:c r="M10" s="2"/>
    </x:row>
    <x:row r="11" ht="21" customHeight="1">
      <x:c r="A11" s="2"/>
      <x:c r="B11" s="2"/>
      <x:c r="C11" s="2" t="str">
        <x:v>Source constrained variance</x:v>
      </x:c>
      <x:c r="D11" s="53" t="n">
        <x:f>'Risk'!D33</x:f>
        <x:v>6047249.814902083</x:v>
      </x:c>
      <x:c r="E11" s="31" t="n">
        <x:v>6047249.814902086</x:v>
      </x:c>
      <x:c r="F11" s="54" t="n">
        <x:f>D11-E11</x:f>
        <x:v>-2.7939677238464355e-9</x:v>
      </x:c>
      <x:c r="G11" s="31" t="n">
        <x:v>0.01</x:v>
      </x:c>
      <x:c r="H11" s="2"/>
      <x:c r="I11" s="2"/>
      <x:c r="J11" s="2"/>
      <x:c r="K11" s="2"/>
      <x:c r="L11" s="2"/>
      <x:c r="M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3" customHeight="1">
      <x:c r="A14" s="2"/>
      <x:c r="B14" s="2"/>
      <x:c r="C14" s="9" t="str">
        <x:v>Independent official auction-price validation</x:v>
      </x:c>
      <x:c r="D14" s="9"/>
      <x:c r="E14" s="9"/>
      <x:c r="F14" s="9"/>
      <x:c r="G14" s="9"/>
      <x:c r="H14" s="2"/>
      <x:c r="I14" s="2"/>
      <x:c r="J14" s="2"/>
      <x:c r="K14" s="2"/>
      <x:c r="L14" s="2"/>
      <x:c r="M14" s="2"/>
    </x:row>
    <x:row r="15" ht="28" customHeight="1">
      <x:c r="A15" s="2"/>
      <x:c r="B15" s="2"/>
      <x:c r="C15" s="13" t="str">
        <x:v>CUSIP</x:v>
      </x:c>
      <x:c r="D15" s="14" t="str">
        <x:v>Calculated clean</x:v>
      </x:c>
      <x:c r="E15" s="14" t="str">
        <x:v>Official clean</x:v>
      </x:c>
      <x:c r="F15" s="14" t="str">
        <x:v>Difference / 100</x:v>
      </x:c>
      <x:c r="G15" s="15" t="str">
        <x:v>Tolerance / 100</x:v>
      </x:c>
      <x:c r="H15" s="2"/>
      <x:c r="I15" s="2"/>
      <x:c r="J15" s="2"/>
      <x:c r="K15" s="2"/>
      <x:c r="L15" s="2"/>
      <x:c r="M15" s="2"/>
    </x:row>
    <x:row r="16" ht="21" customHeight="1">
      <x:c r="A16" s="2"/>
      <x:c r="B16" s="2"/>
      <x:c r="C16" s="34" t="str">
        <x:f>'Inputs'!C85</x:f>
        <x:v>91282CKZ3</x:v>
      </x:c>
      <x:c r="D16" s="53" t="n">
        <x:f>'Inputs'!F85</x:f>
        <x:v>99.93323304837858</x:v>
      </x:c>
      <x:c r="E16" s="53" t="n">
        <x:f>'Inputs'!E85</x:f>
        <x:v>99.933233</x:v>
      </x:c>
      <x:c r="F16" s="54" t="n">
        <x:f>D16-E16</x:f>
        <x:v>4.837858114115079e-8</x:v>
      </x:c>
      <x:c r="G16" s="53" t="n">
        <x:f>'Inputs'!H85</x:f>
        <x:v>0.000001</x:v>
      </x:c>
      <x:c r="H16" s="2"/>
      <x:c r="I16" s="2"/>
      <x:c r="J16" s="2"/>
      <x:c r="K16" s="2"/>
      <x:c r="L16" s="2"/>
      <x:c r="M16" s="2"/>
    </x:row>
    <x:row r="17" ht="21" customHeight="1">
      <x:c r="A17" s="2"/>
      <x:c r="B17" s="2"/>
      <x:c r="C17" s="34" t="str">
        <x:f>'Inputs'!C86</x:f>
        <x:v>91282CLJ8</x:v>
      </x:c>
      <x:c r="D17" s="53" t="n">
        <x:f>'Inputs'!F86</x:f>
        <x:v>99.87751157572555</x:v>
      </x:c>
      <x:c r="E17" s="53" t="n">
        <x:f>'Inputs'!E86</x:f>
        <x:v>99.877512</x:v>
      </x:c>
      <x:c r="F17" s="54" t="n">
        <x:f>D17-E17</x:f>
        <x:v>-4.2427444668646785e-7</x:v>
      </x:c>
      <x:c r="G17" s="53" t="n">
        <x:f>'Inputs'!H86</x:f>
        <x:v>0.000001</x:v>
      </x:c>
      <x:c r="H17" s="2"/>
      <x:c r="I17" s="2"/>
      <x:c r="J17" s="2"/>
      <x:c r="K17" s="2"/>
      <x:c r="L17" s="2"/>
      <x:c r="M17" s="2"/>
    </x:row>
    <x:row r="18" ht="21" customHeight="1">
      <x:c r="A18" s="2"/>
      <x:c r="B18" s="2"/>
      <x:c r="C18" s="34" t="str">
        <x:f>'Inputs'!C87</x:f>
        <x:v>91282CKQ3</x:v>
      </x:c>
      <x:c r="D18" s="53" t="n">
        <x:f>'Inputs'!F87</x:f>
        <x:v>99.13725952221407</x:v>
      </x:c>
      <x:c r="E18" s="53" t="n">
        <x:f>'Inputs'!E87</x:f>
        <x:v>99.13726</x:v>
      </x:c>
      <x:c r="F18" s="54" t="n">
        <x:f>D18-E18</x:f>
        <x:v>-4.777859317073307e-7</x:v>
      </x:c>
      <x:c r="G18" s="53" t="n">
        <x:f>'Inputs'!H87</x:f>
        <x:v>0.000001</x:v>
      </x:c>
      <x:c r="H18" s="2"/>
      <x:c r="I18" s="2"/>
      <x:c r="J18" s="2"/>
      <x:c r="K18" s="2"/>
      <x:c r="L18" s="2"/>
      <x:c r="M18" s="2"/>
    </x:row>
    <x:row r="19" ht="21" customHeight="1">
      <x:c r="A19" s="2"/>
      <x:c r="B19" s="2"/>
      <x:c r="C19" s="34" t="str">
        <x:f>'Inputs'!C88</x:f>
        <x:v>91282CNM9</x:v>
      </x:c>
      <x:c r="D19" s="53" t="n">
        <x:f>'Inputs'!F88</x:f>
        <x:v>99.95510601705773</x:v>
      </x:c>
      <x:c r="E19" s="53" t="n">
        <x:f>'Inputs'!E88</x:f>
        <x:v>99.955106</x:v>
      </x:c>
      <x:c r="F19" s="54" t="n">
        <x:f>D19-E19</x:f>
        <x:v>1.7057729451153136e-8</x:v>
      </x:c>
      <x:c r="G19" s="53" t="n">
        <x:f>'Inputs'!H88</x:f>
        <x:v>0.000001</x:v>
      </x:c>
      <x:c r="H19" s="2"/>
      <x:c r="I19" s="2"/>
      <x:c r="J19" s="2"/>
      <x:c r="K19" s="2"/>
      <x:c r="L19" s="2"/>
      <x:c r="M19" s="2"/>
    </x:row>
    <x:row r="20" ht="21" customHeight="1">
      <x:c r="A20" s="2"/>
      <x:c r="B20" s="2"/>
      <x:c r="C20" s="34" t="str">
        <x:f>'Inputs'!C89</x:f>
        <x:v>91282CLM1</x:v>
      </x:c>
      <x:c r="D20" s="53" t="n">
        <x:f>'Inputs'!F89</x:f>
        <x:v>99.73664879313665</x:v>
      </x:c>
      <x:c r="E20" s="53" t="n">
        <x:f>'Inputs'!E89</x:f>
        <x:v>99.736649</x:v>
      </x:c>
      <x:c r="F20" s="54" t="n">
        <x:f>D20-E20</x:f>
        <x:v>-2.0686334778474702e-7</x:v>
      </x:c>
      <x:c r="G20" s="53" t="n">
        <x:f>'Inputs'!H89</x:f>
        <x:v>0.000001</x:v>
      </x:c>
      <x:c r="H20" s="2"/>
      <x:c r="I20" s="2"/>
      <x:c r="J20" s="2"/>
      <x:c r="K20" s="2"/>
      <x:c r="L20" s="2"/>
      <x:c r="M20" s="2"/>
    </x:row>
    <x:row r="21" ht="21" customHeight="1">
      <x:c r="A21" s="2"/>
      <x:c r="B21" s="2"/>
      <x:c r="C21" s="34" t="str">
        <x:f>'Inputs'!C90</x:f>
        <x:v>91282CNT4</x:v>
      </x:c>
      <x:c r="D21" s="53" t="n">
        <x:f>'Inputs'!F90</x:f>
        <x:v>99.95961995990474</x:v>
      </x:c>
      <x:c r="E21" s="53" t="n">
        <x:f>'Inputs'!E90</x:f>
        <x:v>99.95962</x:v>
      </x:c>
      <x:c r="F21" s="54" t="n">
        <x:f>D21-E21</x:f>
        <x:v>-4.009525866877084e-8</x:v>
      </x:c>
      <x:c r="G21" s="53" t="n">
        <x:f>'Inputs'!H90</x:f>
        <x:v>0.000001</x:v>
      </x:c>
      <x:c r="H21" s="2"/>
      <x:c r="I21" s="2"/>
      <x:c r="J21" s="2"/>
      <x:c r="K21" s="2"/>
      <x:c r="L21" s="2"/>
      <x:c r="M21" s="2"/>
    </x:row>
    <x:row r="22" ht="21" customHeight="1">
      <x:c r="A22" s="2"/>
      <x:c r="B22" s="2"/>
      <x:c r="C22" s="34" t="str">
        <x:f>'Inputs'!C91</x:f>
        <x:v>912810UN6</x:v>
      </x:c>
      <x:c r="D22" s="53" t="n">
        <x:f>'Inputs'!F91</x:f>
        <x:v>99.98220294129263</x:v>
      </x:c>
      <x:c r="E22" s="53" t="n">
        <x:f>'Inputs'!E91</x:f>
        <x:v>99.982203</x:v>
      </x:c>
      <x:c r="F22" s="54" t="n">
        <x:f>D22-E22</x:f>
        <x:v>-5.870737140867277e-8</x:v>
      </x:c>
      <x:c r="G22" s="53" t="n">
        <x:f>'Inputs'!H91</x:f>
        <x:v>0.000001</x:v>
      </x:c>
      <x:c r="H22" s="2"/>
      <x:c r="I22" s="2"/>
      <x:c r="J22" s="2"/>
      <x:c r="K22" s="2"/>
      <x:c r="L22" s="2"/>
      <x:c r="M22" s="2"/>
    </x:row>
    <x:row r="23" ht="21" customHeight="1">
      <x:c r="A23" s="2"/>
      <x:c r="B23" s="2"/>
      <x:c r="C23" s="34" t="str">
        <x:f>'Inputs'!C92</x:f>
        <x:v>912810UM8</x:v>
      </x:c>
      <x:c r="D23" s="53" t="n">
        <x:f>'Inputs'!F92</x:f>
        <x:v>99.00529364214644</x:v>
      </x:c>
      <x:c r="E23" s="53" t="n">
        <x:f>'Inputs'!E92</x:f>
        <x:v>99.005294</x:v>
      </x:c>
      <x:c r="F23" s="54" t="n">
        <x:f>D23-E23</x:f>
        <x:v>-3.578535654469306e-7</x:v>
      </x:c>
      <x:c r="G23" s="53" t="n">
        <x:f>'Inputs'!H92</x:f>
        <x:v>0.000001</x:v>
      </x:c>
      <x:c r="H23" s="2"/>
      <x:c r="I23" s="2"/>
      <x:c r="J23" s="2"/>
      <x:c r="K23" s="2"/>
      <x:c r="L23" s="2"/>
      <x:c r="M23" s="2"/>
    </x:row>
    <x:row r="24" ht="21" customHeight="1">
      <x:c r="A24" s="2"/>
      <x:c r="B24" s="2"/>
      <x:c r="C24" s="34" t="str">
        <x:f>'Inputs'!C93</x:f>
        <x:v>91282CDD0</x:v>
      </x:c>
      <x:c r="D24" s="53" t="n">
        <x:f>'Inputs'!F93</x:f>
        <x:v>99.7895553985925</x:v>
      </x:c>
      <x:c r="E24" s="53" t="n">
        <x:f>'Inputs'!E93</x:f>
        <x:v>99.789555</x:v>
      </x:c>
      <x:c r="F24" s="54" t="n">
        <x:f>D24-E24</x:f>
        <x:v>3.985925047800265e-7</x:v>
      </x:c>
      <x:c r="G24" s="53" t="n">
        <x:f>'Inputs'!H93</x:f>
        <x:v>0.000001</x:v>
      </x:c>
      <x:c r="H24" s="2"/>
      <x:c r="I24" s="2"/>
      <x:c r="J24" s="2"/>
      <x:c r="K24" s="2"/>
      <x:c r="L24" s="2"/>
      <x:c r="M24" s="2"/>
    </x:row>
    <x:row r="25" ht="21" customHeight="1">
      <x:c r="A25" s="2"/>
      <x:c r="B25" s="2"/>
      <x:c r="C25" s="34" t="str">
        <x:f>'Inputs'!C94</x:f>
        <x:v>91282CDG3</x:v>
      </x:c>
      <x:c r="D25" s="53" t="n">
        <x:f>'Inputs'!F94</x:f>
        <x:v>99.84504036737037</x:v>
      </x:c>
      <x:c r="E25" s="53" t="n">
        <x:f>'Inputs'!E94</x:f>
        <x:v>99.84504</x:v>
      </x:c>
      <x:c r="F25" s="54" t="n">
        <x:f>D25-E25</x:f>
        <x:v>3.6737037589773536e-7</x:v>
      </x:c>
      <x:c r="G25" s="53" t="n">
        <x:f>'Inputs'!H94</x:f>
        <x:v>0.000001</x:v>
      </x:c>
      <x:c r="H25" s="2"/>
      <x:c r="I25" s="2"/>
      <x:c r="J25" s="2"/>
      <x:c r="K25" s="2"/>
      <x:c r="L25" s="2"/>
      <x:c r="M25" s="2"/>
    </x:row>
    <x:row r="26" ht="21" customHeight="1">
      <x:c r="A26" s="2"/>
      <x:c r="B26" s="2"/>
      <x:c r="C26" s="34" t="str">
        <x:f>'Inputs'!C95</x:f>
        <x:v>91282CCS8</x:v>
      </x:c>
      <x:c r="D26" s="53" t="n">
        <x:f>'Inputs'!F95</x:f>
        <x:v>99.16051030903306</x:v>
      </x:c>
      <x:c r="E26" s="53" t="n">
        <x:f>'Inputs'!E95</x:f>
        <x:v>99.16051</x:v>
      </x:c>
      <x:c r="F26" s="54" t="n">
        <x:f>D26-E26</x:f>
        <x:v>3.0903305514584645e-7</x:v>
      </x:c>
      <x:c r="G26" s="53" t="n">
        <x:f>'Inputs'!H95</x:f>
        <x:v>0.000001</x:v>
      </x:c>
      <x:c r="H26" s="2"/>
      <x:c r="I26" s="2"/>
      <x:c r="J26" s="2"/>
      <x:c r="K26" s="2"/>
      <x:c r="L26" s="2"/>
      <x:c r="M26" s="2"/>
    </x:row>
    <x:row r="27" ht="21" customHeight="1">
      <x:c r="A27" s="2"/>
      <x:c r="B27" s="2"/>
      <x:c r="C27" s="34" t="str">
        <x:f>'Inputs'!C96</x:f>
        <x:v>91282CDM0</x:v>
      </x:c>
      <x:c r="D27" s="53" t="n">
        <x:f>'Inputs'!F96</x:f>
        <x:v>99.75590385477098</x:v>
      </x:c>
      <x:c r="E27" s="53" t="n">
        <x:f>'Inputs'!E96</x:f>
        <x:v>99.755904</x:v>
      </x:c>
      <x:c r="F27" s="54" t="n">
        <x:f>D27-E27</x:f>
        <x:v>-1.4522902347380295e-7</x:v>
      </x:c>
      <x:c r="G27" s="53" t="n">
        <x:f>'Inputs'!H96</x:f>
        <x:v>0.000001</x:v>
      </x:c>
      <x:c r="H27" s="2"/>
      <x:c r="I27" s="2"/>
      <x:c r="J27" s="2"/>
      <x:c r="K27" s="2"/>
      <x:c r="L27" s="2"/>
      <x:c r="M27" s="2"/>
    </x:row>
    <x:row r="28" ht="21" customHeight="1">
      <x:c r="A28" s="2"/>
      <x:c r="B28" s="2"/>
      <x:c r="C28" s="34" t="str">
        <x:f>'Inputs'!C97</x:f>
        <x:v>91282CDK4</x:v>
      </x:c>
      <x:c r="D28" s="53" t="n">
        <x:f>'Inputs'!F97</x:f>
        <x:v>99.66719084001461</x:v>
      </x:c>
      <x:c r="E28" s="53" t="n">
        <x:f>'Inputs'!E97</x:f>
        <x:v>99.667191</x:v>
      </x:c>
      <x:c r="F28" s="54" t="n">
        <x:f>D28-E28</x:f>
        <x:v>-1.5998539026895742e-7</x:v>
      </x:c>
      <x:c r="G28" s="53" t="n">
        <x:f>'Inputs'!H97</x:f>
        <x:v>0.000001</x:v>
      </x:c>
      <x:c r="H28" s="2"/>
      <x:c r="I28" s="2"/>
      <x:c r="J28" s="2"/>
      <x:c r="K28" s="2"/>
      <x:c r="L28" s="2"/>
      <x:c r="M28" s="2"/>
    </x:row>
    <x:row r="29" ht="21" customHeight="1">
      <x:c r="A29" s="2"/>
      <x:c r="B29" s="2"/>
      <x:c r="C29" s="34" t="str">
        <x:f>'Inputs'!C98</x:f>
        <x:v>91282CDJ7</x:v>
      </x:c>
      <x:c r="D29" s="53" t="n">
        <x:f>'Inputs'!F98</x:f>
        <x:v>99.35965042931693</x:v>
      </x:c>
      <x:c r="E29" s="53" t="n">
        <x:f>'Inputs'!E98</x:f>
        <x:v>99.35965</x:v>
      </x:c>
      <x:c r="F29" s="54" t="n">
        <x:f>D29-E29</x:f>
        <x:v>4.2931692689762713e-7</x:v>
      </x:c>
      <x:c r="G29" s="53" t="n">
        <x:f>'Inputs'!H98</x:f>
        <x:v>0.000001</x:v>
      </x:c>
      <x:c r="H29" s="2"/>
      <x:c r="I29" s="2"/>
      <x:c r="J29" s="2"/>
      <x:c r="K29" s="2"/>
      <x:c r="L29" s="2"/>
      <x:c r="M29" s="2"/>
    </x:row>
    <x:row r="30" ht="21" customHeight="1">
      <x:c r="A30" s="2"/>
      <x:c r="B30" s="2"/>
      <x:c r="C30" s="34" t="str">
        <x:f>'Inputs'!C99</x:f>
        <x:v>912810TC2</x:v>
      </x:c>
      <x:c r="D30" s="53" t="n">
        <x:f>'Inputs'!F99</x:f>
        <x:v>98.9404211084565</x:v>
      </x:c>
      <x:c r="E30" s="53" t="n">
        <x:f>'Inputs'!E99</x:f>
        <x:v>98.940421</x:v>
      </x:c>
      <x:c r="F30" s="54" t="n">
        <x:f>D30-E30</x:f>
        <x:v>1.084565042219765e-7</x:v>
      </x:c>
      <x:c r="G30" s="53" t="n">
        <x:f>'Inputs'!H99</x:f>
        <x:v>0.000001</x:v>
      </x:c>
      <x:c r="H30" s="2"/>
      <x:c r="I30" s="2"/>
      <x:c r="J30" s="2"/>
      <x:c r="K30" s="2"/>
      <x:c r="L30" s="2"/>
      <x:c r="M30" s="2"/>
    </x:row>
    <x:row r="31" ht="21" customHeight="1">
      <x:c r="A31" s="2"/>
      <x:c r="B31" s="2"/>
      <x:c r="C31" s="34" t="str">
        <x:f>'Inputs'!C100</x:f>
        <x:v>912810TB4</x:v>
      </x:c>
      <x:c r="D31" s="53" t="n">
        <x:f>'Inputs'!F100</x:f>
        <x:v>98.52694262602252</x:v>
      </x:c>
      <x:c r="E31" s="53" t="n">
        <x:f>'Inputs'!E100</x:f>
        <x:v>98.526943</x:v>
      </x:c>
      <x:c r="F31" s="54" t="n">
        <x:f>D31-E31</x:f>
        <x:v>-3.739774854238931e-7</x:v>
      </x:c>
      <x:c r="G31" s="53" t="n">
        <x:f>'Inputs'!H100</x:f>
        <x:v>0.000001</x:v>
      </x:c>
      <x:c r="H31" s="2"/>
      <x:c r="I31" s="2"/>
      <x:c r="J31" s="2"/>
      <x:c r="K31" s="2"/>
      <x:c r="L31" s="2"/>
      <x:c r="M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3" customHeight="1">
      <x:c r="A34" s="2"/>
      <x:c r="B34" s="2"/>
      <x:c r="C34" s="9" t="str">
        <x:v>Full-source curve reconstruction audit</x:v>
      </x:c>
      <x:c r="D34" s="9"/>
      <x:c r="E34" s="9"/>
      <x:c r="F34" s="9"/>
      <x:c r="G34" s="9"/>
      <x:c r="H34" s="9"/>
      <x:c r="I34" s="2"/>
      <x:c r="J34" s="2"/>
      <x:c r="K34" s="2"/>
      <x:c r="L34" s="2"/>
      <x:c r="M34" s="2"/>
    </x:row>
    <x:row r="35" ht="21" customHeight="1">
      <x:c r="A35" s="2"/>
      <x:c r="B35" s="2"/>
      <x:c r="C35" s="2" t="str">
        <x:v>Published comparison tolerance (bp)</x:v>
      </x:c>
      <x:c r="D35" s="31" t="n">
        <x:v>0.006</x:v>
      </x:c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1" customHeight="1">
      <x:c r="A36" s="2"/>
      <x:c r="B36" s="2"/>
      <x:c r="C36" s="2" t="str">
        <x:v>Published comparisons</x:v>
      </x:c>
      <x:c r="D36" s="55" t="n">
        <x:v>200610</x:v>
      </x:c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1" customHeight="1">
      <x:c r="A37" s="2"/>
      <x:c r="B37" s="2"/>
      <x:c r="C37" s="2" t="str">
        <x:v>Maximum absolute error (bp)</x:v>
      </x:c>
      <x:c r="D37" s="31" t="n">
        <x:v>0.03796498729856379</x:v>
      </x:c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1" customHeight="1">
      <x:c r="A38" s="2"/>
      <x:c r="B38" s="2"/>
      <x:c r="C38" s="2" t="str">
        <x:v>Failed comparisons</x:v>
      </x:c>
      <x:c r="D38" s="55" t="n">
        <x:v>71</x:v>
      </x:c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1" customHeight="1">
      <x:c r="A39" s="2"/>
      <x:c r="B39" s="2"/>
      <x:c r="C39" s="2" t="str">
        <x:v>Quarantined observations</x:v>
      </x:c>
      <x:c r="D39" s="55" t="n">
        <x:v>10</x:v>
      </x:c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1" customHeight="1">
      <x:c r="A40" s="2"/>
      <x:c r="B40" s="2"/>
      <x:c r="C40" s="2" t="str">
        <x:v>Missing published node values</x:v>
      </x:c>
      <x:c r="D40" s="55" t="n">
        <x:v>30</x:v>
      </x:c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1" customHeight="1">
      <x:c r="A42" s="2"/>
      <x:c r="B42" s="2"/>
      <x:c r="C42" s="7" t="str">
        <x:v>The original 0.006 bp tolerance remains fixed. Exceptional dates are excluded from research and retained below.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8" customHeight="1">
      <x:c r="A44" s="2"/>
      <x:c r="B44" s="2"/>
      <x:c r="C44" s="13" t="str">
        <x:v>date</x:v>
      </x:c>
      <x:c r="D44" s="14" t="str">
        <x:v>comparisons</x:v>
      </x:c>
      <x:c r="E44" s="14" t="str">
        <x:v>max absolute error bps</x:v>
      </x:c>
      <x:c r="F44" s="15" t="str">
        <x:v>status</x:v>
      </x:c>
      <x:c r="G44" s="2"/>
      <x:c r="H44" s="2"/>
      <x:c r="I44" s="2"/>
      <x:c r="J44" s="2"/>
      <x:c r="K44" s="2"/>
      <x:c r="L44" s="2"/>
      <x:c r="M44" s="2"/>
    </x:row>
    <x:row r="45" ht="21" customHeight="1">
      <x:c r="A45" s="2"/>
      <x:c r="B45" s="2"/>
      <x:c r="C45" s="5" t="n">
        <x:v>37272</x:v>
      </x:c>
      <x:c r="D45" s="2" t="n">
        <x:v>30</x:v>
      </x:c>
      <x:c r="E45" s="56" t="n">
        <x:v>0.014441995220410009</x:v>
      </x:c>
      <x:c r="F45" s="2" t="str">
        <x:v>outside rounding tolerance</x:v>
      </x:c>
      <x:c r="G45" s="2"/>
      <x:c r="H45" s="2"/>
      <x:c r="I45" s="2"/>
      <x:c r="J45" s="2"/>
      <x:c r="K45" s="2"/>
      <x:c r="L45" s="2"/>
      <x:c r="M45" s="2"/>
    </x:row>
    <x:row r="46" ht="21" customHeight="1">
      <x:c r="A46" s="2"/>
      <x:c r="B46" s="2"/>
      <x:c r="C46" s="5" t="n">
        <x:v>37761</x:v>
      </x:c>
      <x:c r="D46" s="2" t="n">
        <x:v>30</x:v>
      </x:c>
      <x:c r="E46" s="56" t="n">
        <x:v>0.008597897040024671</x:v>
      </x:c>
      <x:c r="F46" s="2" t="str">
        <x:v>outside rounding tolerance</x:v>
      </x:c>
      <x:c r="G46" s="2"/>
      <x:c r="H46" s="2"/>
      <x:c r="I46" s="2"/>
      <x:c r="J46" s="2"/>
      <x:c r="K46" s="2"/>
      <x:c r="L46" s="2"/>
      <x:c r="M46" s="2"/>
    </x:row>
    <x:row r="47" ht="21" customHeight="1">
      <x:c r="A47" s="2"/>
      <x:c r="B47" s="2"/>
      <x:c r="C47" s="5" t="n">
        <x:v>37762</x:v>
      </x:c>
      <x:c r="D47" s="2" t="n">
        <x:v>30</x:v>
      </x:c>
      <x:c r="E47" s="56" t="n">
        <x:v>0.012779073572596888</x:v>
      </x:c>
      <x:c r="F47" s="2" t="str">
        <x:v>outside rounding tolerance</x:v>
      </x:c>
      <x:c r="G47" s="2"/>
      <x:c r="H47" s="2"/>
      <x:c r="I47" s="2"/>
      <x:c r="J47" s="2"/>
      <x:c r="K47" s="2"/>
      <x:c r="L47" s="2"/>
      <x:c r="M47" s="2"/>
    </x:row>
    <x:row r="48" ht="21" customHeight="1">
      <x:c r="A48" s="2"/>
      <x:c r="B48" s="2"/>
      <x:c r="C48" s="5" t="n">
        <x:v>39364</x:v>
      </x:c>
      <x:c r="D48" s="2" t="n">
        <x:v>30</x:v>
      </x:c>
      <x:c r="E48" s="56" t="n">
        <x:v>0.007086234055653229</x:v>
      </x:c>
      <x:c r="F48" s="2" t="str">
        <x:v>outside rounding tolerance</x:v>
      </x:c>
      <x:c r="G48" s="2"/>
      <x:c r="H48" s="2"/>
      <x:c r="I48" s="2"/>
      <x:c r="J48" s="2"/>
      <x:c r="K48" s="2"/>
      <x:c r="L48" s="2"/>
      <x:c r="M48" s="2"/>
    </x:row>
    <x:row r="49" ht="21" customHeight="1">
      <x:c r="A49" s="2"/>
      <x:c r="B49" s="2"/>
      <x:c r="C49" s="5" t="n">
        <x:v>39528</x:v>
      </x:c>
      <x:c r="D49" s="2" t="n">
        <x:v>0</x:v>
      </x:c>
      <x:c r="E49" s="56" t="str">
        <x:v>n.a.</x:v>
      </x:c>
      <x:c r="F49" s="2" t="str">
        <x:v>benchmark unavailable</x:v>
      </x:c>
      <x:c r="G49" s="2"/>
      <x:c r="H49" s="2"/>
      <x:c r="I49" s="2"/>
      <x:c r="J49" s="2"/>
      <x:c r="K49" s="2"/>
      <x:c r="L49" s="2"/>
      <x:c r="M49" s="2"/>
    </x:row>
    <x:row r="50" ht="21" customHeight="1">
      <x:c r="A50" s="2"/>
      <x:c r="B50" s="2"/>
      <x:c r="C50" s="5" t="n">
        <x:v>39596</x:v>
      </x:c>
      <x:c r="D50" s="2" t="n">
        <x:v>30</x:v>
      </x:c>
      <x:c r="E50" s="56" t="n">
        <x:v>0.007326239890789732</x:v>
      </x:c>
      <x:c r="F50" s="2" t="str">
        <x:v>outside rounding tolerance</x:v>
      </x:c>
      <x:c r="G50" s="2"/>
      <x:c r="H50" s="2"/>
      <x:c r="I50" s="2"/>
      <x:c r="J50" s="2"/>
      <x:c r="K50" s="2"/>
      <x:c r="L50" s="2"/>
      <x:c r="M50" s="2"/>
    </x:row>
    <x:row r="51" ht="21" customHeight="1">
      <x:c r="A51" s="2"/>
      <x:c r="B51" s="2"/>
      <x:c r="C51" s="5" t="n">
        <x:v>39645</x:v>
      </x:c>
      <x:c r="D51" s="2" t="n">
        <x:v>30</x:v>
      </x:c>
      <x:c r="E51" s="56" t="n">
        <x:v>0.029257354067363517</x:v>
      </x:c>
      <x:c r="F51" s="2" t="str">
        <x:v>outside rounding tolerance</x:v>
      </x:c>
      <x:c r="G51" s="2"/>
      <x:c r="H51" s="2"/>
      <x:c r="I51" s="2"/>
      <x:c r="J51" s="2"/>
      <x:c r="K51" s="2"/>
      <x:c r="L51" s="2"/>
      <x:c r="M51" s="2"/>
    </x:row>
    <x:row r="52" ht="21" customHeight="1">
      <x:c r="A52" s="2"/>
      <x:c r="B52" s="2"/>
      <x:c r="C52" s="5" t="n">
        <x:v>40112</x:v>
      </x:c>
      <x:c r="D52" s="2" t="n">
        <x:v>30</x:v>
      </x:c>
      <x:c r="E52" s="56" t="n">
        <x:v>0.011762971905068809</x:v>
      </x:c>
      <x:c r="F52" s="2" t="str">
        <x:v>outside rounding tolerance</x:v>
      </x:c>
      <x:c r="G52" s="2"/>
      <x:c r="H52" s="2"/>
      <x:c r="I52" s="2"/>
      <x:c r="J52" s="2"/>
      <x:c r="K52" s="2"/>
      <x:c r="L52" s="2"/>
      <x:c r="M52" s="2"/>
    </x:row>
    <x:row r="53" ht="21" customHeight="1">
      <x:c r="A53" s="2"/>
      <x:c r="B53" s="2"/>
      <x:c r="C53" s="5" t="n">
        <x:v>41563</x:v>
      </x:c>
      <x:c r="D53" s="2" t="n">
        <x:v>30</x:v>
      </x:c>
      <x:c r="E53" s="56" t="n">
        <x:v>0.03796498729856379</x:v>
      </x:c>
      <x:c r="F53" s="2" t="str">
        <x:v>outside rounding tolerance</x:v>
      </x:c>
      <x:c r="G53" s="2"/>
      <x:c r="H53" s="2"/>
      <x:c r="I53" s="2"/>
      <x:c r="J53" s="2"/>
      <x:c r="K53" s="2"/>
      <x:c r="L53" s="2"/>
      <x:c r="M53" s="2"/>
    </x:row>
    <x:row r="54" ht="21" customHeight="1">
      <x:c r="A54" s="2"/>
      <x:c r="B54" s="2"/>
      <x:c r="C54" s="5" t="n">
        <x:v>41600</x:v>
      </x:c>
      <x:c r="D54" s="2" t="n">
        <x:v>30</x:v>
      </x:c>
      <x:c r="E54" s="56" t="n">
        <x:v>0.010503154801999592</x:v>
      </x:c>
      <x:c r="F54" s="2" t="str">
        <x:v>outside rounding tolerance</x:v>
      </x:c>
      <x:c r="G54" s="2"/>
      <x:c r="H54" s="2"/>
      <x:c r="I54" s="2"/>
      <x:c r="J54" s="2"/>
      <x:c r="K54" s="2"/>
      <x:c r="L54" s="2"/>
      <x:c r="M54" s="2"/>
    </x:row>
    <x:row r="55" ht="21" customHeight="1">
      <x:c r="A55" s="2"/>
      <x:c r="B55" s="2"/>
      <x:c r="C55" s="5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21" customHeight="1">
      <x:c r="A56" s="2"/>
      <x:c r="B56" s="2"/>
      <x:c r="C56" s="5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21" customHeight="1">
      <x:c r="A57" s="2"/>
      <x:c r="B57" s="2"/>
      <x:c r="C57" s="5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21" customHeight="1">
      <x:c r="A58" s="2"/>
      <x:c r="B58" s="2"/>
      <x:c r="C58" s="5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21" customHeight="1">
      <x:c r="A59" s="2"/>
      <x:c r="B59" s="2"/>
      <x:c r="C59" s="5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21" customHeight="1">
      <x:c r="A60" s="2"/>
      <x:c r="B60" s="2"/>
      <x:c r="C60" s="5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 ht="21" customHeight="1">
      <x:c r="A63" s="2"/>
      <x:c r="B63" s="2"/>
      <x:c r="C63" s="7" t="str">
        <x:v>Cash-roll differences and floating-point tolerances are retained on every Ledger row.</x:v>
      </x:c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23" customHeight="1">
      <x:c r="A66" s="2"/>
      <x:c r="B66" s="2"/>
      <x:c r="C66" s="9" t="str">
        <x:v>Frozen monthly decision windows and solver diagnostics</x:v>
      </x:c>
      <x:c r="D66" s="9"/>
      <x:c r="E66" s="9"/>
      <x:c r="F66" s="9"/>
      <x:c r="G66" s="9"/>
      <x:c r="H66" s="9"/>
      <x:c r="I66" s="9"/>
      <x:c r="J66" s="9"/>
      <x:c r="K66" s="9"/>
      <x:c r="L66" s="9"/>
      <x:c r="M66" s="9"/>
    </x:row>
    <x:row r="67" ht="34" customHeight="1">
      <x:c r="A67" s="2"/>
      <x:c r="B67" s="2"/>
      <x:c r="C67" s="45" t="str">
        <x:v>Trade date</x:v>
      </x:c>
      <x:c r="D67" s="30" t="str">
        <x:v>Decision curve</x:v>
      </x:c>
      <x:c r="E67" s="30" t="str">
        <x:v>Training start</x:v>
      </x:c>
      <x:c r="F67" s="30" t="str">
        <x:v>Training end</x:v>
      </x:c>
      <x:c r="G67" s="30" t="str">
        <x:v>Changes</x:v>
      </x:c>
      <x:c r="H67" s="30" t="str">
        <x:v>Active hedges</x:v>
      </x:c>
      <x:c r="I67" s="30" t="str">
        <x:v>Curve lag (days)</x:v>
      </x:c>
      <x:c r="J67" s="30" t="str">
        <x:v>Training lag (days)</x:v>
      </x:c>
      <x:c r="K67" s="30" t="str">
        <x:v>Solver status</x:v>
      </x:c>
      <x:c r="L67" s="30" t="str">
        <x:v>Optimality gap</x:v>
      </x:c>
      <x:c r="M67" s="29" t="str">
        <x:v>Gap tolerance</x:v>
      </x:c>
    </x:row>
    <x:row r="68" ht="21" customHeight="1">
      <x:c r="A68" s="2"/>
      <x:c r="B68" s="2"/>
      <x:c r="C68" s="5" t="n">
        <x:v>44564</x:v>
      </x:c>
      <x:c r="D68" s="5" t="n">
        <x:v>44561</x:v>
      </x:c>
      <x:c r="E68" s="5" t="n">
        <x:v>44195</x:v>
      </x:c>
      <x:c r="F68" s="5" t="n">
        <x:v>44561</x:v>
      </x:c>
      <x:c r="G68" s="2" t="n">
        <x:v>252</x:v>
      </x:c>
      <x:c r="H68" s="2" t="n">
        <x:v>5</x:v>
      </x:c>
      <x:c r="I68" s="20" t="n">
        <x:f>C68-D68</x:f>
        <x:v>3</x:v>
      </x:c>
      <x:c r="J68" s="20" t="n">
        <x:f>C68-F68</x:f>
        <x:v>3</x:v>
      </x:c>
      <x:c r="K68" s="2" t="str">
        <x:v>optimal</x:v>
      </x:c>
      <x:c r="L68" s="48" t="n">
        <x:v>1.4612140390842014e-9</x:v>
      </x:c>
      <x:c r="M68" s="48" t="n">
        <x:v>1e-7</x:v>
      </x:c>
    </x:row>
    <x:row r="69" ht="21" customHeight="1">
      <x:c r="A69" s="2"/>
      <x:c r="B69" s="2"/>
      <x:c r="C69" s="5" t="n">
        <x:v>44593</x:v>
      </x:c>
      <x:c r="D69" s="5" t="n">
        <x:v>44592</x:v>
      </x:c>
      <x:c r="E69" s="5" t="n">
        <x:v>44225</x:v>
      </x:c>
      <x:c r="F69" s="5" t="n">
        <x:v>44592</x:v>
      </x:c>
      <x:c r="G69" s="2" t="n">
        <x:v>252</x:v>
      </x:c>
      <x:c r="H69" s="2" t="n">
        <x:v>5</x:v>
      </x:c>
      <x:c r="I69" s="20" t="n">
        <x:f>C69-D69</x:f>
        <x:v>1</x:v>
      </x:c>
      <x:c r="J69" s="20" t="n">
        <x:f>C69-F69</x:f>
        <x:v>1</x:v>
      </x:c>
      <x:c r="K69" s="2" t="str">
        <x:v>optimal</x:v>
      </x:c>
      <x:c r="L69" s="48" t="n">
        <x:v>2.7237686238133166e-10</x:v>
      </x:c>
      <x:c r="M69" s="48" t="n">
        <x:v>1e-7</x:v>
      </x:c>
    </x:row>
    <x:row r="70" ht="21" customHeight="1">
      <x:c r="A70" s="2"/>
      <x:c r="B70" s="2"/>
      <x:c r="C70" s="5" t="n">
        <x:v>44621</x:v>
      </x:c>
      <x:c r="D70" s="5" t="n">
        <x:v>44620</x:v>
      </x:c>
      <x:c r="E70" s="5" t="n">
        <x:v>44253</x:v>
      </x:c>
      <x:c r="F70" s="5" t="n">
        <x:v>44620</x:v>
      </x:c>
      <x:c r="G70" s="2" t="n">
        <x:v>252</x:v>
      </x:c>
      <x:c r="H70" s="2" t="n">
        <x:v>5</x:v>
      </x:c>
      <x:c r="I70" s="20" t="n">
        <x:f>C70-D70</x:f>
        <x:v>1</x:v>
      </x:c>
      <x:c r="J70" s="20" t="n">
        <x:f>C70-F70</x:f>
        <x:v>1</x:v>
      </x:c>
      <x:c r="K70" s="2" t="str">
        <x:v>optimal</x:v>
      </x:c>
      <x:c r="L70" s="48" t="n">
        <x:v>1.1905867812948117e-9</x:v>
      </x:c>
      <x:c r="M70" s="48" t="n">
        <x:v>1e-7</x:v>
      </x:c>
    </x:row>
    <x:row r="71" ht="21" customHeight="1">
      <x:c r="A71" s="2"/>
      <x:c r="B71" s="2"/>
      <x:c r="C71" s="5" t="n">
        <x:v>44652</x:v>
      </x:c>
      <x:c r="D71" s="5" t="n">
        <x:v>44651</x:v>
      </x:c>
      <x:c r="E71" s="5" t="n">
        <x:v>44286</x:v>
      </x:c>
      <x:c r="F71" s="5" t="n">
        <x:v>44651</x:v>
      </x:c>
      <x:c r="G71" s="2" t="n">
        <x:v>252</x:v>
      </x:c>
      <x:c r="H71" s="2" t="n">
        <x:v>5</x:v>
      </x:c>
      <x:c r="I71" s="20" t="n">
        <x:f>C71-D71</x:f>
        <x:v>1</x:v>
      </x:c>
      <x:c r="J71" s="20" t="n">
        <x:f>C71-F71</x:f>
        <x:v>1</x:v>
      </x:c>
      <x:c r="K71" s="2" t="str">
        <x:v>optimal</x:v>
      </x:c>
      <x:c r="L71" s="48" t="n">
        <x:v>1.220112679638416e-9</x:v>
      </x:c>
      <x:c r="M71" s="48" t="n">
        <x:v>1e-7</x:v>
      </x:c>
    </x:row>
    <x:row r="72" ht="21" customHeight="1">
      <x:c r="A72" s="2"/>
      <x:c r="B72" s="2"/>
      <x:c r="C72" s="5" t="n">
        <x:v>44683</x:v>
      </x:c>
      <x:c r="D72" s="5" t="n">
        <x:v>44680</x:v>
      </x:c>
      <x:c r="E72" s="5" t="n">
        <x:v>44314</x:v>
      </x:c>
      <x:c r="F72" s="5" t="n">
        <x:v>44680</x:v>
      </x:c>
      <x:c r="G72" s="2" t="n">
        <x:v>252</x:v>
      </x:c>
      <x:c r="H72" s="2" t="n">
        <x:v>5</x:v>
      </x:c>
      <x:c r="I72" s="20" t="n">
        <x:f>C72-D72</x:f>
        <x:v>3</x:v>
      </x:c>
      <x:c r="J72" s="20" t="n">
        <x:f>C72-F72</x:f>
        <x:v>3</x:v>
      </x:c>
      <x:c r="K72" s="2" t="str">
        <x:v>optimal</x:v>
      </x:c>
      <x:c r="L72" s="48" t="n">
        <x:v>5.169657437505279e-10</x:v>
      </x:c>
      <x:c r="M72" s="48" t="n">
        <x:v>1e-7</x:v>
      </x:c>
    </x:row>
    <x:row r="73" ht="21" customHeight="1">
      <x:c r="A73" s="2"/>
      <x:c r="B73" s="2"/>
      <x:c r="C73" s="5" t="n">
        <x:v>44713</x:v>
      </x:c>
      <x:c r="D73" s="5" t="n">
        <x:v>44712</x:v>
      </x:c>
      <x:c r="E73" s="5" t="n">
        <x:v>44343</x:v>
      </x:c>
      <x:c r="F73" s="5" t="n">
        <x:v>44712</x:v>
      </x:c>
      <x:c r="G73" s="2" t="n">
        <x:v>252</x:v>
      </x:c>
      <x:c r="H73" s="2" t="n">
        <x:v>5</x:v>
      </x:c>
      <x:c r="I73" s="20" t="n">
        <x:f>C73-D73</x:f>
        <x:v>1</x:v>
      </x:c>
      <x:c r="J73" s="20" t="n">
        <x:f>C73-F73</x:f>
        <x:v>1</x:v>
      </x:c>
      <x:c r="K73" s="2" t="str">
        <x:v>optimal</x:v>
      </x:c>
      <x:c r="L73" s="48" t="n">
        <x:v>3.43467536274347e-10</x:v>
      </x:c>
      <x:c r="M73" s="48" t="n">
        <x:v>1e-7</x:v>
      </x:c>
    </x:row>
    <x:row r="74" ht="21" customHeight="1">
      <x:c r="A74" s="2"/>
      <x:c r="B74" s="2"/>
      <x:c r="C74" s="5" t="n">
        <x:v>44743</x:v>
      </x:c>
      <x:c r="D74" s="5" t="n">
        <x:v>44742</x:v>
      </x:c>
      <x:c r="E74" s="5" t="n">
        <x:v>44375</x:v>
      </x:c>
      <x:c r="F74" s="5" t="n">
        <x:v>44742</x:v>
      </x:c>
      <x:c r="G74" s="2" t="n">
        <x:v>252</x:v>
      </x:c>
      <x:c r="H74" s="2" t="n">
        <x:v>5</x:v>
      </x:c>
      <x:c r="I74" s="20" t="n">
        <x:f>C74-D74</x:f>
        <x:v>1</x:v>
      </x:c>
      <x:c r="J74" s="20" t="n">
        <x:f>C74-F74</x:f>
        <x:v>1</x:v>
      </x:c>
      <x:c r="K74" s="2" t="str">
        <x:v>optimal</x:v>
      </x:c>
      <x:c r="L74" s="48" t="n">
        <x:v>9.946629548031096e-11</x:v>
      </x:c>
      <x:c r="M74" s="48" t="n">
        <x:v>1e-7</x:v>
      </x:c>
    </x:row>
    <x:row r="75" ht="21" customHeight="1">
      <x:c r="A75" s="2"/>
      <x:c r="B75" s="2"/>
      <x:c r="C75" s="5" t="n">
        <x:v>44774</x:v>
      </x:c>
      <x:c r="D75" s="5" t="n">
        <x:v>44771</x:v>
      </x:c>
      <x:c r="E75" s="5" t="n">
        <x:v>44404</x:v>
      </x:c>
      <x:c r="F75" s="5" t="n">
        <x:v>44771</x:v>
      </x:c>
      <x:c r="G75" s="2" t="n">
        <x:v>252</x:v>
      </x:c>
      <x:c r="H75" s="2" t="n">
        <x:v>5</x:v>
      </x:c>
      <x:c r="I75" s="20" t="n">
        <x:f>C75-D75</x:f>
        <x:v>3</x:v>
      </x:c>
      <x:c r="J75" s="20" t="n">
        <x:f>C75-F75</x:f>
        <x:v>3</x:v>
      </x:c>
      <x:c r="K75" s="2" t="str">
        <x:v>optimal</x:v>
      </x:c>
      <x:c r="L75" s="48" t="n">
        <x:v>1.7203436539166698e-9</x:v>
      </x:c>
      <x:c r="M75" s="48" t="n">
        <x:v>1e-7</x:v>
      </x:c>
    </x:row>
    <x:row r="76" ht="21" customHeight="1">
      <x:c r="A76" s="2"/>
      <x:c r="B76" s="2"/>
      <x:c r="C76" s="5" t="n">
        <x:v>44805</x:v>
      </x:c>
      <x:c r="D76" s="5" t="n">
        <x:v>44804</x:v>
      </x:c>
      <x:c r="E76" s="5" t="n">
        <x:v>44435</x:v>
      </x:c>
      <x:c r="F76" s="5" t="n">
        <x:v>44804</x:v>
      </x:c>
      <x:c r="G76" s="2" t="n">
        <x:v>252</x:v>
      </x:c>
      <x:c r="H76" s="2" t="n">
        <x:v>5</x:v>
      </x:c>
      <x:c r="I76" s="20" t="n">
        <x:f>C76-D76</x:f>
        <x:v>1</x:v>
      </x:c>
      <x:c r="J76" s="20" t="n">
        <x:f>C76-F76</x:f>
        <x:v>1</x:v>
      </x:c>
      <x:c r="K76" s="2" t="str">
        <x:v>optimal</x:v>
      </x:c>
      <x:c r="L76" s="48" t="n">
        <x:v>5.372132828003435e-10</x:v>
      </x:c>
      <x:c r="M76" s="48" t="n">
        <x:v>1e-7</x:v>
      </x:c>
    </x:row>
    <x:row r="77" ht="21" customHeight="1">
      <x:c r="A77" s="2"/>
      <x:c r="B77" s="2"/>
      <x:c r="C77" s="5" t="n">
        <x:v>44837</x:v>
      </x:c>
      <x:c r="D77" s="5" t="n">
        <x:v>44834</x:v>
      </x:c>
      <x:c r="E77" s="5" t="n">
        <x:v>44467</x:v>
      </x:c>
      <x:c r="F77" s="5" t="n">
        <x:v>44834</x:v>
      </x:c>
      <x:c r="G77" s="2" t="n">
        <x:v>252</x:v>
      </x:c>
      <x:c r="H77" s="2" t="n">
        <x:v>5</x:v>
      </x:c>
      <x:c r="I77" s="20" t="n">
        <x:f>C77-D77</x:f>
        <x:v>3</x:v>
      </x:c>
      <x:c r="J77" s="20" t="n">
        <x:f>C77-F77</x:f>
        <x:v>3</x:v>
      </x:c>
      <x:c r="K77" s="2" t="str">
        <x:v>optimal</x:v>
      </x:c>
      <x:c r="L77" s="48" t="n">
        <x:v>3.1984693092183066e-11</x:v>
      </x:c>
      <x:c r="M77" s="48" t="n">
        <x:v>1e-7</x:v>
      </x:c>
    </x:row>
    <x:row r="78" ht="21" customHeight="1">
      <x:c r="A78" s="2"/>
      <x:c r="B78" s="2"/>
      <x:c r="C78" s="5" t="n">
        <x:v>44866</x:v>
      </x:c>
      <x:c r="D78" s="5" t="n">
        <x:v>44865</x:v>
      </x:c>
      <x:c r="E78" s="5" t="n">
        <x:v>44496</x:v>
      </x:c>
      <x:c r="F78" s="5" t="n">
        <x:v>44865</x:v>
      </x:c>
      <x:c r="G78" s="2" t="n">
        <x:v>252</x:v>
      </x:c>
      <x:c r="H78" s="2" t="n">
        <x:v>5</x:v>
      </x:c>
      <x:c r="I78" s="20" t="n">
        <x:f>C78-D78</x:f>
        <x:v>1</x:v>
      </x:c>
      <x:c r="J78" s="20" t="n">
        <x:f>C78-F78</x:f>
        <x:v>1</x:v>
      </x:c>
      <x:c r="K78" s="2" t="str">
        <x:v>optimal</x:v>
      </x:c>
      <x:c r="L78" s="48" t="n">
        <x:v>7.965940018665564e-10</x:v>
      </x:c>
      <x:c r="M78" s="48" t="n">
        <x:v>1e-7</x:v>
      </x:c>
    </x:row>
    <x:row r="79" ht="21" customHeight="1">
      <x:c r="A79" s="2"/>
      <x:c r="B79" s="2"/>
      <x:c r="C79" s="5" t="n">
        <x:v>44896</x:v>
      </x:c>
      <x:c r="D79" s="5" t="n">
        <x:v>44895</x:v>
      </x:c>
      <x:c r="E79" s="5" t="n">
        <x:v>44526</x:v>
      </x:c>
      <x:c r="F79" s="5" t="n">
        <x:v>44895</x:v>
      </x:c>
      <x:c r="G79" s="2" t="n">
        <x:v>252</x:v>
      </x:c>
      <x:c r="H79" s="2" t="n">
        <x:v>5</x:v>
      </x:c>
      <x:c r="I79" s="20" t="n">
        <x:f>C79-D79</x:f>
        <x:v>1</x:v>
      </x:c>
      <x:c r="J79" s="20" t="n">
        <x:f>C79-F79</x:f>
        <x:v>1</x:v>
      </x:c>
      <x:c r="K79" s="2" t="str">
        <x:v>optimal</x:v>
      </x:c>
      <x:c r="L79" s="48" t="n">
        <x:v>1.347970163024651e-9</x:v>
      </x:c>
      <x:c r="M79" s="48" t="n">
        <x:v>1e-7</x:v>
      </x:c>
    </x:row>
    <x:row r="80" ht="21" customHeight="1">
      <x:c r="A80" s="2"/>
      <x:c r="B80" s="2"/>
      <x:c r="C80" s="5" t="n">
        <x:v>44929</x:v>
      </x:c>
      <x:c r="D80" s="5" t="n">
        <x:v>44925</x:v>
      </x:c>
      <x:c r="E80" s="5" t="n">
        <x:v>44558</x:v>
      </x:c>
      <x:c r="F80" s="5" t="n">
        <x:v>44925</x:v>
      </x:c>
      <x:c r="G80" s="2" t="n">
        <x:v>252</x:v>
      </x:c>
      <x:c r="H80" s="2" t="n">
        <x:v>5</x:v>
      </x:c>
      <x:c r="I80" s="20" t="n">
        <x:f>C80-D80</x:f>
        <x:v>4</x:v>
      </x:c>
      <x:c r="J80" s="20" t="n">
        <x:f>C80-F80</x:f>
        <x:v>4</x:v>
      </x:c>
      <x:c r="K80" s="2" t="str">
        <x:v>optimal</x:v>
      </x:c>
      <x:c r="L80" s="48" t="n">
        <x:v>1.7102388581751237e-9</x:v>
      </x:c>
      <x:c r="M80" s="48" t="n">
        <x:v>1e-7</x:v>
      </x:c>
    </x:row>
    <x:row r="81" ht="21" customHeight="1">
      <x:c r="A81" s="2"/>
      <x:c r="B81" s="2"/>
      <x:c r="C81" s="5" t="n">
        <x:v>44958</x:v>
      </x:c>
      <x:c r="D81" s="5" t="n">
        <x:v>44957</x:v>
      </x:c>
      <x:c r="E81" s="5" t="n">
        <x:v>44587</x:v>
      </x:c>
      <x:c r="F81" s="5" t="n">
        <x:v>44957</x:v>
      </x:c>
      <x:c r="G81" s="2" t="n">
        <x:v>252</x:v>
      </x:c>
      <x:c r="H81" s="2" t="n">
        <x:v>5</x:v>
      </x:c>
      <x:c r="I81" s="20" t="n">
        <x:f>C81-D81</x:f>
        <x:v>1</x:v>
      </x:c>
      <x:c r="J81" s="20" t="n">
        <x:f>C81-F81</x:f>
        <x:v>1</x:v>
      </x:c>
      <x:c r="K81" s="2" t="str">
        <x:v>optimal</x:v>
      </x:c>
      <x:c r="L81" s="48" t="n">
        <x:v>5.3888612480404115e-9</x:v>
      </x:c>
      <x:c r="M81" s="48" t="n">
        <x:v>1e-7</x:v>
      </x:c>
    </x:row>
    <x:row r="82" ht="21" customHeight="1">
      <x:c r="A82" s="2"/>
      <x:c r="B82" s="2"/>
      <x:c r="C82" s="5" t="n">
        <x:v>44986</x:v>
      </x:c>
      <x:c r="D82" s="5" t="n">
        <x:v>44985</x:v>
      </x:c>
      <x:c r="E82" s="5" t="n">
        <x:v>44615</x:v>
      </x:c>
      <x:c r="F82" s="5" t="n">
        <x:v>44985</x:v>
      </x:c>
      <x:c r="G82" s="2" t="n">
        <x:v>252</x:v>
      </x:c>
      <x:c r="H82" s="2" t="n">
        <x:v>5</x:v>
      </x:c>
      <x:c r="I82" s="20" t="n">
        <x:f>C82-D82</x:f>
        <x:v>1</x:v>
      </x:c>
      <x:c r="J82" s="20" t="n">
        <x:f>C82-F82</x:f>
        <x:v>1</x:v>
      </x:c>
      <x:c r="K82" s="2" t="str">
        <x:v>optimal</x:v>
      </x:c>
      <x:c r="L82" s="48" t="n">
        <x:v>2.2680712065185397e-9</x:v>
      </x:c>
      <x:c r="M82" s="48" t="n">
        <x:v>1e-7</x:v>
      </x:c>
    </x:row>
    <x:row r="83" ht="21" customHeight="1">
      <x:c r="A83" s="2"/>
      <x:c r="B83" s="2"/>
      <x:c r="C83" s="5" t="n">
        <x:v>45019</x:v>
      </x:c>
      <x:c r="D83" s="5" t="n">
        <x:v>45016</x:v>
      </x:c>
      <x:c r="E83" s="5" t="n">
        <x:v>44648</x:v>
      </x:c>
      <x:c r="F83" s="5" t="n">
        <x:v>45016</x:v>
      </x:c>
      <x:c r="G83" s="2" t="n">
        <x:v>252</x:v>
      </x:c>
      <x:c r="H83" s="2" t="n">
        <x:v>5</x:v>
      </x:c>
      <x:c r="I83" s="20" t="n">
        <x:f>C83-D83</x:f>
        <x:v>3</x:v>
      </x:c>
      <x:c r="J83" s="20" t="n">
        <x:f>C83-F83</x:f>
        <x:v>3</x:v>
      </x:c>
      <x:c r="K83" s="2" t="str">
        <x:v>optimal</x:v>
      </x:c>
      <x:c r="L83" s="48" t="n">
        <x:v>2.173429589081214e-9</x:v>
      </x:c>
      <x:c r="M83" s="48" t="n">
        <x:v>1e-7</x:v>
      </x:c>
    </x:row>
    <x:row r="84" ht="21" customHeight="1">
      <x:c r="A84" s="2"/>
      <x:c r="B84" s="2"/>
      <x:c r="C84" s="5" t="n">
        <x:v>45047</x:v>
      </x:c>
      <x:c r="D84" s="5" t="n">
        <x:v>45044</x:v>
      </x:c>
      <x:c r="E84" s="5" t="n">
        <x:v>44677</x:v>
      </x:c>
      <x:c r="F84" s="5" t="n">
        <x:v>45044</x:v>
      </x:c>
      <x:c r="G84" s="2" t="n">
        <x:v>252</x:v>
      </x:c>
      <x:c r="H84" s="2" t="n">
        <x:v>5</x:v>
      </x:c>
      <x:c r="I84" s="20" t="n">
        <x:f>C84-D84</x:f>
        <x:v>3</x:v>
      </x:c>
      <x:c r="J84" s="20" t="n">
        <x:f>C84-F84</x:f>
        <x:v>3</x:v>
      </x:c>
      <x:c r="K84" s="2" t="str">
        <x:v>optimal</x:v>
      </x:c>
      <x:c r="L84" s="48" t="n">
        <x:v>1.9331714385726854e-9</x:v>
      </x:c>
      <x:c r="M84" s="48" t="n">
        <x:v>1e-7</x:v>
      </x:c>
    </x:row>
    <x:row r="85" ht="21" customHeight="1">
      <x:c r="A85" s="2"/>
      <x:c r="B85" s="2"/>
      <x:c r="C85" s="5" t="n">
        <x:v>45078</x:v>
      </x:c>
      <x:c r="D85" s="5" t="n">
        <x:v>45077</x:v>
      </x:c>
      <x:c r="E85" s="5" t="n">
        <x:v>44707</x:v>
      </x:c>
      <x:c r="F85" s="5" t="n">
        <x:v>45077</x:v>
      </x:c>
      <x:c r="G85" s="2" t="n">
        <x:v>252</x:v>
      </x:c>
      <x:c r="H85" s="2" t="n">
        <x:v>5</x:v>
      </x:c>
      <x:c r="I85" s="20" t="n">
        <x:f>C85-D85</x:f>
        <x:v>1</x:v>
      </x:c>
      <x:c r="J85" s="20" t="n">
        <x:f>C85-F85</x:f>
        <x:v>1</x:v>
      </x:c>
      <x:c r="K85" s="2" t="str">
        <x:v>optimal</x:v>
      </x:c>
      <x:c r="L85" s="48" t="n">
        <x:v>4.978988504517583e-10</x:v>
      </x:c>
      <x:c r="M85" s="48" t="n">
        <x:v>1e-7</x:v>
      </x:c>
    </x:row>
    <x:row r="86" ht="21" customHeight="1">
      <x:c r="A86" s="2"/>
      <x:c r="B86" s="2"/>
      <x:c r="C86" s="5" t="n">
        <x:v>45110</x:v>
      </x:c>
      <x:c r="D86" s="5" t="n">
        <x:v>45107</x:v>
      </x:c>
      <x:c r="E86" s="5" t="n">
        <x:v>44740</x:v>
      </x:c>
      <x:c r="F86" s="5" t="n">
        <x:v>45107</x:v>
      </x:c>
      <x:c r="G86" s="2" t="n">
        <x:v>252</x:v>
      </x:c>
      <x:c r="H86" s="2" t="n">
        <x:v>5</x:v>
      </x:c>
      <x:c r="I86" s="20" t="n">
        <x:f>C86-D86</x:f>
        <x:v>3</x:v>
      </x:c>
      <x:c r="J86" s="20" t="n">
        <x:f>C86-F86</x:f>
        <x:v>3</x:v>
      </x:c>
      <x:c r="K86" s="2" t="str">
        <x:v>optimal</x:v>
      </x:c>
      <x:c r="L86" s="48" t="n">
        <x:v>2.100583529137376e-9</x:v>
      </x:c>
      <x:c r="M86" s="48" t="n">
        <x:v>1e-7</x:v>
      </x:c>
    </x:row>
    <x:row r="87" ht="21" customHeight="1">
      <x:c r="A87" s="2"/>
      <x:c r="B87" s="2"/>
      <x:c r="C87" s="5" t="n">
        <x:v>45139</x:v>
      </x:c>
      <x:c r="D87" s="5" t="n">
        <x:v>45138</x:v>
      </x:c>
      <x:c r="E87" s="5" t="n">
        <x:v>44769</x:v>
      </x:c>
      <x:c r="F87" s="5" t="n">
        <x:v>45138</x:v>
      </x:c>
      <x:c r="G87" s="2" t="n">
        <x:v>252</x:v>
      </x:c>
      <x:c r="H87" s="2" t="n">
        <x:v>5</x:v>
      </x:c>
      <x:c r="I87" s="20" t="n">
        <x:f>C87-D87</x:f>
        <x:v>1</x:v>
      </x:c>
      <x:c r="J87" s="20" t="n">
        <x:f>C87-F87</x:f>
        <x:v>1</x:v>
      </x:c>
      <x:c r="K87" s="2" t="str">
        <x:v>optimal</x:v>
      </x:c>
      <x:c r="L87" s="48" t="n">
        <x:v>1.7176821358534402e-9</x:v>
      </x:c>
      <x:c r="M87" s="48" t="n">
        <x:v>1e-7</x:v>
      </x:c>
    </x:row>
    <x:row r="88" ht="21" customHeight="1">
      <x:c r="A88" s="2"/>
      <x:c r="B88" s="2"/>
      <x:c r="C88" s="5" t="n">
        <x:v>45170</x:v>
      </x:c>
      <x:c r="D88" s="5" t="n">
        <x:v>45169</x:v>
      </x:c>
      <x:c r="E88" s="5" t="n">
        <x:v>44802</x:v>
      </x:c>
      <x:c r="F88" s="5" t="n">
        <x:v>45169</x:v>
      </x:c>
      <x:c r="G88" s="2" t="n">
        <x:v>252</x:v>
      </x:c>
      <x:c r="H88" s="2" t="n">
        <x:v>5</x:v>
      </x:c>
      <x:c r="I88" s="20" t="n">
        <x:f>C88-D88</x:f>
        <x:v>1</x:v>
      </x:c>
      <x:c r="J88" s="20" t="n">
        <x:f>C88-F88</x:f>
        <x:v>1</x:v>
      </x:c>
      <x:c r="K88" s="2" t="str">
        <x:v>optimal</x:v>
      </x:c>
      <x:c r="L88" s="48" t="n">
        <x:v>6.545592234551155e-10</x:v>
      </x:c>
      <x:c r="M88" s="48" t="n">
        <x:v>1e-7</x:v>
      </x:c>
    </x:row>
    <x:row r="89" ht="21" customHeight="1">
      <x:c r="A89" s="2"/>
      <x:c r="B89" s="2"/>
      <x:c r="C89" s="5" t="n">
        <x:v>45201</x:v>
      </x:c>
      <x:c r="D89" s="5" t="n">
        <x:v>45198</x:v>
      </x:c>
      <x:c r="E89" s="5" t="n">
        <x:v>44831</x:v>
      </x:c>
      <x:c r="F89" s="5" t="n">
        <x:v>45198</x:v>
      </x:c>
      <x:c r="G89" s="2" t="n">
        <x:v>252</x:v>
      </x:c>
      <x:c r="H89" s="2" t="n">
        <x:v>5</x:v>
      </x:c>
      <x:c r="I89" s="20" t="n">
        <x:f>C89-D89</x:f>
        <x:v>3</x:v>
      </x:c>
      <x:c r="J89" s="20" t="n">
        <x:f>C89-F89</x:f>
        <x:v>3</x:v>
      </x:c>
      <x:c r="K89" s="2" t="str">
        <x:v>optimal</x:v>
      </x:c>
      <x:c r="L89" s="48" t="n">
        <x:v>1.0965112387488837e-8</x:v>
      </x:c>
      <x:c r="M89" s="48" t="n">
        <x:v>1e-7</x:v>
      </x:c>
    </x:row>
    <x:row r="90" ht="21" customHeight="1">
      <x:c r="A90" s="2"/>
      <x:c r="B90" s="2"/>
      <x:c r="C90" s="5" t="n">
        <x:v>45231</x:v>
      </x:c>
      <x:c r="D90" s="5" t="n">
        <x:v>45230</x:v>
      </x:c>
      <x:c r="E90" s="5" t="n">
        <x:v>44861</x:v>
      </x:c>
      <x:c r="F90" s="5" t="n">
        <x:v>45230</x:v>
      </x:c>
      <x:c r="G90" s="2" t="n">
        <x:v>252</x:v>
      </x:c>
      <x:c r="H90" s="2" t="n">
        <x:v>5</x:v>
      </x:c>
      <x:c r="I90" s="20" t="n">
        <x:f>C90-D90</x:f>
        <x:v>1</x:v>
      </x:c>
      <x:c r="J90" s="20" t="n">
        <x:f>C90-F90</x:f>
        <x:v>1</x:v>
      </x:c>
      <x:c r="K90" s="2" t="str">
        <x:v>optimal</x:v>
      </x:c>
      <x:c r="L90" s="48" t="n">
        <x:v>2.4607208657649536e-11</x:v>
      </x:c>
      <x:c r="M90" s="48" t="n">
        <x:v>1e-7</x:v>
      </x:c>
    </x:row>
    <x:row r="91" ht="21" customHeight="1">
      <x:c r="A91" s="2"/>
      <x:c r="B91" s="2"/>
      <x:c r="C91" s="5" t="n">
        <x:v>45261</x:v>
      </x:c>
      <x:c r="D91" s="5" t="n">
        <x:v>45260</x:v>
      </x:c>
      <x:c r="E91" s="5" t="n">
        <x:v>44894</x:v>
      </x:c>
      <x:c r="F91" s="5" t="n">
        <x:v>45260</x:v>
      </x:c>
      <x:c r="G91" s="2" t="n">
        <x:v>252</x:v>
      </x:c>
      <x:c r="H91" s="2" t="n">
        <x:v>4</x:v>
      </x:c>
      <x:c r="I91" s="20" t="n">
        <x:f>C91-D91</x:f>
        <x:v>1</x:v>
      </x:c>
      <x:c r="J91" s="20" t="n">
        <x:f>C91-F91</x:f>
        <x:v>1</x:v>
      </x:c>
      <x:c r="K91" s="2" t="str">
        <x:v>optimal</x:v>
      </x:c>
      <x:c r="L91" s="48" t="n">
        <x:v>6.467127684913247e-10</x:v>
      </x:c>
      <x:c r="M91" s="48" t="n">
        <x:v>1e-7</x:v>
      </x:c>
    </x:row>
    <x:row r="92" ht="21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 ht="21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</x:sheetData>
  <x:conditionalFormatting sqref="F8:F11">
    <x:cfRule type="expression" dxfId="3" priority="1">
      <x:formula>ABS(F8)&gt;G8</x:formula>
    </x:cfRule>
  </x:conditionalFormatting>
  <x:conditionalFormatting sqref="F16:F31">
    <x:cfRule type="expression" dxfId="4" priority="2">
      <x:formula>ABS(F16)&gt;G16</x:formula>
    </x:cfRule>
  </x:conditionalFormatting>
  <x:conditionalFormatting sqref="I68:J91">
    <x:cfRule type="expression" dxfId="5" priority="3">
      <x:formula>I68&lt;=0</x:formula>
    </x:cfRule>
  </x:conditionalFormatting>
  <x:conditionalFormatting sqref="L68:L91">
    <x:cfRule type="expression" dxfId="6" priority="4">
      <x:formula>L68&gt;M68</x:formula>
    </x:cfRule>
  </x:conditionalFormatting>
  <x:conditionalFormatting sqref="K68:K91">
    <x:cfRule type="expression" dxfId="7" priority="5">
      <x:formula>K68&lt;&gt;"optimal"</x:formula>
    </x:cfRule>
  </x:conditionalFormatting>
  <x:pageMargins left="0.7" right="0.7" top="0.75" bottom="0.75" header="0.3" footer="0.3"/>
</x:worksheet>
</file>